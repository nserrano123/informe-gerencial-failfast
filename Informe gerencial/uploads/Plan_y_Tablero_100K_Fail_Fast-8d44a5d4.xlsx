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 semanal" sheetId="1" r:id="rId5"/>
    <sheet state="visible" name="Aliados — resumen" sheetId="2" r:id="rId6"/>
    <sheet state="visible" name="Resumen" sheetId="3" r:id="rId7"/>
    <sheet state="visible" name="Supuestos" sheetId="4" r:id="rId8"/>
    <sheet state="visible" name="Puente a 100K" sheetId="5" r:id="rId9"/>
    <sheet state="visible" name="Embudo por motor" sheetId="6" r:id="rId10"/>
    <sheet state="visible" name="Unit economics" sheetId="7" r:id="rId11"/>
    <sheet state="visible" name="Rampa 6 meses (YC)" sheetId="8" r:id="rId12"/>
    <sheet state="visible" name="Avance semanal" sheetId="9" r:id="rId13"/>
    <sheet state="visible" name="Simba (aliado)" sheetId="10" r:id="rId14"/>
    <sheet state="visible" name="TMS" sheetId="11" r:id="rId15"/>
    <sheet state="visible" name="IPS" sheetId="12" r:id="rId16"/>
    <sheet state="visible" name="SAO (aliado)" sheetId="13" r:id="rId17"/>
    <sheet state="visible" name="Plan de equipo" sheetId="14" r:id="rId18"/>
    <sheet state="visible" name="Gráfico1 Top 10 Departamentos c" sheetId="15" r:id="rId19"/>
    <sheet state="visible" name="Gráfico1 Contribución al Plan d" sheetId="16" r:id="rId20"/>
  </sheets>
  <definedNames/>
  <calcPr/>
</workbook>
</file>

<file path=xl/sharedStrings.xml><?xml version="1.0" encoding="utf-8"?>
<sst xmlns="http://schemas.openxmlformats.org/spreadsheetml/2006/main" count="44720" uniqueCount="17492">
  <si>
    <t>Tablero · avance hacia USD 100K MRR</t>
  </si>
  <si>
    <t>Semanas con datos</t>
  </si>
  <si>
    <t>MRR actual</t>
  </si>
  <si>
    <t>Plan a la fecha</t>
  </si>
  <si>
    <t>vs Plan</t>
  </si>
  <si>
    <t>% de la meta (100K)</t>
  </si>
  <si>
    <t>WoW real (última)</t>
  </si>
  <si>
    <t>WoW requerido (YC)</t>
  </si>
  <si>
    <t>Cierres acum reales</t>
  </si>
  <si>
    <t>Cierres plan a la fecha</t>
  </si>
  <si>
    <t>Estado general</t>
  </si>
  <si>
    <t>Cómo usarlo</t>
  </si>
  <si>
    <t>•  Cada lunes, ve a la hoja "Avance semanal" y llena las celdas azules/amarillas: MRR real y cierres por motor.</t>
  </si>
  <si>
    <t>•  Este tablero y la gráfica se actualizan solos.</t>
  </si>
  <si>
    <t>•  El semáforo compara tu MRR real contra el plan de esa semana (verde = en meta, amarillo = a &lt;10%, rojo = atrasado).</t>
  </si>
  <si>
    <t>•  Si el plan cambia, ajusta los supuestos en la hoja "Supuestos" — sobre todo el MRR inicial (B7).</t>
  </si>
  <si>
    <t>Canal aliados — migración a Fail Fast</t>
  </si>
  <si>
    <t>Aliado</t>
  </si>
  <si>
    <t>Empresas</t>
  </si>
  <si>
    <t>MRR potencial</t>
  </si>
  <si>
    <t>Conversión sem</t>
  </si>
  <si>
    <t>Empresas migradas</t>
  </si>
  <si>
    <t>MRR semestre</t>
  </si>
  <si>
    <t>Simba</t>
  </si>
  <si>
    <t>SAO</t>
  </si>
  <si>
    <t>Total</t>
  </si>
  <si>
    <t>Cómo suma al plan</t>
  </si>
  <si>
    <t>•  Este canal lo ejecuta el aliado (Simba/SAO), en paralelo a la venta directa de Fail Fast.</t>
  </si>
  <si>
    <t>•  El MRR semestre de aliados se suma al Puente a 100K (fila "Migración aliados").</t>
  </si>
  <si>
    <t>•  Simba = related-party (socio de Fail Fast). El ingreso por documentos electrónicos NO es de Fail Fast: queda en Simba.</t>
  </si>
  <si>
    <t>•  Fail Fast solo factura el ERP ($/usuario). La migración es base caliente → conversión alta esperada.</t>
  </si>
  <si>
    <t>Plan del semestre · tablero</t>
  </si>
  <si>
    <t>North Star · Meta MRR</t>
  </si>
  <si>
    <t>MRR inicial (actualizar)</t>
  </si>
  <si>
    <t>Cierres/mes</t>
  </si>
  <si>
    <t>Total nuevos logos</t>
  </si>
  <si>
    <t>CAC mezclado (pond.)</t>
  </si>
  <si>
    <t>NRR objetivo</t>
  </si>
  <si>
    <t>Churn logo mensual</t>
  </si>
  <si>
    <t>Plan bottom-up (semestre)</t>
  </si>
  <si>
    <t>Cómo leer el modelo</t>
  </si>
  <si>
    <t>•  Azul = supuesto editable. Amarillo = perilla clave del board.</t>
  </si>
  <si>
    <t>•  Verde = enlace a la hoja Supuestos. Negro = fórmula.</t>
  </si>
  <si>
    <t>•  Cambia un supuesto y todo el modelo recalcula.</t>
  </si>
  <si>
    <t>•  Las 3 perillas más sensibles: MRR inicial, % sobre ERP global, churn.</t>
  </si>
  <si>
    <t>Supuestos · perillas del modelo</t>
  </si>
  <si>
    <t>Globales</t>
  </si>
  <si>
    <t>FX (COP/USD)</t>
  </si>
  <si>
    <t>COP</t>
  </si>
  <si>
    <t>Horizonte</t>
  </si>
  <si>
    <t>meses</t>
  </si>
  <si>
    <t>Semanas en el horizonte</t>
  </si>
  <si>
    <t>sem</t>
  </si>
  <si>
    <t>MRR inicial (USD)</t>
  </si>
  <si>
    <t>USD</t>
  </si>
  <si>
    <t>REEMPLAZAR con el MRR real de hoy</t>
  </si>
  <si>
    <t>Meta MRR (USD)</t>
  </si>
  <si>
    <t>La única North Star del semestre</t>
  </si>
  <si>
    <t>Conversión de embudo</t>
  </si>
  <si>
    <t>Cold · contacto → reunión</t>
  </si>
  <si>
    <t>Cold · reunión → oportunidad</t>
  </si>
  <si>
    <t>Cold · oportunidad → cierre</t>
  </si>
  <si>
    <t>Gremio · asistente → reunión</t>
  </si>
  <si>
    <t>luego usa las mismas etapas reunión→oport→cierre</t>
  </si>
  <si>
    <t>ABM · cuenta → cierre</t>
  </si>
  <si>
    <t>motion de cuentas grandes (viernes en sitio)</t>
  </si>
  <si>
    <t>Motor 1 · Grandes</t>
  </si>
  <si>
    <t>Universo Grandes Contribuyentes</t>
  </si>
  <si>
    <t>emp</t>
  </si>
  <si>
    <t>DIAN Res. 000200/2024, ajuste 248/2025</t>
  </si>
  <si>
    <t>% sobre ERP global (SAP/Oracle/…)</t>
  </si>
  <si>
    <t>perilla del board</t>
  </si>
  <si>
    <t>% con volumen CxP material</t>
  </si>
  <si>
    <t>Cierres land (agente CxP)</t>
  </si>
  <si>
    <t>log</t>
  </si>
  <si>
    <t>MRR/u land</t>
  </si>
  <si>
    <t>Cierres expand ERP (próximo año · informativo)</t>
  </si>
  <si>
    <t>Fuera del puente del semestre — cuentas SAP no migran ERP en 6 meses</t>
  </si>
  <si>
    <t>MRR/u expand</t>
  </si>
  <si>
    <t>CAC Grandes (agente)</t>
  </si>
  <si>
    <t>Motor 2 · Transporte</t>
  </si>
  <si>
    <t>SAM (carga, 10+ usuarios)</t>
  </si>
  <si>
    <t>base RNDC / MinTransporte</t>
  </si>
  <si>
    <t>Cierres objetivo</t>
  </si>
  <si>
    <t>MRR/u</t>
  </si>
  <si>
    <t>CAC</t>
  </si>
  <si>
    <t>Motor 3 · Salud IPS N1</t>
  </si>
  <si>
    <t>SAM (IPS Nivel 1)</t>
  </si>
  <si>
    <t>base REPS / ACHC</t>
  </si>
  <si>
    <t>Expansión y unit economics</t>
  </si>
  <si>
    <t>MRR expansión / NRR</t>
  </si>
  <si>
    <t>Margen bruto SaaS</t>
  </si>
  <si>
    <t>El puente a USD 100K MRR</t>
  </si>
  <si>
    <t>Segmento</t>
  </si>
  <si>
    <t>Nuevos logos</t>
  </si>
  <si>
    <t>MRR</t>
  </si>
  <si>
    <t>% del total</t>
  </si>
  <si>
    <t>IPS Nivel 1</t>
  </si>
  <si>
    <t>Transporte TMS</t>
  </si>
  <si>
    <t>Grandes — agente CxP (land)</t>
  </si>
  <si>
    <t>Expansión (NRR)</t>
  </si>
  <si>
    <t>—</t>
  </si>
  <si>
    <t>Migración aliados (Simba+SAO)</t>
  </si>
  <si>
    <t>Plan total (semestre)</t>
  </si>
  <si>
    <t>Meta · North Star</t>
  </si>
  <si>
    <t>Brecha vs meta</t>
  </si>
  <si>
    <t>% de la meta cubierto</t>
  </si>
  <si>
    <t>Para cerrar la brecha (sin ERP)</t>
  </si>
  <si>
    <t>Precio agente req. (con 40 lands)</t>
  </si>
  <si>
    <t>vs $400 hoy</t>
  </si>
  <si>
    <t>Lands req. (a $400/mes)</t>
  </si>
  <si>
    <t>vs 40 hoy</t>
  </si>
  <si>
    <t>Pipeline próximo año (NO cuenta este semestre)</t>
  </si>
  <si>
    <t>Grandes — expand a ERP multi-entidad</t>
  </si>
  <si>
    <t>próximo año</t>
  </si>
  <si>
    <t>Embudo: cuántas hay → a cuántas bajo → cómo</t>
  </si>
  <si>
    <t>Motor</t>
  </si>
  <si>
    <t>SAM</t>
  </si>
  <si>
    <t>Cierres</t>
  </si>
  <si>
    <t>Penetración</t>
  </si>
  <si>
    <t>Motion</t>
  </si>
  <si>
    <t>Contactos/cuentas necesarios</t>
  </si>
  <si>
    <t>Nota</t>
  </si>
  <si>
    <t>1 · Grandes</t>
  </si>
  <si>
    <t>ABM viernes en sitio</t>
  </si>
  <si>
    <t>cuentas trabajadas (solo agente; ERP = próximo año)</t>
  </si>
  <si>
    <t>2 · Transporte</t>
  </si>
  <si>
    <t>Gremio (taller)</t>
  </si>
  <si>
    <t>asistentes; en frío 1,667 &gt; SAM → imposible</t>
  </si>
  <si>
    <t>3 · Salud IPS N1</t>
  </si>
  <si>
    <t>asistentes; cuello = implementación</t>
  </si>
  <si>
    <t>Frío ≈ 83 contactos/cierre · Gremio ≈ 17 asistentes/cierre · ABM ≈ 1/0.28 cuentas/cierre</t>
  </si>
  <si>
    <t>Unit economics por segmento</t>
  </si>
  <si>
    <t>Margen</t>
  </si>
  <si>
    <t>GP mensual</t>
  </si>
  <si>
    <t>Payback</t>
  </si>
  <si>
    <t>LTV</t>
  </si>
  <si>
    <t>LTV:CAC</t>
  </si>
  <si>
    <t>Grandes (agente)</t>
  </si>
  <si>
    <t>Mezclado (pond. por logos)</t>
  </si>
  <si>
    <t>LTV = GP mensual ÷ churn mensual. Ratios muy altos → el límite es throughput/capacidad, no eficiencia. Payback en semanas.</t>
  </si>
  <si>
    <t>Rampa a 100K · tasa de crecimiento YC</t>
  </si>
  <si>
    <t>WoW requerido (YC growth rate)</t>
  </si>
  <si>
    <t>objetivo 5–7%</t>
  </si>
  <si>
    <t>MoM requerido</t>
  </si>
  <si>
    <t>Cierres/mes (cadencia)</t>
  </si>
  <si>
    <t>MRR nuevo por logo (prom.)</t>
  </si>
  <si>
    <t>Mes</t>
  </si>
  <si>
    <t>MRR objetivo</t>
  </si>
  <si>
    <t>MRR nuevo</t>
  </si>
  <si>
    <t>Cierres del mes</t>
  </si>
  <si>
    <t>Acumulado logos</t>
  </si>
  <si>
    <t>% de la meta</t>
  </si>
  <si>
    <t>Baja el MRR inicial (Supuestos!B7) y sube el WoW requerido. Con 20K→100K en 26 sem ≈ 6.4% WoW.</t>
  </si>
  <si>
    <t>Avance semanal · captura</t>
  </si>
  <si>
    <t>Ingresa cada lunes: MRR real y cierres por motor (celdas azules). El resto se calcula solo.</t>
  </si>
  <si>
    <t>Sem</t>
  </si>
  <si>
    <t>Fecha</t>
  </si>
  <si>
    <t>Plan MRR</t>
  </si>
  <si>
    <t>MRR real ←</t>
  </si>
  <si>
    <t>Var MRR</t>
  </si>
  <si>
    <t>% meta</t>
  </si>
  <si>
    <t>WoW real</t>
  </si>
  <si>
    <t>Plan cierres</t>
  </si>
  <si>
    <t>IPS ←</t>
  </si>
  <si>
    <t>Transp ←</t>
  </si>
  <si>
    <t>Grandes ←</t>
  </si>
  <si>
    <t>Cierres sem</t>
  </si>
  <si>
    <t>Cierres acum</t>
  </si>
  <si>
    <t>Var cierres</t>
  </si>
  <si>
    <t>Estado</t>
  </si>
  <si>
    <t>Simba — migración a Fail Fast (ERP)</t>
  </si>
  <si>
    <t>Precios y supuestos</t>
  </si>
  <si>
    <t>$/usuario · Contabilidad</t>
  </si>
  <si>
    <t>$/usuario · Salud (HC)</t>
  </si>
  <si>
    <t>$/usuario · TMS</t>
  </si>
  <si>
    <t>Usuarios promedio / empresa</t>
  </si>
  <si>
    <t>Conversión a Fail Fast (semestre)</t>
  </si>
  <si>
    <t>Resumen por tipo</t>
  </si>
  <si>
    <t>Tipo</t>
  </si>
  <si>
    <t>$/usuario</t>
  </si>
  <si>
    <t>Contabilidad</t>
  </si>
  <si>
    <t>Salud</t>
  </si>
  <si>
    <t>TMS</t>
  </si>
  <si>
    <t>MRR semestre (potencial × conversión)</t>
  </si>
  <si>
    <t>Simba es propiedad de un socio de Fail Fast → canal relacionado (related-party). El ingreso por documentos electrónicos permanece en Simba; Fail Fast solo factura el ERP ($/usuario).</t>
  </si>
  <si>
    <t>Empresa</t>
  </si>
  <si>
    <t>Docs total</t>
  </si>
  <si>
    <t>Docs 2025</t>
  </si>
  <si>
    <t>Usuarios</t>
  </si>
  <si>
    <t>CONCESION SANTA MARTA PARAGUACHON S.A.</t>
  </si>
  <si>
    <t>COOPERATIVA DE MOTORISTAS DEL HUILA Y CAQUETA LTDA</t>
  </si>
  <si>
    <t>NATALIA ARENAS</t>
  </si>
  <si>
    <t>ENERGY LIVING S.A.S.</t>
  </si>
  <si>
    <t>JORGE VARON MUNAR</t>
  </si>
  <si>
    <t>BUGANVILO S.A.S</t>
  </si>
  <si>
    <t>SCHWARZIN S.A.S.</t>
  </si>
  <si>
    <t>VERDAU S.A.S.</t>
  </si>
  <si>
    <t>ETAPA 2 LA VIDA ES BELLA S.A.S</t>
  </si>
  <si>
    <t>ETAPA 3 LA VIDA ES BELLA S.A.S</t>
  </si>
  <si>
    <t>JUAN PABLO POSADA ARCINIEGAS</t>
  </si>
  <si>
    <t>INVERSIONES RRM &amp; CIA SAS</t>
  </si>
  <si>
    <t>MUKIS SAS</t>
  </si>
  <si>
    <t>CONSTRUCTORA LATITUD 80 SAS</t>
  </si>
  <si>
    <t>ELECTRICOS Y AUTOMATIZACION HTC S.A.S.</t>
  </si>
  <si>
    <t>INVERINMOBILI SAS</t>
  </si>
  <si>
    <t>JOSE MARIA CORDOBA MARQUEZ</t>
  </si>
  <si>
    <t>KEN SUN HU</t>
  </si>
  <si>
    <t>3C INVERCON SAS</t>
  </si>
  <si>
    <t>ASOCIACION DE VIGILANCIA GIAMAN</t>
  </si>
  <si>
    <t>BLALEN</t>
  </si>
  <si>
    <t>JOSE JULIAN DIAZ</t>
  </si>
  <si>
    <t>ACADEMIA DE BELLEZA ALTA PELUQUERIA Y BARBERIA ITALIANA S.A.S</t>
  </si>
  <si>
    <t>POLFLEX LTDA</t>
  </si>
  <si>
    <t>CARDENAS VIOLA RODOLFO</t>
  </si>
  <si>
    <t>PROMOTORA TIERRA GRATA NORTE S.A.S</t>
  </si>
  <si>
    <t>VARELA RODELO DOLLYS ADORACION</t>
  </si>
  <si>
    <t>Lucy Yolanda Gomez Ortiz</t>
  </si>
  <si>
    <t>SOW DESIGN STUDIO LTDA</t>
  </si>
  <si>
    <t>H&amp;N TRANSPORTES SAS</t>
  </si>
  <si>
    <t>MARIA TERESA GALIANO DE SANCHEZ</t>
  </si>
  <si>
    <t>PROYECTAR DISENOS Y CONSTRUCCIONES SAS</t>
  </si>
  <si>
    <t>ARGEMIRO TORRES MENDEZ</t>
  </si>
  <si>
    <t>DAVID FERNANDO MORA BONILLA</t>
  </si>
  <si>
    <t>LAURA ALEJANDRA POVEDA LOTERO</t>
  </si>
  <si>
    <t>PROMOTORA TIERRA GRATA S.A.S.</t>
  </si>
  <si>
    <t>PROMOTORA MEGABODEGAS S.A.</t>
  </si>
  <si>
    <t>MARIA CLAUDIA GUZMAN SERRANO</t>
  </si>
  <si>
    <t>DEGITEX SAS</t>
  </si>
  <si>
    <t>Asociacion Colombiana De Fibras Ascolfibras</t>
  </si>
  <si>
    <t>GERARDO IVAN DAVILA PEREIRA</t>
  </si>
  <si>
    <t>GAS DE LA REGION S.A.S</t>
  </si>
  <si>
    <t>DAD CONSULTORES SAS</t>
  </si>
  <si>
    <t>SOFTWARE SUMINISTROS Y SOLUCIONES INGENIERIA SAS</t>
  </si>
  <si>
    <t>ACRIPROYECTOS-PUBLICIDAD Y MOBILIARIO S.A.S</t>
  </si>
  <si>
    <t>BEST PRACTICE INTERNET MARKETING SAS</t>
  </si>
  <si>
    <t>JOSE ROGELIO MARTINEZ ARCILA</t>
  </si>
  <si>
    <t>JOSE ASDRUBAL RINCON GOMEZ</t>
  </si>
  <si>
    <t>OLVEGA SAS</t>
  </si>
  <si>
    <t>CEMENTOS ORIENTE S.A.S ZOMAC</t>
  </si>
  <si>
    <t>FACTOR COMUN SAS</t>
  </si>
  <si>
    <t>SOCIEDAD MINERA TROMPETERO LTDA</t>
  </si>
  <si>
    <t>PROMOTORA LA VIDA ES BELLA S.A.S.</t>
  </si>
  <si>
    <t>ROBINFOOD COLOMBIA S.A.S</t>
  </si>
  <si>
    <t>OLGA ALICIA VELEZ GARZON</t>
  </si>
  <si>
    <t>CLAUDIA LUCIA VELANDIA GOMEZ</t>
  </si>
  <si>
    <t>JUDY CONSTANZA DIAZ FIRIGUA</t>
  </si>
  <si>
    <t>LUIS EDUARDO OVALLE</t>
  </si>
  <si>
    <t>ALUCRIS S.A.S.</t>
  </si>
  <si>
    <t>TRANSPORTADORA HUBER FRANCO S.A.S.</t>
  </si>
  <si>
    <t>CENTRAL DE ARRENDAMIENTOS INVESTIGACIONES Y COBRANZAS SAS</t>
  </si>
  <si>
    <t>SMC COLOMBIA SAS</t>
  </si>
  <si>
    <t>CENTRO COMERCIAL PORTAL DE LA 80 - PROPIEDAD HORIZONTAL</t>
  </si>
  <si>
    <t>COOPERATIVA DE PRODUCCION Y TRABAJO VENCEDOR</t>
  </si>
  <si>
    <t>GRUPO SANCHEZ COLOMBIA SAS</t>
  </si>
  <si>
    <t>MEMORY CORP CALI S.A.S</t>
  </si>
  <si>
    <t>MEMORY CORP SAS</t>
  </si>
  <si>
    <t>RAUL RODRIGUEZ</t>
  </si>
  <si>
    <t>MINERIA INTEGRAL DE LA SABANA SAS</t>
  </si>
  <si>
    <t>FUNDACION HATOGRANDE</t>
  </si>
  <si>
    <t>JORGE HERNANDEZ PINZON</t>
  </si>
  <si>
    <t>MINAS T&amp;R SAS</t>
  </si>
  <si>
    <t>Hot Trade SAS</t>
  </si>
  <si>
    <t>INTEGRA IMPRESOS SAS</t>
  </si>
  <si>
    <t>FLORES DE PALOQUEMAO SA</t>
  </si>
  <si>
    <t>STEEL SOLUCIONES EMPRESARIALES SAS</t>
  </si>
  <si>
    <t>LA ELSY LTDA</t>
  </si>
  <si>
    <t>CAP TERMINACION Y ACABADOS SAS</t>
  </si>
  <si>
    <t>TABA SPORT S.A.S.</t>
  </si>
  <si>
    <t>LC TRANSPORTADORES S A S</t>
  </si>
  <si>
    <t>ARMANDO CUELLAR ARTEAGA</t>
  </si>
  <si>
    <t>MADKTING COLOMBIA SAS</t>
  </si>
  <si>
    <t>JAVIER LONDONO SAS</t>
  </si>
  <si>
    <t>ARQUITECT SAS</t>
  </si>
  <si>
    <t>KRONOS MOBILE SAS</t>
  </si>
  <si>
    <t>CRISTINA HERRERA TALENTI SAS</t>
  </si>
  <si>
    <t>CARGO TRUCK SAS</t>
  </si>
  <si>
    <t>PROMOTORA INMOBILIARIA BRUJAS S.A.S.</t>
  </si>
  <si>
    <t>TAOCCI SAS</t>
  </si>
  <si>
    <t>ASOCIACION INDIGENA EL CONSUELO ASOINCO</t>
  </si>
  <si>
    <t>DIEGO FERNANDO CALZADA VARGAS</t>
  </si>
  <si>
    <t>Visual &amp; Color</t>
  </si>
  <si>
    <t>MACRO SERVICIOS EXPRESS DE COLOMBIA SAS</t>
  </si>
  <si>
    <t>TRANSPORTADORES ALIADOS DEL DEPARTAMENTO DE ARAUCA S.A.S ZOMAC</t>
  </si>
  <si>
    <t>EMPRESA DE TRANSPORTE SERVICARGA RADIO S.A.</t>
  </si>
  <si>
    <t>UNION TEMPORAL PETROQUINTAL</t>
  </si>
  <si>
    <t>Verion SAS</t>
  </si>
  <si>
    <t>ASESORES CONTABLES TRIBUTARIOS Y ASOCIADOS SAS</t>
  </si>
  <si>
    <t>FLAVIO BLANCO</t>
  </si>
  <si>
    <t>TRANS SOLUCIONES J&amp;J S.A.S</t>
  </si>
  <si>
    <t>ALBROKERS ZF SAS</t>
  </si>
  <si>
    <t>INVERSIONES 4G S.A.S</t>
  </si>
  <si>
    <t>MARQUEZ E HIJOS MATERIALES ELECTRICOS SAS</t>
  </si>
  <si>
    <t>C I RESINC DE COLOMBIA SAS</t>
  </si>
  <si>
    <t>CHAZKICARGO S.A.S.</t>
  </si>
  <si>
    <t>CORPORACION LEGAL TRADE COLOMBIA</t>
  </si>
  <si>
    <t>EDUARDO MARQUEZ E HIJOS MATERIALES ELECTRICOS SAS</t>
  </si>
  <si>
    <t>SUMINISTROS SEPULVEDA SAS</t>
  </si>
  <si>
    <t>BOTSMOTION SAS</t>
  </si>
  <si>
    <t>AGUAS DE BOGOTA SA ESP</t>
  </si>
  <si>
    <t>CONTACTO DIRECTO ASESORES EN SEGUROS LTDA</t>
  </si>
  <si>
    <t>LUZ ADRIANA TODO EN SEGUROS LTDA</t>
  </si>
  <si>
    <t>EMPRESA DE ENERGIA DE ARAUCA ESP ENELAR ESP</t>
  </si>
  <si>
    <t>MANUFACTURAS CALZADO MANDARINA SAS</t>
  </si>
  <si>
    <t>MID SAS</t>
  </si>
  <si>
    <t>TRANSPORTES R. VELEZ LACAYO S.A.S</t>
  </si>
  <si>
    <t>LOGISTICA INTEGRAL PORTUARIA CARGO SAS</t>
  </si>
  <si>
    <t>SANTIAGO PARDO RAMIREZ</t>
  </si>
  <si>
    <t>CONSULTORES OPA S.A.</t>
  </si>
  <si>
    <t>GT INVERCOL - GESTION CONTABLE &amp; LEGAL SAS</t>
  </si>
  <si>
    <t>LABORATORIO CLINICO WINLAB S.A.S.</t>
  </si>
  <si>
    <t>SOCIEDAD MINERA LA PROVIDENCIA LTDA</t>
  </si>
  <si>
    <t>AMERLAB EU</t>
  </si>
  <si>
    <t>BLEC SAS</t>
  </si>
  <si>
    <t>REVALIU SAS</t>
  </si>
  <si>
    <t>CONSORCIO ERON LA GUAJIRA</t>
  </si>
  <si>
    <t>SYNEOS HEALTH COLOMBIA LTDA</t>
  </si>
  <si>
    <t>CONSORCIO PILAMO</t>
  </si>
  <si>
    <t>VARELA FIHOLL &amp; CIA SAS</t>
  </si>
  <si>
    <t>CLAUDIA SERRATO SAS</t>
  </si>
  <si>
    <t>CONSULTORIA ESTRUCTURAL LUIS GONZALO VILLADA SAS</t>
  </si>
  <si>
    <t>PARDO &amp; ASOCIADOS ESTRATEGIAS TRIBUTARIAS S.A.</t>
  </si>
  <si>
    <t>INVERPLAG</t>
  </si>
  <si>
    <t>MINAS MONTECRISTO S.A.S.</t>
  </si>
  <si>
    <t>TRANSPORTES NODUS SAS</t>
  </si>
  <si>
    <t>TRANSP MENSAJERIA COSTA NORTE S.A.S.</t>
  </si>
  <si>
    <t>SNF INC</t>
  </si>
  <si>
    <t>TRANSPORTES RUSINQUE SAS</t>
  </si>
  <si>
    <t>MOGOLLON S.A.S. OPERADOR LOGISTICO DE CARGA</t>
  </si>
  <si>
    <t>ATENEA MOBILE SAS</t>
  </si>
  <si>
    <t>GENETICA LAB SAS</t>
  </si>
  <si>
    <t>HIERROS &amp; CONCRETOS SAS</t>
  </si>
  <si>
    <t>IT SERVICIOS DE COLOMBIA SAS</t>
  </si>
  <si>
    <t>MARIA TERESA GALIANO SERVIMED SAS</t>
  </si>
  <si>
    <t>INVERSIONES INMOBILIARIAS INGEURBE S.A.S.</t>
  </si>
  <si>
    <t>SOCIEDAD MINAS M&amp;M SAS</t>
  </si>
  <si>
    <t>MEDIAR SEGUROS LIMITADA AGENCIA DE SEGUROS</t>
  </si>
  <si>
    <t>ALBROKERS LOGISTICS SAS</t>
  </si>
  <si>
    <t>GESTION ADMINISTRATIVA PARA ANTIOQUIA L&amp;S SAS</t>
  </si>
  <si>
    <t>UNION TEMPORAL TDCLL - CTP</t>
  </si>
  <si>
    <t>WORLDWIDE LOGISTICS GROUP SAS</t>
  </si>
  <si>
    <t>STONE COLOMBIA SAS</t>
  </si>
  <si>
    <t>C Y B GRABADO SAS</t>
  </si>
  <si>
    <t>SHEN-TA CHANG</t>
  </si>
  <si>
    <t>MECANIZADOS GROUP SAS</t>
  </si>
  <si>
    <t>INDUSTRIAS 2 RR SAS</t>
  </si>
  <si>
    <t>TRANSPORTES COCOCARGA LTDA</t>
  </si>
  <si>
    <t>CUMBE COLOMBIA S.A.S.</t>
  </si>
  <si>
    <t>PUNTO DE SERVICIOS S.A.</t>
  </si>
  <si>
    <t>No.</t>
  </si>
  <si>
    <t>DIRECCIÓN TERRITORIAL</t>
  </si>
  <si>
    <t>NIT</t>
  </si>
  <si>
    <t>EMPRESA</t>
  </si>
  <si>
    <t>RESOLUCIÓN HABILITACIÓN
 No.</t>
  </si>
  <si>
    <t>FECHA (DD-MM-AAAA)</t>
  </si>
  <si>
    <t>RESOLUCIÓN MODIFICACIÓN No.</t>
  </si>
  <si>
    <t>FECHA MODIFICACIÓN
 (DD/MM/AAAA)</t>
  </si>
  <si>
    <t>ESTADO RUES</t>
  </si>
  <si>
    <t>OBSERVACIONES</t>
  </si>
  <si>
    <t>PÁGINA WEB</t>
  </si>
  <si>
    <t>CONTACTO 1 (NOMBRE Y CARGO)</t>
  </si>
  <si>
    <t>CONTACTO 1 (EMAIL/WHATSAPP)</t>
  </si>
  <si>
    <t>CONTACTO 2 (NOMBRE Y CARGO)</t>
  </si>
  <si>
    <t>CONTACTO 2 (EMAIL/WHATSAPP)</t>
  </si>
  <si>
    <t>ANTIOQUIA</t>
  </si>
  <si>
    <t>DISTRACOM CIA LTDA</t>
  </si>
  <si>
    <t>ACTIVA</t>
  </si>
  <si>
    <t>TRANSPORTES SAFERBO S.A.</t>
  </si>
  <si>
    <t>TRANSPORTES SUROESTE ANTIOQUEÑO S.A.</t>
  </si>
  <si>
    <t>COOPERATIVA DE TRANSPORTADORES DEL DARIEN</t>
  </si>
  <si>
    <t>COOPERATIVA DE TRANSPORTADORES DEL ORIENTE ANTIOQUEÑO LTDA</t>
  </si>
  <si>
    <t>TRANSPORTES DELFIN LTDA</t>
  </si>
  <si>
    <t>L &amp; D LOGISTICA DE DISTRIBUCION S.A.</t>
  </si>
  <si>
    <t>TRANSPORTES INOXIDABLES LTDA</t>
  </si>
  <si>
    <t>TRANSPORTADORA SURAMERICANA DE CARGA S.A.</t>
  </si>
  <si>
    <t>TRANSPORTADOR ALEF SAS</t>
  </si>
  <si>
    <t>TRANSPORTE DE MAQUINARIA LTDA</t>
  </si>
  <si>
    <t>TANQUES Y CAMIONES S.A.S</t>
  </si>
  <si>
    <t>LOGISTICA Y TRANSPORTES TGB S.A.S</t>
  </si>
  <si>
    <t>INTEGRAL DE CARGA CARGRANEL S.A</t>
  </si>
  <si>
    <t>MOTOTRANSPORTAMOS S.A.S.</t>
  </si>
  <si>
    <t>MOTOTRANSPORTAR S.A.</t>
  </si>
  <si>
    <t>COOPERATIVA NORTEÑA DE TRANSPORTADORES LTDA</t>
  </si>
  <si>
    <t>COORDINADORA MERCANTIL S.A.</t>
  </si>
  <si>
    <t>COOPERATIVA DE TRANSPORTADORES DEL URABA Y OCCIDENTE ANTIOQUEÑO</t>
  </si>
  <si>
    <t>TRANSPORTES PUMA S.A.S</t>
  </si>
  <si>
    <t>TRANSPORTES R.G. LTDA</t>
  </si>
  <si>
    <t>TRANSGAVIRIAS SAS</t>
  </si>
  <si>
    <t>SOCIEDAD TRANSPORTADORA DE URABA S.A.</t>
  </si>
  <si>
    <t>TANQUES DEL NORDESTE SA</t>
  </si>
  <si>
    <t>NUTIBARA DE TRANSPORTES LTDA</t>
  </si>
  <si>
    <t>FLOTA NORDESTE S.A.S</t>
  </si>
  <si>
    <t>TRANSPORTADORA LAS MULAS LTDA</t>
  </si>
  <si>
    <t>CARIBE DE TRANSPORTES S.A.S - CARITRANS</t>
  </si>
  <si>
    <t>CARGA Y PAQUETES S.A.</t>
  </si>
  <si>
    <t>TRANSPORTES RODRIGO Y LEONEL BETANCUR LTDA</t>
  </si>
  <si>
    <t>LOGISTICA DE TRANSPORTE S.A.</t>
  </si>
  <si>
    <t>COOPERATIVA DE TRANSPORTADORES AEROPUERTOS Y PUERTOS</t>
  </si>
  <si>
    <t>SERVICIOS DIVERSOS DE CARGA S.A.S.</t>
  </si>
  <si>
    <t>EMPRESA DE DISTRIBUCIONES INDUSTRIALES S.A.</t>
  </si>
  <si>
    <t>PANAMERICANA DE TRANSPORTES S.A.</t>
  </si>
  <si>
    <t>TRANSPORTES GOMEZ HERNANDEZ S.A.</t>
  </si>
  <si>
    <t>SOCIEDAD TRANSPORTES GUARNE Y CIA. S.C.A.</t>
  </si>
  <si>
    <t>TRANSPORTES M Y S S.A.S.</t>
  </si>
  <si>
    <t>FLETES Y MATERIALES S.A.</t>
  </si>
  <si>
    <t>EDUARDO BOTERO SOTO Y CIA LTDA</t>
  </si>
  <si>
    <t>AGROTRANSPORTES JE LTDA</t>
  </si>
  <si>
    <t>ACEITRANS LTDA</t>
  </si>
  <si>
    <t>DISTRIBUCION Y TRANSPORTES A. CUARTAS S.A.</t>
  </si>
  <si>
    <t>TRANSPORTES FLETES TERRESTRES S.A.</t>
  </si>
  <si>
    <t>IMBOCAR S.A.</t>
  </si>
  <si>
    <t>TRANSPORTES EVELIO ALVAREZ TAMAYO LTDA</t>
  </si>
  <si>
    <t>COMPAÑÍA DE DISTRIBUCIÓN Y TRANSPORTE S.A.S BIC</t>
  </si>
  <si>
    <t>T.D.M. TRANSPORTES S.A.S</t>
  </si>
  <si>
    <t>INTERCARGUEROS ANDINOS LTDA</t>
  </si>
  <si>
    <t>COORDINADORA DE TRANSPORTE DE GRANELES S.A.</t>
  </si>
  <si>
    <t>VILLEGAS TRANSPORTADOR LTDA</t>
  </si>
  <si>
    <t>DAES S.A.</t>
  </si>
  <si>
    <t>ICOLTRANS - INDUSTRIA COLOMBIANA DE LOGISTICA Y TRANSPORTE LTDA</t>
  </si>
  <si>
    <t>MOVILIZADORA ANDINA LTDA</t>
  </si>
  <si>
    <t>COOPERATIVA INTEGRAL DE TRANSPORTE SERRANIA</t>
  </si>
  <si>
    <t>TRANSPORTES OSORIO GAVIRIA S.A.</t>
  </si>
  <si>
    <t>TRANSPORTES RAPIDO OCHOA S.A.</t>
  </si>
  <si>
    <t>TRANSPORTE Y LOGISTICA DE COLOMBIA LTDA.</t>
  </si>
  <si>
    <t>TRANSPORTES LODISCARGA S.A.S.</t>
  </si>
  <si>
    <t>TRANSPORTES CONDOR ANDINO LTDA</t>
  </si>
  <si>
    <t>TRANSPORTES CORDIMUEBLES SAS</t>
  </si>
  <si>
    <t>COORDINADORA DE TANQUES SAS</t>
  </si>
  <si>
    <t>SERVICIOS INTEGRALES DE TRANSPORTE Y ASOCIADOS LTDA</t>
  </si>
  <si>
    <t>SIERRA MERINO Y CIA. TRANSPORTADORES DE LA TRONCAL DEL CAFE S.C.A.</t>
  </si>
  <si>
    <t>TRANSPORTES APERTURA ECONOMICA S.A.</t>
  </si>
  <si>
    <t>LE TRANSPORTAMOS A TIEMPO S.A.S</t>
  </si>
  <si>
    <t>TRANSPORTES JR LTDA</t>
  </si>
  <si>
    <t>COOPERATIVA DE TRANSPORTADORES DE CARGA</t>
  </si>
  <si>
    <t>TCC S.A.S</t>
  </si>
  <si>
    <t>OPERADORES INTEGRALES DE CARGA ESPECIALES S.A.</t>
  </si>
  <si>
    <t>SERFLETAR S.A.</t>
  </si>
  <si>
    <t>TRANSPORTES METROENTREGAS SA</t>
  </si>
  <si>
    <t>EXPRESO CISNEROS NUS LTDA</t>
  </si>
  <si>
    <t>TRANSPORTES PROGRESO DEL CHOCO LTDA</t>
  </si>
  <si>
    <t>COMERCIAL GANADERA DE TRANSPORTES MOCARI LTDA</t>
  </si>
  <si>
    <t>TRANSPORTES SEGOVIA Y CIA. S.C.A.</t>
  </si>
  <si>
    <t>RODRIGUEZ OSORIO &amp; CIA.</t>
  </si>
  <si>
    <t>COOPERATIVA DE TRANSPORTADORES CONTRATISTAS</t>
  </si>
  <si>
    <t>TRANSPORTADORA ESTRELLA S.A.S</t>
  </si>
  <si>
    <t>TRANS.GAMAR SOLUTIONS LOGISTCS S.A.S</t>
  </si>
  <si>
    <t>TRANSPORTES URIMAR S.A.S</t>
  </si>
  <si>
    <t>TRANSPORTES CARRETERAS COLOMBIANAS S.A.</t>
  </si>
  <si>
    <t>AEROENVIOS LTDA. H.Y.L.</t>
  </si>
  <si>
    <t>TRANSPORTES VELASQUEZ LTDA</t>
  </si>
  <si>
    <t>TRANSPORTES CORREA LTDA.</t>
  </si>
  <si>
    <t>TRANSPORTES FOR &amp; CIA. LTDA</t>
  </si>
  <si>
    <t>FLETEX S.A.S</t>
  </si>
  <si>
    <t>SOCIEDAD TRANSPORTADORA DE OCCIDENTE ANTIOQUEÑO S A S</t>
  </si>
  <si>
    <t>INGETRANS S.A.S</t>
  </si>
  <si>
    <t>REPRESENTACIONES DISTRIBUCIONES TRANSPORTE DE CARGA LTDA</t>
  </si>
  <si>
    <t>TRANSPORTES GABS LTDA</t>
  </si>
  <si>
    <t>PAQUETE EXPRESS S.A.</t>
  </si>
  <si>
    <t>TRANSPORTADORA DE CARGA S.A.S</t>
  </si>
  <si>
    <t>CERQUERA Y PARRA LTDA</t>
  </si>
  <si>
    <t>TRANSPORTADORES COMERCIALES COLOMBIANOS LTDA</t>
  </si>
  <si>
    <t>TRANSPORTES COMERCIAL CACIQUE TONE S.A.S</t>
  </si>
  <si>
    <t>A.C MUDANZAS LTDA</t>
  </si>
  <si>
    <t>COOPERATIVA DE VOLQUETEROS DE ABEJORRAL</t>
  </si>
  <si>
    <t>TRANSPORTES UNICO LTDA</t>
  </si>
  <si>
    <t>TRANSPORTADORA BJ S.A.S.</t>
  </si>
  <si>
    <t>COOPERATIVA DE MUDANZAS Y TRANSPORTES CMT</t>
  </si>
  <si>
    <t>AEROCOLIBRI</t>
  </si>
  <si>
    <t>COOPERTATIVA DE TRANSPORTE DE BETANIA</t>
  </si>
  <si>
    <t>TRANSPORTADORA COLOMBIANA DEL CAMPO LTDA</t>
  </si>
  <si>
    <t>LOGISTICA INTEGRAL DE TRANSPORTE DE CARGA S.A.</t>
  </si>
  <si>
    <t>MOVIEXCAVAR S.A.</t>
  </si>
  <si>
    <t>RODIMUDANZAS SU TRANSPORTADOR S.A.S</t>
  </si>
  <si>
    <t>TRANSPORTES MILCIADES TOBON CARO S.A.S</t>
  </si>
  <si>
    <t>TRANSPORTES MEDELLIN QUIBDO CARGA SA</t>
  </si>
  <si>
    <t>TRANSATELITAL S.A.S.</t>
  </si>
  <si>
    <t>COOPERATIVA DE TRANSPORTE ANDINA</t>
  </si>
  <si>
    <t>RAPICARGO LTDA</t>
  </si>
  <si>
    <t>DIAMONI LOGISTICA S.A.S</t>
  </si>
  <si>
    <t>COOPERATIVA DE TRANSPORTADORES DE LA CENTRAL MAYORISTA DE ANTIOQUIA</t>
  </si>
  <si>
    <t>TRANSPORTES FUTURO</t>
  </si>
  <si>
    <t>TRANSPORTES Y LOGISTICA S.A</t>
  </si>
  <si>
    <t>SOCIEDAD TRANSPORTADORA NACIONAL DE CARGA S.A.</t>
  </si>
  <si>
    <t>LIQUITRANS S.A.</t>
  </si>
  <si>
    <t>CONFORT EXPRESS EMPRESA COOPERATIVA</t>
  </si>
  <si>
    <t>PROTRANSCARGA LTDA</t>
  </si>
  <si>
    <t>COOPERATIVA DE COMERCIALIZADORES DE BANANO</t>
  </si>
  <si>
    <t>TRANSPORTES VIAS COLOMBIA LTDA</t>
  </si>
  <si>
    <t>OPERACIONES SERVICOS Y LOGISTICAS EN TRANSPORTE S.A.</t>
  </si>
  <si>
    <t>COLOMBIANA DE ENTREGAS S.A.</t>
  </si>
  <si>
    <t>COOPERATIVA TRABAJO ASOCIADO COOPERATIVA TRANSPORTADORES DE CARGA</t>
  </si>
  <si>
    <t>FRIGO EXPRESS S.A.</t>
  </si>
  <si>
    <t>TRANSPORTES LIDER LTDA</t>
  </si>
  <si>
    <t>TRANSPORTES PINO LTDA</t>
  </si>
  <si>
    <t>COOPERATIVA DE TRANSPORTE MOVILIZAMOS</t>
  </si>
  <si>
    <t>COOPERATIVA DE TRABAJO ASOCIADO DE SERVICIOS AL TRANSPORTE - SERTRANS</t>
  </si>
  <si>
    <t>TRANSPORTE INTEGRAL DE CARGA S.A.</t>
  </si>
  <si>
    <t>COOPERATIVA DE TRANSPORTES DEL RIO</t>
  </si>
  <si>
    <t>TRANSPORTES PRIMAVERA S.A.</t>
  </si>
  <si>
    <t>COOPERATIVA DE TRANSPORTADORES UNIDOS DE COLOMBIA</t>
  </si>
  <si>
    <t>TRANSPORTE SERVICIOS DE CARGA S.A.S</t>
  </si>
  <si>
    <t>TRANSGRANELES S.A.S</t>
  </si>
  <si>
    <t>EMPRESTUR S.AS.</t>
  </si>
  <si>
    <t>TRANSMAFER S.A.S</t>
  </si>
  <si>
    <t>INVERSIONES PUJANZA LTDA</t>
  </si>
  <si>
    <t>COOPERATIVA DE TRABAJO ASOCIADO- COOPERATIVA PROGENTE</t>
  </si>
  <si>
    <t>REFRICARGA EU</t>
  </si>
  <si>
    <t>SOCIEDAD SERVICIO INTEGRADO DE CARGA LTDA</t>
  </si>
  <si>
    <t>COOPERATIVA MULTIACTIVA DE TRANSPORTES DE URRAO - COOTRAUR</t>
  </si>
  <si>
    <t>FLOR EXPRESS S.A.S</t>
  </si>
  <si>
    <t>TRANSPORTES LAFE S.A.S</t>
  </si>
  <si>
    <t>RENTAFRIO S.A.</t>
  </si>
  <si>
    <t>ASUPUNTO S.A.</t>
  </si>
  <si>
    <t>TRANSPORTES RIACHON LTDA</t>
  </si>
  <si>
    <t>TRANSPORTE NACIONAL TERRESTRE LTDA</t>
  </si>
  <si>
    <t>OSORIO Y CIA TRANSPORTES SIERRA S.A.</t>
  </si>
  <si>
    <t>R&amp;M CARGA S.A.</t>
  </si>
  <si>
    <t>LOGICARGO COOPERATIVA</t>
  </si>
  <si>
    <t>VIA CARGO SAS</t>
  </si>
  <si>
    <t>COOPERATIVA MULTIACTIVA COTRASAMIGO</t>
  </si>
  <si>
    <t>CARGAS DEL ORIENTE S.A.</t>
  </si>
  <si>
    <t>CARGA TRANSPORTES Y ENCOMIENDAS S.A.</t>
  </si>
  <si>
    <t>SOLUCION INTEGRAL DE CARGA S.A.</t>
  </si>
  <si>
    <t>NEW LOGISTIC S.A.</t>
  </si>
  <si>
    <t>QUIBDOSEÑA DE TRANSPORTES S.A.</t>
  </si>
  <si>
    <t>TRANSPORTES PUERTO DE URABA S.A.</t>
  </si>
  <si>
    <t>CARGA Y LOGISTICA DE COLOMBIA S.A.</t>
  </si>
  <si>
    <t>TRANSPORTES EL SIETE S.A.S</t>
  </si>
  <si>
    <t>FERTRANS S.A.S</t>
  </si>
  <si>
    <t>COLOMBIANA INTEGRAL DEL TRANSPORTE S.A.S (COINTRAN)</t>
  </si>
  <si>
    <t>OPERADOR DE TRANSPORTE Y LOGISTICA TKS S.A.</t>
  </si>
  <si>
    <t>CARGA MASIVA S.A.S</t>
  </si>
  <si>
    <t>SOCIEDAD TRANSPORTADORA DE CARGA S.A.</t>
  </si>
  <si>
    <t>TRANSPORTE LOGISTICA ANDINA S.A.</t>
  </si>
  <si>
    <t>ALTERNATIVA LOGISTICA S.A.</t>
  </si>
  <si>
    <t>LINKARGA S.A.S</t>
  </si>
  <si>
    <t>B-TRANS LTDA</t>
  </si>
  <si>
    <t>COORDINADORA UNIVERSAL &amp; CIA. LTDA</t>
  </si>
  <si>
    <t>TRANSPORTES EN LINEA S.A.</t>
  </si>
  <si>
    <t>TRANSPORTES ACUARIO S.A.</t>
  </si>
  <si>
    <t>IMD &amp; CIA S.A.S.</t>
  </si>
  <si>
    <t>PUERTO SOL DE ORIENTE SA</t>
  </si>
  <si>
    <t>SOCIEDAD TRANSPORTADORA DE COLOMBIA S.A.</t>
  </si>
  <si>
    <t>URBANEROS S.A.</t>
  </si>
  <si>
    <t>NATIVA S.A.</t>
  </si>
  <si>
    <t>TENKA LTDA</t>
  </si>
  <si>
    <t>SERVICOS EN LOGISTICA INTEGRAL DE REPARTO S.A.</t>
  </si>
  <si>
    <t>TRANSPORTES CTL</t>
  </si>
  <si>
    <t>SERVIRUTAS S.A.S</t>
  </si>
  <si>
    <t>COMPAÑIA DISTRI CARGA LTDA.</t>
  </si>
  <si>
    <t>TRANSPORTES GIRARDOTA S.A.</t>
  </si>
  <si>
    <t>MASTERCARGA S.A.S</t>
  </si>
  <si>
    <t>COORDILOGISTICA S.A.</t>
  </si>
  <si>
    <t>TRANSPORTES UNIDOS LA CEJA S.A.S.</t>
  </si>
  <si>
    <t>LOGISTICA TRANSPORTADORA DE TULUA S.A.S.</t>
  </si>
  <si>
    <t>LOGISTICA TERRESTRE LTDA.</t>
  </si>
  <si>
    <t>COOPERATIVA DE TRANSPORTES PUNTO CARGA</t>
  </si>
  <si>
    <t>TRANSUNE LTDA.</t>
  </si>
  <si>
    <t>LOGISTICA Y TRANSPORTE CACIQUE TONE S.A.</t>
  </si>
  <si>
    <t>TRANSPORTES RECUA S.A.S.</t>
  </si>
  <si>
    <t>OC MOVITRANS S.A.</t>
  </si>
  <si>
    <t>T.D.V. TRANSPORTE DE CARGA S.A.S.</t>
  </si>
  <si>
    <t>PETROMOVIL DE COLOMBIA S.A.S.</t>
  </si>
  <si>
    <t>ZONA LOGISTICA S.A.S</t>
  </si>
  <si>
    <t>FRACOR S.A.S</t>
  </si>
  <si>
    <t>TRANSLOGISTICA DE COLOMBIA OPERACIONES S.A.S.</t>
  </si>
  <si>
    <t>CORRECAMIONES SAS</t>
  </si>
  <si>
    <t>INVERSIONES JOPAR LTDA.</t>
  </si>
  <si>
    <t>MOVIENTREGAS S.A.S</t>
  </si>
  <si>
    <t>LAS BUSETICAS S.A.</t>
  </si>
  <si>
    <t>GYTRANS S.A.S.</t>
  </si>
  <si>
    <t>RUTA EXPRESS TRANSPORTES S.A.S.</t>
  </si>
  <si>
    <t>LOGISTICAS GO S.A.S.</t>
  </si>
  <si>
    <t>TRANSPORTES DE LA SIERRA SOCIEDAD POR ACCIONES SIMPLIFICADA</t>
  </si>
  <si>
    <t>VIAJES COLEGIOS Y TURISMO S.A.</t>
  </si>
  <si>
    <t>SOLUCIONES LOGISTICAS ENVIEXPRESS TRANSPORTES S.A.</t>
  </si>
  <si>
    <t>TRANSPORTES G &amp; H S.A.S.</t>
  </si>
  <si>
    <t>K-RRERA EXPRESS LOGISTICA S.A.</t>
  </si>
  <si>
    <t>LOGÃSTICA 3D S.A.S.</t>
  </si>
  <si>
    <t>TRANSPORTES ORIENTE ANTIOQUEÑO S.A.</t>
  </si>
  <si>
    <t>LOGI-RUTAS COLOMBIA LTDA.</t>
  </si>
  <si>
    <t>TRANSPORTES AVANCE S.A.S.</t>
  </si>
  <si>
    <t>IMPOLOGISTIC S.A.S.</t>
  </si>
  <si>
    <t>TRANSFECHA S.A.S.</t>
  </si>
  <si>
    <t>ANITA CARGA S.A.S.</t>
  </si>
  <si>
    <t>TRANSPORTES NACIONAL DE CARGA VELGAM S.A.S.</t>
  </si>
  <si>
    <t>EFITRANS TRANSPORTES DE COLOMBIA S.A.S.</t>
  </si>
  <si>
    <t>VR CARGA INTERNACIONAL SOCIEDAD POR ACCIONES SIMPLIFICADAS</t>
  </si>
  <si>
    <t>DISTRIBUIDORA DE CARGA SODICARGA S.A.S</t>
  </si>
  <si>
    <t>SERVICIOS POSTALES ESPECIALIZADOS S.A.S.</t>
  </si>
  <si>
    <t>TRANSPORTES ARANGO GRUAS S.A.S.</t>
  </si>
  <si>
    <t>DESARROLLO EN LOGISTICA Y TRANSPORTE S.A.S</t>
  </si>
  <si>
    <t>SOCIEDAD TRANSPORTADORA Y LOGISTIC S.A.S.</t>
  </si>
  <si>
    <t>MANGUERAS Y MAQUINARIAS S.A.S.</t>
  </si>
  <si>
    <t>TRANSPORTES ARANGO VASQUEZ Y CIA. LTDA</t>
  </si>
  <si>
    <t>TRANS. JCM S.A.S.</t>
  </si>
  <si>
    <t>ZEXPRESS S.A.S</t>
  </si>
  <si>
    <t>DEMOVER S.A.S.</t>
  </si>
  <si>
    <t>TRANSPORTES FOX CARGA S.A.S.</t>
  </si>
  <si>
    <t>TRANSPORTES ESPECIALES PARA EVENTOS Y TURISMO Y CIA. LTDA.</t>
  </si>
  <si>
    <t>AMERICANA DE TRANSPORTES Y LOGISTICA ALCARGO S.A.S</t>
  </si>
  <si>
    <t>CMP LOGISTICA S.A.S.</t>
  </si>
  <si>
    <t>LOGISTICA EN EL TRANSPORTE DE CARGA S.A.S.</t>
  </si>
  <si>
    <t>MEJIKAR S.A.S.</t>
  </si>
  <si>
    <t>TRANSPORTES OSORIO RIOS S.A.S.</t>
  </si>
  <si>
    <t>EMPRESA DE CARGA VARIEDAD EN TRANSPORTES S.A.S.</t>
  </si>
  <si>
    <t>TRANSPORTAMOS SU CARGA LTDA</t>
  </si>
  <si>
    <t>G.M.T. GLOBAL MANAGEMENT TRANSPORTE S.A.S.</t>
  </si>
  <si>
    <t>CONDUCARGA S.A.S.</t>
  </si>
  <si>
    <t>ASOCIACION DE TRANSPORTADORES ESPECIALES -AS TRANSPORTES-</t>
  </si>
  <si>
    <t>NET GLOBAL LOGISTICS S.A.S.</t>
  </si>
  <si>
    <t>LOGÃSTICA Y ENTREGA DE CARGA LOENCARGA S.A.S.</t>
  </si>
  <si>
    <t>TRANSPORTES EL AGUILA VELOZ S.A.S.</t>
  </si>
  <si>
    <t>COMPANIA DE TRANSPORTES EL ROBLE S.A.S.</t>
  </si>
  <si>
    <t>DIRECTRANS S.A.S.</t>
  </si>
  <si>
    <t>PETROLIQUIDOS S.A.S.</t>
  </si>
  <si>
    <t>SERVICIOS LOGISTICOS DE TRANSPORTE NACIONAL SAS</t>
  </si>
  <si>
    <t>REFRILOGISTICA S.A.S.</t>
  </si>
  <si>
    <t>CENTRO NACIONAL DE TRANSPORTE S.A.S.</t>
  </si>
  <si>
    <t>LOGISTICS AND SERVICES S.A.S.</t>
  </si>
  <si>
    <t>AREA LOGISTICA S.A.S.</t>
  </si>
  <si>
    <t>TRANSPORTES D Y A S.A.S.</t>
  </si>
  <si>
    <t>TRANSPORTADORA ANTIOQUIA COLOMBIA S.A.S</t>
  </si>
  <si>
    <t>TRANSMEBA CARGA S.A.S.</t>
  </si>
  <si>
    <t>GLOBAL EXPRESS TRANSPORT AND LOGISTICS S.A.S.</t>
  </si>
  <si>
    <t>CARGO SOLUCIONES S.A.S.</t>
  </si>
  <si>
    <t>VIALTRUCK S.A.S.</t>
  </si>
  <si>
    <t>FLUVIOECO S.A.S.</t>
  </si>
  <si>
    <t>LOGICUARTAS S.A.S. - LOGISTICA INTEGRAL</t>
  </si>
  <si>
    <t>TRANSPORTE Y TURISMO 1 A S.A.S</t>
  </si>
  <si>
    <t>COSMOTRANS S.A.S</t>
  </si>
  <si>
    <t>L.E.M. CARGO E.U.</t>
  </si>
  <si>
    <t>TRANSPORTES LOGICO S.A.S</t>
  </si>
  <si>
    <t>TRANSPORTES SGMP S.A.S.</t>
  </si>
  <si>
    <t>SERVICIOS PETROLEROS DEL MAGDALENA S.A.S</t>
  </si>
  <si>
    <t>LOGISTICA Y TRANSPORTES JIT S.A.S.</t>
  </si>
  <si>
    <t>TRANSBETA S.A.S</t>
  </si>
  <si>
    <t>LOGISTICA INTEGRAL LECARGO S.A.S.</t>
  </si>
  <si>
    <t>TRASLADAMOS LOGISTICA Y DISTRIBUCIONES S.A.S</t>
  </si>
  <si>
    <t>TRANSPORTES JAZZ S.A.S.</t>
  </si>
  <si>
    <t>TRANSPORTES EJ S.A.S</t>
  </si>
  <si>
    <t>A URABA S.A.</t>
  </si>
  <si>
    <t>TRANSPORTES Y SERVICIOS LOGÃSTICOS HEAVY COLOMBIA SAS</t>
  </si>
  <si>
    <t>ENVIOEXPRESS S.A.S.</t>
  </si>
  <si>
    <t>LOGISTICA Y TRANSPORTES YURIMENA JJ S.A.S.</t>
  </si>
  <si>
    <t>SERVIUNIDAS S.A.S</t>
  </si>
  <si>
    <t>SERVI OIL DTC S.A.S</t>
  </si>
  <si>
    <t>UNITENSES TRANSPORTANDO SOLUCIONES S.A.S</t>
  </si>
  <si>
    <t>SOLUCIONES MOVILES Y DE TRANSPORTE S.A.S.</t>
  </si>
  <si>
    <t>MUDANZAS GARCIA LTDA</t>
  </si>
  <si>
    <t>C&amp;T VIAL LOGISTICA S.A.S</t>
  </si>
  <si>
    <t>AUTOGRUAS DE ANTIOQUIA S.A</t>
  </si>
  <si>
    <t>GR LOGISTICA INTEGRAL S.A.S</t>
  </si>
  <si>
    <t>TQ24 S.A.S</t>
  </si>
  <si>
    <t>DOSMOPAR S.A.S.</t>
  </si>
  <si>
    <t>TRANSPORTES TRANSLUNA SAS</t>
  </si>
  <si>
    <t>TRANSPORTE DE CARGA CARIBE EXPRESS S.A.S</t>
  </si>
  <si>
    <t>TRANSFENIX LOGISTICS S.A.S</t>
  </si>
  <si>
    <t>TRANSPORTES RIVER TOURS S.A.S</t>
  </si>
  <si>
    <t>TRANSPORTES CARGOFRIO S.A.S</t>
  </si>
  <si>
    <t>TRANSPORTE Y LOGÃSTICA EMPRESARIAL S.A.S.</t>
  </si>
  <si>
    <t>TRANSPORTES MGM SAS</t>
  </si>
  <si>
    <t>ASESORIAS Y TRANSPORTES S.A.S.</t>
  </si>
  <si>
    <t>TRANSPORTES EXIMCARGA S.A.S</t>
  </si>
  <si>
    <t>AMX LOGISTICA S.A.</t>
  </si>
  <si>
    <t>TRANSPORTES CI SAS</t>
  </si>
  <si>
    <t>TRANS SOLUCIONES LOGISTICA S.A.S.</t>
  </si>
  <si>
    <t>PLUSSCARGA S.A.S.</t>
  </si>
  <si>
    <t>EXPRESO URBANO S.A.S</t>
  </si>
  <si>
    <t>TU LOGISTICA SAS</t>
  </si>
  <si>
    <t>TRANSPORTES ESPECIALES PENTADINA PENTADINA S.A.</t>
  </si>
  <si>
    <t>EMPRESA TRANSPORTADORA VASCO SAS.</t>
  </si>
  <si>
    <t>LOGITRANSPORTES BOTERO RODRIGUEZ SAS</t>
  </si>
  <si>
    <t>TRANSLAZAR S.A.S</t>
  </si>
  <si>
    <t>CARGA FACIL SAS</t>
  </si>
  <si>
    <t>LTSA - LOGISTICA TRANSPORTES Y SERVICIOS ASOCIADOS S.A.S</t>
  </si>
  <si>
    <t>THERMOTRANS CARGA S.A.S</t>
  </si>
  <si>
    <t>OPPERAR COLOMBIA S.A.S.</t>
  </si>
  <si>
    <t>LOGISTICA COLOMBIANA DE TRANSPORTES S.A.S.</t>
  </si>
  <si>
    <t>TRANSGAVIRIA S.A.S</t>
  </si>
  <si>
    <t>LOGISTICA Y OPERADORA DE TRANSPORTES LOPERTRANS S.A.S.</t>
  </si>
  <si>
    <t>DISTRIBUCIÓN Y LOGÍSTICA DE CARGA S.A.S</t>
  </si>
  <si>
    <t>TRANSPORTES OMO S.A.S.</t>
  </si>
  <si>
    <t>CARGA TOTAL S.A.S</t>
  </si>
  <si>
    <t>TLT TRANSPORTE LOGISTICO TERRESTRE S.A.S.</t>
  </si>
  <si>
    <t>PROVEEDORES DE SOLUCIONES LOGISTICAS S.A.S.-PROTRANSPORTE S.A.S.</t>
  </si>
  <si>
    <t>INS CARGA S.A.S.</t>
  </si>
  <si>
    <t>TRANSPORTES YEEPERS S.A.S.</t>
  </si>
  <si>
    <t>TRANSPORTES URICARGA S.A.S.</t>
  </si>
  <si>
    <t>ADEX LOGISTICA S.A.S.</t>
  </si>
  <si>
    <t>JAIME ALBERTO MADRID ARISTIZABAL</t>
  </si>
  <si>
    <t>TRANSPORTES DE CARGA MASIVOS Y OTROS S.A.S. - TACMO S.A.S</t>
  </si>
  <si>
    <t>DESTICARGA SAS</t>
  </si>
  <si>
    <t>LOGISTICA AMBIENTAL TOTAL S.A.S</t>
  </si>
  <si>
    <t>LOGISTICA Y TRANSPORTES SOTO MONTOYA S.A.S.</t>
  </si>
  <si>
    <t>TRANS BEDOYA VALLEJO S.A.S.</t>
  </si>
  <si>
    <t>RUTAS VERDE Y BLANCO SAS</t>
  </si>
  <si>
    <t>ROTRASVEHI S.A.S.</t>
  </si>
  <si>
    <t>TSF LYD - FREIGHT TRANSPORT S. A. S.</t>
  </si>
  <si>
    <t>LOGIMAG-LOGISTICA Y SERVICIOS DE CARGA S.A.S</t>
  </si>
  <si>
    <t>PRECOLOMBINA DE TURISMO ESPECIALIZADO S.A.</t>
  </si>
  <si>
    <t>DISEÑOS EQUIPOS Y CONSTRUCCIONES S.A.S.</t>
  </si>
  <si>
    <t>INTERCARGO LOGISTICS COLOMBIA SAS</t>
  </si>
  <si>
    <t>TRANSPORTE Y LOGISTICA A&amp;D S.A.S</t>
  </si>
  <si>
    <t>TRANSPORTE DE CARGA MUISCA SAS</t>
  </si>
  <si>
    <t>TRANSPORTES BETANCUR JARAMILLO S.A.S.</t>
  </si>
  <si>
    <t>OPERACIÓN DE TRANSPORTE SAS</t>
  </si>
  <si>
    <t>ARV LOGISTICA SAS</t>
  </si>
  <si>
    <t>LOW COST LOGISTICS S.A.S.</t>
  </si>
  <si>
    <t>INCORPROT SAS</t>
  </si>
  <si>
    <t>ANTIOQUEÑA DE TRANSPORTES S.A.S.</t>
  </si>
  <si>
    <t>TRANSPORTES HYC S.A.S</t>
  </si>
  <si>
    <t>COOPERATIVA INTEGRAL</t>
  </si>
  <si>
    <t>TRANSPORTE EQUIPOS Y LOGISTICA S.A.S.</t>
  </si>
  <si>
    <t>LATINOAMERICANA DE TRANSPORTES S.A.</t>
  </si>
  <si>
    <t>LOGISTICA FTA S.A.S</t>
  </si>
  <si>
    <t>TRANSPORTE Y CARGA T Y C S.A.S.</t>
  </si>
  <si>
    <t>COORDINADORA INTEGRAL DE CARGA SAS</t>
  </si>
  <si>
    <t>MARCAS Y DISTRIBUCIONES S.A.S.</t>
  </si>
  <si>
    <t>TRADEL S.A.S.</t>
  </si>
  <si>
    <t>RECORD LOGISTICO EN TRANSPORTE SAS</t>
  </si>
  <si>
    <t>LOGIMUDANZAS S.A.S.</t>
  </si>
  <si>
    <t>INDUSTRIALES DE CARGA S.A.S.</t>
  </si>
  <si>
    <t>CARGOVOLCO S.A.S.</t>
  </si>
  <si>
    <t>INVERSIONES MEJICRUZ S.A.S.</t>
  </si>
  <si>
    <t>MANDAR Y SERVIR S.A.S.</t>
  </si>
  <si>
    <t>TRANSPORTES ESPECIALES A &amp; S S.A.S TRANES S.A.S</t>
  </si>
  <si>
    <t>MONTACARGAS Y TRANSPORTES S.A.S.</t>
  </si>
  <si>
    <t>CARMINER S.A.S</t>
  </si>
  <si>
    <t>TRANSPORTES AURALAC S.A.S</t>
  </si>
  <si>
    <t>ARANTRANSPORTES S.A.S.</t>
  </si>
  <si>
    <t>TRANSPORTADORA GAVIRIA S.A.S.</t>
  </si>
  <si>
    <t>JW EXCLUSIVE S.A.S.</t>
  </si>
  <si>
    <t>CAPETRANS S.A.S</t>
  </si>
  <si>
    <t>TRANSPORTES Y VIAJES TURISCAR S.A.S</t>
  </si>
  <si>
    <t>SOCIEDAD ANTIOQUEÑA DE TRANSPORTE S.A.S</t>
  </si>
  <si>
    <t>TRANSPORTES CLARO DE LUNA SAS</t>
  </si>
  <si>
    <t>LOTRAMAC S.A.S</t>
  </si>
  <si>
    <t>TRANSPORTE Y LOGISTICA S&amp;M S.A.S</t>
  </si>
  <si>
    <t>VOLQUETAS Y MAQUINARIA DE COLOMBIA S.A.S</t>
  </si>
  <si>
    <t>COOTRAINSER</t>
  </si>
  <si>
    <t>TRANSPORTADORA ALZATE OSPINA S.A.S</t>
  </si>
  <si>
    <t>INVERSIONES LEGAL FIELD S.A.S</t>
  </si>
  <si>
    <t>TRANSPORTADORA DE CEMENTOS Y AGREGADOS S.A.S</t>
  </si>
  <si>
    <t>VIATEX S.A.S</t>
  </si>
  <si>
    <t>MILLA SIETE S.A.S</t>
  </si>
  <si>
    <t>TRANS POLAR TRANSPOLAR S.A.S</t>
  </si>
  <si>
    <t>LOGIDIS S.A.S</t>
  </si>
  <si>
    <t>LOGISTICA ENTREGA DIRECTA S.A.S</t>
  </si>
  <si>
    <t>LOGISTICA INTEGRAL ASOCIADA S.A.S</t>
  </si>
  <si>
    <t>TRANZUL S.A.S</t>
  </si>
  <si>
    <t>LOGISTICA Y TRANSPORTES ABURRA NORTE S.A.S</t>
  </si>
  <si>
    <t>PLATAFORMA LOGISTICA Y COMERCIAL S.A.S</t>
  </si>
  <si>
    <t>FENIX CARGA LOGISTICA S.A.S</t>
  </si>
  <si>
    <t>JAIME ZAPATA TRANSPORTE Y DISTRIBUCION S.A.S</t>
  </si>
  <si>
    <t>TRANSPORTES SOTRAYAR S.A.</t>
  </si>
  <si>
    <t>COOPERATIVA INTEGRAL DE TRANSPORTADORES RURALES DE URABA</t>
  </si>
  <si>
    <t>COMERCIALIZADORA NACIONAL DE ALIMENTOS</t>
  </si>
  <si>
    <t>MATIUS SERVICIOS SAS</t>
  </si>
  <si>
    <t>TRANSPORTES UNICARGA EYM S.A.S</t>
  </si>
  <si>
    <t>DOMINA ENTREGA TOTAL S.A.S</t>
  </si>
  <si>
    <t>LOGISTICA INTEGRAL ALTAIR S.A.S</t>
  </si>
  <si>
    <t>COOPERATIVA DE TRANSPORTE COMUNITARIO DE YONDO S.A.S</t>
  </si>
  <si>
    <t>TRANSPORTES VOLMOT S.A.S</t>
  </si>
  <si>
    <t>TRANSPORTES VALLEMAR S.A.S.</t>
  </si>
  <si>
    <t>GE LOGISTICA S.A.S</t>
  </si>
  <si>
    <t>VELOENVIOS S.A.S</t>
  </si>
  <si>
    <t>INVERTRANS 10 GRUPO EMPRESARIAL S.A.S</t>
  </si>
  <si>
    <t>LOGISTICA FRONTERAS S.A.S</t>
  </si>
  <si>
    <t>GJD S.A.S</t>
  </si>
  <si>
    <t>TRANSCOMERCIAL W.S.O S.A.S</t>
  </si>
  <si>
    <t>INTEGRAL TRANS GROUP S.A.S</t>
  </si>
  <si>
    <t>MASLOGISTICA S.A.S</t>
  </si>
  <si>
    <t>TRANSPORTES COLNACIONAL S.A.S</t>
  </si>
  <si>
    <t>TRANSPORTE J&amp;M CARGA S.A.S.</t>
  </si>
  <si>
    <t>DECO ENTREGAS S.A.S</t>
  </si>
  <si>
    <t>TRANSPORTES ALEJANDRIA S.A.S</t>
  </si>
  <si>
    <t>NAVETRANS S.A.S</t>
  </si>
  <si>
    <t>LOGISTICA S.A.S</t>
  </si>
  <si>
    <t>TOTAL CARGA GROUP S.A.S</t>
  </si>
  <si>
    <t>TRANSPORTES TIME COLOMBIA S.A.S</t>
  </si>
  <si>
    <t>TRANSPORTES TSG S.A.S</t>
  </si>
  <si>
    <t>TRANSMAXI SAS</t>
  </si>
  <si>
    <t>TRANSPORTE TRIUNFO S.A.S</t>
  </si>
  <si>
    <t>TRANPORTES IVAN TORRES DUARTE S.A.S</t>
  </si>
  <si>
    <t>MP LOGISTICS S.A.S</t>
  </si>
  <si>
    <t>INSTITUTO NACIONAL DE ADMINISTRACIÓN PÃŠBLICA S.A.S., INAP S.A.S.</t>
  </si>
  <si>
    <t>TRANSPORTES NOVACARGA S.A.S.</t>
  </si>
  <si>
    <t>EL LLANO S.A.S.</t>
  </si>
  <si>
    <t>LOGISLAN S.A.S.</t>
  </si>
  <si>
    <t>GRUPO B-PLAST S.A.S</t>
  </si>
  <si>
    <t>GESTIÓN &amp; SERVICIO AL INSTANTE S.A.S</t>
  </si>
  <si>
    <t>C Y G SOLUCIONES EN TRANSPORTE S.A.S</t>
  </si>
  <si>
    <t>TRANSPORTES Y SUMINISTROS MONTOYA S.A.S.</t>
  </si>
  <si>
    <t>DELICARGO S.A.S.</t>
  </si>
  <si>
    <t>VIRTUAL CARGO S.A.S.</t>
  </si>
  <si>
    <t>TRANSPORTES SURTIVEL S.A.S</t>
  </si>
  <si>
    <t>VERDE 2 GO S.A.S.</t>
  </si>
  <si>
    <t>TERMINAL DE TRANSPORTES DE QUIBDÓ S.A. TTQ- S.A.</t>
  </si>
  <si>
    <t>TRANSPORTES HERMAR S.A.S</t>
  </si>
  <si>
    <t>POTENCO S.A.S</t>
  </si>
  <si>
    <t>INVERSIONES ROMA BETA S.A.S</t>
  </si>
  <si>
    <t>LOGÍSTICA EN MOVIMIENTO S.A.S</t>
  </si>
  <si>
    <t>LOGISCARGO EXPRESS S.A.S</t>
  </si>
  <si>
    <t>TERCERIZADO COMPLEMENTARIO 4 S.A.S</t>
  </si>
  <si>
    <t>AGREGADOS Y TRANSPORTES YONDO S.A.S</t>
  </si>
  <si>
    <t>TRANSPORTES KING CARGA S.A.S</t>
  </si>
  <si>
    <t>GRUAS Y SERVICIOS SANTAMARIA SAS</t>
  </si>
  <si>
    <t>TRANSPORTES Y SOLUCIONES INTEGRALES S.A.S</t>
  </si>
  <si>
    <t>TRANSPORTE LOGISTICA ACARREOS Y MOVIMIENTOS LAM SAS</t>
  </si>
  <si>
    <t>TRANS-PORT ZOMAC S.A.S</t>
  </si>
  <si>
    <t>LINEAS LOGISTICAS DE COLOMBIA S.A.S</t>
  </si>
  <si>
    <t>OPTIMA LOGISTICA INTEGRAL S.A.S</t>
  </si>
  <si>
    <t>VELEZ CARGO S.A.S</t>
  </si>
  <si>
    <t>CONSTRUCCIONES, TIERRAS, EQUIPOS Y MATERIALES S.A.S</t>
  </si>
  <si>
    <t>TRANSPORTE Y LOGÃSTICA LEON S.A.S</t>
  </si>
  <si>
    <t>LOGISTICA SEGURA DE URABA ZOMAC S.A.S</t>
  </si>
  <si>
    <t>VALHOR INVERSIONES S.A.S</t>
  </si>
  <si>
    <t>TRANSPORTES CARGRAN S.A.S</t>
  </si>
  <si>
    <t>TRANSPORTES EL LAUREL S.A.</t>
  </si>
  <si>
    <t>YOR COMPANY SERVICES S.A.S.</t>
  </si>
  <si>
    <t>RECUPERADORA LOGISTICA INTEGRAL SAS</t>
  </si>
  <si>
    <t>ALMACEN Y LABORATORIOS DIESEL MEDELLIN ELECTRONIC S.A.S.</t>
  </si>
  <si>
    <t>ISTHO SAS</t>
  </si>
  <si>
    <t>SEVAJA SAS</t>
  </si>
  <si>
    <t>LOGISTICAS OPECOL SAS</t>
  </si>
  <si>
    <t>TRANSPORTES ESPECIALES MUNDOS S.A.S</t>
  </si>
  <si>
    <t>TRANS LITO SAS</t>
  </si>
  <si>
    <t>M.B. WELL SERVICES SAS</t>
  </si>
  <si>
    <t>TRANSPORTES EL CHUSCAL S.A.S.</t>
  </si>
  <si>
    <t>EMPRESA DE CARGA TRANSPORTE DEL NORTE S.A.S</t>
  </si>
  <si>
    <t>ZATRANS SAS</t>
  </si>
  <si>
    <t>TRANSYCON S.A.S.</t>
  </si>
  <si>
    <t>MAS FRIO TRANSPORTES SAS</t>
  </si>
  <si>
    <t>COOPERATIVA DE TRANSPORTE DE SANTA ROSA LTDA</t>
  </si>
  <si>
    <t>TRANSPORTE CAMPO JC SAS</t>
  </si>
  <si>
    <t>LOYAL LOGISTICA Y SERVICIOS S.A.S.</t>
  </si>
  <si>
    <t>INTEGRAL GROUP SERVICE SAS</t>
  </si>
  <si>
    <t>MONTAJES TECNCIOS CASABE SAS</t>
  </si>
  <si>
    <t>COMERCIALIZADORA DE CARNE Y GANADO EN LA REGION ANDINA S.A.S</t>
  </si>
  <si>
    <t>EL LLANO DC S.A.S. ZOMAC</t>
  </si>
  <si>
    <t>MOBETRANS S.A.S.</t>
  </si>
  <si>
    <t>DISFLOTAS SAS</t>
  </si>
  <si>
    <t>TRANSPORTES TODOTERRENO SAS</t>
  </si>
  <si>
    <t>TRANSCARGA DE COLOMBIA DESPACHOS SAS</t>
  </si>
  <si>
    <t>AR CARGA SAS</t>
  </si>
  <si>
    <t>CFS LOGISTICS LLC. (SUCURSAL DE SOCIEDAD EXTRANJERA)</t>
  </si>
  <si>
    <t>GERIZA SOLUCIONES SAS</t>
  </si>
  <si>
    <t>INVERSIONES SOTO 13 S.A.S.</t>
  </si>
  <si>
    <t>LOGÍSTICAS GO MAX S.A.S., - LGO MAX.</t>
  </si>
  <si>
    <t>TRANSPORTES JAIMARI SAS</t>
  </si>
  <si>
    <t>TRANSPORTES CARGACEROS S.A.S.</t>
  </si>
  <si>
    <t>CAPSULE TPTE SAS</t>
  </si>
  <si>
    <t>DYMAMIC MYM CARGO S.A.S.</t>
  </si>
  <si>
    <t>INTEGRADOR DE TRANSPORTE COLABORATIVO S.A.S</t>
  </si>
  <si>
    <t>RM CHEMICALS S&amp;L S.A.S.</t>
  </si>
  <si>
    <t>TRANS CARGA VELOZ S.A.S</t>
  </si>
  <si>
    <t>SERVICIOS SEPTICOS E INDUSTRIALES DE COLOMBIA SERSEPCO S.A.S. E.S.P.</t>
  </si>
  <si>
    <t>FAISMON LOGISTICS S.A.S</t>
  </si>
  <si>
    <t>TRANSPORTES ROLDAN HERMANOS SAS</t>
  </si>
  <si>
    <t>MONTAÑA INVERSIONES R&amp;M S.A.S</t>
  </si>
  <si>
    <t>INVERCEMENTOS SAS</t>
  </si>
  <si>
    <t>ASOCIACIÓN DE NEGRITUDES TRASPORTISTAS</t>
  </si>
  <si>
    <t>OROZ LOGISTICA S.A.S.</t>
  </si>
  <si>
    <t>TRANSPORTE FC Y SUMINISTROS SAS</t>
  </si>
  <si>
    <t>TRANSPORTES SAMBUSES SAS</t>
  </si>
  <si>
    <t>AFRA LOGISTICA EN TRANSPORTE SAS</t>
  </si>
  <si>
    <t>DISTRICOMBUSTIBLES ANTIOQUIA S.A.S.</t>
  </si>
  <si>
    <t>INVERSIONES ESTRADA YJ S.A.S</t>
  </si>
  <si>
    <t>B2B ULTIMA MILLA S.A.S.</t>
  </si>
  <si>
    <t>STN CARGA Y LOGÍSTICA S.A.S.</t>
  </si>
  <si>
    <t>RDL TRANSPORTES S.A.S</t>
  </si>
  <si>
    <t>TRANSPORTE Y LOGISTICA PAMA S.A.S.</t>
  </si>
  <si>
    <t>INVERSIONES ALUCER S.A.S.</t>
  </si>
  <si>
    <t>TRANS EXPRESS J&amp;M S.A.S.</t>
  </si>
  <si>
    <t>TRANSPORTES VILLAMIZAR C.R.V.O S.A.S.</t>
  </si>
  <si>
    <t>BETECNO S.A.S.</t>
  </si>
  <si>
    <t>H+G LOGISTICA S.A.S.</t>
  </si>
  <si>
    <t>CARRETERAS Y CANTERAS ANDINAS S.A.S</t>
  </si>
  <si>
    <t>TRANSUIZA S.A.S</t>
  </si>
  <si>
    <t>ATLANTICO</t>
  </si>
  <si>
    <t>TRANSQUIROGA LTDA.</t>
  </si>
  <si>
    <t>COMPAÑIA DE TRANSPORTE ESPECIAL DE LA COSTA CARIBE LTDA.</t>
  </si>
  <si>
    <t>GRANANDINA T. C. &amp; CIA. LTDA.</t>
  </si>
  <si>
    <t>TRANSPORTES INTERTANQUES LTDA.</t>
  </si>
  <si>
    <t>TRANSPORTADORA DEL ATLANTICO LTDA.</t>
  </si>
  <si>
    <t>TRANSPORTO Y COMPAÑIA LTDA</t>
  </si>
  <si>
    <t>TRANSCOMERCIAL S.A.S</t>
  </si>
  <si>
    <t>ASOCIACION INTERNACIONAL DE CARGA LTDA.</t>
  </si>
  <si>
    <t>TRANSPORTES VERPER LTDA.</t>
  </si>
  <si>
    <t>TRANSPORTES COMANDER LTDA.</t>
  </si>
  <si>
    <t>TRANSPORTES SAPASA LTDA</t>
  </si>
  <si>
    <t>TRANSPORTE ZAMUDIO S.A.S.</t>
  </si>
  <si>
    <t>TRANSPORTES LA VELOZ MOISES PINILLA E HIJAS S.C.A. SUCESORES.</t>
  </si>
  <si>
    <t>TRANSPORTES TRIANA LTDA</t>
  </si>
  <si>
    <t>COOPERATIVA DE SERVICIO DE TRANSPORTE DEL CARIBE COLOMBIANO LTDA.</t>
  </si>
  <si>
    <t>L -TRANS LIMITADA</t>
  </si>
  <si>
    <t>TRANSPORTES MARIO ACOSTA Y CIA. LTDA.</t>
  </si>
  <si>
    <t>COMPAÑIA SURAMERICANA DE LOGISTICA Y TRANSPORTE DE GRANELES LIQUIDOS S.</t>
  </si>
  <si>
    <t>TRANSPORTES AGROPECUARIOS S.A.</t>
  </si>
  <si>
    <t>TRANSPORTES SAN RAFAEL LTDA</t>
  </si>
  <si>
    <t>TRANSPORTADORES GANDUR NUMA S.A. T.G.N. S.A.</t>
  </si>
  <si>
    <t>CENTRO LOGISTICO COLTRACARGA LTDA.</t>
  </si>
  <si>
    <t>TRANSPORTES GONZALEZ CEPEDA LTDA.</t>
  </si>
  <si>
    <t>TRANSPORTES SANCHEZ POLO S.A.</t>
  </si>
  <si>
    <t>DISTRIBUIDORA DE COMBUSTIBLES "DISTRICOMTE" S.A.S.</t>
  </si>
  <si>
    <t>E. DANIES &amp; CIA. LTDA.</t>
  </si>
  <si>
    <t>INTERNACIONAL DE TRANSPORTE DE CARGA S.A.</t>
  </si>
  <si>
    <t>TRANSPORTES CHEVALIER LTDA.</t>
  </si>
  <si>
    <t>EXPRESO BRASILIA S.A.</t>
  </si>
  <si>
    <t>TRANSPORTE JAO LTDA.</t>
  </si>
  <si>
    <t>CAMIONES Y REMOLQUES LTDA.</t>
  </si>
  <si>
    <t>SERVICIO INTEGRAL DE TRANSPORTE ANDINO S.A.</t>
  </si>
  <si>
    <t>TRANSPORTES MAX PAEZ S.A.</t>
  </si>
  <si>
    <t>CHEMICAL TRANSPORTES S.A.</t>
  </si>
  <si>
    <t>TRANSPORTES SATELITE S.A.S.</t>
  </si>
  <si>
    <t>TRANSPORTES J.G. LTDA.</t>
  </si>
  <si>
    <t>COOPERATIVA DE TRANSPORTES FRIO LTDA</t>
  </si>
  <si>
    <t>COOPERATIVA DE TRANSPORTADORES DE LA COSTA LTDA.</t>
  </si>
  <si>
    <t>GEORGE ANDON R. Y CIA. S.A.S.</t>
  </si>
  <si>
    <t>TRANSPORTANDO Y CARGANDO LTDA,</t>
  </si>
  <si>
    <t>BLUE MARLIN S.A.S.</t>
  </si>
  <si>
    <t>COMPAÑÍA LOGISTICA DEL NORTE LTDA.</t>
  </si>
  <si>
    <t>TRANSPORTADORA UNIVERSAL LTDA.</t>
  </si>
  <si>
    <t>TRANSCONTAINER S.A.</t>
  </si>
  <si>
    <t>TRANSPORTES ALFONSO PABON Y CIA LTDA</t>
  </si>
  <si>
    <t>SOLUCIONES DE TRANSPORTE INTEGRAL DE CARGA S.A.S. SOLTICARGO SAS</t>
  </si>
  <si>
    <t>TRANSPORTES C.V. LTDA.</t>
  </si>
  <si>
    <t>COLTRASTEOS LTDA</t>
  </si>
  <si>
    <t>EMPRESA TRANSPORTADORA DE CARGA YILOMAR S.A.</t>
  </si>
  <si>
    <t>TRANSPORTES R. VELEZ LACAYO LTDA.</t>
  </si>
  <si>
    <t>LOGISTICA DE DISTRIBUCION SANCHEZ POLO S.A.</t>
  </si>
  <si>
    <t>COOPERATIVA DE TRANSPORTES Y LOGISTICA EFICAZ</t>
  </si>
  <si>
    <t>COMERCIALIZADORA DE FERTILIZANTES Y CARGA LTDA.</t>
  </si>
  <si>
    <t>SERVICIOS INMEDIATOS Y LOGISTICOS DE COLOMBIA S.A.S. SILOG DE COLOMBIA S.A</t>
  </si>
  <si>
    <t>SILOG LTDA.</t>
  </si>
  <si>
    <t>TRANSPORTES CONSORCIO COSTA A COSTA LTDA.</t>
  </si>
  <si>
    <t>TRANSPORTES TRIANA ISAZA LTDA,</t>
  </si>
  <si>
    <t>COOPERATIVA TRANSPORTES ASOCIADOS COOTRASOCIADOS.</t>
  </si>
  <si>
    <t>AEROVIAS NACIONALES DE COLOMBIA S.A. -"DEPRISA"</t>
  </si>
  <si>
    <t>TRANSPORTADORA ALVAREZ DEL CASTILLO Y COMPAÑÍA LTDA.</t>
  </si>
  <si>
    <t>MULTIMODAL DE TRANSPORTE ANDINO LTDA.</t>
  </si>
  <si>
    <t>TRANSCOLBA TRANSPORTE COMBUSTIBLE, MATERIALES Y SERVICIOS DE COLOMBIA S</t>
  </si>
  <si>
    <t>TRANSPORTES MADEIRA LTDA.</t>
  </si>
  <si>
    <t>TRANSPORTES Y CARGA DEL NORTE</t>
  </si>
  <si>
    <t>TRANSCONT LTDA.</t>
  </si>
  <si>
    <t>PRECOOPERATIVA DE TRANSPORTE BERO LOGISTICO</t>
  </si>
  <si>
    <t>TRANSPORTES ANDRES MOLINA LIMITADA</t>
  </si>
  <si>
    <t>COOPERATIVA TRANSPORTE REFRIGERADO DE LA COSTA</t>
  </si>
  <si>
    <t>PRECOOPERATIVA DE TRANSPORTE THERMO CARGA DEL CARIBE OPERADOR LOGISTIC</t>
  </si>
  <si>
    <t>COOPERATIVA DE SERVICIOS DE DISTRIBUCION,TRANSPORTE TERRESTRE Y ACTIVIDA</t>
  </si>
  <si>
    <t>COOPERATIVA MULTIACTIVA DE TRANSPORTADORES DE MERCADOS DE LA COSTA</t>
  </si>
  <si>
    <t>INVERSIONES MACIAS AZUERO Y CIA.S.EN C.</t>
  </si>
  <si>
    <t>YALE GROUP S.A.</t>
  </si>
  <si>
    <t>TRANSPORTES AVILA CERVANTES LTDA.</t>
  </si>
  <si>
    <t>TRANSPORTES NAUSA LTDA.</t>
  </si>
  <si>
    <t>TRANSPORTES ALETRANS S.A.</t>
  </si>
  <si>
    <t>TRANSPALMA Y CIA.LTDA.</t>
  </si>
  <si>
    <t>SERTRAN LTDA.</t>
  </si>
  <si>
    <t>TRANSPORTE CAR-GAR S.A. OPERADORES LOGISTICOS</t>
  </si>
  <si>
    <t>PRONTICOURIER EXPRESS S.A.S.</t>
  </si>
  <si>
    <t>MULTITRANSPORTES LOGISTICO S.A.S.</t>
  </si>
  <si>
    <t>COOPERATIVA DE TRANSPORTADORES EL ATLANTICO</t>
  </si>
  <si>
    <t>DISTRIENVIOS S.A.S.</t>
  </si>
  <si>
    <t>COMPAÑÍA INTERNACIONAL DE TRANSPORTES LTDA.</t>
  </si>
  <si>
    <t>COOPERATIVA DE CHOFERES TRANSPORTADORES DEL ATLANTICO LTDA.</t>
  </si>
  <si>
    <t>LOGISTICA DE CARGA INTERNACIONAL S.A.S</t>
  </si>
  <si>
    <t>FLETES Y CAMIONES LOGISTIC S.A.S.</t>
  </si>
  <si>
    <t>WILLIAM GARCIA E HIJAS &amp; CIA. S.EN C. WIGAR</t>
  </si>
  <si>
    <t>ICOTRANS LTDA.</t>
  </si>
  <si>
    <t>TRANSPORTES MONTERREY LTDA.</t>
  </si>
  <si>
    <t>TRANSPORTES BESIMOR &amp; CIA LTDA.</t>
  </si>
  <si>
    <t>TRAFICO Y LOGISTICA S.A.</t>
  </si>
  <si>
    <t>TRANSPORTES DAHA LTDA.</t>
  </si>
  <si>
    <t>FRANCISCO COLLAVINI CIA.LTDA.</t>
  </si>
  <si>
    <t>TRANSPORTES RIVERMAG LTDA.</t>
  </si>
  <si>
    <t>TRANSPORTE CONSINBE LTDA.</t>
  </si>
  <si>
    <t>TRANSPORTE VERMAT LTDA.</t>
  </si>
  <si>
    <t>SUMMA LOGISTICA S.A.</t>
  </si>
  <si>
    <t>TSL DEL CARIBE S.A.S. ANTES TRANSPORTES Y SOLUCIONES LOGISTICAS DEL CARIB</t>
  </si>
  <si>
    <t>SOLUCIONES LOGISTICAS ANDINAS S.A.S. SLASA</t>
  </si>
  <si>
    <t>TRANSARMO E.U.</t>
  </si>
  <si>
    <t>TRANSPORTE DE CARGA PIBE 10 LIMITADA</t>
  </si>
  <si>
    <t>TRANSCARGA ISLAS LIMITADA</t>
  </si>
  <si>
    <t>VISION LOGISTICA S.A</t>
  </si>
  <si>
    <t>GRUPO SOLUCIONES INTEGRALES LTDA. GSINT</t>
  </si>
  <si>
    <t>EMPRESA PRECOOPERATIVA DE TRANSPORTE INTERNACIONAL LOGISTICA LTDA. COOI</t>
  </si>
  <si>
    <t>L &amp; P EXPRESS S.A.</t>
  </si>
  <si>
    <t>PORTCARGO LOGISTIC LTDA. "PCLOGISTIC"</t>
  </si>
  <si>
    <t>LOGITRANS DEL CARIBE LTDA.</t>
  </si>
  <si>
    <t>SERVICIO DE MOVILIZACION DE CARGA LIMITADA</t>
  </si>
  <si>
    <t>TRANSGENUCOL SAS</t>
  </si>
  <si>
    <t>TRANSPORTES A &amp; V SAS</t>
  </si>
  <si>
    <t>TRANSPORTE DE COMBUSTIBLE MANUEL GOETHE LIMITADA</t>
  </si>
  <si>
    <t>O.C. MOVITRANS S.A.</t>
  </si>
  <si>
    <t>TRANSPORTES Y MOVIMIENTOS TERRESTRES SOCIEDAD POR ACCIONES SIMPLIFICAD</t>
  </si>
  <si>
    <t>TRANSPORTES Y MUDANZAS ALTO PRADO LTDA.</t>
  </si>
  <si>
    <t>ALAMOS CARIBE S. EN C.A. SOCIEDAD COMANDITARIA POR ACCIONES</t>
  </si>
  <si>
    <t>TRANSPORTADORA LOGISTICA COMERCIAL COLOMBIANA TLCC S.A.S.</t>
  </si>
  <si>
    <t>CARGAR DE COLOMBIA S.A.S.</t>
  </si>
  <si>
    <t>TRANSPORTES CEGAR S.A.S.</t>
  </si>
  <si>
    <t>LOGISTICA Y SERVICIOS INTEGRALES DE TRANSPORTES S.A.</t>
  </si>
  <si>
    <t>TRANSPORTES ECHEVERRI HERNANDEZ LTDA.</t>
  </si>
  <si>
    <t>MI TRANSPORTE LTDA.</t>
  </si>
  <si>
    <t>TRANSFER DE COLOMBIA E.U.</t>
  </si>
  <si>
    <t>LOGISTICA INTEGRAL SINERGIA S.A.S.</t>
  </si>
  <si>
    <t>INVERSIONES SANCHEZ POLO S.A.</t>
  </si>
  <si>
    <t>INVERSIONES TRANSPORTE@CARIBE LTDA.</t>
  </si>
  <si>
    <t>J.J.COLOMBIANA DE TRANSPORTES S.A.S.</t>
  </si>
  <si>
    <t>BP LOGISTICA O.L. S.A.S.</t>
  </si>
  <si>
    <t>SISTEMA INTEGRADO TRANSPORTES QUITIAN S.A.S.</t>
  </si>
  <si>
    <t>CARGASOLUCIONES S.A.S.</t>
  </si>
  <si>
    <t>SERVICIOS DE TRANSPORTE Y LOGISTICA TERRESTRE DE CARGA SETLOT S.A.S.</t>
  </si>
  <si>
    <t>GRUPO GENERADOR DE LOGISTICA MUNDIAL S.A.S. GRUPO GLM S.A.S.</t>
  </si>
  <si>
    <t>VENEFCO TRANSPORTES S.A.S.</t>
  </si>
  <si>
    <t>TRANSPORTE DE CARGA INMEDIATA Y EFICAZ S.A.S</t>
  </si>
  <si>
    <t>TRASNPORTE DE CARGA INMEDIATA Y EFICAZ S.A.S. -TCIE SAS- ANTES TRANSPORTE</t>
  </si>
  <si>
    <t>TRANSPORTES E INVERSIONES SAS T.E I. SAS</t>
  </si>
  <si>
    <t>DE ARCO GARCIA "DARGA S.A.S." ANTESDE ARCO GONZALEZ Y CIA.S.A.S.</t>
  </si>
  <si>
    <t>TRANSPORTAL LOGISTICA S.A.S.</t>
  </si>
  <si>
    <t>TRANSEXPEDIT S.A.S.</t>
  </si>
  <si>
    <t>LABOTRANS S.A.S.</t>
  </si>
  <si>
    <t>TIME LOGISTIC CARGO S.A.S. SERVICIO DE TRANSPORTE ALMACENAMIENTO Y DISTRI</t>
  </si>
  <si>
    <t>JAMAQ LTDA.</t>
  </si>
  <si>
    <t>TRANSPORTE DE CARGA CER LIMITADA</t>
  </si>
  <si>
    <t>INTRANSVERA S.A.S.</t>
  </si>
  <si>
    <t>INVESTCO CARGO S.A.S</t>
  </si>
  <si>
    <t>LOGISTICA S.A.S.</t>
  </si>
  <si>
    <t>TRANSPORTES ZULUAGA E HIJOS &amp; CIA. LTDA.</t>
  </si>
  <si>
    <t>COMPAÑÍA COLOMBIANA DE CARGA Y SERVICIOS S.A.S. (CA&amp;SER)</t>
  </si>
  <si>
    <t>TRANSPORTE, INVERSIONES Y LOGITICA INTEGRAL S.A.S.</t>
  </si>
  <si>
    <t>LOGISTICA Y REDES DE DISTRIBUCION S.A.S.</t>
  </si>
  <si>
    <t>ESP ENERGY GROUP S.A.S.</t>
  </si>
  <si>
    <t>TRANSPORTE Y LOGISTICA NACIONAL S.A.S.</t>
  </si>
  <si>
    <t>SERVI TRANSPORTAR DE COLOMIBA S.A.S</t>
  </si>
  <si>
    <t>ALIANZA DE TRANSPORTADORES DE PORE S.A.S</t>
  </si>
  <si>
    <t>OPERADOR DE SERVICIOS ESTRATEGICOS DE TRANSPORTE DE COLOMBIA S.A.</t>
  </si>
  <si>
    <t>TRANSPORTES ACOSTA LARROTA SAS</t>
  </si>
  <si>
    <t>AVATRANS S.A.S.</t>
  </si>
  <si>
    <t>SERVICIOS INTEGRADOS DE TRANSPORTE MULTIMODAL D. Y H. S.A.S.</t>
  </si>
  <si>
    <t>LOGISTICA INTEGRAL EN FRIO S.A.S.</t>
  </si>
  <si>
    <t>ERGO EQUIPOS LTDA.</t>
  </si>
  <si>
    <t>TRANSPORTE DE CARGA ALIANZA S.A.S.</t>
  </si>
  <si>
    <t>TRANSPORTE SIN FRONTERAS S.A.S.</t>
  </si>
  <si>
    <t>TRANSPORTANDO MCJ SAS</t>
  </si>
  <si>
    <t>LOGISTICA Y TRANSPORTE DE COLOMBIA TRANSPORTMAX S.A.S.</t>
  </si>
  <si>
    <t>CORPORACION NACIONAL DE CARGA S.A.S.</t>
  </si>
  <si>
    <t>TRANSRUCARGA S.A.S.</t>
  </si>
  <si>
    <t>BOOM LOGISTICS COLOMBIA S.A.S.</t>
  </si>
  <si>
    <t>CARGO ARIAS POSADA S.A.S</t>
  </si>
  <si>
    <t>COLOMBIANA DE TRANSPORTES Y ENVIOS S.A.S</t>
  </si>
  <si>
    <t>MACROEQUIPOS DEL CARIBE LTDA.</t>
  </si>
  <si>
    <t>CONCARIBE LOGISTICA S.A.S.</t>
  </si>
  <si>
    <t>CONCEPT SERVICE CARGO SAS</t>
  </si>
  <si>
    <t>SOLUCIONES INMEDIATAS EN TRANSPORTE BARRANQUILLA S.A.S</t>
  </si>
  <si>
    <t>TRANSPORTE BORIS S.A.S.</t>
  </si>
  <si>
    <t>SERVICIOS PETROLEROS Y TRANSPORTES DE LA SABANA S.A.S.</t>
  </si>
  <si>
    <t>TRANSPORTES Y LOGISTICA DEL PACIFICO S.A.S.</t>
  </si>
  <si>
    <t>SOLUCIONES DE TRANSPORTES NACIONALES S.A.S.</t>
  </si>
  <si>
    <t>TRANSPORTE J.C.O. LTDA.</t>
  </si>
  <si>
    <t>S&amp;M LOGISTICA</t>
  </si>
  <si>
    <t>TRANSPORTE DE CARGA SOLIDA Y LIQUIDA DE COLOMBIA S.A.S.</t>
  </si>
  <si>
    <t>GRUPO EMPRESARIAL JAAD &amp; VEMA S.A.S.</t>
  </si>
  <si>
    <t>TRANSPORTES EMMANUEL COLOMBIA S.A.S</t>
  </si>
  <si>
    <t>GESTION LOGISTICA MULTICANAL CARGO S.A.S.</t>
  </si>
  <si>
    <t>SOLE CARGA S.A.S.</t>
  </si>
  <si>
    <t>TRANSPORLLANOS S.A.S.</t>
  </si>
  <si>
    <t>TRANSPORTES NEW VALLEY OIL S.A.S.</t>
  </si>
  <si>
    <t>TRANSPORTES GP CARGO S.A.S.</t>
  </si>
  <si>
    <t>TRANS SOID COLOMBIA S.A.S.</t>
  </si>
  <si>
    <t>LOGITRANSPORTAR S.A.S.</t>
  </si>
  <si>
    <t>TRANSPORTADORA Y COMERCIALIZADORA TAPIA S.A.S.</t>
  </si>
  <si>
    <t>OPERADOR DE SERVICIOS LOGISTICOS S.A.S.</t>
  </si>
  <si>
    <t>AGROPECUARIA &amp; MOVILIDAD S.A.S. ANTES ARAGONI S.A.S.</t>
  </si>
  <si>
    <t>TRANSPORTES ALASKA DE COLOMBIA S.A.S.</t>
  </si>
  <si>
    <t>BIP TRANSPORTES S.A.S.</t>
  </si>
  <si>
    <t>NEXT CARGA S.A.S.</t>
  </si>
  <si>
    <t>TRANSAGA S.A.S.</t>
  </si>
  <si>
    <t>TRANSPORTES E INVERSIONES VISTA HERMOSA YEVITRANS S.A.S.</t>
  </si>
  <si>
    <t>TRANSPORTES B.C.S. S.A.S.</t>
  </si>
  <si>
    <t>BHM SOLUCIONES INTEGRALES DE LOGISTICA EN SALUD S.A.S.</t>
  </si>
  <si>
    <t>SERVIRENTING S.A.S.</t>
  </si>
  <si>
    <t>SEVEN SEND CARGO IN. S.A.S.</t>
  </si>
  <si>
    <t>ECOTRASLADOS S.A.S.</t>
  </si>
  <si>
    <t>TRANSPORTES DORADO EXPRESS S.A.S.</t>
  </si>
  <si>
    <t>ROTRANS TRANSPORTE DE CARGA DEL CARIBE S.A.S</t>
  </si>
  <si>
    <t>TRANSPORTES YEUSI BARRETO S.A.S.</t>
  </si>
  <si>
    <t>LOGISTICA DE TRANSPORTE INTEGRAL S.A.S</t>
  </si>
  <si>
    <t>COLTRANSPORTE S.A.S.</t>
  </si>
  <si>
    <t>WORLD TRADE INTERNATIONAL SAS</t>
  </si>
  <si>
    <t>LOGISTICA EL CONTAINER S.A.S.</t>
  </si>
  <si>
    <t>TOPCARGA S.A.S.</t>
  </si>
  <si>
    <t>TRANSPORTES TLC LTDA C.I.</t>
  </si>
  <si>
    <t>SERVICIOS LOGISTICOS SLC S.A.S.</t>
  </si>
  <si>
    <t>LOGISTICA Y TRANSPROTES BLUE TRANS S.A.S.</t>
  </si>
  <si>
    <t>TRANSPORTE Y GRUAS LIMITADA</t>
  </si>
  <si>
    <t>SOLUCIONES DE INFRAESTRUCTURA Y LOGISTICA SAS</t>
  </si>
  <si>
    <t>LOGISTICA DE CARGA ESPECIALIZADA MULTIMODAL S.A.S.</t>
  </si>
  <si>
    <t>LOGISTICA D EARGA ESPECIALIZADA MULTIMODAL S.A.S.</t>
  </si>
  <si>
    <t>SOLUCIONES LOGISTICAS MONUMENTAL S.A.S</t>
  </si>
  <si>
    <t>TRANSPORTAMOS LOGIST ISR S.A.S.</t>
  </si>
  <si>
    <t>TRANSPORTES SERVICIOS Y SUMINISTROS S.A.S.</t>
  </si>
  <si>
    <t>HAC TRANS SAS</t>
  </si>
  <si>
    <t>LIBERTAD WORLD EXPRESS S.A.S.</t>
  </si>
  <si>
    <t>TRANS &amp; PORT S.A.S</t>
  </si>
  <si>
    <t>TRANSOIL DE COLOMBIA S.A.S.</t>
  </si>
  <si>
    <t>SERVICIOS DE TRANSPORTE SETA S.A.S.</t>
  </si>
  <si>
    <t>GLOBAL SATELITE LOGISTICA INGENIERIA Y TRANSPORTES SAS</t>
  </si>
  <si>
    <t>TRANSPORTE AL INSTANTE SAS</t>
  </si>
  <si>
    <t>CARGOLOGISTICA S.A.S.</t>
  </si>
  <si>
    <t>COMERCIALIZADORA INTERNACIONAL SOLGAN TRADING SAS</t>
  </si>
  <si>
    <t>SULOGISTICS EXPRESS S.A.S.</t>
  </si>
  <si>
    <t>SOCIEDAD DE TRANSPORTES UNIDOS DEL NORTE S.A.S.</t>
  </si>
  <si>
    <t>GEDITRANS S.A.S</t>
  </si>
  <si>
    <t>TRANSPORTES Y COMBUSTIBLES LA CARIBEÑA LTDA</t>
  </si>
  <si>
    <t>TRANSPORTES CONGELADOS DEL CARIBE S.A.S</t>
  </si>
  <si>
    <t>VELEROS VANS S.A.S</t>
  </si>
  <si>
    <t>LINEAS DE TRANSPORTES &amp; LOGISTICA BIG CARGO S.A.S</t>
  </si>
  <si>
    <t>TRANSPORTES Y LOGISTICA PASAMAR S.A.S</t>
  </si>
  <si>
    <t>SINERGIA &amp;LOGISTICA EMPRESARIAL S.A.S</t>
  </si>
  <si>
    <t>LOGISTICO Y TRANSPORTES M.M. S.A.S.</t>
  </si>
  <si>
    <t>REDSAM TRANSPORTES S.A.S.</t>
  </si>
  <si>
    <t>CSL CARGA SOLUCIONES Y LOGISTICA S.A.S</t>
  </si>
  <si>
    <t>CENTRAL DE TRANSPORTES Y EQUIPOS S.A.S.</t>
  </si>
  <si>
    <t>TRANSPORTADORA NACIONAL MEGA CARGAS S.A.S.</t>
  </si>
  <si>
    <t>PREATSA S.A.S.</t>
  </si>
  <si>
    <t>TRANSPORTES Y LOGÃSTICA EL CACIQUE S.A.S</t>
  </si>
  <si>
    <t>SOLUCIONES LOGISTICAS CONFIABLES S.A.S</t>
  </si>
  <si>
    <t>CH INVERTRANS S.A.S</t>
  </si>
  <si>
    <t>HARCAL S.A.S</t>
  </si>
  <si>
    <t>WEBTRANS S.A.S</t>
  </si>
  <si>
    <t>LOGIACTIVOS S.A.S.</t>
  </si>
  <si>
    <t>DASERMA SAS</t>
  </si>
  <si>
    <t>TRANSPORTES GAVIOTA AZUL S.A.S- TR.GA S.A.S-</t>
  </si>
  <si>
    <t>TRANSORTES ESPECIALES DEL CARIBE COLOMBIANO S.A.S.</t>
  </si>
  <si>
    <t>EMPRESA DE TRANSPORTE DE CARGA MULTIMODAL DYCOMAQ S.A.S</t>
  </si>
  <si>
    <t>TRANSPORTE GRUAS OLE S.A.S.</t>
  </si>
  <si>
    <t>FRUTTCO S.A.S</t>
  </si>
  <si>
    <t>METROPOLITANA DE ENVIOS LTDA.</t>
  </si>
  <si>
    <t>J.J LIRA INVERSIONES S.A.S</t>
  </si>
  <si>
    <t>ORGANIZACIÓN TRANSPORTADORA DE CARGA OTC S.A.S.</t>
  </si>
  <si>
    <t>SOLUCIONES LOGISTICAS EN TRANSPORTE DE COLOMBIA S.A.S- SOLUTRANS DE COL</t>
  </si>
  <si>
    <t>TRANSPORTES BL. DEL CARIBE S.A.S.</t>
  </si>
  <si>
    <t>TRANSPORTES Y OPERACIONES LOGISTICAS LIBO S.A.S.</t>
  </si>
  <si>
    <t>TCA SOLUCIONES LOGISTICAS S.A.S.</t>
  </si>
  <si>
    <t>CARGOANDINA S.A.S.</t>
  </si>
  <si>
    <t>AMVER TRADING S.A.S.</t>
  </si>
  <si>
    <t>FORTIA LOGISTICS S.A.S.</t>
  </si>
  <si>
    <t>ENOC SOLUTIONS S.A.S.</t>
  </si>
  <si>
    <t>JOMAEL S.A.S.</t>
  </si>
  <si>
    <t>INTERURBANOS S.A.S.</t>
  </si>
  <si>
    <t>LOGISTICA &amp; DISTRIBUCION L&amp;D S.A.S.</t>
  </si>
  <si>
    <t>COLDTRANSPORT S.A.S.</t>
  </si>
  <si>
    <t>SERVICE OS CAR TV S.A.S.</t>
  </si>
  <si>
    <t>TRANSPORTES BRM S.A.S.</t>
  </si>
  <si>
    <t>INDUTERRA S.A.S</t>
  </si>
  <si>
    <t>JCT LOGISTICA S.A.S</t>
  </si>
  <si>
    <t>BLESS CARGA &amp; LOGISTICA SAS</t>
  </si>
  <si>
    <t>MODES DE LA COSTA -MOLDECO SAS-</t>
  </si>
  <si>
    <t>JP TRANSPORTAMOS S.A.S.</t>
  </si>
  <si>
    <t>TRANSPORTES DE AMERICA S.A.S.</t>
  </si>
  <si>
    <t>INTEFERT S.A.S.</t>
  </si>
  <si>
    <t>TRANSBEERSEBA PM S.A.S.</t>
  </si>
  <si>
    <t>GPS CARGO &amp; TRADING SAS - GPS C&amp;T SAS-</t>
  </si>
  <si>
    <t>SUPPORT OF LOGISTICS MARINE OFFSHORE S.A. - SOL MARINE OFFSHORE S.A.-</t>
  </si>
  <si>
    <t>INGENIERIA Y CONSULTORIA FARO S.A.S</t>
  </si>
  <si>
    <t>TEHERCAM LOGISTICA LTDA.</t>
  </si>
  <si>
    <t>TS TRANSPORTES Y SOLUCIONES DE CARGA S.A.S. TRANSOLCAR SAS</t>
  </si>
  <si>
    <t>TRANSURBAN LOGISTIC S.A.S.</t>
  </si>
  <si>
    <t>TRADING GROUP INTERNATIONAL S.A.S.</t>
  </si>
  <si>
    <t>JLA LOGISTICA S.A.S.</t>
  </si>
  <si>
    <t>RJM GROUP S.A.S.</t>
  </si>
  <si>
    <t>TRANSPORTES QE SAS</t>
  </si>
  <si>
    <t>F.L.B. TRANSPORTE S.A.S.</t>
  </si>
  <si>
    <t>LOTRAN DEL CARIBE S.A.S</t>
  </si>
  <si>
    <t>TRANSPORTES DEYPOVIL S.A.S.</t>
  </si>
  <si>
    <t>CARGOTRANS LOGISTICS S.A.S.</t>
  </si>
  <si>
    <t>MERCATRANS LOGISTIC S.A.S.</t>
  </si>
  <si>
    <t>T2 TRANSPORTES S.A.S.</t>
  </si>
  <si>
    <t>SOTRANSCOLOMBIANOS SP S.A.S.</t>
  </si>
  <si>
    <t>TRANSPORTES MAJAGUA S.A.S.</t>
  </si>
  <si>
    <t>PUERTO PIMSA S.A.</t>
  </si>
  <si>
    <t>TRASCENDO LOGISTICS S.A.S.</t>
  </si>
  <si>
    <t>CONTINENTAL TRANSPORTES S.A.S.</t>
  </si>
  <si>
    <t>TRANSPORTES GRUAS BLANCAS S.A.S. - TGB SU AUXILIO VIAL S.A.S.-</t>
  </si>
  <si>
    <t>COMPAÑÍA TRANSPORTADORA E INVERSIONES DE COLOMBIA S.A.S. - CTICOL S.A.S.-</t>
  </si>
  <si>
    <t>TRANSPORTES &amp; CONSTRUCCIONES AOM S.A.S.</t>
  </si>
  <si>
    <t>UBICARG LOGISTIC SAS</t>
  </si>
  <si>
    <t>DISTRIBUCIONES P Y R S.A.S.</t>
  </si>
  <si>
    <t>VECTOR LOGISTICA S.A.S.</t>
  </si>
  <si>
    <t>TRANSEXPRESS COLCARGA S.A.S.</t>
  </si>
  <si>
    <t>COLTRANS LOGISTICS S.A.S.</t>
  </si>
  <si>
    <t>OPERATIONS NATIONAL ENTERPRISE LOGISTICS &amp; TRANSPORT S.A.S. - ONE LOGISTIC</t>
  </si>
  <si>
    <t>LOGISTICA Y TRANSPORTES FGR SAS - LOGYTRANS FGR SAS-</t>
  </si>
  <si>
    <t>BOLÍVAR</t>
  </si>
  <si>
    <t>EMPRESA DE TRANSPORTES RENACIENTE S.A.</t>
  </si>
  <si>
    <t>DURAMOS TRANSPORTES LTDA.</t>
  </si>
  <si>
    <t>TRANSPORTE HERNANDEZ &amp; HERNANDEZ LTDA</t>
  </si>
  <si>
    <t>TRANSPORTES ARI Y CIA. LTDA.</t>
  </si>
  <si>
    <t>TRANSPORTES MEDIA LUNA S.A.</t>
  </si>
  <si>
    <t>TRANSPORTES TATIS DIAZ LTDA.</t>
  </si>
  <si>
    <t>TRANSPORTES CARRASCAL Y FRANCO LTDA.</t>
  </si>
  <si>
    <t>TRACTOCAMIONES DEL CARIBE LTDA.</t>
  </si>
  <si>
    <t>TRANSPORTE Y MANEJO DE CARGA LTDA</t>
  </si>
  <si>
    <t>TRANSPORTES COMERTRANSP G.C.B. LTDA.</t>
  </si>
  <si>
    <t>TRANSPORTES JOSE GIRALDO OSORNO E HIJOS Y CIA. LTDA.</t>
  </si>
  <si>
    <t>TRANSPORTES VLS Y CIA. LTDA</t>
  </si>
  <si>
    <t>TRANSLIDHERS LTDA.</t>
  </si>
  <si>
    <t>TRANSPORTES LA CORDIALIDAD LTDA.</t>
  </si>
  <si>
    <t>EMPRESA DE TRANSPORTES RAPIDO EL CARMEN S.A.</t>
  </si>
  <si>
    <t>TRANSPORTES ORTEGA HERNANDEZ Y CIA S. EN C.</t>
  </si>
  <si>
    <t>SOCIEDAD TRANSPORTADORA DE CARGA LTDA.</t>
  </si>
  <si>
    <t>INVERSIONES TURBACO S.A.</t>
  </si>
  <si>
    <t>TRANSPORTE DE CARGA NACIONAL SERVI COSTA S.A.S</t>
  </si>
  <si>
    <t>TRANSPORTES SISU TOLIMA LTDA.</t>
  </si>
  <si>
    <t>TRANSPORTADORES RAFAEL AYALA E HIJOS Y CIA LTDA.</t>
  </si>
  <si>
    <t>TRANSPORTES MEZA MEZA Y CIA. LTDA.</t>
  </si>
  <si>
    <t>TRANSPORTE UNIDOS DE LA COSTA ATLANTICA Y CIA. S.A.S.</t>
  </si>
  <si>
    <t>TRANSPORTES CARLOS DIAZ &amp; CIA. LTDA</t>
  </si>
  <si>
    <t>TRANSPORTADORA COSTA NORTE LTDA</t>
  </si>
  <si>
    <t>TRASEGAR E.U.</t>
  </si>
  <si>
    <t>TRANSPORTES PLATINO S.A.S.</t>
  </si>
  <si>
    <t>GARCES LEON &amp; CIA. S. EN C.</t>
  </si>
  <si>
    <t>EMPRESA PRECOOPERATIVA DE TRANSPORTE Y LOGISTICA EFICAZ</t>
  </si>
  <si>
    <t>TROLL S.A.</t>
  </si>
  <si>
    <t>COMPAÑIA PROMOTORA DE CARGA Y LOGISTICA S.A.</t>
  </si>
  <si>
    <t>TRANSP MENSAJERIA COSTA NORTE LTDA</t>
  </si>
  <si>
    <t>PORT LOGISTIC SERVICES LTDA</t>
  </si>
  <si>
    <t>TRANSPORTE RENO LTDA.</t>
  </si>
  <si>
    <t>COOPERATIVA DE TRANSPORTADORES DEL SUR DE BOLIVAR</t>
  </si>
  <si>
    <t>O.P. TRANSPORTADORA S.A.S</t>
  </si>
  <si>
    <t>SERPOMAR S.A.</t>
  </si>
  <si>
    <t>SISA CARGO INTERNATIONAL S.A.S</t>
  </si>
  <si>
    <t>APL TRANSPORTES LTDA</t>
  </si>
  <si>
    <t>TRANSPORTES AIMAR LTDA</t>
  </si>
  <si>
    <t>COOPERATIVA TRANSPORTADORA DE LA SERRANIA DE SAN LUCAS</t>
  </si>
  <si>
    <t>METROCAR S. A.</t>
  </si>
  <si>
    <t>SERVIENVIOS LTDA</t>
  </si>
  <si>
    <t>INTERPORT OPERADOR LOGISTICO S.A.</t>
  </si>
  <si>
    <t>ABBA LOGISTICS LTDA</t>
  </si>
  <si>
    <t>GLOBO EXPRESS LTDA</t>
  </si>
  <si>
    <t>BUSEXPRESS LTDA</t>
  </si>
  <si>
    <t>COORDINADORA LOGISTICA DE TRANSPORTE LTDA.</t>
  </si>
  <si>
    <t>COOPERATIVA INTEGRAL DE TRANSPORTE DE ARJONA COOTRANSAR</t>
  </si>
  <si>
    <t>IMPOTARJA LTDA.</t>
  </si>
  <si>
    <t>CARGA COSTA NORTE LTDA.</t>
  </si>
  <si>
    <t>INVERSIONES COLOMBIANAS DE TRANSPORTE ESPECIAL Y DE CARGA LTDA. ICOLTES</t>
  </si>
  <si>
    <t>LOGISTICA Y CARGA LTDA.</t>
  </si>
  <si>
    <t>TRANSPORTE IMPORT EXPORT E.U.</t>
  </si>
  <si>
    <t>COOPERATIVA MULTIACTIVA DE TRANSPORTE DE CARGA URBANA</t>
  </si>
  <si>
    <t>ALSITRANS LTDA.</t>
  </si>
  <si>
    <t>TRANSPORTES Y AGREGADOS JOHAN S.A.S.</t>
  </si>
  <si>
    <t>SERVICIO DE MANEJO DE MERCANCIAS LTDA. SERVIMMER OPERADORES PORTUARIOS</t>
  </si>
  <si>
    <t>ALEJANDRO MUÑOZ Y CIA. LTDA.</t>
  </si>
  <si>
    <t>LOGOTRANS S.A.S.</t>
  </si>
  <si>
    <t>TRANSPORTES J Y R S.A.S.</t>
  </si>
  <si>
    <t>R Y L TRANSPORTES DEL CARIBE S.A.S.</t>
  </si>
  <si>
    <t>SERVICIOS LOGISTICOS INTEGRALES DE COLOMBIA S.A.S.</t>
  </si>
  <si>
    <t>OPERADORES LOGISTICOS DEL CARIBE S.A.S.</t>
  </si>
  <si>
    <t>METROPOLITANA TRANSPORTADORA DE CARGA S.A.S</t>
  </si>
  <si>
    <t>TRANSPORTES MANGA S.A.S.</t>
  </si>
  <si>
    <t>COMPAÑIA NACIONAL DE CARGA</t>
  </si>
  <si>
    <t>INVERSIONES SUCESS S.A.S.</t>
  </si>
  <si>
    <t>ARANSUA S.A.S.</t>
  </si>
  <si>
    <t>OILTRANS S.A.S.</t>
  </si>
  <si>
    <t>COMPANIA COLOBMIANA INTEGRAL DE TRANSPORTES S.A.S.</t>
  </si>
  <si>
    <t>TRANSPORTES FORMACK S.A.S.</t>
  </si>
  <si>
    <t>SOCIEDAD TRANSPORTADORA DEL MAGDALENA MEDIO S.A.</t>
  </si>
  <si>
    <t>TRANSALIANZA TN S.A.S.</t>
  </si>
  <si>
    <t>TRACTOCAR LOGISTICS S.A.S.</t>
  </si>
  <si>
    <t>LOGISTICA ROBLEDO S.A.S.</t>
  </si>
  <si>
    <t>CABRALES PAFFEN S.A.</t>
  </si>
  <si>
    <t>CORDITRANS DE COLOMBIA S.A.S</t>
  </si>
  <si>
    <t>ADMINISTRACION LOGISTICA ANDINA S.A.</t>
  </si>
  <si>
    <t>TRANSPORTE INTERIOR Y CARIBE S.A.S.</t>
  </si>
  <si>
    <t>TRANSPORTES LA ESTRELLA LTDA</t>
  </si>
  <si>
    <t>ORTRANS COMERCIAL DEL LLANO S.A.S.</t>
  </si>
  <si>
    <t>SOLUTION LOGISTICS S.A.S.</t>
  </si>
  <si>
    <t>TRANSPORTES ALVACAR S.A.S.</t>
  </si>
  <si>
    <t>TRANSPORTES Y LUBRICANTES DEL CARIBE S.A.</t>
  </si>
  <si>
    <t>COMERCIALIZADORA Y SUMINISTROS ARCA S.A.S</t>
  </si>
  <si>
    <t>GESTION CARGA S.A.S</t>
  </si>
  <si>
    <t>TRANSPORTES LA CARTAGENERA LTDA.</t>
  </si>
  <si>
    <t>ANAVA TRANSPORT S.A.S.</t>
  </si>
  <si>
    <t>MOTO TRANSPORTES S.A.S.</t>
  </si>
  <si>
    <t>TRANSPORTE LOGISTICA Y SERVICIO S.A.S</t>
  </si>
  <si>
    <t>VCARGO TRANSPORTES S.A.S.</t>
  </si>
  <si>
    <t>BENA LOGISTICS S.A.S.</t>
  </si>
  <si>
    <t>CONEXION TRANSPORTE Y CARGA S.A.S</t>
  </si>
  <si>
    <t>B&amp;E SERVICES S.A.S</t>
  </si>
  <si>
    <t>INGENIO Y PRODUCCIONES SAS</t>
  </si>
  <si>
    <t>LA TRANSPORTADORA SAS</t>
  </si>
  <si>
    <t>4G LOGISTICA S.A.S.</t>
  </si>
  <si>
    <t>ZANCARGO LOGISTICA S.A.S.</t>
  </si>
  <si>
    <t>H&amp;N TRANSPORTE S.A.S.</t>
  </si>
  <si>
    <t>TRANSPORTE TORRES BETANCOURT S.A.S.</t>
  </si>
  <si>
    <t>COOPERATIVA DE TRANSPORTE DE PASACABALLOS</t>
  </si>
  <si>
    <t>INGENIERIA Y GESTIONES DE COLOMBIA S.A.S.</t>
  </si>
  <si>
    <t>TRANSPORTES ESPECIALES ANDINOS S.A.S.</t>
  </si>
  <si>
    <t>PANTERA LOGISTICS S.A.S.</t>
  </si>
  <si>
    <t>HT LOGISTICS S.A.S.</t>
  </si>
  <si>
    <t>TRANSPORTE GOLDEN DE COLOMBIA S.A.S.</t>
  </si>
  <si>
    <t>TRANSPORTE Y LOGISTICA CONTINENTAL S.A.S.</t>
  </si>
  <si>
    <t>GRUAS CRANES S.A.S.</t>
  </si>
  <si>
    <t>MOVITRUCK S.A.S.</t>
  </si>
  <si>
    <t>TRANSPORTES Y MUDANZAS H.B. LTDA.</t>
  </si>
  <si>
    <t>ISOR S.A.S.</t>
  </si>
  <si>
    <t>CARVAJAL Y BEDOYA FAMILY GROUP S.A.S</t>
  </si>
  <si>
    <t>TRANSPORTADORA PUNTUAL EXPRESS TRANSPEX S.A.S.</t>
  </si>
  <si>
    <t>HERRERA Y DURAN LTDA.</t>
  </si>
  <si>
    <t>VMG LOGISTICA &amp; CARGO S,.A.S</t>
  </si>
  <si>
    <t>VMG LOGISTICA &amp; CARGO S.A.S.</t>
  </si>
  <si>
    <t>MULTI &amp; SERVICES S.A..S.</t>
  </si>
  <si>
    <t>PLATINUM COLOMBIA S.A.S.</t>
  </si>
  <si>
    <t>BLUE CARIBBEAN LOGISTICS S.A.S.</t>
  </si>
  <si>
    <t>TRANS-LOGISTIC 1 A S.A.S.</t>
  </si>
  <si>
    <t>GAN DYNAMIC S.A.S.</t>
  </si>
  <si>
    <t>BULL LOGISTICS GROUP S.A.S.</t>
  </si>
  <si>
    <t>INNOVACION Y DESARROLLO DE NEGOCIOS S.A.S.</t>
  </si>
  <si>
    <t>MOVIMIENTOS LOGISTICOS PORTUARIOS DEL CARIBE S.A.S.</t>
  </si>
  <si>
    <t>MISION LOGISTICA DE TRANSPORTE S.A.S</t>
  </si>
  <si>
    <t>MSM TRANSPORTES &amp; LOGISTICA S.A.S</t>
  </si>
  <si>
    <t>SOCIEDAD TRANSPORTADORA PALENQUE SAS</t>
  </si>
  <si>
    <t>TEMPO EXPRESS S.A.S.</t>
  </si>
  <si>
    <t>LOGISTICA Y SERVICIOS JR S.A.S</t>
  </si>
  <si>
    <t>TRASPORTES DE CARGA DE BOLIVAR S.A.S</t>
  </si>
  <si>
    <t>TRANSPORTES DE CARGA EXTREMO S.A.S</t>
  </si>
  <si>
    <t>LOGISTICA AL MINUTO S.A.S</t>
  </si>
  <si>
    <t>GLOBAL DE LOGISTICA Y TRANSPORTE GLT S.A.S</t>
  </si>
  <si>
    <t>SAC LOGISTICA SAS</t>
  </si>
  <si>
    <t>INTEXCARGA S.A</t>
  </si>
  <si>
    <t>TRANSPORTES Y SERVICIOS DEL SUR S.A.S</t>
  </si>
  <si>
    <t>INTEGRAL TOTAL DE TRANSPORTES ITT LOGISTICS S.A.S</t>
  </si>
  <si>
    <t>T-LINK CARGO S.A.S</t>
  </si>
  <si>
    <t>TRANSPORTES CONALCA S.A.S</t>
  </si>
  <si>
    <t>TRANSPORTE NACIONAL DE CARGA ESPECIALIZADA S.A.S</t>
  </si>
  <si>
    <t>ASSET MANAGEMENT CORPORATION S.A.S.</t>
  </si>
  <si>
    <t>SERVITRANSPORTE GC S.A.S</t>
  </si>
  <si>
    <t>LOGÍSTICA AVANCES S.A.S.</t>
  </si>
  <si>
    <t>RANSLOGISTICA FMJ S.A.S</t>
  </si>
  <si>
    <t>MULTISERVICIOS &amp; TRANSPORTES MG S.A.S</t>
  </si>
  <si>
    <t>TRANSPORTES DE CARGA NACIONAL SERVIPLUSS S.A.S</t>
  </si>
  <si>
    <t>TRANSPORTE DE CARGA NACIONAL TRANSPLANETA S.A.S</t>
  </si>
  <si>
    <t>LOGISTICA Y ASESORIAS MCM S.A.S</t>
  </si>
  <si>
    <t>INDCON S.A.S</t>
  </si>
  <si>
    <t>INTERNATIONAL TRADE LOGISTIC S.A.S</t>
  </si>
  <si>
    <t>MNS CARGO EXPRESS S.A.S</t>
  </si>
  <si>
    <t>LOGISTICA MASTER S.A.S</t>
  </si>
  <si>
    <t>BOX CARGO TRANSPORTES S.A.S</t>
  </si>
  <si>
    <t>TRANSPORTE OPTIMO EXPRESS S.A.S</t>
  </si>
  <si>
    <t>EMPRESA DE TRANSPORTE DE CARGA CARS RAPIDAS S.A</t>
  </si>
  <si>
    <t>EMPRESA DE CARGA GENERAL TRANSMILENUM SAS</t>
  </si>
  <si>
    <t>SERVICIOS D &amp; T S.A.S</t>
  </si>
  <si>
    <t>ECOENERTRANS S.A.S</t>
  </si>
  <si>
    <t>L.R. TRANSVIAJES S.A.S</t>
  </si>
  <si>
    <t>TRANSPORTES NEMESIS S.A.S</t>
  </si>
  <si>
    <t>INTERCARIBE EXPRESS S.A.S</t>
  </si>
  <si>
    <t>EMPRESA DE TRANSPORTE DE CARGA SERVIYA S.A.S</t>
  </si>
  <si>
    <t>TECLOGI CARGO S.A.S.</t>
  </si>
  <si>
    <t>EMPRESA DE TRANSPORTE DE CARGA TRANS MIL S.A.S</t>
  </si>
  <si>
    <t>NOVA CARGA TRANSPORTES S.A.S</t>
  </si>
  <si>
    <t>APOYO LOGISTICO R&amp;S S.A.S</t>
  </si>
  <si>
    <t>INTEGRAL LOGISTICS OPERATION S.A.S</t>
  </si>
  <si>
    <t>G&amp;S TRANSPORTES S.A.S</t>
  </si>
  <si>
    <t>TRANSLUISKAR S,A.S</t>
  </si>
  <si>
    <t>DTB TRANSPORTES Y LOGISTICA S.A.S</t>
  </si>
  <si>
    <t>CARIBBEAN LOGISTICS OPERATIONS S.A.S</t>
  </si>
  <si>
    <t>TRANSPORCAR LOGISTICA S.A.S</t>
  </si>
  <si>
    <t>T. L PORT S.A.S.</t>
  </si>
  <si>
    <t>METALICAS KALIUM S.A.S</t>
  </si>
  <si>
    <t>CES RED LOGISTICA S.A.S</t>
  </si>
  <si>
    <t>SERVITRADE LTDA</t>
  </si>
  <si>
    <t>CARIBBEAM LOGISTICS SOLUTIONS S.A.S</t>
  </si>
  <si>
    <t>CVC S.A.S</t>
  </si>
  <si>
    <t>TRANS-NACIONAL EXPRESS S.A.</t>
  </si>
  <si>
    <t>LOGISTICA MEDICA LM S.A.S.</t>
  </si>
  <si>
    <t>TRANSCARGA DE COLOMBIA SAS</t>
  </si>
  <si>
    <t>HEAVY CARGO SERVICES S.A.S</t>
  </si>
  <si>
    <t>EMPRESA DE CARGA TERRESTRE TRANS LATINO SAS</t>
  </si>
  <si>
    <t>CHAZKICARGO S.A.S</t>
  </si>
  <si>
    <t>EMPRESA DE CARGA TERRESTRE TRANS OPEL SAS.</t>
  </si>
  <si>
    <t>EMPRESA DE CARGA TERRESTRE TRANS KIDS S.A.S</t>
  </si>
  <si>
    <t>EMPRESA DE TRANSPORTE DE CARGA ABG S.A.S.</t>
  </si>
  <si>
    <t>LOGISTICA Y TRANSPORTE ATALAYA S.A.S.</t>
  </si>
  <si>
    <t>TRANS FENIX CARGA S.A.S</t>
  </si>
  <si>
    <t>EMPRESA DE TRANSPORTE DE CARGA FRONTERAS ESPECIALES SAS.</t>
  </si>
  <si>
    <t>EMPRESA DE CARGA EJECUTIVOS EMPRESARIALES SAS</t>
  </si>
  <si>
    <t>EMPRESA DE CARGA AMERICANA DE TRANSPORTE S.A.S</t>
  </si>
  <si>
    <t>EMPRESA DE TRANSPORTE DE CARGA VIA EXPRESS SAS.</t>
  </si>
  <si>
    <t>TRANSLOGISTICA J.S S.A.S.</t>
  </si>
  <si>
    <t>SOLEN GROUP CARGO S.A.S</t>
  </si>
  <si>
    <t>EMPRESA DE CARGA EL DORADO SAS.</t>
  </si>
  <si>
    <t>R Y F TRANSPORTES Y SERVICIOS S.A.S</t>
  </si>
  <si>
    <t>TRANSPORTES TURENA S.A.S.</t>
  </si>
  <si>
    <t>NATURAL LOGISTIC S.A.S</t>
  </si>
  <si>
    <t>EMPRESA DE CARGA EMPRESARIAL DE TRANSPORTE SAS.</t>
  </si>
  <si>
    <t>EMPRESA DE CARGA LLANO TRANSPORTE SAS.</t>
  </si>
  <si>
    <t>EMPRESA DE CARGA AUTO EXPRESS SAS,</t>
  </si>
  <si>
    <t>EMPRESA DE CARGA CAPITAL DE TRANSPORTES SAS.</t>
  </si>
  <si>
    <t>EMPRESA DE CARGA CARGO ESPECIALES SA</t>
  </si>
  <si>
    <t>GRUPO FRAMI S.A.S.</t>
  </si>
  <si>
    <t>TRANSPORTE Y LOGÍSTICA DE LAS AMÉRICAS S.A..S</t>
  </si>
  <si>
    <t>TRANS-EFICAZ S.A.S.</t>
  </si>
  <si>
    <t>ALFA CARGO AND LOGISTICS S.A.S.</t>
  </si>
  <si>
    <t>AVANZAR TRANSPORTES SAS</t>
  </si>
  <si>
    <t>MOVEMOS SERVIC S.A.S</t>
  </si>
  <si>
    <t>EV INTERNATIONAL LOGISTICS S.A.S</t>
  </si>
  <si>
    <t>TRANSPORTES Y SERVICIOS GENESIS S.A.S</t>
  </si>
  <si>
    <t>ZAVI TOURS S.A.S</t>
  </si>
  <si>
    <t>TRANSPORTE LLANOPETROL S.A.S</t>
  </si>
  <si>
    <t>GRUPO CAFRA S.A.S</t>
  </si>
  <si>
    <t>ON SITE LOGISTICS S.A.S</t>
  </si>
  <si>
    <t>EMPRESA DE TRANSPORTE ESPECIAL VIAJA HORIZONTE SAS.</t>
  </si>
  <si>
    <t>MTCARGO SAS</t>
  </si>
  <si>
    <t>EMPRESA SUPER ESPECIAL DE TRANSPORTE S.A.S</t>
  </si>
  <si>
    <t>EMPRESA DE TRANSPORTE DE CARGA TRAVELINEG SPECIAL SAS</t>
  </si>
  <si>
    <t>TRANSPORTES WESCARGO S.A.S</t>
  </si>
  <si>
    <t>MPRESA DE TRANSPORTE ESPECIAL TRANSPORTE SUPERIOR G.A. S.A.S</t>
  </si>
  <si>
    <t>EMPRESA DE CARGA TRANSPORTE DEL SOL SAS</t>
  </si>
  <si>
    <t>EMPRESA DE TRANSPORTE DE CARGA TRAVEL ESPECIAL S.A.S</t>
  </si>
  <si>
    <t>EMPRESA DE TRANSPORTE DE CARGA MAXI ESPECIAL SAS,</t>
  </si>
  <si>
    <t>EMPRESA DE CARGA TRANSPICA SAS</t>
  </si>
  <si>
    <t>TRANSPORTES OCAR S.A.S.</t>
  </si>
  <si>
    <t>OPERADORA DE CARGA A TIEMPO S.A.S</t>
  </si>
  <si>
    <t>ALCAEXPRESS SAS</t>
  </si>
  <si>
    <t>TRANSCASABE LOGISTIC S.A.S.</t>
  </si>
  <si>
    <t>ECO CARGA DE COLOMBIA SAS</t>
  </si>
  <si>
    <t>PROYECCION CARGA S.A.S</t>
  </si>
  <si>
    <t>ONLINE LOGISTICS S.A.S.</t>
  </si>
  <si>
    <t>TANSPORTES TERRESTRES TORO CANO S.A.S</t>
  </si>
  <si>
    <t>CARGA PRO S.A.S</t>
  </si>
  <si>
    <t>GRUPO OPERATIVO LOGISTICA Y TRANSPORTE S.A.S.</t>
  </si>
  <si>
    <t>TRANSPORTE SOLUCIONES LOGISTICAS E INGENIERIA S.A.S.</t>
  </si>
  <si>
    <t>SOLUCIONES DE INGENIERÍA NÓMADAS S.A.S</t>
  </si>
  <si>
    <t>DESCARGUES BARAHONA J.I S.A.S.</t>
  </si>
  <si>
    <t>AERCARGO SERVICES S.A.S</t>
  </si>
  <si>
    <t>LOGISTICA INTEGRAL MP S.A.S</t>
  </si>
  <si>
    <t>LOGISTICA Y TRANSPORTES MOGOLLÓN S.A.S</t>
  </si>
  <si>
    <t>TRANSLOING ESPECIAL S.A.S</t>
  </si>
  <si>
    <t>LOGISTICA Y OPERACIONES R &amp; R GLOBAL S.A.S.</t>
  </si>
  <si>
    <t>TRANSAMERICA CGT SAS</t>
  </si>
  <si>
    <t>APPLIK LOGISTICS TRANSPORT S.A.S,</t>
  </si>
  <si>
    <t>CARGO TRANS COLOMBIA SAS</t>
  </si>
  <si>
    <t>EMPRESA DE TRANSPORTE DE CARGA SUPER EXPRESS SAS</t>
  </si>
  <si>
    <t>EMPRESA DE TRANSPORTE DE CARGA EXPRESO ESPECIAL SAS,</t>
  </si>
  <si>
    <t>L Y H INDUSTRIA ESPECIALIZADA S.A.S</t>
  </si>
  <si>
    <t>SEA WOLF BARGES S.A.S</t>
  </si>
  <si>
    <t>TRANSPORTADORA Y LOGISTICA NACIONAL LIBERTAD LOGISTIC SAS</t>
  </si>
  <si>
    <t>TRANSPORTE DE CARGA TRANMAS GOLD SAS</t>
  </si>
  <si>
    <t>EMPRESA DE TRANSPORTE DE CARGA UNIESPECIALES S.A.S</t>
  </si>
  <si>
    <t>LOGISTICA Y TRANSPORTE TODO FRIO S.A.S</t>
  </si>
  <si>
    <t>SERVICIOS LOGÍSTICOS INTEGRALES M&amp;L S.A.S</t>
  </si>
  <si>
    <t>TRANSPORTES Y LOGISTICA LA FORTUNA S.A.S</t>
  </si>
  <si>
    <t>ASOCIACIÓN DE VOLQUETEROS DE CASCAJERA</t>
  </si>
  <si>
    <t>D LOGISTICA Y TRANSPORTES VICAR S A S</t>
  </si>
  <si>
    <t>TRANSBROKS LOGISTICS S.A.S</t>
  </si>
  <si>
    <t>TRANSPORTES TRANSPORTAR CJ SAS</t>
  </si>
  <si>
    <t>EMPRESA DE TRANSPORTE DE CARGA CITY ESPECIAL SA</t>
  </si>
  <si>
    <t>EMPRESA DE TRANSPORTE DE CARGA AUTO TRANSESPECIAL SAS</t>
  </si>
  <si>
    <t>EMPRESA DE TRANSPORTE DE CARGA INTERNACIONAL LOGISTIC C&amp;J SAS</t>
  </si>
  <si>
    <t>TRANSGLOBAL 24/7 SAS</t>
  </si>
  <si>
    <t>EMPRESA ULTRA ESPECIAL Y DE CARGA SA</t>
  </si>
  <si>
    <t>TRANSPORTE MARIA PAZ SAS</t>
  </si>
  <si>
    <t>EDEMAT GROUP SAS</t>
  </si>
  <si>
    <t>TRANSPORTES RONCADOR SAS</t>
  </si>
  <si>
    <t>VALCARGA SAS</t>
  </si>
  <si>
    <t>TCL LOGIS SAS</t>
  </si>
  <si>
    <t>TRANSPORTES DE LA SABANA SAS</t>
  </si>
  <si>
    <t>EMPRESA DE TRANSPORTE DE CARGA GLOBAL LOGISTICA SAS</t>
  </si>
  <si>
    <t>TRANSPORTES BELTRAN PULIDO SAS</t>
  </si>
  <si>
    <t>TRANSPORTE DE CARGA MUNDO CARS SAS</t>
  </si>
  <si>
    <t>TRANSPORTE DE CARGA VISION SAS</t>
  </si>
  <si>
    <t>LOGISTICA Y TRANSPORTE SAN ANTONIO SAS</t>
  </si>
  <si>
    <t>AL EQUIPOS DE LA COSTA SAS</t>
  </si>
  <si>
    <t>LOGISTIC SERVICE AND SOLUTION SAS</t>
  </si>
  <si>
    <t>TRANSLOGISTICA SCA SAS</t>
  </si>
  <si>
    <t>QLS LATAM SAS</t>
  </si>
  <si>
    <t>TRANS PINZON FJ SAS</t>
  </si>
  <si>
    <t>BEST TOURS SERVICE SAS DE CARGA Y ESPECIAL</t>
  </si>
  <si>
    <t>ANDRES TOURS CARGO SAS</t>
  </si>
  <si>
    <t>TJC SERVICIOS SAS</t>
  </si>
  <si>
    <t>TRANSPORTES Y REPRESENTACIONES S&amp;S SAS</t>
  </si>
  <si>
    <t>SOLUCIONES INTEGRALES DE SEGURIDAD INGENIERIA Y LOGISTICA SAS</t>
  </si>
  <si>
    <t>TRANS LOGISTIC SAS</t>
  </si>
  <si>
    <t>CARGA TRAVECK SERVIS SAS</t>
  </si>
  <si>
    <t>EMPRESA DE CARGA CARGO EXPRESS SAS</t>
  </si>
  <si>
    <t>DESCARGUES Y TRANSPORTES JGA SAS</t>
  </si>
  <si>
    <t>SERVICIOS PORTUARIOS INTERNACIONALES SAS</t>
  </si>
  <si>
    <t>TRANSPORTES RODRIGUEZ A LA HORA</t>
  </si>
  <si>
    <t>MASTRANSPORTES SAS</t>
  </si>
  <si>
    <t>ROJAS LOGISTIC COMPANY SAS</t>
  </si>
  <si>
    <t>TRANSPORTE DE CARGA MULTISERVICES SAS</t>
  </si>
  <si>
    <t>THALYTRANS SAS}</t>
  </si>
  <si>
    <t>TRANSCOL MULTICARGA SAS</t>
  </si>
  <si>
    <t>TRANSPORTES INTEGRADOS DEL CARIBE SAS</t>
  </si>
  <si>
    <t>TRACKMAS SAS</t>
  </si>
  <si>
    <t>TGT LOGISTIC GROUP SAS</t>
  </si>
  <si>
    <t>SUCARGARGA LOGISTICA Y TRANSPORTE S.A.S.</t>
  </si>
  <si>
    <t>TRIDC S.A.S.</t>
  </si>
  <si>
    <t>NEMESIS TRANSPORTES S.A.S.</t>
  </si>
  <si>
    <t>LOGICPRO S.A.S.</t>
  </si>
  <si>
    <t>BOYACA</t>
  </si>
  <si>
    <t>MOVIMIENTOS PETROLEROS DEL CASANARE LTDA.</t>
  </si>
  <si>
    <t>INVERSIONES Y TRANSPORTES CAMACHO Y CAMACHO S.A.</t>
  </si>
  <si>
    <t>TRANSPORTADORES UNIDOS DE COLOMBIA S.A.</t>
  </si>
  <si>
    <t>COOPERATIVA DE TRANSPORTADORES DEL ORIENTE COLOMBIANO</t>
  </si>
  <si>
    <t>TECNITRANSPORTES SOCIEDAD POR ACCIONES SIMPLIFICADA</t>
  </si>
  <si>
    <t>COOPERATIVA DE TRANSPORTES DE NOBSA</t>
  </si>
  <si>
    <t>COOPERATIVA DE TRANSPORTES Y SERVICIOS DE CASANARE LTDA</t>
  </si>
  <si>
    <t>COOPERATIVA MULTIACTIVA DE TRANSPORTE DE CARGA RUTA DE LOS LIBERTADORES</t>
  </si>
  <si>
    <t>TRANSPORTES Y SERVICIOS G.C.C. LTDA</t>
  </si>
  <si>
    <t>COMPAÑIA DE INVERSIONES Y TRANSPORTES MARTHA S.A.</t>
  </si>
  <si>
    <t>SERVICIOS Y TRANSPORTES CAMARGO HERNANDEZ MONTAÑA LTDA.</t>
  </si>
  <si>
    <t>ROAD CARGO S.A.S.</t>
  </si>
  <si>
    <t>SERVICUSIANA LIMITADA</t>
  </si>
  <si>
    <t>COOPERATIVA MULTIACTIVA DE TRANSPORTADORES DE TAURAMENA LTDA.</t>
  </si>
  <si>
    <t>ORGANIZACION COOPERATIVA DE TRANSPORTADORES ALIANZA CONTINENTAL O.C.</t>
  </si>
  <si>
    <t>DISTRIBUIDORES TRANSPORTADORES DEL LLANO SAS</t>
  </si>
  <si>
    <t>COOPERATIVA DE TRANSPORTADORES FLOTA NORTE LTDA</t>
  </si>
  <si>
    <t>CORDINALTRA SOCIEDAD POR ACCIONES SIMPLIFICADA</t>
  </si>
  <si>
    <t>TRANSCOLVOLCOS LTDA.</t>
  </si>
  <si>
    <t>TRANSPORTE PESADO DE COLOMBIA LTDA.</t>
  </si>
  <si>
    <t>TRANSPORTES Y SUMINISTROS PETROLEROS LTDA</t>
  </si>
  <si>
    <t>COOPERATIVA MULTIACTIVA TRANSPORTADORA DE MANI CASANARE LTDA.</t>
  </si>
  <si>
    <t>SOCIEDAD TRANSPORTADORA DE DUITAMA S.A.S.</t>
  </si>
  <si>
    <t>LUBRICANTES Y TRANSPORTES S.A.S. (ANTES: LUBRICANTES Y TRANSPORTES S. A.)</t>
  </si>
  <si>
    <t>CAMBIO DE TIPO SOCIETARIO</t>
  </si>
  <si>
    <t>COOPERATIVA DE TRANSPORTADORES UNIDOS DE BOYACA</t>
  </si>
  <si>
    <t>SERVICIOS Y TRANSPORTES LLANOVIAL SAS</t>
  </si>
  <si>
    <t>SERVICIOS ESPECIALES EXPRESO DEL CUSIANA</t>
  </si>
  <si>
    <t>SERVICIOS Y TRANSPORTES DE AGUAZUL CASANARE LTDA.</t>
  </si>
  <si>
    <t>SERTRAC INGENIERIA S.A.S</t>
  </si>
  <si>
    <t>COOPERATIVA MULTIACTIVA DE TRANSPORTES Y SERVICIOS INTEGRADOS DEL CASAN</t>
  </si>
  <si>
    <t>SOCIEDAD GRAN TRANSPORTADORA B.N. LTDA.</t>
  </si>
  <si>
    <t>COLOMBIANA DE ENCOMIENDAS S.A.</t>
  </si>
  <si>
    <t>COOPERATIVA MULTIACTIVA DE TRANSPORTES Y SERVICIOS LTDA.</t>
  </si>
  <si>
    <t>TRANSPORTADORA BOYACENSE S.A.</t>
  </si>
  <si>
    <t>CARGANDO S. A.</t>
  </si>
  <si>
    <t>COOPERATIVA DE TRANSPORTES LOS LIBERTADORES DE COLOMBIA LTDA.</t>
  </si>
  <si>
    <t>COOPERATIVA DE TRANSPORTADORES DEL VALLE DE SAMACA O.C.</t>
  </si>
  <si>
    <t>COOPERATIVA TRANSPORTADORA DE CASANARE LTDA.</t>
  </si>
  <si>
    <t>FLOTA SUGAMUXI S.A.</t>
  </si>
  <si>
    <t>EMPRESA DE TRANSPORTES CHIQUINQUIRA S.A.</t>
  </si>
  <si>
    <t>COMERCIAL LIBERTAD LTDA</t>
  </si>
  <si>
    <t>VANETRANS S.A.S.</t>
  </si>
  <si>
    <t>RICARDO MORENO MORALES Y COMPAÑIA S. EN C.</t>
  </si>
  <si>
    <t>COOPERATIVA MULTIACTIVA DE SERVICIOS</t>
  </si>
  <si>
    <t>TRANSPORTES CENTRO CAR LTDA</t>
  </si>
  <si>
    <t>TRANSPORTES BENAVIDES LTDA</t>
  </si>
  <si>
    <t>TRANSPORTES DANNY LTDA.</t>
  </si>
  <si>
    <t>UNION DE TRANSPORTADORES DE AGUAZUL ORGANIZACION COOPERATIVA</t>
  </si>
  <si>
    <t>TC TRANSPORTES S.A.S.</t>
  </si>
  <si>
    <t>COOPERATIVA DE TRANSPORTES CIUDAD UNIVERSITARIA DE TUNJA</t>
  </si>
  <si>
    <t>TRANSPORTES VELANDIA SOCIEDAD POR ACCIONES SIMPLIFICADA</t>
  </si>
  <si>
    <t>COLOMBIANA DE TRANSPORTES CARGA &amp; TURISMO S.A.S. “COLTCARGA S.A.S.” (ANTE</t>
  </si>
  <si>
    <t>COOPERATIVA DE TRANSPORTADORES CUPIAGA</t>
  </si>
  <si>
    <t>LLANO MOTOR S.A.</t>
  </si>
  <si>
    <t>ACTUALIZA CARACTERÍSTICAS</t>
  </si>
  <si>
    <t>TRANSPORTES LOS MUISCAS S.A.</t>
  </si>
  <si>
    <t>ORGANIZACION INTERAMERICANA DE TRANSPORTES S. EN C.S.</t>
  </si>
  <si>
    <t>IMEGO CARGA SAS</t>
  </si>
  <si>
    <t>TRANSPORTADORES UNIDOS LTDA.</t>
  </si>
  <si>
    <t>INVERSIONES CASTAÑEDA CELY LTDA.</t>
  </si>
  <si>
    <t>COMERCIALIZADORA DE COMBUSTIBLES Y TRANSPORTES LTDA.</t>
  </si>
  <si>
    <t>CONSTRUCCIONES DE INGENIERIA Y SERVICIOS DE ARQUITECTURA SAS</t>
  </si>
  <si>
    <t>SERVICIOS Y PRODUCTOS LTDA</t>
  </si>
  <si>
    <t>CAMARGO PEREZ TRANSPORTADORES LTDA</t>
  </si>
  <si>
    <t>ORGANIZACION LOGISTICA TRANSPORTADORA S.A.</t>
  </si>
  <si>
    <t>TRANSCHIQUINQUIRA S.A.</t>
  </si>
  <si>
    <t>COOPERATIVA MULTIACTIVA DE TRABAJADORES EN EQUIPO LTDA</t>
  </si>
  <si>
    <t>INVERSIONES REAL S. EN C.S.</t>
  </si>
  <si>
    <t>TRANSPORTADORA A.B.C. LTDA.</t>
  </si>
  <si>
    <t>TRANSPORTES TRANSMUNDO CIA. LTDA</t>
  </si>
  <si>
    <t>INTERCONTINENTAL DE TRANSPORTE PESADO S.A.</t>
  </si>
  <si>
    <t>TRANS F.E.A.S. S.A.</t>
  </si>
  <si>
    <t>ORGANIZACION PRECOOPERATIVA DE TRANSITO Y TRANSPORTE ESPECIALIZADO</t>
  </si>
  <si>
    <t>TRANSPORTES HERNANDEZ MOJICA S.A.</t>
  </si>
  <si>
    <t>TECECOR TRANSPORTES SAS ANTES MULTICARGA DE LA SABANA J&amp;F LTDA</t>
  </si>
  <si>
    <t>ORGANIZACION COOPERATIVA TRANSPORTADORA INTEGRAL DE CARGA</t>
  </si>
  <si>
    <t>MOVILIZADORA EXPRESS DE COLOMBIA LTDA</t>
  </si>
  <si>
    <t>TRANSPORTES ESTELAR DE COLOMBIA S.A.S</t>
  </si>
  <si>
    <t>COOPERATIVA MULTIACTIVA DE TRANSPORTADORES AL SERVICIO DE COLOMBIA LTDA</t>
  </si>
  <si>
    <t>TRANSMENA Y CARGA S.A.</t>
  </si>
  <si>
    <t>VIGITRANS S. EN C.</t>
  </si>
  <si>
    <t>TRANSPORTADORA SAN FERNANDO S.A.</t>
  </si>
  <si>
    <t>NACIONAL DE TRANSPORTES Y SERVICIOS DE LA ORINOQUIA LTDA</t>
  </si>
  <si>
    <t>TRANSPORTES Y CONSTRUCCIONES LEITIAN S.A.</t>
  </si>
  <si>
    <t>EXPORTACIONES Y MOVIMIENTOS LTDA</t>
  </si>
  <si>
    <t>EXPRESO CONCORDE NORTE Y GUTIERREZ S.A.</t>
  </si>
  <si>
    <t>COOPERATIVA TRANSPORTADORES DE TRINIDAD</t>
  </si>
  <si>
    <t>TRANSPORTES TECNICOS PETROLEROS S.A.S.</t>
  </si>
  <si>
    <t>TRANSPORTES TECNICOS PESADOS SAS "TRANSTECNICOS PESADOS"</t>
  </si>
  <si>
    <t>COOPERATIVA MULTIACTIVA DE TRANSPORTE Y TRABAJO MINERO LAS MONJAS</t>
  </si>
  <si>
    <t>TRANSPORTES MESY LTDA.</t>
  </si>
  <si>
    <t>COOPERATIVA MULTIACTIVA DE INVERSIONES INGENIERIA Y TRANSPORTES</t>
  </si>
  <si>
    <t>TRANSPORTADORA C.M.W LTDA.</t>
  </si>
  <si>
    <t>TRANSPORTES CORTES CELY S.A.S.</t>
  </si>
  <si>
    <t>TRANSPORTES SALEMA LTDA.</t>
  </si>
  <si>
    <t>TRANSPORTES DIAZ VEGA E.U.</t>
  </si>
  <si>
    <t>TANQUES Y TRANSPORTES DEL CASANARE LTDA.</t>
  </si>
  <si>
    <t>ENLACE DE TRANSPORTES Y SERVICIOS LTDA</t>
  </si>
  <si>
    <t>TRANSPORTES ROZO LTDA.</t>
  </si>
  <si>
    <t>SERVICIOS Y CONSTRUCCIONES DEL ORIENTE LTDA.</t>
  </si>
  <si>
    <t>AGREGADOS TRANSCOLOMBIA LTDA.</t>
  </si>
  <si>
    <t>REGIOMONTUNA DE SERVICIOS LTDA.</t>
  </si>
  <si>
    <t>SERVICIOS INTEGRALES PALENQUERA S.A.S.</t>
  </si>
  <si>
    <t>TRANSPORTES MULTICARGA S.A.S.</t>
  </si>
  <si>
    <t>TRANSPORTES MORE CARGO SOCIEDAD POR ACCIONES SIMPLIFICADA</t>
  </si>
  <si>
    <t>SERVICIOS ESPECIALES ARCOIRIS LTDA.</t>
  </si>
  <si>
    <t>TRANSPORTES Y SERVICIOS NELSON SOCIEDAD POR ACCIONES SIMPLIFICADA</t>
  </si>
  <si>
    <t>TRAESCOL SAS</t>
  </si>
  <si>
    <t>TRANSPORTES ESPECIALES DE COLOMBIA S.A.S. (TRAESCOL SAS)</t>
  </si>
  <si>
    <t>DISTRIBUCIONES ARIPORO LTDA.</t>
  </si>
  <si>
    <t>DISTRIBUIDOR Y TRANSPORTE DE CARGA S.A.S.</t>
  </si>
  <si>
    <t>MI CARGA S.A.S.</t>
  </si>
  <si>
    <t>GLOBAL SUPPORT &amp; SERVICE S.A.S.</t>
  </si>
  <si>
    <t>TRANSPORTES Y SERVICIOS NACIONALES S.A.S.</t>
  </si>
  <si>
    <t>TRANSPORTE LOPECARGA S.A.S.</t>
  </si>
  <si>
    <t>AGROLOGISTICA ESPECIALIZADA SAS</t>
  </si>
  <si>
    <t>SERVITRANSPORTES DE COLOMBIA S.A.S</t>
  </si>
  <si>
    <t>SERVICIOS TRANSMANARE S.A.S.</t>
  </si>
  <si>
    <t>COMPAÑIA PRESTADORA DE SERVICIOS SAS.</t>
  </si>
  <si>
    <t>TRANSPORTE DE PETROLEO Y CARGA S.A.S.</t>
  </si>
  <si>
    <t>SERVICIOS MAQUITRANS S.A.S.</t>
  </si>
  <si>
    <t>ESTRATEGIA Y SERVICIO COLOMBIANO DE TRANSPORTE S.A.S.</t>
  </si>
  <si>
    <t>ENVIOS &amp; CARGA INTERNACIONAL</t>
  </si>
  <si>
    <t>TANQUES Y SERVICIOS DEL CASANARE S.A.S.</t>
  </si>
  <si>
    <t>TRANSPORTES HIDROCARBUROS DE COLOMBIA S.A.S.</t>
  </si>
  <si>
    <t>ING &amp; JOB SOCIEDAD POR ACCIONES SIMPLIFICADA</t>
  </si>
  <si>
    <t>TRANSPORTES EQUIPETROL S.A.S.</t>
  </si>
  <si>
    <t>TRANSPORTADORA SANTANA S.A.S</t>
  </si>
  <si>
    <t>TRANSPORTES MONTAJES Y CONSTRUCCION DE OBRAS CIVILES S.A.S. TRANSMOC</t>
  </si>
  <si>
    <t>SERVICIOS DE CARGA SLINE S.A.S.</t>
  </si>
  <si>
    <t>INTEGRAL DE TRANSPORTES Y SERVICIOS SOCIEDAD POR ACCIONES SIMPLIFICADA</t>
  </si>
  <si>
    <t>TRANSPORTES Y SERVICIOS J.R. LTDA.</t>
  </si>
  <si>
    <t>TRANSPORTES GMT SAS</t>
  </si>
  <si>
    <t>AGREGADOS PETREOS DEL ARIPORO S.A.S</t>
  </si>
  <si>
    <t>TRANSTOCARIA DEL CASANARE LTDA.</t>
  </si>
  <si>
    <t>ECOPLANTA PROCESOS DE RESIDUOS INDUSTRIALES S.A.S.</t>
  </si>
  <si>
    <t>CASANAREÑA DE TRANSPORTES Y SERVICIOS NEIRA S.A.S.</t>
  </si>
  <si>
    <t>EXPLOTACIONES Y CONTRATOS LTDA.</t>
  </si>
  <si>
    <t>SERPETRANS S.A.S.</t>
  </si>
  <si>
    <t>TRANSPORTES GENERALES COLOMBIANOS S.A.S.</t>
  </si>
  <si>
    <t>PVC SERVICIOS Y TRANSPORTES DE LA ORINOQUIA S.A.S</t>
  </si>
  <si>
    <t>SUMINISTRO INDUSTRIAL DE COMBUSTIBLES S.A.S.</t>
  </si>
  <si>
    <t>MOVITRANSA SAS (SUMINISTRO INDUSTRIAL DE COMBUSTIBLES SUINCO S.A.S)</t>
  </si>
  <si>
    <t>OROCAM S.A.S.</t>
  </si>
  <si>
    <t>TRANSCURAMA SOCIEDAD POR ACCIONES SIMPLIFICADA</t>
  </si>
  <si>
    <t>UNIÒN LOGÌSTICA DE COLOMBIA S.A.S.</t>
  </si>
  <si>
    <t>LOGISTICA J.L. S.A.S.</t>
  </si>
  <si>
    <t>TRANSPORTES Y SERVICIOS NEITA CHAPARRO S.A.S.</t>
  </si>
  <si>
    <t>TRANSCARGA PP S.A.S.</t>
  </si>
  <si>
    <t>TRANSPORTES SUMINISTROS INTEGRADOS DE COLOMBIA S.A.S.</t>
  </si>
  <si>
    <t>PETRO LÌNEAS J.M. S.A.S.</t>
  </si>
  <si>
    <t>ALIANZA DE TRANSPORTES Y SERVICIOS DE MANI SA.S.</t>
  </si>
  <si>
    <t>TRANSPORTES Y SERVICIOS LA MARGINAL S.A.S.</t>
  </si>
  <si>
    <t>TRANSCARIBE DE LA SABANA S.A.S.</t>
  </si>
  <si>
    <t>SOCIEDAD ADMINISTRADORA DE TRANSPORTE TERRESTRE S.A.S.</t>
  </si>
  <si>
    <t>MBLS TRUCKS DE COLOMBIA S.A.S.</t>
  </si>
  <si>
    <t>COINCOL DE COLOMBIA S.A.S.</t>
  </si>
  <si>
    <t>TRANSPORTES MIGUEL CUCUNUBA S.A.S.</t>
  </si>
  <si>
    <t>TRANSPORTADORA GUACHIRIA S.A.S.</t>
  </si>
  <si>
    <t>TRANSPORTES EL MORRO S.A.S.</t>
  </si>
  <si>
    <t>TRANSPORTES CASTAÑEDA Y SERVICIOS SAS</t>
  </si>
  <si>
    <t>OROCUESEÑA DE TRANSPORTES LIMITADA</t>
  </si>
  <si>
    <t>SERVICIOS DE TRANSPORTE E INGENIERIA SAS</t>
  </si>
  <si>
    <t>CONSTRUCCIONES Y SERVICIOS ATLAS S.A.S.</t>
  </si>
  <si>
    <t>TRANSPORTES ORINOQUIA MÓVIL OÍL SAS</t>
  </si>
  <si>
    <t>SERVITRANSPORTES Y CONSTRUCCIONES EL GANDUL S.A.S.</t>
  </si>
  <si>
    <t>TRANSPORTES SEVILLA S.A.S.</t>
  </si>
  <si>
    <t>GN-CARGO SAS</t>
  </si>
  <si>
    <t>PAMITRANS S.A.S.</t>
  </si>
  <si>
    <t>R.R. TRANSPORTES Y CONSTRUCCIONES EL TRIUNFO S.A.S.A</t>
  </si>
  <si>
    <t>TRANSPORTES SEVILLA SAS</t>
  </si>
  <si>
    <t>RR TRANSPORTES Y CONSTRUCCIONES EL TRIUNFO S.A.S</t>
  </si>
  <si>
    <t>TRANSPORTES Y MONTAJES JB SAS</t>
  </si>
  <si>
    <t>TRANSPORTES &amp; MONTAJES J.B. S.A.S.</t>
  </si>
  <si>
    <t>TRANSPORTES VALUARTE ANDINA S.A.S</t>
  </si>
  <si>
    <t>NUNCHIANA DE TRANSPORTE ENTRANS S.A.S.</t>
  </si>
  <si>
    <t>SOLUCIONES INTEGRALES EL POZO S.A.S.</t>
  </si>
  <si>
    <t>TRANSPORTES Y SUMINISTROS TUA S.A.S.</t>
  </si>
  <si>
    <t>TRANSPORTE ESPECIALIZADO DE MATERIALES Y CARGAS SAS</t>
  </si>
  <si>
    <t>GRUPO LOGISTICO TRANSMIGUEL SAS</t>
  </si>
  <si>
    <t>INDACOS S.A.S</t>
  </si>
  <si>
    <t>SUPPLY &amp; TRADING SERVICES S.A.S.</t>
  </si>
  <si>
    <t>COOPERATIVA CASANAREÑA DE TRANSPORTADORES LTDA.</t>
  </si>
  <si>
    <t>LIBERTRANS S.A.S.</t>
  </si>
  <si>
    <t>TERRESTRE DE CARGA SOCIEDAD POR ACCIONES SIMPLIFICADA</t>
  </si>
  <si>
    <t>J&amp;M INGENIERIA SAS</t>
  </si>
  <si>
    <t>A V LOGISTIC S.A.S.</t>
  </si>
  <si>
    <t>TRANSPORTES WCARGO S.A.S.</t>
  </si>
  <si>
    <t>WMOH Y CIA LTDA</t>
  </si>
  <si>
    <t>OPERADORES DE TRANSPORTE RUBI SAS</t>
  </si>
  <si>
    <t>TRANSPORTES INFINITO LTDA</t>
  </si>
  <si>
    <t>MAGNO TRANSPORTES DE COLOMBIA S.A.S.</t>
  </si>
  <si>
    <t>LJ LOGISTIC SERVICES S.A.S.</t>
  </si>
  <si>
    <t>H &amp; M SERVICIOS Y TRANSPORTES DE LA ORINOQUIA S.A.S.</t>
  </si>
  <si>
    <t>TRANSPORTES P&amp;R S.A.S.</t>
  </si>
  <si>
    <t>TRANSPORTES P &amp; R S.A.S.</t>
  </si>
  <si>
    <t>TRANSPORTES COTRANSERVIS S.A.S.</t>
  </si>
  <si>
    <t>SERVICIOS INTEGRALES DE LOGÍSTICA S.A.S.</t>
  </si>
  <si>
    <t>TRANSPORTADORES COOPERADOS DE NOBSA</t>
  </si>
  <si>
    <t>COLOMBIAN TRANSPORT COMPANY LIMITADA</t>
  </si>
  <si>
    <t>TRANSPORTES LOGÍSTICOS PETROLEROS DE LA ORINOQUIA S.A.S.</t>
  </si>
  <si>
    <t>COOPERATIVA DE TRANSPORTADORES DE PAZ DE ARIPORO LIMITADA</t>
  </si>
  <si>
    <t>TRANSPORTES LA COLINA SOCIEDAD POR ACCIONES SIMPLIFICADA</t>
  </si>
  <si>
    <t>TRANSPORTES INTEGRALES PETROLEROS S.A.S.</t>
  </si>
  <si>
    <t>TRANSCOLOMBIA INTEGRAL S.A.S.</t>
  </si>
  <si>
    <t>SERVICIOS INTEGRALES LOS CHOCHOS SAS</t>
  </si>
  <si>
    <t>ECOTRANSLLANO S.A.S.</t>
  </si>
  <si>
    <t>EL ALCARAVAN TRANSPORTADORA LOGISTICA S.A.S.</t>
  </si>
  <si>
    <t>INTERVOLCARGAS G.R. S.A.S.</t>
  </si>
  <si>
    <t>COOPERATIVA DE TRANSPORTADORES DE SANTA IRENE Y BOCAS DEL PAUTO LIMITAD</t>
  </si>
  <si>
    <t>COOPERATIVA DE TRANSPORTADORES DEL LLANO - COOTRANSLLANO</t>
  </si>
  <si>
    <t>INTTRA DE LA ORINOQUIA SAS</t>
  </si>
  <si>
    <t>VOLQUETAS Y TANQUES DE CARGA DE PAZ DE ARIPORO SAS</t>
  </si>
  <si>
    <t>TECNOTRANSERVIS S.A.S.</t>
  </si>
  <si>
    <t>TRANSPESADOS GW SAS (ANTES TECNOTRANSSERVIS S.A.S.)</t>
  </si>
  <si>
    <t>SERVICIOS INTEGRALES COLOMBIANOS S.A.S.</t>
  </si>
  <si>
    <t>TRANSPORTES &amp; FLUIDOS DE COLOMBIA S.A.S. E.S.P.</t>
  </si>
  <si>
    <t>RENTAL MACHINE INGENIERIA Y SERVICIOS S.A.S.</t>
  </si>
  <si>
    <t>EMPRESA TRANSPORTADORA DE CARGA DE VILLANUEVA S.A.S</t>
  </si>
  <si>
    <t>TRANSCARGA EXPRESS S.A.S.</t>
  </si>
  <si>
    <t>TNC TERRITORIOS NACIONALES COURRIER LTDA.</t>
  </si>
  <si>
    <t>SIMA INGENIEROS S.A.S.</t>
  </si>
  <si>
    <t>TRANSPORTES AR S.A.S.</t>
  </si>
  <si>
    <t>TRANSPORTADORES UNIDOS DE CARGA S.A.S.</t>
  </si>
  <si>
    <t>TRANSPORTES Y SERVICIOS PL S.A.S.</t>
  </si>
  <si>
    <t>PETROCAMS S.A.S.</t>
  </si>
  <si>
    <t>TRANSPORTES UNIDOS ESPECIALES ASOTUSOT S.A.S.</t>
  </si>
  <si>
    <t>TRANSPORTE TERRESTRE Y FLUVIAL LLANO GRANDE S.A.S. "T.F.L. S.A.S."</t>
  </si>
  <si>
    <t>TRANSPORTES FUEGO VERDE S.A.S.</t>
  </si>
  <si>
    <t>TRANSPORTES Y SERVICIOS TSO S..A.S</t>
  </si>
  <si>
    <t>TRANSTUA INGENIERIA S.A.S.</t>
  </si>
  <si>
    <t>LABS TRANSPORTE DE CARGA S.A.S.</t>
  </si>
  <si>
    <t>TRANSYUNHER S.A.S</t>
  </si>
  <si>
    <t>TRANSPORTES LUMAR SAS</t>
  </si>
  <si>
    <t>FREING PLUS CO SAS</t>
  </si>
  <si>
    <t>SERVIMOREL LTDA</t>
  </si>
  <si>
    <t>Por la cual se modifican los datos contenidos en el acto administrativo que le concede habilitación a la empresa SERVIMOREL LIMITADA, NIT 820.003.414-4, para prestar el
 Servicio Público de Transporte Terrestre Automotor de Carga”</t>
  </si>
  <si>
    <t>UTEMPO S.A.S.</t>
  </si>
  <si>
    <t>ERTRAC S.A.S.</t>
  </si>
  <si>
    <t>COMPAÑIA INTEGRAL DE SERVICIOS PARA COLOMBIA S.A.S</t>
  </si>
  <si>
    <t>TRANSPORTE INGENIERIA Y CONSTRUCCION CANAGUAROS S.A.S.</t>
  </si>
  <si>
    <t>AGREGADOS DEL TOCARIA LTDA.</t>
  </si>
  <si>
    <t>HOLDING EMPRESARIAL INTEGRAL S.A.S</t>
  </si>
  <si>
    <t>CAMPAMENTOS CASANARE SAS "CAMPACASA"</t>
  </si>
  <si>
    <t>GARCIA OROZCO ´GAO´ S.A.S.</t>
  </si>
  <si>
    <t>TRANSCARGA RP S.A.S</t>
  </si>
  <si>
    <t>TECNICOS EN MONTAJES MECANICOS Y CIVILES LTDA MMT LTDA</t>
  </si>
  <si>
    <t>TRANSRUBIO S.A.S.</t>
  </si>
  <si>
    <t>SENT INGENIERIA S.A.S</t>
  </si>
  <si>
    <t>TRANSPORTE DE CARGA TRANS DE LOS LLANOS SAS</t>
  </si>
  <si>
    <t>TRICOR EQUIPOS S.A.S</t>
  </si>
  <si>
    <t>GRUYTRANSPORT S.A.S</t>
  </si>
  <si>
    <t>SOLUCIONES Y SERVICIOS DE CARGA S.A.S. SOLCARGAS</t>
  </si>
  <si>
    <t>MULTISERVICIOS UNITRANSJOLY S.A.S</t>
  </si>
  <si>
    <t>TRANSPORTES Y SERVICIOS OTR S.A.S</t>
  </si>
  <si>
    <t>ASOCIACIÓN DE DE PROPIETARIOS DE VOLQUETAS Y MAQUINAS</t>
  </si>
  <si>
    <t>EMC SERVICIOS S.A.S</t>
  </si>
  <si>
    <t>JIMENEZ CARGA SAS</t>
  </si>
  <si>
    <t>OROTRANSPORTES DEL LLANO S.A.S.</t>
  </si>
  <si>
    <t>TRANSPORTES Y SERVICIOS CHECO S.A.S.</t>
  </si>
  <si>
    <t>CARELI C&amp;P S.A.S.</t>
  </si>
  <si>
    <t>ALIANZA DE TRANSPORTADORES DE PORE S.A.S.</t>
  </si>
  <si>
    <t>CARGA ATS SAS (ANTES AGREMIACION DE TRANSPORTADORES DE SAMACA ATS S.A.S</t>
  </si>
  <si>
    <t>RUMA INGENIERIA S.A.S.</t>
  </si>
  <si>
    <t>TRANSPORTES LOGISTICOS &amp; SERVICIOS HERNANDES S.A.S</t>
  </si>
  <si>
    <t>A&amp;N TRANSPORTES DEL PAUTO S.A.S</t>
  </si>
  <si>
    <t>ASOCIACION DE VOLQUETEROS CAMIONEROS MAQUINARIA Y TURBOS “ASOVOLCAMT”</t>
  </si>
  <si>
    <t>TRANSPORTES Y SERVICIOS DEL JAGUA S.A.S.</t>
  </si>
  <si>
    <t>C&amp;G ASOCIADOS Y CIA S.C.A.</t>
  </si>
  <si>
    <t>TRANSPORTES GM SOLUCIONES EN MOMIVIENTO S.A.S.</t>
  </si>
  <si>
    <t>SERGETRANS DE COLOMBIA S.A.S.</t>
  </si>
  <si>
    <t>CENTALS SOCIEDAD POR ACCIONES SIMPLIFICADA EMPRESA DE SERVICIOS PUBLICOS</t>
  </si>
  <si>
    <t>TIERRADENTRO LANDINEZ DE COLOMBIA S.A.S. "TIERRACOLL S.A.S."</t>
  </si>
  <si>
    <t>ASOCIACION DE VOLQUETEROS Y MAQUINARIA PESADA VOLCARGAS</t>
  </si>
  <si>
    <t>MAREES SAS ESP</t>
  </si>
  <si>
    <t>KBINA S.A.S.</t>
  </si>
  <si>
    <t>TRANSPORTES LA FAMA SAS</t>
  </si>
  <si>
    <t>V&amp;A TRANSPORTES S.A.S.</t>
  </si>
  <si>
    <t>TRANSPORTES ESPECIALES Y CARGA COLOMBIA SAS TESCCOL</t>
  </si>
  <si>
    <t>JMS MULTISERVICIOS S.A.S.</t>
  </si>
  <si>
    <t>SERVICIOS ESPECIALES COLECTIVOS Y TURISTICOS S.A.S. "SESCOTUR S.A.S."</t>
  </si>
  <si>
    <t>MULTISERVICIOS LIMITADA</t>
  </si>
  <si>
    <t>TRANSPORTES CASTAÑEDA PEREZ S.A.S. "TRANSCANI PLUS S.A.S."</t>
  </si>
  <si>
    <t>BECERRA DIAZ &amp; ASOCIADOS SAS - ZOMAC</t>
  </si>
  <si>
    <t>OPERADOR LOGISTICO INTERNACIONAL S.A.S.</t>
  </si>
  <si>
    <t>J&amp;M SERVICES HSEQ SAS</t>
  </si>
  <si>
    <t>J&amp;C ASOCIADOS S.A.S.</t>
  </si>
  <si>
    <t>TRANSPORTES Y OBRAS CIVILES DE COLOMBIA S.A.S.</t>
  </si>
  <si>
    <t>TRANSPORTES CONSTRUCCIONES MONTAJES INGENIERIA SAS "TRANSPORTES CMI SA</t>
  </si>
  <si>
    <t>GEOCIVILES S.A.S.</t>
  </si>
  <si>
    <t>TRANSCT S.A.S</t>
  </si>
  <si>
    <t>SERVICIOS TRANSPORTES ALQUILER &amp; MONTAJES DEL CASANARE S.A.S "STAM CASAN</t>
  </si>
  <si>
    <t>TRANSPORTADORA DE LA COSTA S.A.S</t>
  </si>
  <si>
    <t>TRANSPORTE CELESTE HUARE S.A.S. "TRANCEHAR SAS"</t>
  </si>
  <si>
    <t>MULTISERVICIOS LLANOCARGA SAS</t>
  </si>
  <si>
    <t>L&amp;H INDUSTRIA ESPECIALIZADA S.A.S.</t>
  </si>
  <si>
    <t>SERVICIOS TECNICOS EN CONSTRUCCIONES Y MANTENIMIENTOS COLOMBIA S.A.S.</t>
  </si>
  <si>
    <t>M&amp;C TRANSCARGA S.A.S</t>
  </si>
  <si>
    <t>CONSTRUPETROL G &amp; G S.A.S.</t>
  </si>
  <si>
    <t>TRANSPORTADORA DE CARGA TOBAZA S.A.S "TOBAZA S.A.S."</t>
  </si>
  <si>
    <t>TRANSPORTES WORK INCO S.A.S.</t>
  </si>
  <si>
    <t>CONDUCIR LTDA</t>
  </si>
  <si>
    <t>LOGISTICA Y TRANSPORTES DEL CASANARE</t>
  </si>
  <si>
    <t>TRANSAGROCARGA SAS</t>
  </si>
  <si>
    <t>GOLDENTOURS S.A.S.</t>
  </si>
  <si>
    <t>TRANSPORTE DE CARGA Y MAQUINARIA SAS (TCM GROUP SAS )</t>
  </si>
  <si>
    <t>“Por la cual se acepta el Traslado de la Dirección Territorial Cundinamarca a la Dirección Territorial Boyacá, de los antecedentes de la Habilitación de la empresa TRANSPORTE DE CARGA Y MAQUINARIA S.A.S con sigla TCM GROUP S.A.S, para
 prestar el Servicio Público de Transporte Terrestre Automotor
 de Carga”</t>
  </si>
  <si>
    <t>BOYACÁ</t>
  </si>
  <si>
    <t>TRUCKING SERVICES &amp; LOGISTIC COMPANY S.A.S.</t>
  </si>
  <si>
    <t>CALDAS</t>
  </si>
  <si>
    <t>COOPERATIVA DE TRANSPORTADORES DE CARGA DE MANIZALES</t>
  </si>
  <si>
    <t>TRANSPORTES LA NUBIA LTDA</t>
  </si>
  <si>
    <t>ORGANIZACION LOGISTICA EMPRESARIAL ANDINA S.A.</t>
  </si>
  <si>
    <t>DISTRIBUIDORA CALDENSE DE CARGA SAS</t>
  </si>
  <si>
    <t>COOPERATIVA DE TRANSPORTADORES DEL NORTE DE CALDAS</t>
  </si>
  <si>
    <t>COOPERATIVA SERVICIOS INTEGRALES ESPECIALES DE TRANSPORTE CTACOOPSERVIN</t>
  </si>
  <si>
    <t>INVERSIONES PAYSANDU S.A.S - TRANSPORTES TRP S.A.S</t>
  </si>
  <si>
    <t>MAESTRI ON TRACK S.A.S.</t>
  </si>
  <si>
    <t>INVERSIONES Y TRANSPORTES GLOBAL LTDA.</t>
  </si>
  <si>
    <t>COMPAÑIA NACIONAL DE REEXPEDICIONES S.A.S. CONEXIONES S.A.S.</t>
  </si>
  <si>
    <t>TRANSPORTES ESPECIALES EL SAMAN S.A. (NOMBRE ACTUAL TRANSESPECIALES EL S</t>
  </si>
  <si>
    <t>SUSENCARGOS LOGISTICA S.A.S.</t>
  </si>
  <si>
    <t>SOCIEDAD REVLOG S.A.S</t>
  </si>
  <si>
    <t>LA MESETA LOGISTICS S.A.S (NOMBRE ACTUAL TRANSPORTARME SAS)</t>
  </si>
  <si>
    <t>RECISERVICIOS LOGISTICA CIRCULAR SAS</t>
  </si>
  <si>
    <t>MAZCARGA SAS</t>
  </si>
  <si>
    <t>CAUCA</t>
  </si>
  <si>
    <t>SOCIEDAD TRANSPORTADORA DEL CAUCA</t>
  </si>
  <si>
    <t>COOPERATIVA DE MOTORISTAS DEL CAUCA LTDA</t>
  </si>
  <si>
    <t>COTRANSCAUCA S.A</t>
  </si>
  <si>
    <t>COOPERATIVA INTEGRAL DE TRANSPORTES RAPIDO TAMBO LTDA</t>
  </si>
  <si>
    <t>COMPAÑIA LOGISTICA Y TRANSPORTE DE CARGA LOGISCAR LTDA</t>
  </si>
  <si>
    <t>COOPERATIVA DE TRANSPORTADORES DEL SUR DEL CAUCA</t>
  </si>
  <si>
    <t>COOPERATIVA INTEGRAL DE TAXIS BELALCAZAR</t>
  </si>
  <si>
    <t>LAM INGENIERIA Y TRANSPORTES S.A.S</t>
  </si>
  <si>
    <t>TRANSPORTANDO AM LOGISTICA INTEGRAL SAS</t>
  </si>
  <si>
    <t>CESAR</t>
  </si>
  <si>
    <t>TRANSPORTES AROCA Y CIA LTDA</t>
  </si>
  <si>
    <t>TRANSPORTES R.G.R. LTDA</t>
  </si>
  <si>
    <t>COOPERATIVA DE TRANSPORTADORES DE AGUACHICA</t>
  </si>
  <si>
    <t>SOCIEDAD TRANSPORTADORA DE CAFÉ</t>
  </si>
  <si>
    <t>DANA EMPRESA UNIPERSONAL</t>
  </si>
  <si>
    <t>CONSORCIO DIA S.A.</t>
  </si>
  <si>
    <t>INVERSIONES FERSA S.A.S.</t>
  </si>
  <si>
    <t>TRANSPORTE SAN MARTIN S.A.S.</t>
  </si>
  <si>
    <t>GAONA TRANSPORTES INTEGRALES S.A.S.</t>
  </si>
  <si>
    <t>MULTIGRUAS DEL CESAR S.A.S.</t>
  </si>
  <si>
    <t>MULTISERVICIOS SAN MARTIN S.A.S.</t>
  </si>
  <si>
    <t>ASOCIACION UNIDA DE VOLQUETEROS DE SAN ALBERTO CESAR</t>
  </si>
  <si>
    <t>GRUPO EMPRESARIAL DE SERVICIOS DEL CESAR S.A.S.</t>
  </si>
  <si>
    <t>ASOC.TRANSP.INTEGRALES DEL SUR DEL CESAR</t>
  </si>
  <si>
    <t>COOPERATIVA TRANSPORTADORA DE COLOMBIA.</t>
  </si>
  <si>
    <t>GRUAS LONDOÑO SAS</t>
  </si>
  <si>
    <t>ALIADOS DE TRANSPORTE DE COLOMBIA S.A.S.</t>
  </si>
  <si>
    <t>INTEGRAL DE SERV.MAT. DE CONST.TRANSP.Y ACTIV.AFINES S.A.S.</t>
  </si>
  <si>
    <t>SOCIEDAD DE CONTRATISTAS DE OBRAS CIVILESY TRANSPORTADORES DE VOLQUETE</t>
  </si>
  <si>
    <t>TRANSPORTES AGUA RIO S.A.S.</t>
  </si>
  <si>
    <t>CONSULTORIA Y EJECUCION TECNICA DE LABORES AGROPECUARIAS S.A.S.</t>
  </si>
  <si>
    <t>EMPRESA DE TRANSPORTES Y SERVICIOS DE COLOMBIA TRASERCOL S.A.S.</t>
  </si>
  <si>
    <t>CTS CESAR S.A.S.</t>
  </si>
  <si>
    <t>TRANSPORTES LOGISTICOS &amp; SERVICIOS DE INGENIERIA S.A.S.</t>
  </si>
  <si>
    <t>TRANSPORTES Y CONSTRUCCIONES DE COLOMBIA S.A.S.</t>
  </si>
  <si>
    <t>SERVICIOS Y TRANSPORTES MORRINSON S.A.S.</t>
  </si>
  <si>
    <t>TRANSPORTES QUINTANA S.A.S.</t>
  </si>
  <si>
    <t>SUMINISTROS Y TRANSPORTE FORTUNA SAS</t>
  </si>
  <si>
    <t>TSO &amp; ASOCIADOS S.A.S.</t>
  </si>
  <si>
    <t>AFLAM S.A.S.</t>
  </si>
  <si>
    <t>EMPRESA DE SERVICIOS OPERACIONES E INGIENERIA S.A.S.</t>
  </si>
  <si>
    <t>TRANSPORTES INTEGRALES OBRAS CIVILES SERVICIOS MINEROS &amp; PETROLEROS S.A.</t>
  </si>
  <si>
    <t>CARTRAGUA S.A.S.</t>
  </si>
  <si>
    <t>ARQUIN LOGISTICS S.A.S.</t>
  </si>
  <si>
    <t>TRANSPORTES CARVAJAL LTDA</t>
  </si>
  <si>
    <t>COOPERATIVA MULTIACTIVA DE TRANSPORTADORES DE SERVICIO ESPECIAL DEL NOR</t>
  </si>
  <si>
    <t>INGENIERIA TRANSPORTE Y SERVICIOS S.A.S.</t>
  </si>
  <si>
    <t>UNION TRANSPORTADORA DE SERVICIOS DE COLOMBIA S.A.S.</t>
  </si>
  <si>
    <t>TRANSPORTES CSM SAS</t>
  </si>
  <si>
    <t>TRANSPORTE Y MAQUINARIA DE COLOMBIA S.A.S.</t>
  </si>
  <si>
    <t>UNIVERSAL DE SERVICIOS DE TRANSPORTES COLOMBIA S.A.S.</t>
  </si>
  <si>
    <t>TRANSPORTES MULTIMODAL DEL CESAR S.A.S.</t>
  </si>
  <si>
    <t>MAFEGAS S.A.S.</t>
  </si>
  <si>
    <t>TRANSPORTES Y SERVICIOS PORTILLO S.A.S.</t>
  </si>
  <si>
    <t>JUAN CARLOS MORON APARICIO JCM S.A.S.</t>
  </si>
  <si>
    <t>TRANSPSOL SAS</t>
  </si>
  <si>
    <t>COOPERATIVA DE TRANSPORTADORES DE SAN MARTIN</t>
  </si>
  <si>
    <t>CENTRAL DE HERRAMIENTAS EQUIPOS INDUSTRIALES Y MECANISMOS SAS</t>
  </si>
  <si>
    <t>TRANSFRUAGRO COMPANY SAS</t>
  </si>
  <si>
    <t>EQUIMAQ DEL CESAR SAS</t>
  </si>
  <si>
    <t>ECOTRANSUR-SERVICIOS LOGISTICOS AMBIENTALES DEL SUR SAS</t>
  </si>
  <si>
    <t>INNOVAPETROL SAS</t>
  </si>
  <si>
    <t>WORD INOVIC MULTISERVICIOS SAS</t>
  </si>
  <si>
    <t>MULTIPETROL LLANO SAS</t>
  </si>
  <si>
    <t>OPERADOR LOGISTICO SALEM S.A.S.</t>
  </si>
  <si>
    <t>CARGAS M&amp;M S.A.S.</t>
  </si>
  <si>
    <t>LOGISTICA Y TRANSPORTES PC S.A.S.</t>
  </si>
  <si>
    <t>TRANSPORTE GARCIA CAICEDO S.A.S.</t>
  </si>
  <si>
    <t>TRANSPORTES ESPECIALES Y DE CARGA DEL NORTE S.A.S.</t>
  </si>
  <si>
    <t>TRANSVOLSUR S.A.S.</t>
  </si>
  <si>
    <t>TRASLADARC</t>
  </si>
  <si>
    <t>TELEPOSTAL EXPRESS LIMITADA</t>
  </si>
  <si>
    <t>TRUCKS 77 S.A.S.</t>
  </si>
  <si>
    <t>FINTECH 4 CARGO S.A.S.</t>
  </si>
  <si>
    <t>EMPRESA COLOMBIANA DE COMBUSTIBLE, TRANSPORTE Y SERVICIOS COMPLEMENTAR</t>
  </si>
  <si>
    <t>TRANSPORTES Y SERVICIOS CEMCOL S.A.S.</t>
  </si>
  <si>
    <t>GARGOTED S.A.S.</t>
  </si>
  <si>
    <t>EQUIPOS Y TRANSPORTE DEL CESAR S.A.S.</t>
  </si>
  <si>
    <t>SANMAR HOLDING GRUPO S.A.S.</t>
  </si>
  <si>
    <t>LOS MAGNIFICOS S.A.S.</t>
  </si>
  <si>
    <t>CLECOL-CLEAN ECOLOGY S.A.S.</t>
  </si>
  <si>
    <t>MODAL TRACK SERVICE S.A.S.</t>
  </si>
  <si>
    <t>COMPAÑÍA DE SERVICIOS INEGRALES DE TRANSPORTE Y SOLUCIONES LOGISTICAS S.</t>
  </si>
  <si>
    <t>TRANSCARIBE CARGA S.A.S.</t>
  </si>
  <si>
    <t>TRANSPORTES ESPECIALES INTERCOL S.A.S.</t>
  </si>
  <si>
    <t>YEGO ECO-T S.A.S.</t>
  </si>
  <si>
    <t>TRANSPORTES Y SERVICIOS INTEGRALES TRAVEL LOGISTIC SAS</t>
  </si>
  <si>
    <t>TRANSPORTES OPTIMUS S.A.S.</t>
  </si>
  <si>
    <t>TRANSPORTES Y PROYECTOS VIALES LA PAZ S.A.S.</t>
  </si>
  <si>
    <t>JTR LOGISTICA EMPRESARIAL DE TRANSPORTE S.A.S.</t>
  </si>
  <si>
    <t>VHARMA GROUP S.A.S.</t>
  </si>
  <si>
    <t>TRANSPORTES Y SERVICIOS INTEGRALES SERVIEXPRESS S.A.S.</t>
  </si>
  <si>
    <t>TRANSPORTES Y SOLUCIONES INTEGRALES GLOBAL S.A.S.</t>
  </si>
  <si>
    <t>TRANSPORTES SAN ALBERTO S.A.S.</t>
  </si>
  <si>
    <t>TRANSPORTES LOGISTICAR DEL RIO S.A.S.</t>
  </si>
  <si>
    <t>COOPERATIVA DE SERVICIOS ESPECIALES DEL NORTE</t>
  </si>
  <si>
    <t>LOGISTICA EXPRESS DE CARGA S.A.S.</t>
  </si>
  <si>
    <t>CARTRAGUA TRANSPORTES S.A.S.</t>
  </si>
  <si>
    <t>TRANSPORTE INGENIERIA CONSTRUCCION Y METALMECANICA DE COLOMBIA S.A.S.</t>
  </si>
  <si>
    <t>ECOCARGAS COLOMBIA S.A.S.</t>
  </si>
  <si>
    <t>TRANSPORTES Y SERVICIOS LOGISTICOS SERVIGLOBAL S.A.S.</t>
  </si>
  <si>
    <t>SERVICIOS LOGISTICOS DE COLOMBIA, JUST TIME S.A.S.</t>
  </si>
  <si>
    <t>SOLUSAM S.A.S.</t>
  </si>
  <si>
    <t>365 OPERADOR LOGISTICO S.A.S.</t>
  </si>
  <si>
    <t>SERVICIOS INDUSTRIALES Y PETROLEROS DEL NORTE S.A.S.</t>
  </si>
  <si>
    <t>LOGISTICA Y TRANSPORTE DE PALMA S.A.S.</t>
  </si>
  <si>
    <t>SERPETCOL S.A.S.</t>
  </si>
  <si>
    <t>TRANSPORTES INTEGRALES SERVICARGAS DE COLOMBIA S.A.S.</t>
  </si>
  <si>
    <t>RCDS Y AGREGADOS NACIONALES S.A.S.</t>
  </si>
  <si>
    <t>SERVIC CARGA S.A.S.</t>
  </si>
  <si>
    <t>TRANSPORTES Y SERVICIOS LOGISTICOS SERVICARGAS DEL NORTE S.A.S.</t>
  </si>
  <si>
    <t>STANDARD TRANSPORT ZABDI S.A.S.</t>
  </si>
  <si>
    <t>ELITE CARGA S.A.S.</t>
  </si>
  <si>
    <t>TRANSPORTES MAKRO VIAL S.A.S.</t>
  </si>
  <si>
    <t>TRANSPORTES Y SERVICIOS LOGISTICOS SERVIMAXX S.A.S.</t>
  </si>
  <si>
    <t>CARGA PREMIUM S.A.S.</t>
  </si>
  <si>
    <t>TRANSPORTES Y GRUAS LEBES S.A.S.</t>
  </si>
  <si>
    <t>TRANSPORTES A.J. S.A.S.</t>
  </si>
  <si>
    <t>TRANSPORTES Y SERVICIOS LOGISTICOS SERVICARGAS DE COLOMBIA S.A.S.</t>
  </si>
  <si>
    <t>GLOBAL CARGAS LOGISTICS S.A.S.</t>
  </si>
  <si>
    <t>MAKROCARGA LOGISTICA S.A.S.</t>
  </si>
  <si>
    <t>TRANSPORTES, LOGISTICA Y MOVILIDAD S.A.S.-SIGLA: TLM TRANSPORTES S.A.S.</t>
  </si>
  <si>
    <t>TRANSPORTES DE CARGA D&amp;S S.A.S.</t>
  </si>
  <si>
    <t>CORDOBA</t>
  </si>
  <si>
    <t>COOPERATIVA DE TRANSPORTADORES DE CARGA DEL SINU LTDA</t>
  </si>
  <si>
    <t>TRANSPORTES EL CORDOBES LTDA.</t>
  </si>
  <si>
    <t>SERVICIOS Y SUMINISTROS DE SUCRE LTDA.</t>
  </si>
  <si>
    <t>R Y G TRANSPORTE S.A.S.</t>
  </si>
  <si>
    <t>TRANSPORTES GANADEROS DE CORDOBA POSADA S.A.S.</t>
  </si>
  <si>
    <t>INVERSIONES TRANPORTE Y COMERCIALIZADORA DE COMBUSTIBLE SAS</t>
  </si>
  <si>
    <t>TRANSPORTES APC S.A.S</t>
  </si>
  <si>
    <t>MAQUITERRA S.A.S</t>
  </si>
  <si>
    <t>ENTREGACARGAS S.A.S</t>
  </si>
  <si>
    <t>TRANSPORTES BARUC S.A.S</t>
  </si>
  <si>
    <t>TRANSPORTE DE CARGA SOLUCIONES FAST S.A.S</t>
  </si>
  <si>
    <t>TRANSPORTE DE CARGA LOGISTICA Y MUDANZAS FONSECA S.A.S</t>
  </si>
  <si>
    <t>TRANSPORTE DE CARGA SERVICOM INDUSTRIALES S.A.S</t>
  </si>
  <si>
    <t>TRANSPORTE DE CARGA STARD LAND S.A.S</t>
  </si>
  <si>
    <t>TRANSPORTE ALPOPULAR CARGA S.A.S</t>
  </si>
  <si>
    <t>GRUAS Y TRANSPORTE DE LA SABANA S.A.S</t>
  </si>
  <si>
    <t>TRANSPORTES ECOLOMBIA S.A.S.</t>
  </si>
  <si>
    <t>MULTISERVICIOS PUEBLO NUEVO S.A.S</t>
  </si>
  <si>
    <t>LOGISTICAS OPECOL S.A.S</t>
  </si>
  <si>
    <t>SERVICIOS DE INGENIERIA Y TRANSPORTE TERRESTRE S.A.S</t>
  </si>
  <si>
    <t>MOVILIZAMOS LOGISTICA Y TRANSPORTE S.A.S</t>
  </si>
  <si>
    <t>SINUGRAVAS S.A.S.</t>
  </si>
  <si>
    <t>TRANSPORTANDO CARGA Y LOGISTICA S.A.S</t>
  </si>
  <si>
    <t>COOPERATIVA DE TRANSPORTE ESPECIAL DE CÓRDOBA</t>
  </si>
  <si>
    <t>SLP SERVICIOS LOGISTICOS PETROLEROS S.A.S.</t>
  </si>
  <si>
    <t>SOCIEDAD TRANSPORTADORA DE CORDOBA S.A.</t>
  </si>
  <si>
    <t>SUMEM LOGISTICA S.A.S</t>
  </si>
  <si>
    <t>TLC - TRANSPORTE LOGISTICO DE CARGA S.A.S</t>
  </si>
  <si>
    <t>ASESORIAS TECNICO LOGISTICAS ASTECLOG S.A.S</t>
  </si>
  <si>
    <t>OCM TRANSPORTES S.A.S</t>
  </si>
  <si>
    <t>CUNDINAMARCA</t>
  </si>
  <si>
    <t>TRANSPORTES ASTRES LTDA</t>
  </si>
  <si>
    <t>No encontrada</t>
  </si>
  <si>
    <t>Gerencia</t>
  </si>
  <si>
    <t>(601) 2019993</t>
  </si>
  <si>
    <t>TRANSPORTES AUTO ALFAN LTDA</t>
  </si>
  <si>
    <t>www.trans-autoalfan.com</t>
  </si>
  <si>
    <t>Luis Alberto Zamora - Gerente Operacional</t>
  </si>
  <si>
    <t>(601) 4118128</t>
  </si>
  <si>
    <t>SASO S.A.</t>
  </si>
  <si>
    <t>CARGA MUDANZAS COLOMBIA S.A.</t>
  </si>
  <si>
    <t>www.cargamudanzas.com</t>
  </si>
  <si>
    <t>Gerencia General</t>
  </si>
  <si>
    <t>(601) 8937660</t>
  </si>
  <si>
    <t>TRANSPORTES HUMADEA LTDA.</t>
  </si>
  <si>
    <t>www.humadea.com.co</t>
  </si>
  <si>
    <t>contacto@humadea.com.co</t>
  </si>
  <si>
    <t>Coordinacion Comercial</t>
  </si>
  <si>
    <t>(601) 8964150</t>
  </si>
  <si>
    <t>ALMACENAMIENTO Y TRANSPORTE ESPECIALIZADO S.A.</t>
  </si>
  <si>
    <t>No encontrada (ALTE S.A.)</t>
  </si>
  <si>
    <t>(601) 8786145</t>
  </si>
  <si>
    <t>COOPERATIVA DE TRANSPORTADORES DE ZIPAQUIRA</t>
  </si>
  <si>
    <t>www.cootranszipa.com.co</t>
  </si>
  <si>
    <t>Wilmar Gomez - Pte. Consejo Adm.</t>
  </si>
  <si>
    <t>gerencia@cootranszipa.com.co</t>
  </si>
  <si>
    <t>Secretaria</t>
  </si>
  <si>
    <t>(601) 8896571</t>
  </si>
  <si>
    <t>SURAMERICANA DE TRANSPORTES S.A.</t>
  </si>
  <si>
    <t>www.suramericanadetransportes.com</t>
  </si>
  <si>
    <t>Direccion Comercial</t>
  </si>
  <si>
    <t>Comercial@suratrans.com</t>
  </si>
  <si>
    <t>(601) 9159191</t>
  </si>
  <si>
    <t>INTEGRAL DE CARGA LTDA.</t>
  </si>
  <si>
    <t>CIA. COLOMBIANA DE CARGA CONCARGA S.A.</t>
  </si>
  <si>
    <t>www.concarga.co</t>
  </si>
  <si>
    <t>Gerencia Comercial</t>
  </si>
  <si>
    <t>TRANSPORTES DE CARGA NACIONAL LTDA</t>
  </si>
  <si>
    <t>www.tcnltda.com</t>
  </si>
  <si>
    <t>Gerencia Ventas</t>
  </si>
  <si>
    <t>ventas@tcnltda.com</t>
  </si>
  <si>
    <t>Logistica</t>
  </si>
  <si>
    <t>logistica@tcnltda.com</t>
  </si>
  <si>
    <t>ANDINA EXPRESS S.A.</t>
  </si>
  <si>
    <t>(601) 3404246</t>
  </si>
  <si>
    <t>PISOTRANS S.A</t>
  </si>
  <si>
    <t>(601) 3311515</t>
  </si>
  <si>
    <t>ENERPETROL S.A.</t>
  </si>
  <si>
    <t>www.enerpetrolsa.com</t>
  </si>
  <si>
    <t>gerencia@enerpetrolsa.com</t>
  </si>
  <si>
    <t>(601) 5311860</t>
  </si>
  <si>
    <t>AGIL CARGO S.A.S</t>
  </si>
  <si>
    <t>www.aldialogistica.com</t>
  </si>
  <si>
    <t>Leonel Molina Varela - Contacto</t>
  </si>
  <si>
    <t>lemolvar@gmail.com</t>
  </si>
  <si>
    <t>MULTISERVICIOS MENDOZA LTDA.</t>
  </si>
  <si>
    <t>TRANSPORTADORA HUMAR LTDA</t>
  </si>
  <si>
    <t>TRANS LOGISTICA LTDA</t>
  </si>
  <si>
    <t>STAR TRANS ACIDOS Y QUIMICOS S.A.S.</t>
  </si>
  <si>
    <t>D&amp;G TRANSPORTES LTDA</t>
  </si>
  <si>
    <t>TRANINTER LANCEROS S.A.S - TRAN LANCEROS</t>
  </si>
  <si>
    <t>INTERANDINA DE TRANSPORTES S.A.</t>
  </si>
  <si>
    <t>www.inantra.com</t>
  </si>
  <si>
    <t>Gerencia General (INANTRA)</t>
  </si>
  <si>
    <t>(601) 8299703</t>
  </si>
  <si>
    <t>COORDINADORA INTERNACIONAL DE TRAFICOS S.A.S. CORDITRAFICOS SAS</t>
  </si>
  <si>
    <t>No encontrada (CORDITRAFICOS)</t>
  </si>
  <si>
    <t>(601) 7171753</t>
  </si>
  <si>
    <t>COOPERATIVA COLOMBIANA DE TRANSPORTADORES LTDA</t>
  </si>
  <si>
    <t>LINEAS TECNICAS DE CARGAMENTO S.A.</t>
  </si>
  <si>
    <t>www.litecar.com</t>
  </si>
  <si>
    <t>Gerencia General (LITECAR)</t>
  </si>
  <si>
    <t>(601) 8964170</t>
  </si>
  <si>
    <t>TRANSPORTE LOGISTICO INTEGRADO S.A.S</t>
  </si>
  <si>
    <t>No encontrada (T.L.I.)</t>
  </si>
  <si>
    <t>TRANSPORTES Y SERVICIOS CUSIANA S.A.S</t>
  </si>
  <si>
    <t>TRANSPORTE TECNICO DE LIQUIDOS LIMITADA</t>
  </si>
  <si>
    <t>SAECOM S.A.S.</t>
  </si>
  <si>
    <t>TRANSPORTES JOALCO S.A.</t>
  </si>
  <si>
    <t>www.transjoalco.com.co</t>
  </si>
  <si>
    <t>Gerencia - Servicio al Cliente</t>
  </si>
  <si>
    <t>servicioalcliente@transjoalco.com.co</t>
  </si>
  <si>
    <t>57 1 2948484</t>
  </si>
  <si>
    <t>GALOTRANS S.A.</t>
  </si>
  <si>
    <t>www.galotrans.com</t>
  </si>
  <si>
    <t>Gerencia - Administracion</t>
  </si>
  <si>
    <t>galotrans@galotrans.com</t>
  </si>
  <si>
    <t>Operaciones y Ventas</t>
  </si>
  <si>
    <t>TRANSPORTES ORO SAS</t>
  </si>
  <si>
    <t>TRANSPORTES GLAMAR SAS</t>
  </si>
  <si>
    <t>TRANSPORTES AUTOS CONVOY LTDA</t>
  </si>
  <si>
    <t>SOLUTRANS S.A.S.</t>
  </si>
  <si>
    <t>RODAR CARGA S.A.</t>
  </si>
  <si>
    <t>TRANSPORTES Y MUDANZAS CHICO S.A.</t>
  </si>
  <si>
    <t>TRANSPORTES APB LTDA</t>
  </si>
  <si>
    <t>TRANSPORTES DUARTE S.A.</t>
  </si>
  <si>
    <t>www.transduartesa.com</t>
  </si>
  <si>
    <t>Asistente de Gerencia</t>
  </si>
  <si>
    <t>asistentedegerencia@transduartesa.com</t>
  </si>
  <si>
    <t>(601) 8816922</t>
  </si>
  <si>
    <t>OPEN MARKET LTDA</t>
  </si>
  <si>
    <t>GRUPO EMPRESARIAL COLOMBIA MUNDO EXPRESS S.A.S.</t>
  </si>
  <si>
    <t>www.serviclientemundoexpress.com</t>
  </si>
  <si>
    <t>(601) 4001066</t>
  </si>
  <si>
    <t>COOPERATIVA MULTIACTIVA DE TRANSPORTADORES INDEPENDIENTES LTDA</t>
  </si>
  <si>
    <t>TRANSPORTES DEL HUILA S.A.</t>
  </si>
  <si>
    <t>(601) 4119999</t>
  </si>
  <si>
    <t>COLOMBIANA COORDINADORA DE CARGA LTDA</t>
  </si>
  <si>
    <t>www.coordinadora.com</t>
  </si>
  <si>
    <t>Atencion al Cliente</t>
  </si>
  <si>
    <t>WhatsApp: 310 315 7444</t>
  </si>
  <si>
    <t>Comercial (Coordinadora)</t>
  </si>
  <si>
    <t>SERVICIO DE TRANSPORTE INTERNACIONAL DE CARGA</t>
  </si>
  <si>
    <t>SERCARGA S.A.S</t>
  </si>
  <si>
    <r>
      <rPr>
        <color rgb="FF1155CC"/>
        <u/>
      </rPr>
      <t>www.aldialogistica.com</t>
    </r>
    <r>
      <rPr/>
      <t xml:space="preserve"> (SERCARGA)</t>
    </r>
  </si>
  <si>
    <t>Gerencia ALDIA Group</t>
  </si>
  <si>
    <t>TRANSPORTES GUAVIARE LTDA.</t>
  </si>
  <si>
    <t>(602) 4431400</t>
  </si>
  <si>
    <t>COLVANES S.A.S.</t>
  </si>
  <si>
    <t>www.envia.co</t>
  </si>
  <si>
    <t>Henry A. Cubides Moreno - Rep. Legal</t>
  </si>
  <si>
    <t>contactanos@envia.co</t>
  </si>
  <si>
    <t>Servicio al Cliente Bogota</t>
  </si>
  <si>
    <t>(601) 4954711</t>
  </si>
  <si>
    <t>TRANSPORTES ESPECIALES DE CARGA S.A.</t>
  </si>
  <si>
    <t>No encontrada (TESCARGA)</t>
  </si>
  <si>
    <t>TRANSPORTADORA NACIONAL DE MERCANCIAS CI LTDA</t>
  </si>
  <si>
    <t>(601) 5303535</t>
  </si>
  <si>
    <t>DISTRIBUIDORA NACIONAL DE CARGA LTDA</t>
  </si>
  <si>
    <t>EAGLE TOUR LINES LTDA.</t>
  </si>
  <si>
    <t>THOMAS GREG EXPRESS S.A TG EXPRESS S.A</t>
  </si>
  <si>
    <t>AEROMENSAJERIA LTDA</t>
  </si>
  <si>
    <t>TRANSPORTADORA DE CARBONES DEL VALLE LTDA</t>
  </si>
  <si>
    <t>COMPAÑIA TRANSPORTADORA Y COMERCIALIZADORA DE PRODUCTOS DERIVADOS DE</t>
  </si>
  <si>
    <t>(601) 4057683</t>
  </si>
  <si>
    <t>TRANSPORTES MULTILINEA LTDA</t>
  </si>
  <si>
    <t>www.eagletourlines.com.co</t>
  </si>
  <si>
    <t>(601) 8634485</t>
  </si>
  <si>
    <t>eagletourlines@gmail.com</t>
  </si>
  <si>
    <t>COMPAÃƑÂ€˜IA DE TAXIS VERDES S.A</t>
  </si>
  <si>
    <t>www.tgscolombia.com</t>
  </si>
  <si>
    <t>(601) 3810240</t>
  </si>
  <si>
    <t>servicioalcliente@thomasexpress.com.co</t>
  </si>
  <si>
    <t>COLTANQUES S.A.S.</t>
  </si>
  <si>
    <t>www.aeromensajeria.com</t>
  </si>
  <si>
    <t>(601) 7428233</t>
  </si>
  <si>
    <t>LOAD CARGO S.A.S.</t>
  </si>
  <si>
    <t>COMPAÑIA REMESANDO DE CARGA LTDA</t>
  </si>
  <si>
    <t>www.ctcsas.com</t>
  </si>
  <si>
    <t>(601) 4214008</t>
  </si>
  <si>
    <t>TRANSPORTES GAMBOA E HIJOS LTDA</t>
  </si>
  <si>
    <t>www.multilinea.co</t>
  </si>
  <si>
    <t>(601) 3608424</t>
  </si>
  <si>
    <t>info@multilinea.co</t>
  </si>
  <si>
    <t>COMPAÑIA DE TRANSPORTES TERRESTRES SAS</t>
  </si>
  <si>
    <t>www.taxisverdes.net</t>
  </si>
  <si>
    <t>(601) 4111152</t>
  </si>
  <si>
    <t>UNION ANDINA DE TRANSPORTES S.A.S.</t>
  </si>
  <si>
    <t>www.coltanques.com.co</t>
  </si>
  <si>
    <t>(601) 4222333</t>
  </si>
  <si>
    <t>TRANSPORTES MENDOZA S.A.S</t>
  </si>
  <si>
    <t>www.loadcargo.com</t>
  </si>
  <si>
    <t>(601) 4813540</t>
  </si>
  <si>
    <t>MULTIMODAL LOGISTICA DE CARGA LTDA.</t>
  </si>
  <si>
    <t>TRANSCONTINENTAL DE SERVICIOS PETROLEROS S.A.S.</t>
  </si>
  <si>
    <t>DOLPHIN CARGO O.T.M. S.A.</t>
  </si>
  <si>
    <t>(601) 8663162</t>
  </si>
  <si>
    <t>TRACTO CARGA LTDA.</t>
  </si>
  <si>
    <t>www.unatrans.com</t>
  </si>
  <si>
    <t>(601) 7445000</t>
  </si>
  <si>
    <t>TRANSPORTES GALLEGOS LTDA.</t>
  </si>
  <si>
    <t>TRANSPORTES SARVI S.A.S</t>
  </si>
  <si>
    <t>TRANSPORTES 3T S.A.</t>
  </si>
  <si>
    <t>GUIATRANSPORTES LTDA</t>
  </si>
  <si>
    <t>TRANSPORTES SANTORO S.A.S.</t>
  </si>
  <si>
    <t>TRONCALES DE COLOMBIA S.A.S.</t>
  </si>
  <si>
    <t>TRANSPORTADORA UNO A LTDA</t>
  </si>
  <si>
    <t>TRANSPORTE PALMAR S.A.S.</t>
  </si>
  <si>
    <t>TRAVESA S.A.S.</t>
  </si>
  <si>
    <t>MULTINACIONAL TRANSPORTADORA S.A.S.</t>
  </si>
  <si>
    <t>GRANPORTUARIA S.A.</t>
  </si>
  <si>
    <t>C &amp; M DISTRIBUCIONES S.A.</t>
  </si>
  <si>
    <t>GAS AND OIL TRANSPORT S.A.S.</t>
  </si>
  <si>
    <t>EXXE LOGISTICA S.A.</t>
  </si>
  <si>
    <t>DISCOCARGA S.A.S.</t>
  </si>
  <si>
    <t>TRANSPORTES MONRUB S.A.</t>
  </si>
  <si>
    <t>TRANSPORTE MULTIGRANEL S.A.</t>
  </si>
  <si>
    <t>RAPIDO GIGANTE S.A.S.</t>
  </si>
  <si>
    <t>TRANSPORTADORA PORRAS AMAYA S.A.S</t>
  </si>
  <si>
    <t>TRANSPORTE DE CARGA BERLINAS DEL FONCE S.A.</t>
  </si>
  <si>
    <t>GOPACK365 SAS</t>
  </si>
  <si>
    <t>ASESORIAS TECNICAS DE TRANSPORTE SAS</t>
  </si>
  <si>
    <t>MURCIA MURCIA S.A.</t>
  </si>
  <si>
    <t>CONSORCIO INDUSTRIAL TRANSPORTADOR S.A.S</t>
  </si>
  <si>
    <t>MERCANTIL LLANO EXPRESS S.A.S</t>
  </si>
  <si>
    <t>TRANSPORTES NUEVO MUNDOS.A.S</t>
  </si>
  <si>
    <t>EXPRESO ANDINO DE CARGA S.A.</t>
  </si>
  <si>
    <t>LAC TRANSPORTES Y LOGISTICA S.A.S.</t>
  </si>
  <si>
    <t>TRANSPORTES ICEBERG DE COLOMBIA S.A.</t>
  </si>
  <si>
    <t>TRANSPORTES NORUEGA LTDA</t>
  </si>
  <si>
    <t>C.I CENTRAL DE COMBUSTIBLES Y LUBRICANTES S.A.S</t>
  </si>
  <si>
    <t>NACIONAL DE TRASTEOS Y CARGA NTC SAS</t>
  </si>
  <si>
    <t>PROVEER ALIANZA LOGISTICA S.A.</t>
  </si>
  <si>
    <t>CEMEX TRANSPORTES DE COLOMBIA S.A</t>
  </si>
  <si>
    <t>TRANSPORTES MONTEJO LTDA</t>
  </si>
  <si>
    <t>TRANSPORTES COORDIFRONTERAS LTDA</t>
  </si>
  <si>
    <t>TRANSPORTADORA MULTIMODAL DE CARGA LA MACARENA LTDA.</t>
  </si>
  <si>
    <t>TRANSPORTES ALEX LTDA.</t>
  </si>
  <si>
    <t>TRANSPORTES LIDETRAN S.A.S</t>
  </si>
  <si>
    <t>INTEGRAL DE SERVICIOS TECNICOS S.A.S.</t>
  </si>
  <si>
    <t>COOPERATIVA DE TRANSPORTADORES DE AGREGADOS Y CARGA</t>
  </si>
  <si>
    <t>TRANSPORTES MULTIPLES DE CARGA SAS</t>
  </si>
  <si>
    <t>CONTENEDORES Y TRAYLER DE COLOMBIA LTDA</t>
  </si>
  <si>
    <t>SERVIENTREGA S.A.</t>
  </si>
  <si>
    <t>TRANSPORTES PREMMIER LTDA</t>
  </si>
  <si>
    <t>TRANSPORTES LA PETROLERA VLIMAR S.A TRANSVLIMAR S.A</t>
  </si>
  <si>
    <t>VIAS NACIONALES E INTERNACIONALES S.A.S</t>
  </si>
  <si>
    <t>TRANSPORTES TVL S.A.S T.V.L S.A.S - T.V.L</t>
  </si>
  <si>
    <t>TRANSPORTES CARAVANA S.A.</t>
  </si>
  <si>
    <t>TRANSCOLVOLCOS SAS</t>
  </si>
  <si>
    <t>AFOROS Y ENCOMIENDAS LTDA.</t>
  </si>
  <si>
    <t>VANGUARDIA TRANSPORTADORA DE CARGA LTDA</t>
  </si>
  <si>
    <t>TRANSPORTES PEGASSO S.A.S</t>
  </si>
  <si>
    <t>ASOCIACION NACIONAL DE TRANSPORTES TERRESTRES DEL NORTE S.A.S.</t>
  </si>
  <si>
    <t>JUAN BARRETO TRANSPORTES J.B.T. S.A.S.</t>
  </si>
  <si>
    <t>T&amp;S ON LINE LTDA.</t>
  </si>
  <si>
    <t>TRANSCARGA LA SERRANIA LTDA</t>
  </si>
  <si>
    <t>RANSA CARGO S.A.S</t>
  </si>
  <si>
    <t>ALFA SERVICIOS DE TRANSPORTE S.A.S</t>
  </si>
  <si>
    <t>MCT S.A.S.</t>
  </si>
  <si>
    <t>SOLUCIONES LOGISTICAS ALACARGA S.A.</t>
  </si>
  <si>
    <t>TRANSPORTES OCA SAS</t>
  </si>
  <si>
    <t>TRANSPORTES ESPECIALES Y DE CARGA GRAN TURISMO SAS - GRAN TURISMO S.A.S</t>
  </si>
  <si>
    <t>COORDINADORA INTERNACIONAL DE TRANSPORTES SAS</t>
  </si>
  <si>
    <t>CONSITRANS LTDA</t>
  </si>
  <si>
    <t>COOPERATIVA MULTIACTIVA DE TRANSPORTADORES OMEGA LTDA</t>
  </si>
  <si>
    <t>MUEBLES Y TRASTEOS DE COLOMBIA LTDA</t>
  </si>
  <si>
    <t>TRANS INHERCOR X</t>
  </si>
  <si>
    <t>LOGISTICA COLOMBIANA TRANSPORTADORA DE CARGA LTDA</t>
  </si>
  <si>
    <t>TRANSPORTES FLOTA LIBERTAD S.A.</t>
  </si>
  <si>
    <t>TRANSPORTES DE CARGA SATELITE LTDA.</t>
  </si>
  <si>
    <t>CORPORACION COLOMBIANA DE LOGISTICA S.A. C.C.L S.A.</t>
  </si>
  <si>
    <t>TRANSPORTADORA LA DANIA S.A.</t>
  </si>
  <si>
    <t>TROTER S.A.</t>
  </si>
  <si>
    <t>BULL CARGO S.A.S.</t>
  </si>
  <si>
    <t>TRANSPORTADORA LIZMAR LTDA</t>
  </si>
  <si>
    <t>TRANSPORTADORA DE CEMENTOS S.A.S.</t>
  </si>
  <si>
    <t>TRANSPORTES INVERSIONES VELANDIA LTDA.</t>
  </si>
  <si>
    <t>TRANSPORTE EFICAZ Y SEGURO S.A.</t>
  </si>
  <si>
    <t>LAM. VENTAS Y MERCADEO LTDA.</t>
  </si>
  <si>
    <t>AUTOCARGA S.A.S.</t>
  </si>
  <si>
    <t>RED ESPECIALIZADA EN TRANSPORTE REDETRANS LTDA</t>
  </si>
  <si>
    <t>TERMOCARGA S.A.S</t>
  </si>
  <si>
    <t>MEDICINAL DE TRANSPORTES LTDA.</t>
  </si>
  <si>
    <t>PRONTERRESTRE S.A.</t>
  </si>
  <si>
    <t>TRITON LOGISTIC LTDA.</t>
  </si>
  <si>
    <t>COOPERATIVA DE TRANSPORTADORES DE CERVEZA Y CARGA LTDA</t>
  </si>
  <si>
    <t>TRANSPORTADORA COORDINADORA DEL PAIS LTDA.</t>
  </si>
  <si>
    <t>TRANSPORTES INTEGRADOS DE AMERICA LATINA S.A.S.</t>
  </si>
  <si>
    <t>TRANSPORTES TAYRONA LTDA.</t>
  </si>
  <si>
    <t>REFRIANDINA DE CARGA LTDA</t>
  </si>
  <si>
    <t>TRANSPORTES AGUILA LTDA.</t>
  </si>
  <si>
    <t>TRANSPORTADORA COLOMBO AMERICA LTDA.</t>
  </si>
  <si>
    <t>TRANSPORTES LARANDIA EXPRESS S.A.</t>
  </si>
  <si>
    <t>INTERNACIONAL DE TANQUES LTDA</t>
  </si>
  <si>
    <t>EMCARGO EXPRESS S.A.S.</t>
  </si>
  <si>
    <t>UNION DE TRANSPORTADORES DE LOS LLANOS LTDA.</t>
  </si>
  <si>
    <t>ESTELAR EXPRESS SAS</t>
  </si>
  <si>
    <t>FORTALEZA DE TRANSPORTES LTDA</t>
  </si>
  <si>
    <t>COMPAÑIA DE CONTENEDORES INTERNACIONAL CCI SAS</t>
  </si>
  <si>
    <t>TRANSPORTADORA LINEA DORADA S.A.S.</t>
  </si>
  <si>
    <t>NUEVA TRANSPORTADORA SIGLO 21 LIMITADA.</t>
  </si>
  <si>
    <t>LOGIC EXPRESS S.A.S</t>
  </si>
  <si>
    <t>TRANSPORTES RAPIDO NIETOS LTDA</t>
  </si>
  <si>
    <t>CONALTRA S.A.</t>
  </si>
  <si>
    <t>TRANSPORTADORA LA NUEVA ERA LTDA.</t>
  </si>
  <si>
    <t>TRANSPORTES SUMIPET SAS</t>
  </si>
  <si>
    <t>TRANSPORTES DE CRUDO DEL LLANO S.A.</t>
  </si>
  <si>
    <t>LOGISTICA A &amp; T S.A.S - L A &amp; T S.A.S</t>
  </si>
  <si>
    <t>TRANSPORTES PLANET S.A.S.</t>
  </si>
  <si>
    <t>ADISPETROL S.A.</t>
  </si>
  <si>
    <t>COOPERATIVA DE SERVICIO DE CARGA DE LA SABANA LTDA</t>
  </si>
  <si>
    <t>DESPACHADORA INTERNACIONAL COLOMBIANA S.A.S.</t>
  </si>
  <si>
    <t>TRANSPORTES JOBER S.A.S</t>
  </si>
  <si>
    <t>COOPERATIVA DE TRANSPORTADORES PRIMEROS EN CARGA ''ALFATRANS''</t>
  </si>
  <si>
    <t>COOPERATIVA DE TRANSPORTES UNIDOS DE CARGA</t>
  </si>
  <si>
    <t>COMPAÑIA TRANSPORTADORA ROTTERDAN SAS</t>
  </si>
  <si>
    <t>PENTA CARGO LTDA.</t>
  </si>
  <si>
    <t>COORDINADORA INTERNACIONAL DE CARGA S.A. E.M.A.</t>
  </si>
  <si>
    <t>TRAFICOS Y FLETES S.A.</t>
  </si>
  <si>
    <t>COORDINADORA ANDINA DE CARGA S.A.S. - CORDIANDINA S.A.S</t>
  </si>
  <si>
    <t>COORDINADORA NACIONAL DE TRANSPORTE DE MUEBLES LTDA.</t>
  </si>
  <si>
    <t>TRANSPORTES D.S.L. -DAMCO SERVICES- SAS.</t>
  </si>
  <si>
    <t>TRANSPORTADORA COLOMBIANA DE MERCANCIAS LTDA.</t>
  </si>
  <si>
    <t>REMESAS Y MENSAJES LTDA</t>
  </si>
  <si>
    <t>COOPERATIVA DE SERVICIOS PARA LOS TRABAJADORES LTDA</t>
  </si>
  <si>
    <t>TRANSPORTES ARTICO S.AS</t>
  </si>
  <si>
    <t>ROBERCARGA S.A.S.,</t>
  </si>
  <si>
    <t>FRIOCARGA SAS</t>
  </si>
  <si>
    <t>TRANSPORTE DE CARGA JVC S.A.S.</t>
  </si>
  <si>
    <t>FLOTA MAGDALENA S.A.</t>
  </si>
  <si>
    <t>DOMESA DE COLOMBIA S.A.</t>
  </si>
  <si>
    <t>NUEVA SOCIEDAD DE TRANSPORTADORES COLOMBIANOS LTDA.</t>
  </si>
  <si>
    <t>TRANSPORTES VHR LTDA.</t>
  </si>
  <si>
    <t>TRANSPORTADORA DANUBY LTDA.</t>
  </si>
  <si>
    <t>LINEA ANDINA DE CARGA LTDA.</t>
  </si>
  <si>
    <t>COOPERATIVA DE TRANSPORTES MASIVOS TM</t>
  </si>
  <si>
    <t>LIFTIT CARGO S.A.S</t>
  </si>
  <si>
    <t>COMPAÑIA ENERGETICA DE TRANSPORTES S.A.S</t>
  </si>
  <si>
    <t>DIANA AGRICOLA S.A.S</t>
  </si>
  <si>
    <t>CARAVANEROS DE COLOMBIA LTDA.</t>
  </si>
  <si>
    <t>T &amp; T SERVICES S.A</t>
  </si>
  <si>
    <t>SERVICIOS INTEGRALES DE TRANSPORTES AL MAR LTDA</t>
  </si>
  <si>
    <t>AUTOBOY S.A.</t>
  </si>
  <si>
    <t>PROPIETARIOS DE CAMIONES S.A.</t>
  </si>
  <si>
    <t>TRANS ALIANZA ALS S.A.S</t>
  </si>
  <si>
    <t>COMPAÑIA TRANSPORTADORA ANDINOS COLOMBIA S.A.S</t>
  </si>
  <si>
    <t>CIEK LOGISTICA S.A.S - CIEKLOG</t>
  </si>
  <si>
    <t>SOCIEDAD TRANSPORTADORA DE CARGA S.A.S.</t>
  </si>
  <si>
    <t>INGENIERIA Y TRANSPORTES BOGOTA S.A.S.</t>
  </si>
  <si>
    <t>TRANSPORTES Y SERVICIOS TRANSER S.A.</t>
  </si>
  <si>
    <t>TRANSPORTADORA MERCANTIL LTDA</t>
  </si>
  <si>
    <t>ORION TRANSPORTADORA DE CARGA SAS</t>
  </si>
  <si>
    <t>JUST TIME LOGISTICA LTDA</t>
  </si>
  <si>
    <t>ROYALTRANS DE COLOMBIA S.A.S.</t>
  </si>
  <si>
    <t>TRANSPORTES VIGIA S.A.S</t>
  </si>
  <si>
    <t>TRANSPORTES JOVERTRANS LTDA.</t>
  </si>
  <si>
    <t>TRANSPORTES JR TOBON CIA. LTDA.</t>
  </si>
  <si>
    <t>PORTES DE COLOMBIA SAS</t>
  </si>
  <si>
    <t>SERVICIO ESPECIALIZADO DE TRANSPORTE DE CARGA S.A.S SETRANS CAGA S.A.S</t>
  </si>
  <si>
    <t>COMPAÑIA ESPECIALIZADA EN TRANSPORTES TERRESTES LTDA.</t>
  </si>
  <si>
    <t>TURBO MACK LTDA.</t>
  </si>
  <si>
    <t>COMPAÑIA COMERCIAL TRANSPORTADORA ALCARAVAN LTDA.</t>
  </si>
  <si>
    <t>L A C LOGISTICA ANDINA DE CARGA LTDA</t>
  </si>
  <si>
    <t>TRANSPORTADORA COMERCIAL DEL VALLE S.A.S</t>
  </si>
  <si>
    <t>ABC LINEA DORADA DE CARGA SAS.</t>
  </si>
  <si>
    <t>TECNICARGAS DE COLOMBIA LTDA</t>
  </si>
  <si>
    <t>ROJAS TRASTEOS SERVICIO S.A.</t>
  </si>
  <si>
    <t>UNIVERSAL DE CARGA S.A.</t>
  </si>
  <si>
    <t>TRANSPORTES GAITAN LTDA</t>
  </si>
  <si>
    <t>TRANSPORTES DISTRICARGA S.A.</t>
  </si>
  <si>
    <t>TRANSPORTES RAPIDO NARIÑO LTDA.</t>
  </si>
  <si>
    <t>TRANSPORTES JEB LTDA.</t>
  </si>
  <si>
    <t>ENTREGANDO LOGISTICA &amp; CIA S.A.S.</t>
  </si>
  <si>
    <t>TRANSPORTES Y REPARTOS URBANOS LTDA</t>
  </si>
  <si>
    <t>CENTAURUS MENSAJEROS S.A</t>
  </si>
  <si>
    <t>MEGACARGA EXPRESS LTDA</t>
  </si>
  <si>
    <t>TRANSPORTES BODEGAJE Y LOGISTICA T B L LTDA</t>
  </si>
  <si>
    <t>GRUPO KAYROS S.A.S</t>
  </si>
  <si>
    <t>INVERSIONES Y TRANSPORTES ALBA HERMANOS LTDA</t>
  </si>
  <si>
    <t>TRANSPORTES CARALBE LTDA.</t>
  </si>
  <si>
    <t>TRANSPORTES AUTOSOL S.A.S</t>
  </si>
  <si>
    <t>TRANSPORTE DE CABLES LTDA</t>
  </si>
  <si>
    <t>TRANSPORTES LOGISTICOS DE CARGA GMT SAS</t>
  </si>
  <si>
    <t>COOPERATIVA INTEGRAL DE PRODUCTORES DE CARBON</t>
  </si>
  <si>
    <t>COMERCIALIZADORA ANDINA TRANSPORTADORES DE CARGA S.A.</t>
  </si>
  <si>
    <t>TRANSPORTADORA MULTIGLOBAL S.A.S</t>
  </si>
  <si>
    <t>FULLTRANSCARGA S.A.S.</t>
  </si>
  <si>
    <t>EAGLE TRANSPORT LTDA</t>
  </si>
  <si>
    <t>TRANSPORTES ANDINOS DE LIQUIDOS LTDA</t>
  </si>
  <si>
    <t>TRANSPORTES LIMICIO LTDA.</t>
  </si>
  <si>
    <t>MUDANZAS LEMUS LINARES LTDA</t>
  </si>
  <si>
    <t>PETROCOMBUSTION S.A.S</t>
  </si>
  <si>
    <t>TRANSPORTES Y MUDANZAS VIOLETA LTDA</t>
  </si>
  <si>
    <t>TRANSPORTES BETANIA S.A.</t>
  </si>
  <si>
    <t>UNION COLOMBIANA DE CARGA S.A.S.</t>
  </si>
  <si>
    <t>COOPERATIVA ESPECIALIZADA DE TRANSPORTES EN FRÃO</t>
  </si>
  <si>
    <t>BASALTA S.A.S.</t>
  </si>
  <si>
    <t>SOLUCIONES INTEGRALES DE TRANSPORTE LTDA</t>
  </si>
  <si>
    <t>TRANSPORTES INTEGRADO DE COLOMBIA SAS</t>
  </si>
  <si>
    <t>TRANSPORTES H.B. LTDA.</t>
  </si>
  <si>
    <t>TRANSPORTES RAPIDO GALERAS LTDA.</t>
  </si>
  <si>
    <t>EDICARGA LTDA.</t>
  </si>
  <si>
    <t>TRANSQUINTERO LTDA</t>
  </si>
  <si>
    <t>TRANSPORTES MAQUIPETROL S.A.S.</t>
  </si>
  <si>
    <t>TRANSPORTES TGG S.A.S</t>
  </si>
  <si>
    <t>A.G.V TRANSPORTES SAS</t>
  </si>
  <si>
    <t>TRANSPORTES LOGISTICOS DE COLOMBIA S.A.</t>
  </si>
  <si>
    <t>ECOTRANS S.A.</t>
  </si>
  <si>
    <t>TRANSPORTES FRIGORIFICOS ANDINOS SAS.</t>
  </si>
  <si>
    <t>TRANSPORTES Y TRASTEOS ACATRAS LTDA</t>
  </si>
  <si>
    <t>TRANSPORTES FULCRO SAS</t>
  </si>
  <si>
    <t>R.C. CARGA S.A.</t>
  </si>
  <si>
    <t>GIAN CARGA LTDA.</t>
  </si>
  <si>
    <t>COMPAÑIA INTERNACIONAL DE LIQUIDOS LTDA.</t>
  </si>
  <si>
    <t>ADDEC SAS</t>
  </si>
  <si>
    <t>SOCIEDAD EXPRESO INTERAMERICANO S.A.</t>
  </si>
  <si>
    <t>TRANSPORTE MINERIA Y CONSTRUCCION LTDA</t>
  </si>
  <si>
    <t>EMPRESA COMERCIAL DE TRANSPORTE R &amp; R S.A.S</t>
  </si>
  <si>
    <t>DINASFALTOS LIMITADA</t>
  </si>
  <si>
    <t>EXPRESO GOMEZ VILLA LTDA</t>
  </si>
  <si>
    <t>T&amp;R TRANSPORTE Y REPRESENTACIONES LTDA.</t>
  </si>
  <si>
    <t>TRANSMUNDO S.A.S</t>
  </si>
  <si>
    <t>TRANSPORTES BRIO S.A.S</t>
  </si>
  <si>
    <t>QUALITY SERVICES S.A.</t>
  </si>
  <si>
    <t>PRAKXON LOGISTICA COLOMBIA S.A.S.</t>
  </si>
  <si>
    <t>RCL CARGO TRANSPORTES S.A.</t>
  </si>
  <si>
    <t>TRANSPORTES EN CAMABAJAS LTDA.</t>
  </si>
  <si>
    <t>IMPOCOMA S.A.S.</t>
  </si>
  <si>
    <t>TIMON S.A.</t>
  </si>
  <si>
    <t>COTRANSPETROL EMPRESA UNIPERSONAL</t>
  </si>
  <si>
    <t>COMBUSTIBLES Y TRANSPORTES HERNANDEZ Y CIA. LTDA</t>
  </si>
  <si>
    <t>TRANSPORTES UNITRANS S.A.S</t>
  </si>
  <si>
    <t>SURAMERICANA DE CARGA Y MUDANZAS S.A.S.</t>
  </si>
  <si>
    <t>TRANSPORTES ORO SOL S.A</t>
  </si>
  <si>
    <t>EMCARGRANOS LTDA.</t>
  </si>
  <si>
    <t>GLOBAL UNO LOGISTICS DE COLOMBIA S.A.S</t>
  </si>
  <si>
    <t>ASOCIACION DE SERVICIOS Y TRANSPORTE NACIONAL</t>
  </si>
  <si>
    <t>COOPERATIVA MULTIACTIVA DE TRANSPORTE DE CARGA ESPECIAL</t>
  </si>
  <si>
    <t>TRANSPORTES INTERCARIBE S.A.S.</t>
  </si>
  <si>
    <t>TRANSPORTE DEL SUR DE COLOMBIA LTDA.</t>
  </si>
  <si>
    <t>E LOGISTIC S.A.</t>
  </si>
  <si>
    <t>VULTRANS TEAM S.A.S.</t>
  </si>
  <si>
    <t>COOPERATIVA MULTIACTIVA DE TRANSPORTADORES DE CARGA</t>
  </si>
  <si>
    <t>AGROSERVICIOS ESPECIALES LTDA</t>
  </si>
  <si>
    <t>MUNDI EXPRESS LOGISTIK LTDA</t>
  </si>
  <si>
    <t>ALCOMEXTRANS S.A.S.</t>
  </si>
  <si>
    <t>G L S ALLIANCE LTDA</t>
  </si>
  <si>
    <t>LLEGAR TRANSPORTES LTDA</t>
  </si>
  <si>
    <t>OXITRANS SAS</t>
  </si>
  <si>
    <t>C H TRANSPORTES S.A.</t>
  </si>
  <si>
    <t>TRANSPORTES ALVAREZ LTDA</t>
  </si>
  <si>
    <t>SERVICIO ESPECIAL DE TRANSPORTE ESCOLAR Y DE TURISMO S.A.S</t>
  </si>
  <si>
    <t>COMPAÑIA TRANSPORTADORA DE NARIÑO LTDA</t>
  </si>
  <si>
    <t>GROUP SUPER EXPRESS CARGO S.A.S.</t>
  </si>
  <si>
    <t>COOPERATIVA TRANSPORTE CARGA LIBRE TCL</t>
  </si>
  <si>
    <t>TRANSPORTES REFRIMAR S.A.S.</t>
  </si>
  <si>
    <t>TRANSPORTE DE CARGA HB S.A.S</t>
  </si>
  <si>
    <t>TRANSCEAL LTDA</t>
  </si>
  <si>
    <t>CAPITALES ASOCIADOS S.A.</t>
  </si>
  <si>
    <t>CARGO FACIL S.A.</t>
  </si>
  <si>
    <t>TRANSPORTES DE CARGA DE CEMENTOS LTDA</t>
  </si>
  <si>
    <t>LOGISTICA EN MOVIMIENTO TRANSPORTADORA S.A.S</t>
  </si>
  <si>
    <t>INTER RAPIDISIMO LTDA</t>
  </si>
  <si>
    <t>TKARGA S.A.S.</t>
  </si>
  <si>
    <t>TRANSPORTES EVEREST LTDA</t>
  </si>
  <si>
    <t>PLATINO VIP S.A.S</t>
  </si>
  <si>
    <t>COOPERATIVA DE LOGISTICA Y TRANSPORTE DE LOS ANDES</t>
  </si>
  <si>
    <t>OPERA TRANSPORTE Y LOGISTICA INTEGRAL S.A.S REORGANIZACION OPERA CTY</t>
  </si>
  <si>
    <t>TRANSPORTES DE CARGA Y CONCENTRADOS FELUZ LTDA</t>
  </si>
  <si>
    <t>SEA LOGISTIX LTDA</t>
  </si>
  <si>
    <t>MULTIMODAL DE TRANSPORTES S.A.S.</t>
  </si>
  <si>
    <t>ROCA LOGISTICA COMPAÑIA DE TRANSPORTES LTDA</t>
  </si>
  <si>
    <t>IDEA TRANSPORTADORA S.A.S.</t>
  </si>
  <si>
    <t>COLOMBIANA DE COMERCIO S.A. - CORBETA S.A. Y/O ALKOSTO S.A.</t>
  </si>
  <si>
    <t>ORDONEZ Y CIA. LTDA</t>
  </si>
  <si>
    <t>COORDINADORA COMERCIAL DE CARGAS S.A.S</t>
  </si>
  <si>
    <t>ALMAVIVA GLOBAL CARGO S.A.</t>
  </si>
  <si>
    <t>T M P TRANSPORTE DE MATERIA PRIMA S.A.S</t>
  </si>
  <si>
    <t>TRANSPORTE INTERNACIONAL DE CARGA SOLIDA Y LIQUIDA E.U.</t>
  </si>
  <si>
    <t>TRANSBORDA SAS</t>
  </si>
  <si>
    <t>JLT TRANSPORTES LTDA</t>
  </si>
  <si>
    <t>SERVICIOS LOGISTICOS DE CARGA S.A.S.</t>
  </si>
  <si>
    <t>CARGAS DE COLOMBIA S.A.S</t>
  </si>
  <si>
    <t>ORGANIZACIÓN TERPEL S.A.</t>
  </si>
  <si>
    <t>TRANSPORTES NOVO TECH SAS</t>
  </si>
  <si>
    <t>GRAN COLOMBIANA DE TRANSPORTES S.A.</t>
  </si>
  <si>
    <t>RADIO TAXI UPARS S. EN C.S.</t>
  </si>
  <si>
    <t>SOLUCIONES LOGISTICAS DE TRANSPORTES LIMITADA</t>
  </si>
  <si>
    <t>UNIDOS MORENO TRANSPORTADORES LTDA</t>
  </si>
  <si>
    <t>TREID CO LTDA</t>
  </si>
  <si>
    <t>GHC TRANSPORTES S.A.</t>
  </si>
  <si>
    <t>APOYO LOGISTICO Y TRANSPORTE LTDA</t>
  </si>
  <si>
    <t>TRANSPORTE DE LIBRE COMERCIO TLC S.A.</t>
  </si>
  <si>
    <t>KAPITAL CARGA LTDA</t>
  </si>
  <si>
    <t>COMERCIALIZADORA E INVERSIONES BUSTOS ARIZA Y CIA. S. EN C.</t>
  </si>
  <si>
    <t>TRANSPORTADORA LOGISTICA DE CARGA TLC S.A.</t>
  </si>
  <si>
    <t>TRANSPORTES ANFER SAS</t>
  </si>
  <si>
    <t>MERCANTIL OCCIDENTAL S.A. - LOGITRANS EXPRESS S.A.</t>
  </si>
  <si>
    <t>LOGISTIX S.A.S.</t>
  </si>
  <si>
    <t>SURENVIOS LTDA</t>
  </si>
  <si>
    <t>GLOBO PETROL S.A.S.</t>
  </si>
  <si>
    <t>TRASTERCOL S.A.S</t>
  </si>
  <si>
    <t>EQUIPOS DE INGENIEROS ROCA SAS</t>
  </si>
  <si>
    <t>TRANSPORTES OIL DE COLOMBIA S.A.S.</t>
  </si>
  <si>
    <t>EMPRESA TRANSCARGA MUNDIAL S.A.S.</t>
  </si>
  <si>
    <t>INGENIERIA EQUIPOS Y TRANSPORTES S.A.</t>
  </si>
  <si>
    <t>LGICARGA S.A.S</t>
  </si>
  <si>
    <t>TRANS INHERCOR LTDA</t>
  </si>
  <si>
    <t>WORLD SHIPPING COMPANY LTDA.</t>
  </si>
  <si>
    <t>GRUAS LIBRES S.A.</t>
  </si>
  <si>
    <t>ASOCIACION PROPIETARIOS CONDOR S.A.</t>
  </si>
  <si>
    <t>KARGA &amp; LOGISTICA S.A.S.</t>
  </si>
  <si>
    <t>TRANSPORTADORA JAVA S.A.</t>
  </si>
  <si>
    <t>POSTAL EXPRESS SS S.A.S</t>
  </si>
  <si>
    <t>TRANSPORTES CLAVIJO Y CIA. LTDA</t>
  </si>
  <si>
    <t>LOGISTICA Y SERVICIOS CAPITAL S.A.</t>
  </si>
  <si>
    <t>COMPAÑIA ELITE DE TRANSPORTE SOCIEDAD POR ACCIONES SIMPLIFICADA</t>
  </si>
  <si>
    <t>TECA TRANSPORTES S.A.</t>
  </si>
  <si>
    <t>TRANSPORTES JC LOGISTIC LTDA</t>
  </si>
  <si>
    <t>ORGANIZACIÓN LOGISTICA DE TRANSPORTE SANABRIA S.A.</t>
  </si>
  <si>
    <t>EXXE LOGISTICA CARGA EXPRESA LTDA</t>
  </si>
  <si>
    <t>REINGENIERIA LOGISTICA DE TRANSPORTE S.A.</t>
  </si>
  <si>
    <t>TRANSPORTADORA INTERCARIBE S.A.S</t>
  </si>
  <si>
    <t>BLUE SERVICES SAS</t>
  </si>
  <si>
    <t>TRANSPORTE DE CARGA DE INTEGRACION NACIONAL S.A.S /TRANS INTEGRAL S.A.S</t>
  </si>
  <si>
    <t>TRANSPORTES AMERICAN LOGISTICS SAS</t>
  </si>
  <si>
    <t>SUPPLA CARGO S.A.</t>
  </si>
  <si>
    <t>COOPERATIVA DE TRANSPORTE DE CARGA FONTIBON</t>
  </si>
  <si>
    <t>TRANSPORTE DE AUTOS Y CAMIONES LTDA</t>
  </si>
  <si>
    <t>RAPICARGA TRANSPORTES LTDA</t>
  </si>
  <si>
    <t>TRANSPORTES EURO S.A.</t>
  </si>
  <si>
    <t>D &amp; M TRANSPORTADORA INTERNACIONAL LTDA</t>
  </si>
  <si>
    <t>SETIP INGENIERIA S.A.</t>
  </si>
  <si>
    <t>INNOVADORA DE SERVICIO DE CARGA S.A.</t>
  </si>
  <si>
    <t>COMPAÑIA DE TRANSPORTE DE CARGA MOVICARGO LTDA</t>
  </si>
  <si>
    <t>COOPERATIVA DE TRANSPORTADORES COMPARTIR LTDA</t>
  </si>
  <si>
    <t>COOPERATIVA DE MOTORISTAS DE MOSQUERA Y FUNZA LTDA</t>
  </si>
  <si>
    <t>RUTAS TERRETRES DE LIQUIDOS LTDA</t>
  </si>
  <si>
    <t>LAND FAST S.A.</t>
  </si>
  <si>
    <t>GOLCAR S.A.</t>
  </si>
  <si>
    <t>TG TRANSPORT S.A.S.</t>
  </si>
  <si>
    <t>OPERADOR LOGISTICO DE CARGA DIBLANK LTDA.</t>
  </si>
  <si>
    <t>TRANSPORTADORA LOGISTICA COLOMBIANA LTDA.</t>
  </si>
  <si>
    <t>CAVAR TRANSPORTES S.A.</t>
  </si>
  <si>
    <t>INTERNATIONAL TRANSPORT SERVICES LTDA</t>
  </si>
  <si>
    <t>TRANSPORTES Y EMBALAJES S.A.</t>
  </si>
  <si>
    <t>COOPERATIVA DE TRANSPORTADORES DE COTA LTDA</t>
  </si>
  <si>
    <t>PETROL SERVICES Y CIA S.A.S</t>
  </si>
  <si>
    <t>MOVILIZADORA INTERNACIONAL DE CARGA S.A.</t>
  </si>
  <si>
    <t>TRANSPORTES BERMUDEZ S.A.</t>
  </si>
  <si>
    <t>NEXOS CARGO SAS</t>
  </si>
  <si>
    <t>COORDINADORA LOGISTICA DE TRANSPORTE REFRIGERADO DE COLOMBIA LTDA</t>
  </si>
  <si>
    <t>TECECOR TRANSPORTES S.A.S</t>
  </si>
  <si>
    <t>TECNICARGA LOGISTICA S.A.S.</t>
  </si>
  <si>
    <t>TRANSPORTES EASR SAS</t>
  </si>
  <si>
    <t>TRANSLOGINSA SAS</t>
  </si>
  <si>
    <t>COOPERATIVA MULTIACTIVA DE TRANSPORTADORES DE SAN MATEO</t>
  </si>
  <si>
    <t>TRANSPORTES ALTEA S.A.</t>
  </si>
  <si>
    <t>TRANSPORTES LAFER S.C.A.</t>
  </si>
  <si>
    <t>GLOBAL DE TRASLADOS ESPECIALIZADOS LTDA</t>
  </si>
  <si>
    <t>COLOCAR LOGISTICA &amp; CARGA SAS</t>
  </si>
  <si>
    <t>INVERSIONES AL FUTURO DEL TRANSPORTE S.A.</t>
  </si>
  <si>
    <t>A.T.H. CARGA S.A.S</t>
  </si>
  <si>
    <t>TRANSPORTE LOGISTICO CON CALIDAD S.A.</t>
  </si>
  <si>
    <t>USA POSTAL S.A.</t>
  </si>
  <si>
    <t>EMPRESA DE TRANSPORTES TRANSMOVILISAR LTDA</t>
  </si>
  <si>
    <t>ALIANZA CARGA LTDA.</t>
  </si>
  <si>
    <t>CLA TRANSPORTES LTDA</t>
  </si>
  <si>
    <t>IPERTRANS S.A.</t>
  </si>
  <si>
    <t>TRANS X TAR S.A.S.</t>
  </si>
  <si>
    <t>R &amp; T TRANSPORTE LOGISTICA SAS</t>
  </si>
  <si>
    <t>TRANSPORTES M.B. S.A.S.</t>
  </si>
  <si>
    <t>TRANSPORTES ESPECIALIZADOS JPV S.A.</t>
  </si>
  <si>
    <t>MEGASERVICIOS LOGISTICOS S.A.</t>
  </si>
  <si>
    <t>CARGOLAP LOGISTICA S.A.</t>
  </si>
  <si>
    <t>TRANSPORTADORES ASOCIADOS DEL NORTE S.A.</t>
  </si>
  <si>
    <t>SUPPLY CHAIN MANAGEMENT CONSULTING GROUP S.A.</t>
  </si>
  <si>
    <t>TRANSPORTES RIAÑO S.A.S.</t>
  </si>
  <si>
    <t>MOVIAUTOS DE COLOMBIA S.A.S</t>
  </si>
  <si>
    <t>TRANSPORTES LIDERES DE CARGA LTDA</t>
  </si>
  <si>
    <t>TRANSPORTE ESPECIALIZADO Y EQUIPOS TEEP S.A.S</t>
  </si>
  <si>
    <t>COORDINADORA DE TRANSPORTES P &amp; P LTDA</t>
  </si>
  <si>
    <t>TRANSPORTE Y LOGÃSTICA MIGUEL SANCHEZ SAS</t>
  </si>
  <si>
    <t>TRANSPORTES NACIONALES ARANDA LTDA.</t>
  </si>
  <si>
    <t>LOGIN DE COLOMBIA S.A.</t>
  </si>
  <si>
    <t>MATRASE S.A.</t>
  </si>
  <si>
    <t>GLOBAL LOGISTICS SERVICES S.A.S</t>
  </si>
  <si>
    <t>TRANSPORTE MAXIMO TRAMAX LTDA.</t>
  </si>
  <si>
    <t>MONTEJO HEAVY LIFT S.A.</t>
  </si>
  <si>
    <t>SOLUCIONES INTEGRALES DE TRANSPORTE LTDA.</t>
  </si>
  <si>
    <t>4 CARGO S.A.S</t>
  </si>
  <si>
    <t>CONTINENTAL CARGA S.A.</t>
  </si>
  <si>
    <t>TRANSPORTES TEV S.A.</t>
  </si>
  <si>
    <t>RECICLAJE INDUSTRIALES JARAMILLO Y CASTIBLANCO &amp; CIA S.C.S.</t>
  </si>
  <si>
    <t>COOPERATIVA MULTIACTIVA DE TRANSPORTADORES DE BOSA LTDA</t>
  </si>
  <si>
    <t>LOADTIME S.A.S</t>
  </si>
  <si>
    <t>COLOMBIA ENTREGA LTDA.</t>
  </si>
  <si>
    <t>AUTO TAXI EJECUTIVO S.A</t>
  </si>
  <si>
    <t>CRM SAS</t>
  </si>
  <si>
    <t>CARGAS Y CONTENEDORES S.A.</t>
  </si>
  <si>
    <t>TRANSPORTADORA AL MOMENTO SOCIEDAD ANONIMA</t>
  </si>
  <si>
    <t>CUMPLIMIENTO AL CIEN TRANSPORTE Y LOGISTICA S.A.S</t>
  </si>
  <si>
    <t>COOPERATIVA MULTIACTIVA DE ALTERNATIVAS DE TRANSPORTE SERVICIOS Y ASESO</t>
  </si>
  <si>
    <t>TRANS Q C R LOGISTICA S.A.</t>
  </si>
  <si>
    <t>GRUPO EMPRESARIAL OIKOS SAS</t>
  </si>
  <si>
    <t>INTEGRACION LOGISTICA BUJA CARGO LTDA.</t>
  </si>
  <si>
    <t>IBEROAMERICANA DE TRANSPORTES LTDA.</t>
  </si>
  <si>
    <t>REMESAR TRANSPORTES S.A.</t>
  </si>
  <si>
    <t>NACIONAL DE RUTAS LTDA.</t>
  </si>
  <si>
    <t>MONTEJO CASTILLO Y CIA. S. EN C.</t>
  </si>
  <si>
    <t>TRANSPORTES OLA S.A. TRANSOLA S.A. TRANS OKEY S.A. TRANSAKI S.A.</t>
  </si>
  <si>
    <t>TRANSGLOBAL DE CARGA LTDA.</t>
  </si>
  <si>
    <t>TRANS SERVICES LTDA.</t>
  </si>
  <si>
    <t>LOEXA S.A.S</t>
  </si>
  <si>
    <t>ESPECIALES CONDOR S.A.</t>
  </si>
  <si>
    <t>BISON TRUCKS S.A.S.</t>
  </si>
  <si>
    <t>LAVMAN INGENIEROS LTDA.</t>
  </si>
  <si>
    <t>ZEUS CARGO S.A.S ZCARGO</t>
  </si>
  <si>
    <t>MULTISERVICIOS EN LOGISTICA Y TRANSPORTES LTDA.</t>
  </si>
  <si>
    <t>ALLCARGO TRANSPORTE DE CARGA LTDA.</t>
  </si>
  <si>
    <t>COOPERATIVA MULTIACTIVA DE TRANSPORTADORES DE CARGA DE CAJICA CAJICARGA</t>
  </si>
  <si>
    <t>TRANSPORTES SIBARIA S.A.</t>
  </si>
  <si>
    <t>TRANSGLACIAL LTDA.</t>
  </si>
  <si>
    <t>FRIOTRANSANDINA S.A.S.</t>
  </si>
  <si>
    <t>COOPERATIVA INTEGRAL DE TRANSPORTADORES DE FOMEQUE LTDA</t>
  </si>
  <si>
    <t>SERVICE CARGO TRANSPORTES S.A.S</t>
  </si>
  <si>
    <t>OPROYEC GRUPO EMPRESARIAL Y ESTRATEGICO S.A.S. - OPROYEC S.A.S</t>
  </si>
  <si>
    <t>ALIANZA LOGISTICA J.C S.A.S.</t>
  </si>
  <si>
    <t>TRANSPORTES MONSERRATE CARGO T.M.T. S.A.</t>
  </si>
  <si>
    <t>AEXPRESS S.A.S.</t>
  </si>
  <si>
    <t>CONEXION Y CARGA S.A.</t>
  </si>
  <si>
    <t>MASTER TRANSPORT LTDA.</t>
  </si>
  <si>
    <t>ENTREGAS Y LOGISTICAS DE COLOMBIA SAS</t>
  </si>
  <si>
    <t>TRANSPORTES FW S.A.S.</t>
  </si>
  <si>
    <t>TRANSPORTES FLOTA BLANCA S.A.</t>
  </si>
  <si>
    <t>INTERWORLD LAND TRANSPORT S.A.S.</t>
  </si>
  <si>
    <t>AMIL CARGO LTDA.</t>
  </si>
  <si>
    <t>URBANO EXPRESS LOGISTICA Y MERCADEO LTDA.</t>
  </si>
  <si>
    <t>PETROJOTAS TRANSPORT LTDA.</t>
  </si>
  <si>
    <t>GLOBAL ANDINO DE CARGA S.A.</t>
  </si>
  <si>
    <t>TRANSPORTES COUNTRY S.A.</t>
  </si>
  <si>
    <t>TRANSPORTES CUNDINAMARCA S.A.</t>
  </si>
  <si>
    <t>TRANSPORTES ESPECIALES LEONARDO GAMBOA LTDA.</t>
  </si>
  <si>
    <t>TRANSPORTES LIBRES S.A.S.</t>
  </si>
  <si>
    <t>BISSONS S.A.</t>
  </si>
  <si>
    <t>GUERRERO TRANSPORTADORES DE CARGA LTDA</t>
  </si>
  <si>
    <t>TRANSPORTE DE CARGA DALAU LTDA.</t>
  </si>
  <si>
    <t>TRANSPORTE INTEGRAL ANDINO LTDA.</t>
  </si>
  <si>
    <t>PETRO TRADE &amp; LOGISTICS S.A.S - PLT</t>
  </si>
  <si>
    <t>LOGISTICA NACIONAL DE TRANSPORTE LTDA.</t>
  </si>
  <si>
    <t>TRANSPORTES MARIN S.A.S</t>
  </si>
  <si>
    <t>TRANSPORTE Y LOGISTICA HERGO S.A.</t>
  </si>
  <si>
    <t>TRANSLOGISTICA GAMBOA SANCHEZ &amp; CIA. S. EN C.</t>
  </si>
  <si>
    <t>HDL LOGISTICA S.A.S.</t>
  </si>
  <si>
    <t>COOPERATIVA MUNDIAL DE TRANSPORTADORES LTDA</t>
  </si>
  <si>
    <t>AUTO GRUAS CONDOR LTDA.</t>
  </si>
  <si>
    <t>C.G.R. TRANSPORTES SIN FRONTERAS S.A.S.</t>
  </si>
  <si>
    <t>TRANSPORTES OROZCO TOBON LTDA.</t>
  </si>
  <si>
    <t>LOGISTICA TOTAL S.A.</t>
  </si>
  <si>
    <t>EL SAUCE INVERSIONES S.A.</t>
  </si>
  <si>
    <t>EMPRESA LOGISTICA DE TRANSPORTE S.A.S</t>
  </si>
  <si>
    <t>ELITE LOGISTICA Y RENDIMIENTO S.A.S.</t>
  </si>
  <si>
    <t>TRANSPORTE LOGISTICO C &amp; G LTDA.</t>
  </si>
  <si>
    <t>LOGISTICA COMERCIAL DE COLOMBIA S.A.</t>
  </si>
  <si>
    <t>VANCA OPERADOR LOGISTICO LTDA.</t>
  </si>
  <si>
    <t>TRANSPORTES MACAWIL S.A.S.</t>
  </si>
  <si>
    <t>AHT ALL HEAVY TRANSPORT COLOMBIA S.A.S</t>
  </si>
  <si>
    <t>ELIECER ALVAREZ BECERRA</t>
  </si>
  <si>
    <t>RAYO CARGA EXPRESS S.A.S.</t>
  </si>
  <si>
    <t>TRANSPORTE Y LOGISTICA TYL CARGO S.A.S.</t>
  </si>
  <si>
    <t>TRANSPORTES COCOCARGA LTDA. TRANSCOCOL LTDA.</t>
  </si>
  <si>
    <t>STOCKING S.A.S.</t>
  </si>
  <si>
    <t>OCHOA Y COMPAÑIA LTDA.</t>
  </si>
  <si>
    <t>TRANSPORTE LOGISTICO INTERNACIONAL DE CARGA S.A.S.</t>
  </si>
  <si>
    <t>SURTICOM LTDA. SURTIDORA DE COMBUSTIBLES LTDA.</t>
  </si>
  <si>
    <t>AGENCIA COLOMBIANA DE LOGISTICA LTDA.</t>
  </si>
  <si>
    <t>TRANSPORTES JOSE DANILO HERRERA S.A.S.</t>
  </si>
  <si>
    <t>TRANSPORTES MAQUEHUA COLOMBIA S.A.S</t>
  </si>
  <si>
    <t>SERVICIOS Y MOVIMIENTOS LOGITICOS S.A.S.</t>
  </si>
  <si>
    <t>TRANSPORTES MURCIA OROZCO S.A.S.</t>
  </si>
  <si>
    <t>INVERSIONES MUÑOZ Y CAMARGO LTDA.</t>
  </si>
  <si>
    <t>GRUPO CASALE S.A.S.</t>
  </si>
  <si>
    <t>B LOGIC S.A.S.</t>
  </si>
  <si>
    <t>SISTEMAS LOGISTICOS INTEGRALES DE COLOMBIA S.A.S</t>
  </si>
  <si>
    <t>S.L.I. GLOBAL S.A.S.</t>
  </si>
  <si>
    <t>FEDERAL EXPRESS CORPORATION</t>
  </si>
  <si>
    <t>DUALTRANS TRANSPORTE Y LOGISTICA SAS</t>
  </si>
  <si>
    <t>SERVICIOS POSTALES NACIONALES S.A.</t>
  </si>
  <si>
    <t>TRANSPORTES LOPEZ MEDINA Y CIA. LTDA.</t>
  </si>
  <si>
    <t>TRANSPORTES CP S.A.S.</t>
  </si>
  <si>
    <t>TRANSPORTES DON QUIJOTE LTDA.</t>
  </si>
  <si>
    <t>EXPRESO SUR ORIENTE S.A.</t>
  </si>
  <si>
    <t>PETROLOGYC S.A.S.</t>
  </si>
  <si>
    <t>TRANSPORTES ANDINO EXPRESS LTDA.</t>
  </si>
  <si>
    <t>INVERSIONES &amp; TRANSPORTES RR S.A.S.</t>
  </si>
  <si>
    <t>OIL SERVICES CARGO S.A.S.</t>
  </si>
  <si>
    <t>OCEANS GROUP TRANSPORTES S.A.S.</t>
  </si>
  <si>
    <t>TSC TRANSCARGA S.A.S.</t>
  </si>
  <si>
    <t>TECC S.A.S. TRANSPORTE ESPECIALIZADO DE CARGA Y CRUDO S.A.S.</t>
  </si>
  <si>
    <t>HARVEST LOGISTICA, IZAJES Y TRANSPORTE S.A.S.</t>
  </si>
  <si>
    <t>FUERZA LOGISTICA PARA EL TRANSPORTE DE CARGA S.A.S.</t>
  </si>
  <si>
    <t>ECOMMERCE LOGISTIC S.A.S.</t>
  </si>
  <si>
    <t>INVERSIONES Y LOGISTICA DE TRANSPORTE DE CARGA S.A.S.</t>
  </si>
  <si>
    <t>FL COLOMBIA S.A.S.</t>
  </si>
  <si>
    <t>TRAFICO LIBRE CARGO S.A.S.</t>
  </si>
  <si>
    <t>XSP CARGO S.A.S.</t>
  </si>
  <si>
    <t>TRANSPORTES LOGISTICOS DEL SUR S.A.S.</t>
  </si>
  <si>
    <t>TRANSPORTES COLOMBIA CARGA PESADA S.A.S.</t>
  </si>
  <si>
    <t>TRANSPORTES SERVINCI S.A.S.</t>
  </si>
  <si>
    <t>TRANSPORTES O &amp; M LOGISTICA S.A.S.</t>
  </si>
  <si>
    <t>VIA LIBRE SIGLO 21 S.A.S.</t>
  </si>
  <si>
    <t>BARGOL ASSETS S.A.</t>
  </si>
  <si>
    <t>TRANSPORTES LOGISPETROL S.A.S.</t>
  </si>
  <si>
    <t>ENTREGA DE CARGA S.A.S</t>
  </si>
  <si>
    <t>TRANSPORTES ESPECIALIZADOS JR. S.A.S.</t>
  </si>
  <si>
    <t>VISION LOGISTICA INTERNACIONAL S.A.S.</t>
  </si>
  <si>
    <t>TRANSPORTES GONZALEZ &amp; OCHOA S.A.S.</t>
  </si>
  <si>
    <t>ENTRE CAMINOS S.A.S.</t>
  </si>
  <si>
    <t>GREEN LOGISTICS OPERATOR S.A.S.</t>
  </si>
  <si>
    <t>TRANSTERRA S.A.S.</t>
  </si>
  <si>
    <t>TRANSPORTES MANRIQUE DALLOS S.A.S.</t>
  </si>
  <si>
    <t>RHM GROUP S.A.S.</t>
  </si>
  <si>
    <t>SIEX SOLUCIONES S.A.S.</t>
  </si>
  <si>
    <t>FLETES FOR S.A.S.</t>
  </si>
  <si>
    <t>TRANSPORTES OVIEDO EXPRESS S.A.S.</t>
  </si>
  <si>
    <t>TRANSPORTES EMILGO S.A.S.</t>
  </si>
  <si>
    <t>TRANSPORTE INTERMUNICIPAL DE CARGA SERVIMEJIA S.A.S.</t>
  </si>
  <si>
    <t>LOADING EXPRESS S.A.S.</t>
  </si>
  <si>
    <t>FLUID LOGISTIC OPERATION SERVICE CARGO S.A.S.</t>
  </si>
  <si>
    <t>MAQUINEX LTDA.</t>
  </si>
  <si>
    <t>PARDO Y DURAN LOGISTICA EN TRANSPORTE DE CARGA S.A.S.</t>
  </si>
  <si>
    <t>M &amp; L OPERADOR DE CARGA S.A.S.</t>
  </si>
  <si>
    <t>TRANSPORTES INTERMOVER LOGISTICA LTDA.</t>
  </si>
  <si>
    <t>TRANSPORTES CALDAS AGUIRRE S.A.S.</t>
  </si>
  <si>
    <t>RH GROUP S.A.S.</t>
  </si>
  <si>
    <t>MI CARGA TRANSPORTADA S.A.S.</t>
  </si>
  <si>
    <t>LOGICTRANS MULTIMODAL S.A.S.</t>
  </si>
  <si>
    <t>CONALTRASA S.A.S.</t>
  </si>
  <si>
    <t>TRANS ELECTRO ASOCIADOS S.A.S.</t>
  </si>
  <si>
    <t>WORLD COURIER DE COLOMBIA S.A.</t>
  </si>
  <si>
    <t>TRANSPORTADORA DEL SUR ORIENTE E.U.</t>
  </si>
  <si>
    <t>MAMMOET LIFTING AND TRANSPORT S.A.S.</t>
  </si>
  <si>
    <t>TRANSPORTES FEVETRANS S.A.S.</t>
  </si>
  <si>
    <t>LINEAS ESCOLARES Y TURISMO S.A.S LIDERTUR S.A.</t>
  </si>
  <si>
    <t>COMPAÑIA COLOMBIANA DE TRANSPORTADORES DE CARGA PESADA S.A.S.</t>
  </si>
  <si>
    <t>MULTISERVICIOS SUPERISLAS S.A.S.</t>
  </si>
  <si>
    <t>TRANSPORTES LOGISTICOS LANYER S.A.S.</t>
  </si>
  <si>
    <t>C &amp; S LOGISTICA TRANSPORTADORA S.A.S.</t>
  </si>
  <si>
    <t>TRANSPORTES MUDAMOS EXPRESS S.A.S.</t>
  </si>
  <si>
    <t>TRANSPORTES ESPECIALES FSG E.U.</t>
  </si>
  <si>
    <t>TRANSPORTES COLCRUDOS S.A.S.</t>
  </si>
  <si>
    <t>TRANSPORTES FLETX S.A.S,</t>
  </si>
  <si>
    <t>CARGO GROUP S.A.S.</t>
  </si>
  <si>
    <t>INTEGRA CADENA DE SERVICIOS S.A.S.</t>
  </si>
  <si>
    <t>PASAR TRANSPORTE Y DISTRIBUCION S.A.S.</t>
  </si>
  <si>
    <t>SERVICIOS Y LOGISTICA S.A.</t>
  </si>
  <si>
    <t>TRANSPORTE Y LOGISTICA OLNAR S.AS.</t>
  </si>
  <si>
    <t>ALIADAS CARGO S.A.S.</t>
  </si>
  <si>
    <t>PLANET CARGO OPERADOR LOGISTICO S.A.S.</t>
  </si>
  <si>
    <t>REDECARGA LIMITADA</t>
  </si>
  <si>
    <t>A C CARGA ESPECIALIZADA S.A.S.</t>
  </si>
  <si>
    <t>BLUE CARGO S.A.S.</t>
  </si>
  <si>
    <t>TRANSPORTES Y SERVICIOS INTEGRALES VALENZUELA S.A.S.</t>
  </si>
  <si>
    <t>TRANS CORRECAMINOS H Y M S.A.S.</t>
  </si>
  <si>
    <t>TRANSPORTE ESPECIALIZADO LOGISTICA Y CARGA CARGO S.A.S.</t>
  </si>
  <si>
    <t>ACCION Y GESTION LOGISTICA S.A.S.</t>
  </si>
  <si>
    <t>CEMEX ADMINISTRACIONES LTDA.</t>
  </si>
  <si>
    <t>JBER INGENIERIA S.A.S.</t>
  </si>
  <si>
    <t>CAMILO TRANSPORTES SOCIEDAD POR ACCIONES S.A.S.</t>
  </si>
  <si>
    <t>LOINTRA S.A.S.</t>
  </si>
  <si>
    <t>PHAREX S.A.</t>
  </si>
  <si>
    <t>POSTAL AEROFAST COLOMBIA S.A. EN RESTRUCTURACION</t>
  </si>
  <si>
    <t>TRANSPORTES TIERRADENTRO S.A.S.</t>
  </si>
  <si>
    <t>LISINI CARGO S.A.S.</t>
  </si>
  <si>
    <t>TRANSPORTES GALTRANS S.A.S.</t>
  </si>
  <si>
    <t>TRANSPORTE SOLCARIBE S.A.S.</t>
  </si>
  <si>
    <t>TRANSMERIDIAN S.A.S</t>
  </si>
  <si>
    <t>IMPALA COLOMBIA S.A.S</t>
  </si>
  <si>
    <t>COMPANIA COLOMBIANA DE TRANSPORTE Y CARGA S.A.S.-COSTACARGO SAS</t>
  </si>
  <si>
    <t>DRAGON COLOMBIA S.A.S</t>
  </si>
  <si>
    <t>COMERCIALIZADORA NACIONAL S.A.S</t>
  </si>
  <si>
    <t>INV Y LOGISTICA ENMARCHA SAS.</t>
  </si>
  <si>
    <t>DELCO SERVICIOS Y CONSTRUCCIONES SAS</t>
  </si>
  <si>
    <t>NELLY FRANKY PEDRAZA SAS</t>
  </si>
  <si>
    <t>TRANSPORTES ISGO S.A.</t>
  </si>
  <si>
    <t>SERMIPETROL S.A.</t>
  </si>
  <si>
    <t>AGEMTRANSPORTES S.A.S</t>
  </si>
  <si>
    <t>GRANDES CARGAS DE COLOMBIA S.A.S.</t>
  </si>
  <si>
    <t>D &amp; D ENERGY TRANSPORT INC SUCURSAL COLOMBIA</t>
  </si>
  <si>
    <t>CAYENNE GROUP S.A.S</t>
  </si>
  <si>
    <t>WEDO LOGISTICS SAS</t>
  </si>
  <si>
    <t>TRANSPORTE MODERNO MULTIMODAL S.A.S</t>
  </si>
  <si>
    <t>SERVICIOS INTEGRALES MARITIMOS S.A.S</t>
  </si>
  <si>
    <t>TRASLADAMOS S.A.S</t>
  </si>
  <si>
    <t>TRANSPORTES PETROPALMA S.A.S</t>
  </si>
  <si>
    <t>CECUR S.A.S.</t>
  </si>
  <si>
    <t>MANUCHAR LOGISTIC S.A.S</t>
  </si>
  <si>
    <t>TRANSFRICOL S.A.S.</t>
  </si>
  <si>
    <t>PROYECTOS Y TRANSPORTES INTERNACIONAL S.A.S.</t>
  </si>
  <si>
    <t>OPTIMUS TRANS SERVICES</t>
  </si>
  <si>
    <t>TRANSFOREX S.A.</t>
  </si>
  <si>
    <t>TRANSPORTES ECO OIL DE COLOMBIA S.A.S.</t>
  </si>
  <si>
    <t>SERVICIOS DE TRANSPORTE SOUTH PACIFIC S.A.S.</t>
  </si>
  <si>
    <t>TRANS RUBIALES S.A.S</t>
  </si>
  <si>
    <t>SERVICIOS SUMINISTROS Y TRANSPORTE LTDA</t>
  </si>
  <si>
    <t>AGUNSA LOGISTICS S.A.S</t>
  </si>
  <si>
    <t>TRANSPORTADORA DE VOLUMEN S.A.S</t>
  </si>
  <si>
    <t>LOGISTICA Y DISTRIBUCIONES SOBRE RUEDAS SAS</t>
  </si>
  <si>
    <t>B&amp;M LOGISTICA EN TRANSPORTE S.A.S.</t>
  </si>
  <si>
    <t>ARITUR LIMITADA</t>
  </si>
  <si>
    <t>TRANSPORTES DAYPER S.A.S.</t>
  </si>
  <si>
    <t>COLOMBIANA DE SERVICIOS LOGISTICOS S.A.S.</t>
  </si>
  <si>
    <t>COOPERATIVA DE TRANSPORTE DEL GUAVIO-SERVITRANSGUAVIO</t>
  </si>
  <si>
    <t>OCN TRANSPORTE LOGISTICO</t>
  </si>
  <si>
    <t>HORA CERO LOGISTICA Y TRANSPORTE S.A.</t>
  </si>
  <si>
    <t>PLEXA SOCIEDAD ANONIMA EMPRESA DE SERVICIOS PUBLICOS DOMICILIARIOS</t>
  </si>
  <si>
    <t>TRANS MASIVOS &amp; LOGIÂSTICA S.A.S</t>
  </si>
  <si>
    <t>TRANSCEPEDA S.A.S</t>
  </si>
  <si>
    <t>TRANSPORTE COMERCIAL LA ESTRELLA LTDA</t>
  </si>
  <si>
    <t>RED INTEGRADORA S.A.S.</t>
  </si>
  <si>
    <t>GRANDES TRANSPORTES DE CARGA MULTIMODAL S.A.S</t>
  </si>
  <si>
    <t>TRANSPORTADORA INTEGRAL DE OCCIDENTE SAS</t>
  </si>
  <si>
    <t>INVERSIONES TRANSTURISMO LTDA</t>
  </si>
  <si>
    <t>GPS TRANSPORTES S.A.S.</t>
  </si>
  <si>
    <t>CIVILEQUIPMENT S.A.S.</t>
  </si>
  <si>
    <t>PARKO SERVICES S.A</t>
  </si>
  <si>
    <t>TRANSPORTES TRIPLE A S.A.S</t>
  </si>
  <si>
    <t>RGQ LOGISTICS GROUP INTERNATIONAL S.A.S.</t>
  </si>
  <si>
    <t>INTER SERVICIOS S.A.S.</t>
  </si>
  <si>
    <t>INVERSIONES EL CONDOR DE COLOMBIA .S.A.S</t>
  </si>
  <si>
    <t>FRANCARGA S.A.S.</t>
  </si>
  <si>
    <t>PROYETZA CARGA S.A.S</t>
  </si>
  <si>
    <t>FACTORY BLA S.A.S</t>
  </si>
  <si>
    <t>COMPANIA NACIONAL DE MICROBUSES - COMNALMICROS S.A.</t>
  </si>
  <si>
    <t>INTERNACIONAL LOGISTICA S.A.S.</t>
  </si>
  <si>
    <t>TRANSPORTES WILMARCAL S.A.S</t>
  </si>
  <si>
    <t>TRANSPORTADORA LOGISTICA JP S.A.S.</t>
  </si>
  <si>
    <t>EMPRESA COLOMBIANA DE LOGISTICA SAS, ECL- LINK</t>
  </si>
  <si>
    <t>MOVERTRANS S.A.S.</t>
  </si>
  <si>
    <t>TRANSPORTE REFRIGERADO Y LIQUIDO S.A.S</t>
  </si>
  <si>
    <t>TRANSPORTE Y LOGISTICA MUDANZAS EL NOGAL S.A.S.</t>
  </si>
  <si>
    <t>SERVICIOS COMPLEMENTARIOS EN LOGISTICA S.A.S.</t>
  </si>
  <si>
    <t>TRANSPORTADORA LOGISTICA DE GACHANCIPA S.A.S.</t>
  </si>
  <si>
    <t>TRANSPORTES URBANOS S.A.S.</t>
  </si>
  <si>
    <t>TNC TRANSPORTE NACIONAL DE CARGAS S.A.S</t>
  </si>
  <si>
    <t>EGA KAT LOGISTICA S.A.S</t>
  </si>
  <si>
    <t>COOPERATIVA NACIONAL DE TRANSPORTADORES LIMITADA</t>
  </si>
  <si>
    <t>ESPECIAL CARGO S.A.S</t>
  </si>
  <si>
    <t>MAQUIPESADOS DE COLOMBIA S.A.S.</t>
  </si>
  <si>
    <t>DELMOCLAHAN LOGISTICS S.A.S</t>
  </si>
  <si>
    <t>ANDINA EXPRESS DE CARGA S.A.S</t>
  </si>
  <si>
    <t>BOPECA ENERGY GROUP S.A.S</t>
  </si>
  <si>
    <t>LOGISTICA REPREMUNDO S.A.S.</t>
  </si>
  <si>
    <t>SUMA CORP S.A.S.</t>
  </si>
  <si>
    <t>LOGISTICA Y TRANSPORTE HM S.A.S.</t>
  </si>
  <si>
    <t>ENERGY LOGISTICA &amp; TRANSPORTE S.A.S.</t>
  </si>
  <si>
    <t>TRANSPORTE Y SOLUCIONES LOGISTICAS S.A.</t>
  </si>
  <si>
    <t>CARRY EXPRESS S. A. S.</t>
  </si>
  <si>
    <t>SPARTA TRANSPORTS S.A.S</t>
  </si>
  <si>
    <t>TRANSPORTADORA VALEOTRANS S.A.S.</t>
  </si>
  <si>
    <t>TWN S.A.</t>
  </si>
  <si>
    <t>TRANSPORTES DE AFAN SAS</t>
  </si>
  <si>
    <t>INVERSIONES LA ROCA HR S.A.S.</t>
  </si>
  <si>
    <t>LOGISTICA 3T S.A.</t>
  </si>
  <si>
    <t>P&amp;P TRANSPORTES Y EQUIPOS S.A.S</t>
  </si>
  <si>
    <t>DISTRIBUCION Y TRANSPORTES S.A.</t>
  </si>
  <si>
    <t>LOGISTICA Y TRANSPORTE TERRESTRE S.A.S</t>
  </si>
  <si>
    <t>DISTRIBUIDORA NACIONAL DE COMBUSTIBLES LTDA.</t>
  </si>
  <si>
    <t>LOGYSTEEL OPERADOR LOGISTICO S.A.S. - LOGYSTEEL S.A.S.</t>
  </si>
  <si>
    <t>TRANSPORTADORA DE LA SABANA S.A.S.</t>
  </si>
  <si>
    <t>TRANSPORTE KEPPLER S.A.S</t>
  </si>
  <si>
    <t>TRANSPORTES ALZA &amp; BAREÑO LTDA</t>
  </si>
  <si>
    <t>TRANSPORTE ESPECIALIZADO LOGISTICO DE COLOMBIA SAS</t>
  </si>
  <si>
    <t>TYMAK S.A.S.</t>
  </si>
  <si>
    <t>KING TRUCK S.A.S</t>
  </si>
  <si>
    <t>LOGYMAX LOGISTICA MASIVA S.A.S</t>
  </si>
  <si>
    <t>TRANSPORTE DE CARGA Y LOGISTICA TCL SAS</t>
  </si>
  <si>
    <t>TRANSPORTES JP S.A.S</t>
  </si>
  <si>
    <t>LOGISTICA QT S.A.S</t>
  </si>
  <si>
    <t>ENVIOS LOGISTICOS CARGO S.A.S</t>
  </si>
  <si>
    <t>DISTRITANQUES S.A.S.</t>
  </si>
  <si>
    <t>CADENA LOGÍSTICA INTEGRAL DE PRODUCTOS Y SERVICIOS CLIPS S.A.S</t>
  </si>
  <si>
    <t>BYS TRANSPORTES SAS</t>
  </si>
  <si>
    <t>BARSA EXPRESS S.A.S</t>
  </si>
  <si>
    <t>ANATOLIA ANT S.A.S.</t>
  </si>
  <si>
    <t>TRANSPORTES ORTECARGA S.A.S</t>
  </si>
  <si>
    <t>SOLUCIONES INTEGRALES DE TRANSPORTE DEL CASANARE S.A.S</t>
  </si>
  <si>
    <t>COMERCIALIZADORA EL NUEVO MUNDO DEL RECICLAJE LTDA</t>
  </si>
  <si>
    <t>SARENS DE COLOMBIA SAS</t>
  </si>
  <si>
    <t>MOTUR CARGA S.A.S</t>
  </si>
  <si>
    <t>CBA LOGISTICA S.A.S</t>
  </si>
  <si>
    <t>EASY CAR LOGISTICA S.A.S</t>
  </si>
  <si>
    <t>TRANSFOR S.A.S</t>
  </si>
  <si>
    <t>SUMIPETROCO S.A.S</t>
  </si>
  <si>
    <t>NOMADA TRANSPORTE INTEGRAL S.A.S</t>
  </si>
  <si>
    <t>TRANSPORTES G.C. LOGIÂSTICA S.A.S.</t>
  </si>
  <si>
    <t>CUNDICOAL S.A.S</t>
  </si>
  <si>
    <t>TIZZON S.A.S</t>
  </si>
  <si>
    <t>A L ALIANZA LOGISTICA S.A.S</t>
  </si>
  <si>
    <t>MAQUINAS AMARILLAS S.A.S.</t>
  </si>
  <si>
    <t>HERNANDEZ &amp; VELASQUEZ SOLUTIONS S.A.S</t>
  </si>
  <si>
    <t>FALCCON SERVICES S.A.S.</t>
  </si>
  <si>
    <t>SILCOMEX S.A.S</t>
  </si>
  <si>
    <t>TRANCORA S.A.S</t>
  </si>
  <si>
    <t>BIOCARRIER COLOMBIA S.A.S</t>
  </si>
  <si>
    <t>RIBELL SAS</t>
  </si>
  <si>
    <t>AUTO GRUAS BULLA LIMITADA</t>
  </si>
  <si>
    <t>TRANSPORTES ESPECIALES GUTIERREZ SAS</t>
  </si>
  <si>
    <t>SKY LOGISTICA INTEGRAL S.A.S</t>
  </si>
  <si>
    <t>INTERCARGO MERCANTIL S.A.S</t>
  </si>
  <si>
    <t>LOGISTICA Y DISTRIBUCION ESPECIALIZADA L&amp;D S.A.S.</t>
  </si>
  <si>
    <t>MULTIMODAL EXPRESS SAS</t>
  </si>
  <si>
    <t>TRANSANVINCO S.A.S</t>
  </si>
  <si>
    <t>ACPM S.A.S</t>
  </si>
  <si>
    <t>IMC CARGO INTERNATIONAL S.A.S</t>
  </si>
  <si>
    <t>SLP SERVICIOS LOGISTICOS PETROLEROS SAS</t>
  </si>
  <si>
    <t>LOGISTICA Y SERVICIOS CARREVAL S.A.S</t>
  </si>
  <si>
    <t>LOGÃSTICA Y SOLUCIONES PETROLERAS ENERGY SAS</t>
  </si>
  <si>
    <t>TRACTOVOLCO SAS</t>
  </si>
  <si>
    <t>INVERSIONES Y TRANSPORTES RAM S.A.S.</t>
  </si>
  <si>
    <t>EXPRESOS Y SERVICIOS EXPRESER SAS</t>
  </si>
  <si>
    <t>VIASUTRANS SAS</t>
  </si>
  <si>
    <t>SERVI TRANSPORTE MATWILL SAS</t>
  </si>
  <si>
    <t>TRANSPORTES DE LA FRONTERA S.A.S</t>
  </si>
  <si>
    <t>TRANSPORTE NACIONAL DE LIQUIDOS S.A.S.</t>
  </si>
  <si>
    <t>CARGAMAX LOGISTICS SAS</t>
  </si>
  <si>
    <t>MINERCOAL S.A.S.</t>
  </si>
  <si>
    <t>OPERADOR LOGÃSTICO TALENCOOP S.A.S</t>
  </si>
  <si>
    <t>MASTER CARGA EXPRESS S A S</t>
  </si>
  <si>
    <t>OV LOGISTICS S.A.S</t>
  </si>
  <si>
    <t>ADMINISTRACIÓN TRANSPORTE Y LOGÍSTICA ATL SAS</t>
  </si>
  <si>
    <t>L&amp;R TRANSPORTES SAS</t>
  </si>
  <si>
    <t>TRANSPORTES AVIA S.A.S.</t>
  </si>
  <si>
    <t>TRANSPORTES UNIDOS DE CARGA SAS</t>
  </si>
  <si>
    <t>MEGA CARGA PLUS S.A.S</t>
  </si>
  <si>
    <t>VIASUGAS SAS</t>
  </si>
  <si>
    <t>LOGISTICA EN TRANSPORTES JJ HERRERA SAS</t>
  </si>
  <si>
    <t>ABC TRANSPORT S.A.S.</t>
  </si>
  <si>
    <t>LOGA LOGISTICA Y TRANSPORTES S.A.S.</t>
  </si>
  <si>
    <t>TCE INTERNACIONAL S.A.S</t>
  </si>
  <si>
    <t>TRANSPORTE EXCELENCIA Y LOGISITICA S.A.S.</t>
  </si>
  <si>
    <t>LOGISTRAM S.A.S.</t>
  </si>
  <si>
    <t>TEAM WORKS SAS</t>
  </si>
  <si>
    <t>T CAP LOGISTICA SAS</t>
  </si>
  <si>
    <t>LOGÃSTICA &amp; TRANSPORTE TORO HERMANOS SAS</t>
  </si>
  <si>
    <t>AW COMPANY S.A.S</t>
  </si>
  <si>
    <t>COOPERATIVA DE TRANSPORTADORES DE FONTIBON LTDA</t>
  </si>
  <si>
    <t>EXPEL MANAGEMENT SAS</t>
  </si>
  <si>
    <t>CAMARCA SAS</t>
  </si>
  <si>
    <t>FERKAR S.A.S</t>
  </si>
  <si>
    <t>CARS TURISMO LTDA</t>
  </si>
  <si>
    <t>TRANSNEVADA S.A.S</t>
  </si>
  <si>
    <t>TRANSPORTE ZARATE</t>
  </si>
  <si>
    <t>TRANSPORTES CERO GRADOS S.A.S</t>
  </si>
  <si>
    <t>ASOTRANSPORTE LOGISTICA S.A.S.</t>
  </si>
  <si>
    <t>TRANSACTIVE S.A.S</t>
  </si>
  <si>
    <t>GLOBAL LOGISTICA DE TRANSPORTE S.A.S</t>
  </si>
  <si>
    <t>TRANS GLOBAL LTDA</t>
  </si>
  <si>
    <t>DHL GLOBAL FORWARDING COLOMBIA S.A.S.</t>
  </si>
  <si>
    <t>INGENIERIA Y TRANSPORTE CARRVE S.A.S</t>
  </si>
  <si>
    <t>TRANSPORTES UNIDOS BENITEZ S.A.S</t>
  </si>
  <si>
    <t>TRANSPORTANDO KARS S.A.S.</t>
  </si>
  <si>
    <t>AUTO GRUAS SALAZAR S.A.S</t>
  </si>
  <si>
    <t>TRANSPORTADORA JUANNAS LTDA</t>
  </si>
  <si>
    <t>TRANSPORTES ESPECIALES ALIADOS S.A.S</t>
  </si>
  <si>
    <t>LEM CARGO BOGOTA LTDA.</t>
  </si>
  <si>
    <t>TRANSPORTES LOGIAPOYO S.A.S.</t>
  </si>
  <si>
    <t>COMPAÑIA BOYACENCE DE TRANSPORTES BOLIVAR S.A.S</t>
  </si>
  <si>
    <t>ILS LOGISTICA INTEGRAL DE SERVICIOS S.A</t>
  </si>
  <si>
    <t>TACTIC LOGISTICS S A S</t>
  </si>
  <si>
    <t>INGRAM MICRO S.A.S.</t>
  </si>
  <si>
    <t>PLATINUM CARGA S.A.S.</t>
  </si>
  <si>
    <t>SIVAL CARGA S.A.S</t>
  </si>
  <si>
    <t>TRANSPORTES BRICAI S.A.S.</t>
  </si>
  <si>
    <t>GLOBALTRANS CARGO S.A.S.</t>
  </si>
  <si>
    <t>TRANSGRUP SAS</t>
  </si>
  <si>
    <t>MOVIMIENTOS TERRESTRES Y SERVICIOS M.T.S. S.A.S.</t>
  </si>
  <si>
    <t>VIOTRANS COLOMBIA S.A.S</t>
  </si>
  <si>
    <t>RIGOL INGENIERIA S.A.S</t>
  </si>
  <si>
    <t>GTM TRANSMOVIL SAS</t>
  </si>
  <si>
    <t>LA NUEVA MC TRANSPORTES S.A.S</t>
  </si>
  <si>
    <t>TRANSCAS S.A.S.</t>
  </si>
  <si>
    <t>RED LOGISTICA DE TRANSPORTE S.A.S. - RLI TRANSPORTES</t>
  </si>
  <si>
    <t>TRANSPORTES NACIONALES EL ALCARVAN S.A.S.</t>
  </si>
  <si>
    <t>TRANSPORTE LOGISTICA &amp; HOMES S.A.S</t>
  </si>
  <si>
    <t>TRANSPORTE COLOMBIANO DE CARGAS SAS -TANSPCARGAS SAS-</t>
  </si>
  <si>
    <t>FOCUS SERVICIOS INTEGRALES S.A.S</t>
  </si>
  <si>
    <t>RED LOGISTICA DE CARGA Y TRANSPORTE S.A.S.</t>
  </si>
  <si>
    <t>TRANSPORTE E INGENIERIA MG S.A.S</t>
  </si>
  <si>
    <t>COOPERATIVA DE TRANSPORTE Y LOGISTICA GUACHETA</t>
  </si>
  <si>
    <t>TRANSPORTES FERCARGA S.A.S.</t>
  </si>
  <si>
    <t>GRUPO 3 R S.A.S.</t>
  </si>
  <si>
    <t>LOGISTICA Y TRANSPORTE BRC S.A.S</t>
  </si>
  <si>
    <t>RURAL EXPRESS S.A.S</t>
  </si>
  <si>
    <t>LOGISTICA Y TRANSPORTE ANC S.A.S</t>
  </si>
  <si>
    <t>EMPREDEDORES LOGISTIKOS S.A.S</t>
  </si>
  <si>
    <t>TRANSPORTES SD S S.A.S</t>
  </si>
  <si>
    <t>FC CARGA S.A.S.</t>
  </si>
  <si>
    <t>FUSAGRO LTDA.</t>
  </si>
  <si>
    <t>IMPORTRANS RADIACTIVOS LTDA</t>
  </si>
  <si>
    <t>CARGANDO &amp; DESCARGANDO S.A.S.</t>
  </si>
  <si>
    <t>RED MUNDIAL DE CARGA S.A.S</t>
  </si>
  <si>
    <t>GRUAS DUMA S.A.S.</t>
  </si>
  <si>
    <t>TRANSPORTES JJA S.A.S.</t>
  </si>
  <si>
    <t>TRANSANCHEZ S.A.S.</t>
  </si>
  <si>
    <t>FERRICAR S.A.S.</t>
  </si>
  <si>
    <t>MURCIA CONSTRUCCIONES S.A.S</t>
  </si>
  <si>
    <t>NBT TRANSPORTES Y SERVICIOS LOGISTICOS S.A.S</t>
  </si>
  <si>
    <t>AXION LOG TRANSPORTES S.A.S</t>
  </si>
  <si>
    <t>ENVIAR LOGISTICA S.A.S</t>
  </si>
  <si>
    <t>IZAJES, TRANSPORTES Y MANIOBRAS S.A - IZATRANS S.A.</t>
  </si>
  <si>
    <t>TRANSPORTES CSC S.A.S EN REORGANIZACIÓN</t>
  </si>
  <si>
    <t>REFRISETRANS SAS</t>
  </si>
  <si>
    <t>ORGANIZACIÓN DE TRANSPORTE ORT S.A.S</t>
  </si>
  <si>
    <t>BULKMATIC DE COLOMBIA S.A.S</t>
  </si>
  <si>
    <t>CARZ TRANSPORTADORES S.A.S</t>
  </si>
  <si>
    <t>FERRETERIA MULTIMALLAS LTDA</t>
  </si>
  <si>
    <t>MULTIMODAL LOGISTIC AGENCY LTDA</t>
  </si>
  <si>
    <t>REACCIÃ³N LOGÃ-STICA SAS</t>
  </si>
  <si>
    <t>SOLUCIONES DE TRANSPORTE INTEGRALES S.A.S</t>
  </si>
  <si>
    <t>OPERLOG COLOMBIA S.A.S</t>
  </si>
  <si>
    <t>TRANSPORTE &amp; LOGISTICA JRP S.A.S.</t>
  </si>
  <si>
    <t>ALPINA PRODUCTOS ALIMENTICIOS S.A.</t>
  </si>
  <si>
    <t>TRANSPORTES L&amp;Y SOLUCIONES LOGISTICAS SAS</t>
  </si>
  <si>
    <t>INAGRECON S.A.S</t>
  </si>
  <si>
    <t>TRANSPORTES FABIO RUBIO S.A.S</t>
  </si>
  <si>
    <t>KARGURO S.A.S</t>
  </si>
  <si>
    <t>TRANS MAQPE S.A.S</t>
  </si>
  <si>
    <t>LOGISTICA Y DISTRIBUCION COLOMBIA S.A.S</t>
  </si>
  <si>
    <t>TRANSPORTES BSD S.A.S</t>
  </si>
  <si>
    <t>MOTORIZADOS EXPRESS S.AS</t>
  </si>
  <si>
    <t>GESTIONES EMPRESARIALES MARMURA S..A.S</t>
  </si>
  <si>
    <t>ECOLCIN S.A.S</t>
  </si>
  <si>
    <t>EMPRESA DE TRANSPORTE EN RUTA S.A.S</t>
  </si>
  <si>
    <t>INTERSERVICE S.A</t>
  </si>
  <si>
    <t>INGENIERIA Y TRANSPORTE MARTINEZ S.A.S - INGTRAMAR S.A.S</t>
  </si>
  <si>
    <t>TRANSPORTES ESPECIALES NUEVA ERA S.A.S</t>
  </si>
  <si>
    <t>L &amp; G CARGA S.A.S</t>
  </si>
  <si>
    <t>INTER TRANSPORTE DE MERCANCIAS EN COLOMBIA S.A.S INTER TRANSPORTE</t>
  </si>
  <si>
    <t>AGRET CARGA NACIONAL Y ESPECIAL S.A.S</t>
  </si>
  <si>
    <t>CRS QUALITY LTDA</t>
  </si>
  <si>
    <t>TRANSPORTADORA DE CARGA Y LOGISTICA S.A.</t>
  </si>
  <si>
    <t>AUTO FUSA S.A</t>
  </si>
  <si>
    <t>TRANSPORTES AGUDELO LOPEZ S.A.S</t>
  </si>
  <si>
    <t>SERVITRANS JF S.A.S</t>
  </si>
  <si>
    <t>M.C.E LOGISTICA S.A.S</t>
  </si>
  <si>
    <t>TERRACARGA LOGISTICS S.A.S</t>
  </si>
  <si>
    <t>LOADER LOGISTICS S.A.S</t>
  </si>
  <si>
    <t>COMPAÑIA DE TRASNPORTE DE BEBIDAS S.A.S</t>
  </si>
  <si>
    <t>VERCOURRIER S.A.S</t>
  </si>
  <si>
    <t>BETA LOGISTIC SERVICES S.A.S. BELS S.A.S</t>
  </si>
  <si>
    <t>TRANSPORTES Y LOGISTICA UBI-K T.S.A</t>
  </si>
  <si>
    <t>CLC LOGISTICA S.A.S</t>
  </si>
  <si>
    <t>HACIENDA S.A.S</t>
  </si>
  <si>
    <t>VIDRIOS DE LA SABANA S.A.S</t>
  </si>
  <si>
    <t>PROMOTORA DE TRANSPORTES MULTIMODALL S.A.S</t>
  </si>
  <si>
    <t>TRANSPORTES VILLANUEVA S.A.S</t>
  </si>
  <si>
    <t>VERAGA GAS S.A.S - E.S.P</t>
  </si>
  <si>
    <t>C.T.L MASS CONECTANDO TRASPORTE Y LOGISTICA S.A.S</t>
  </si>
  <si>
    <t>ARSENIO PORRAS LINO S.A.S A.P.L</t>
  </si>
  <si>
    <t>TRANSPORTES VALBUENA DIAZ S.A.S VALDITRANS SAS</t>
  </si>
  <si>
    <t>INGENIERIA DE CONSTRUCCION DE COLOMBIA S.A.S</t>
  </si>
  <si>
    <t>GESTION INTEGRAL DE TRANSPORTE S.A.S</t>
  </si>
  <si>
    <t>CARGA LOGISTICA &amp; COMERCIO S.A.S</t>
  </si>
  <si>
    <t>LAM TRANSPORTADORA LOGISTICA S.A.S</t>
  </si>
  <si>
    <t>SOLUCIONES OMEGA S.A</t>
  </si>
  <si>
    <t>L.C TRANSPORTADORES S.A.S</t>
  </si>
  <si>
    <t>TRANSPORTES BELTRAN V .S.A.S</t>
  </si>
  <si>
    <t>CMA CGM COLOMBIA S.A.S</t>
  </si>
  <si>
    <t>GRUPO LOGISTICO ESPECIALIZADO S.A.S</t>
  </si>
  <si>
    <t>TRANSPORTES GRAN BRETAÑA S.A.S</t>
  </si>
  <si>
    <t>TRANS NACIONAL DE CARGA S.A.S</t>
  </si>
  <si>
    <t>MARKETING DE COLOMBIA S.A</t>
  </si>
  <si>
    <t>MSD LOGISTICA S.A.S</t>
  </si>
  <si>
    <t>TRANSLANIT S.A.S</t>
  </si>
  <si>
    <t>INVERSIONES ALQUILER TRANSPORTE Y CONSTRUCCION S.A.S</t>
  </si>
  <si>
    <t>FLOTA LA MACARENA S.A.</t>
  </si>
  <si>
    <t>LEGATRANS S.A.S</t>
  </si>
  <si>
    <t>TAGA LOGISTICS SAS</t>
  </si>
  <si>
    <t>TOR TRANSPORTES Y LOGISTICA S.A.S</t>
  </si>
  <si>
    <t>MANDDE S.A.S</t>
  </si>
  <si>
    <t>TR EXPRESS SAS</t>
  </si>
  <si>
    <t>LOGISTICA Y TRANSPORTE LRN SAS</t>
  </si>
  <si>
    <t>B&amp;S GROUP S.A.S</t>
  </si>
  <si>
    <t>E&amp;M LOGISTICA Y TRANSPORTE S.A.S</t>
  </si>
  <si>
    <t>AL DIA EXPRESS COLOMBIA S.A.S</t>
  </si>
  <si>
    <t>CONTINENTAL DE TRANSPORTE TERRESTRE S.A.S</t>
  </si>
  <si>
    <t>SOLUCIONES EN OPERACIONES INTEGRALES DE LOGISTICA EN TRANSPORTE SAS</t>
  </si>
  <si>
    <t>TRANSPORTE EXTRADIMENSIONADO S.A.S TREMEX</t>
  </si>
  <si>
    <t>TRANSPORTE SUPERCARGAS S.A.S</t>
  </si>
  <si>
    <t>COLFOODS S.A.S</t>
  </si>
  <si>
    <t>SAFE TRIP S.A.S</t>
  </si>
  <si>
    <t>MEZCLAS INDUSTRIALES S.A.S</t>
  </si>
  <si>
    <t>WAVECOMM CORPATION S.A.S</t>
  </si>
  <si>
    <t>GRUAS Y CARGADORES DE COLOMBIA S.A.S</t>
  </si>
  <si>
    <t>DAMCAR INDUSTRIAL DE CARGA S.A.S</t>
  </si>
  <si>
    <t>CARGO TRUCK S.A.S</t>
  </si>
  <si>
    <t>SMARTWAY SOLUTION S.A.S</t>
  </si>
  <si>
    <t>TRANSPORTES HH S.A.S</t>
  </si>
  <si>
    <t>SENATOR INTERNATIONAL COLOMBIA S.A.S</t>
  </si>
  <si>
    <t>SABANA CARGO S.A.S</t>
  </si>
  <si>
    <t>TRANSVOLC S.A.S</t>
  </si>
  <si>
    <t>SOBRE RUEDAS PLUSS S.A.S</t>
  </si>
  <si>
    <t>ALIANZA LOGISTICA MULTINIVEL S.A.S ZOMAC ALM LOGISTICA S.A.S</t>
  </si>
  <si>
    <t>ACERCAR COLOMBIA S.A.S</t>
  </si>
  <si>
    <t>TRANSPORTES CATALAN S.A.S</t>
  </si>
  <si>
    <t>TRANSFONCARGA S.A.S</t>
  </si>
  <si>
    <t>TRANSPORTES JIMENEZ LTDA SETRA LTDA</t>
  </si>
  <si>
    <t>LOGISTICA Y TRANSPORTE ANDRES VELO SA S.A.S.</t>
  </si>
  <si>
    <t>TRANSPORTES Y GRUAS MOJICA S.A.S</t>
  </si>
  <si>
    <t>EXPRESO BOLIVARIANO EN EJECUCION DEL ACUERDO DE REESTRUCTURACION EAR</t>
  </si>
  <si>
    <t>GRUAS Y CAMABAJAS NP S.A.S</t>
  </si>
  <si>
    <t>COMNALMICROS TOURS S.A.S</t>
  </si>
  <si>
    <t>TRANSOTM S.A.S</t>
  </si>
  <si>
    <t>MOVILIZACIÓN DE HERRAMIENTAS Y EQUIPOS PETROLEROS DE CUNDINAMARCA S.A.S</t>
  </si>
  <si>
    <t>TRANSPORTE Y SERVICIOS CASTELLANOS</t>
  </si>
  <si>
    <t>PHOENIX LOGISTIC S.A.S</t>
  </si>
  <si>
    <t>GLOBAL CONTAINER SOLUTIONS LTDA</t>
  </si>
  <si>
    <t>CONECTA LOGISTICA Y TRANSPORTE S.A.S</t>
  </si>
  <si>
    <t>TJ GROUP S.A.S</t>
  </si>
  <si>
    <t>TRANSPORTES IZAJES Y LOGISTICA SUPERTRANS S.A.S</t>
  </si>
  <si>
    <t>NUTRIGANADO S.A.S</t>
  </si>
  <si>
    <t>GRUPO COY S.A.S</t>
  </si>
  <si>
    <t>TRANSPORTES DEL UPIA</t>
  </si>
  <si>
    <t>TEMPSA GLOBAL S.A.S</t>
  </si>
  <si>
    <t>ADN LOGISTICA S.A.S</t>
  </si>
  <si>
    <t>E COR PORATION S.A.S</t>
  </si>
  <si>
    <t>LOG &amp; CARGA S.A.S</t>
  </si>
  <si>
    <t>LOGISCARGUE S.A.S</t>
  </si>
  <si>
    <t>ROMATRANS CARGA S.A.S</t>
  </si>
  <si>
    <t>DARCARGA LOGISTICA S.A.S</t>
  </si>
  <si>
    <t>TRANSPORTES Y MUDANZAS LA CIMA</t>
  </si>
  <si>
    <t>TF CARG S.A.S</t>
  </si>
  <si>
    <t>TRANSPORTE Y LOGISTICA YATS S.A.S</t>
  </si>
  <si>
    <t>POSTCARGO S.A.S</t>
  </si>
  <si>
    <t>TRANSPORTADORA LOS PINOS S.A.S</t>
  </si>
  <si>
    <t>GRUESCO S.A.S</t>
  </si>
  <si>
    <t>EMPRESA DE TRANSPORTE MUVE CARGO S.A.S</t>
  </si>
  <si>
    <t>GRUPO EMPRESARIAL COMMUNITY S.A.S</t>
  </si>
  <si>
    <t>TRANSPORTE Y LOGISTICA UBATE S.A.S</t>
  </si>
  <si>
    <t>TECNOCONSTRUCCIONES DE COLOMBIA S.A.S TECNOCO</t>
  </si>
  <si>
    <t>MEGATOUR S.A.S</t>
  </si>
  <si>
    <t>TRANSPORTE REFRIGERADOS JMC S.A.S</t>
  </si>
  <si>
    <t>G8 PROYECTOS ENERGETICOS S.A.S E.S.P</t>
  </si>
  <si>
    <t>TRASTEOS DIAZ S.A.S</t>
  </si>
  <si>
    <t>OLIVEROS TRANSPORTE INTERNACIONAL S.A.S</t>
  </si>
  <si>
    <t>ECOTRANSPORTA SAS</t>
  </si>
  <si>
    <t>TRANSPORTAMOS J &amp; J S.A.</t>
  </si>
  <si>
    <t>BOXCARGA S.A.S</t>
  </si>
  <si>
    <t>SMART TRANSPORTE Y LOGISTICA S.A.S.</t>
  </si>
  <si>
    <t>SMART LOGISTIC CARGO S.A.S.</t>
  </si>
  <si>
    <t>LOGISTICS ENTERPRISES S.A.S</t>
  </si>
  <si>
    <t>TRANSPORTES ATILA S.A.S</t>
  </si>
  <si>
    <t>SOLUXIONAR S.A.S.</t>
  </si>
  <si>
    <t>LA MILLA EXPRESS S.A.S.</t>
  </si>
  <si>
    <t>WORLD CARGO INTERNATIONAL S.A.S.</t>
  </si>
  <si>
    <t>INNOVALOG INNOVATION LOGISTIC SAS</t>
  </si>
  <si>
    <t>INGENIEROS VIAS Y CONSTRUCCIONES INGEVICON S.A.S.</t>
  </si>
  <si>
    <t>INVERSIONES TRANS SABANA S.A.S</t>
  </si>
  <si>
    <t>GRUPO EL CHUSCAL S.A.S.</t>
  </si>
  <si>
    <t>FC TRANSPORTE LOGISTICO S.A.S.</t>
  </si>
  <si>
    <t>NUMA MOVIMIENTOS S.A.S</t>
  </si>
  <si>
    <t>FUERZA LOGISTICA Y TRANSPORTE DE CARGA - FLTC S.A.S</t>
  </si>
  <si>
    <t>PRINTING DELIVERY S.A. - PRINDEL S.A.,</t>
  </si>
  <si>
    <t>TRANSPORTES CARGA POLAR MR SAS</t>
  </si>
  <si>
    <t>LOGISTICA DE TRANSPORTE DE CARGA Y MINERALES S.A.S. TRANSMINERALES S.A.S.</t>
  </si>
  <si>
    <t>VIACOLTUR S.A.S.</t>
  </si>
  <si>
    <t>ENTREGA INMEDIATA SEGURA S.A.</t>
  </si>
  <si>
    <t>TRANSPORCAR PLUSS S.A.S</t>
  </si>
  <si>
    <t>FIRSTSOURCE S.A.S.</t>
  </si>
  <si>
    <t>A5 LOGISTICA Y TRANSPORTE S.A.S - A5 LOGISTICA S.A.S.</t>
  </si>
  <si>
    <t>SERVICARIBE EXPRESS S.A.- SCX EXPRESS Y/O SCX CARGO</t>
  </si>
  <si>
    <t>ACIMOR S.A.S.</t>
  </si>
  <si>
    <t>COMPAÑIA DE TRANSPORTE ALI SAS.</t>
  </si>
  <si>
    <t>QUEEN LOGISTICS S.A.S.</t>
  </si>
  <si>
    <t>VIAJES NACIONALES DE TURISMO S.A.S</t>
  </si>
  <si>
    <t>VIALES Y ARIDOS DEL META S.A.S.</t>
  </si>
  <si>
    <t>INCOCARGA S.A.S</t>
  </si>
  <si>
    <t>TRANSPORTADORA LIEMENTRANS S.A.S</t>
  </si>
  <si>
    <t>LOGITRANS CARGO M/C S.A.S.</t>
  </si>
  <si>
    <t>TRANSPORTE DE CARGA GM S.A.S.</t>
  </si>
  <si>
    <t>ALMAGRARIO S.A. EN REORGANIZACION</t>
  </si>
  <si>
    <t>TRANSCARGA OVS S.A.S.</t>
  </si>
  <si>
    <t>CARGA PARAMO S.A.S.</t>
  </si>
  <si>
    <t>QUALITY &amp; COMPLIANCES.A.S. - TRANSPORTE ELITE DE CARGA</t>
  </si>
  <si>
    <t>COMERCIALIZADORA NICOMAR S.A.S.</t>
  </si>
  <si>
    <t>RODALTRANS S.A.S.</t>
  </si>
  <si>
    <t>ROA SOLUCIONES INTEGRALES DE TRANSPORTE S.A.S. LLEGAR S.A.S.</t>
  </si>
  <si>
    <t>AIR LOGISTICS R&amp;R S.A.S.</t>
  </si>
  <si>
    <t>AVIOMAR S.A.S. EXPRESOS AEREOS Y MARITIMOS</t>
  </si>
  <si>
    <t>CONEXPRESS LOGISTICS S.A.S</t>
  </si>
  <si>
    <t>ORGANIZACIÓN 4M S.A.S</t>
  </si>
  <si>
    <t>TRANSPORTES DALLAS TEXAS S.A.S.</t>
  </si>
  <si>
    <t>LOGINET LOGISTICA EN RED S.A.S</t>
  </si>
  <si>
    <t>LOGISTICA DE TRANSPORTES Y MERCANCIAS S.A.S</t>
  </si>
  <si>
    <t>SUMINISTROS Y TRANPORTES E.U.</t>
  </si>
  <si>
    <t>GIGACON TRANSPORTES S.A.S.</t>
  </si>
  <si>
    <t>LOGISTICA INTERNACIONAL DE PESADOS Y EXTRA - DIMENSIONADOS S.A.S</t>
  </si>
  <si>
    <t>TCN TRANSPORTE DE CARGA NACIONAL S.A.S.</t>
  </si>
  <si>
    <t>MULTICARGO EXPRESS S.A.S.</t>
  </si>
  <si>
    <t>TRANSPORTES POLAR DE COLOMBIA S.A.S.</t>
  </si>
  <si>
    <t>ALMACENAMIENTO, LOGISTICA Y TRANSPORTE DE CARGA S.A.S. - ALTCARGA S.A.S.</t>
  </si>
  <si>
    <t>TRANSPORTE Y LOGISTICA INTERLI-QUIDOS S.A.S. INTERLIQUIDOS S.A.S</t>
  </si>
  <si>
    <t>R&amp;O LOGISTICA DE CARGA S.A.S R&amp;O LOGISTICA DE CARGA</t>
  </si>
  <si>
    <t>SERVICIOS INDUSTRIALES F&amp;F SAS SERVINDUSTRIALES F&amp;F S.A.S</t>
  </si>
  <si>
    <t>TRANSPORTE DE CARGA AVANZAR S.A.S.</t>
  </si>
  <si>
    <t>SHIPPING SERVICES LOGISTICS S.A.S</t>
  </si>
  <si>
    <t>PROVEEDOR LOGISTICO Y TRANSPORTE S.A.S</t>
  </si>
  <si>
    <t>AGROPAISA S.A.S</t>
  </si>
  <si>
    <t>TRANSLOGIS XXI S.A.S</t>
  </si>
  <si>
    <t>TRANSPORTES REFRIGERADOS POR COLOMBIA S.A.S</t>
  </si>
  <si>
    <t>TRANSPORTES ALDANA S.A.S</t>
  </si>
  <si>
    <t>TUBEXCOL S.A.S</t>
  </si>
  <si>
    <t>OPTIMIZACION Y LOGISTICA DE DISTRIBUCION S.A.S. - ODL LOGISTICA S.A.S</t>
  </si>
  <si>
    <t>GO CARGA S.A.S</t>
  </si>
  <si>
    <t>CENTALS SOCIEDAD POR ACCIONESPUBLICAS EMPRESADE SERVICIOS PUBLICOS S.A.</t>
  </si>
  <si>
    <t>MOVIL WEB S.A.S.</t>
  </si>
  <si>
    <t>DHM LOGISTICS GROUP S.A.S -DHM LOGISTICS</t>
  </si>
  <si>
    <t>LG DOCUMENTOS S.A.S.</t>
  </si>
  <si>
    <t>OCCIDENTAL DE GRUAS S.A.S - OCCIGRUAS</t>
  </si>
  <si>
    <t>INGENIERIA ROVILL S.A.S</t>
  </si>
  <si>
    <t>ALIANZA TRANSPORTADORA PREMIUM S.A.S</t>
  </si>
  <si>
    <t>TRANSPORTES COLDTRUCK S.A.S</t>
  </si>
  <si>
    <t>QUICK LINE TRANSPORTES S.A.S.</t>
  </si>
  <si>
    <t>ESNILAHI S.A.S</t>
  </si>
  <si>
    <t>TRANSPORTUARIA S.A.S.</t>
  </si>
  <si>
    <t>TYL LOGISCOL S.A.S.</t>
  </si>
  <si>
    <t>L-ATRANS S.A.S</t>
  </si>
  <si>
    <t>AGENCIA DE ADUANAS PASAR LTDA NIVEL 1</t>
  </si>
  <si>
    <t>LINK CARGO PLUS S.A.S</t>
  </si>
  <si>
    <t>SERVICARGA BOGOTÃ S.A.S.</t>
  </si>
  <si>
    <t>BERGE VIGIA S.A.S</t>
  </si>
  <si>
    <t>CONSOLIDADO DE TRANSPORTES SEBCAM S.A.S</t>
  </si>
  <si>
    <t>CEVA FREIGHT MANAGEMENT DE COLOMBIA S.A.S</t>
  </si>
  <si>
    <t>CARTRICOL S.A.S.</t>
  </si>
  <si>
    <t>CARGO LOGISTIC SYSTEM S.A.S</t>
  </si>
  <si>
    <t>TCZ LOGISTIC S.A.S</t>
  </si>
  <si>
    <t>TRANSFRIO FICAL S.A.S.</t>
  </si>
  <si>
    <t>QUINBERLAB SA</t>
  </si>
  <si>
    <t>VALPA TRANSPORTADORA SAS</t>
  </si>
  <si>
    <t>EMPRESA DE TRANSPORTE DE CARGA CARS COLOMBIA S.A.S</t>
  </si>
  <si>
    <t>TRANSPROGRESO S.A.S.</t>
  </si>
  <si>
    <t>TINCARGA S.A.S.</t>
  </si>
  <si>
    <t>A TIEMPO ENVIOS SEGUROS S.A.S</t>
  </si>
  <si>
    <t>TRANSCARGA DE LA ORINOQUIA S.A.S</t>
  </si>
  <si>
    <t>TRANSPORTADORA EL PORTAL S.A.S</t>
  </si>
  <si>
    <t>TRANSLOGISTICA JES S.A.S</t>
  </si>
  <si>
    <t>MAS METROS S.A,S</t>
  </si>
  <si>
    <t>TRANSPORTES MARTINEZ RIOS</t>
  </si>
  <si>
    <t>AHC LOGISTICA S.A.S</t>
  </si>
  <si>
    <t>ALAS DE COLOMBIA EXPRESS S.A.S</t>
  </si>
  <si>
    <t>TRANSPORTES LOPEZ C S.A.S</t>
  </si>
  <si>
    <t>SECTION B COLOMBIA S.A.S</t>
  </si>
  <si>
    <t>IZIYAPP S.A.S</t>
  </si>
  <si>
    <t>ALBATRANS S.A.S</t>
  </si>
  <si>
    <t>LOGISTICA EMPRESARIAL DE TRANSPORTE S.A.S</t>
  </si>
  <si>
    <t>TRANSPORTADORA INTEGRAL DE COLOMBIA - TRAINCO S.A.S</t>
  </si>
  <si>
    <t>TRANSFARFAN S.A.S</t>
  </si>
  <si>
    <t>GEMPSA GESTION EMPRESARIAL S.A.S</t>
  </si>
  <si>
    <t>SURENEGY S.A.S ESP</t>
  </si>
  <si>
    <t>STAR LOGISTICA EXPRESS S.A.S STARLOGEX S.A.S</t>
  </si>
  <si>
    <t>CARGA SOBRE RUEDAS S.A.S</t>
  </si>
  <si>
    <t>LOGISTICA Y TRANSPORTES IBERIA S.A.S</t>
  </si>
  <si>
    <t>AGROINVERSIONES LUSIANA S.A.S</t>
  </si>
  <si>
    <t>OLE OPERADOR LOGISTICA ESPECIALIZADO S.A.S</t>
  </si>
  <si>
    <t>LOGISTICA EFICIENTE S.A.S</t>
  </si>
  <si>
    <t>ABC CARGO EXPRESS S.A.S</t>
  </si>
  <si>
    <t>TRANSBORDER S.A.S</t>
  </si>
  <si>
    <t>TRANS RIMAR S.A.S</t>
  </si>
  <si>
    <t>TCR SOLUCIONES LOGISTICAS S.A.S</t>
  </si>
  <si>
    <t>TRANSPORTES MABA S.A.S</t>
  </si>
  <si>
    <t>GRUAS &amp; TRANSPORTE GVILLALOT S.A.S</t>
  </si>
  <si>
    <t>VIGIA PLUS SERVICES S.A.S</t>
  </si>
  <si>
    <t>VICTOR ALVAREZ LOGISTIC S.A.S</t>
  </si>
  <si>
    <t>JESS LOGISTICA Y CARGA S.A.S</t>
  </si>
  <si>
    <t>SOLUCIONES LOGÃSTICAS CASTAÑEDA SAS</t>
  </si>
  <si>
    <t>DATATRAFFIC S.A.S.</t>
  </si>
  <si>
    <t>BOARDCARGO S.A.S.</t>
  </si>
  <si>
    <t>SERVICIO TECNICO MONTAJES Y TRANSPORTES M&amp;M SAS - SERVITEC M&amp;M SAS</t>
  </si>
  <si>
    <t>LOGISFASHION S.A.S</t>
  </si>
  <si>
    <t>LA CAYENA LOGISTICA Y TRANSPORTE NACIONAL SAS - SCG LA CAYENA SAS,</t>
  </si>
  <si>
    <t>CARGAS SEGURAS VG S.A.S</t>
  </si>
  <si>
    <t>EXACTO EXPRESS SAS</t>
  </si>
  <si>
    <t>TRANSPORTES VIAS 4G SAS</t>
  </si>
  <si>
    <t>BIOAMBIENTALES DEL LLANO SAS</t>
  </si>
  <si>
    <t>LOGIEX COLOMBIA SAS</t>
  </si>
  <si>
    <t>TRANSPORTE DE CARGA RÃPIDO Y SEGURO S.A.S. TRANSCARS</t>
  </si>
  <si>
    <t>CH ROBINSON INTERNACIONAL COLOMBIA SAS</t>
  </si>
  <si>
    <t>BEG LOGISTICS SAS</t>
  </si>
  <si>
    <t>GUADALUPE CARGA S.A.S</t>
  </si>
  <si>
    <t>TRANSPORTES LOGISTICOS DE CARGA DIALSA S.A.S.</t>
  </si>
  <si>
    <t>AGC CARGO TRANSPORTES S.A.S.</t>
  </si>
  <si>
    <t>LOGISTICS SHALOM SAS</t>
  </si>
  <si>
    <t>TRANSPORTES JHC SAS SIGLA JHC TRANSPORTES</t>
  </si>
  <si>
    <t>TECA COMPANY SAS</t>
  </si>
  <si>
    <t>LOGTRACK COLOMBIA SAS</t>
  </si>
  <si>
    <t>SERVICIO &amp; CALIDAD EN EL TRANSPORTE EXPRESS SAS</t>
  </si>
  <si>
    <t>TRANSPORTES JARC Y FACILITADOR LOGISTICO COMERCIAL DE CARGA SAS</t>
  </si>
  <si>
    <t>LOGYTCH MOBILE SAS</t>
  </si>
  <si>
    <t>SERVIENVIOS COMERCALIZADORA SAS</t>
  </si>
  <si>
    <t>INVERSIONES TRES CAMPANOTAS TOURS SAS SIGLA TRES CAMPANITAS TOURS SAS N</t>
  </si>
  <si>
    <t>TRANSPORCAF SAS</t>
  </si>
  <si>
    <t>LOGISTICA EXPRESS BL SAS</t>
  </si>
  <si>
    <t>GLOBAL ALLIANCE TRANSPORTATION SAS</t>
  </si>
  <si>
    <t>SISTEMAS INTEGRADOS DE TECNOLOGIA LOGISTICA Y TRANSPORTE SAS SIGLA SIRO</t>
  </si>
  <si>
    <t>TRANSPORTE Y OBRAS CIVILES DE COLOMBIA SAS TRANSCIVICOL SAS</t>
  </si>
  <si>
    <t>TRANSPORTES Y SERVICIOS ALCARAVAN DE LOS LLANOS SAS</t>
  </si>
  <si>
    <t>TRANSLOGISTICA RUBIALES S.A.S.</t>
  </si>
  <si>
    <t>LOGISTNOW S.A.S.</t>
  </si>
  <si>
    <t>TRANSPORTES CAMABAJA EXPRESS S.A.S.</t>
  </si>
  <si>
    <t>FLETX COLOMBIA S.A.S</t>
  </si>
  <si>
    <t>BIOTRANSPORTADORA DE LOS ANDES S.A.S.</t>
  </si>
  <si>
    <t>MIL SERVICIOS S.A.S.</t>
  </si>
  <si>
    <t>MAXI CARGO S.A.S.</t>
  </si>
  <si>
    <t>COLCARGA COLOMBIA SAS</t>
  </si>
  <si>
    <t>TRANSLOGISTICA TABARES SAS</t>
  </si>
  <si>
    <t>LOGISTICA INTEGRAL SG S.A.</t>
  </si>
  <si>
    <t>V.I.C. VALCARGO INTERNACIONAL SAS</t>
  </si>
  <si>
    <t>XCARGO SAS</t>
  </si>
  <si>
    <t>TRANSPORTES Y SOLUCIONES LOGISTICAS B2 SAS</t>
  </si>
  <si>
    <t>LOGISTICA INVERSIONES MUÑOZ Y CAMARGA SAS</t>
  </si>
  <si>
    <t>TRANSPORTES DE CARGA ESPECIALIZADA SAS</t>
  </si>
  <si>
    <t>LAC LOGISTICA DE CARGA SAS</t>
  </si>
  <si>
    <t>CENTRAL DE HIDROCARBUROS GC SAS ESP</t>
  </si>
  <si>
    <t>LOGYENVIOS SAS</t>
  </si>
  <si>
    <t>DTC DISTRIBUCION Y CONEXIÓN SAS</t>
  </si>
  <si>
    <t>L&amp;TO SAS</t>
  </si>
  <si>
    <t>MARTINEZ LOGISTICA INTEGRAL RG SAS</t>
  </si>
  <si>
    <t>CARGONEXT LOGISTICS SAS</t>
  </si>
  <si>
    <t>MYA GROUP TRANSPORTES SAS</t>
  </si>
  <si>
    <t>CG CARGA SAS</t>
  </si>
  <si>
    <t>FL TRANSPORTES SAS</t>
  </si>
  <si>
    <t>SESE LOGISTICA Y TRANSPORTE SAS</t>
  </si>
  <si>
    <t>ALARCON Y JIMENEZ INVESTMENTS SAS</t>
  </si>
  <si>
    <t>DCUERVO SOLUCIONES LOGISTICAS SAS NIT. 901.159.186-3</t>
  </si>
  <si>
    <t>INVERTRAICO SAS</t>
  </si>
  <si>
    <t>LOGISTICA AB INITIO SAS</t>
  </si>
  <si>
    <t>TRANSPORTE DE CARGA VIA LOGISTICA INTEGRAL SAS</t>
  </si>
  <si>
    <t>SERVIECOLOGICO S.A.S</t>
  </si>
  <si>
    <t>LOGISTIKA7 SAS</t>
  </si>
  <si>
    <t>COMPAÑÍA DE SERVICIOS ARCHIVISTICOS Y TECNOLOGICOS SAS EN REORGANIZACIÖ</t>
  </si>
  <si>
    <t>GUACAMAYA ENERGY SERVICES SAS</t>
  </si>
  <si>
    <t>23 MYM SAS</t>
  </si>
  <si>
    <t>MARYGASSAS ESP</t>
  </si>
  <si>
    <t>TRUCKSLOGIC SAS</t>
  </si>
  <si>
    <t>TRAPEZE SAS</t>
  </si>
  <si>
    <t>ON TIME LATAM SAS</t>
  </si>
  <si>
    <t>TRANSPORTE ESPECIALIZADO DE CARGA Y MAQUINARIA AMARILLA ARITRANS SAS</t>
  </si>
  <si>
    <t>DISTRIBUIDORES AMBIENTALES SAS</t>
  </si>
  <si>
    <t>GLOBAL TRUCKER SAS</t>
  </si>
  <si>
    <t>LOTO LOGISTICA Y TRANSPORTE SAS</t>
  </si>
  <si>
    <t>SERVICIO DE CARGA PROSERVIS SAS</t>
  </si>
  <si>
    <t>NISACOR LOGISTICA Y TRANSPORTE NL SAS</t>
  </si>
  <si>
    <t>H&amp;C LOGISTICA SAS</t>
  </si>
  <si>
    <t>LOGISTICA DE TRANSPORTES CARRILLO PAEZ SAS</t>
  </si>
  <si>
    <t>TLG CARGO SAS</t>
  </si>
  <si>
    <t>SOLUCION LOGISTICA INTEGRAL SB SAS</t>
  </si>
  <si>
    <t>TRANSANCAR SAS</t>
  </si>
  <si>
    <t>LOGISTIC-KAR SAS</t>
  </si>
  <si>
    <t>JIREH SHAMMAH SAS</t>
  </si>
  <si>
    <t>LOGISTIC OPERSERVICES SAS</t>
  </si>
  <si>
    <t>MULTISOLUPORT SAS</t>
  </si>
  <si>
    <t>TRANSPORTES BEJARANO LOGOSTICA SAS TRANSBEJARANO SAS NIT. 901.480.274-8</t>
  </si>
  <si>
    <t>LOGISTICA CARGA INMEDIATA SAS</t>
  </si>
  <si>
    <t>WG CARGA SAS</t>
  </si>
  <si>
    <t>PRE LOGISTICS SAS</t>
  </si>
  <si>
    <t>LOGISTICA Y TRANSPORTES JAGUAR SAS</t>
  </si>
  <si>
    <t>MEGASERVIC SAS</t>
  </si>
  <si>
    <t>CREOCARGA SAS NIT. 901.563.464-8</t>
  </si>
  <si>
    <t>PLANEACION ESTRATEGICA Y TECNOLOGIAS AMBIENTALES PLANETA SAS ESP SIGLA P</t>
  </si>
  <si>
    <t>PROSHIPS SAS</t>
  </si>
  <si>
    <t>2B LOGISTICS SAS</t>
  </si>
  <si>
    <t>GTL GROUP DE TRANSPORTE Y LOGISTICA SAS</t>
  </si>
  <si>
    <t>MPC ORTIZ LOGISTICA Y TRANSPORTE S.A.S</t>
  </si>
  <si>
    <t>ORGANIZACIÓN TRANSPORTADORA DE CARGA MC S.A.S.</t>
  </si>
  <si>
    <t>TRANSPORTES MIT S.A.S.</t>
  </si>
  <si>
    <t>HELLMANN WORLDWIDE LOGISTICS S.A.S</t>
  </si>
  <si>
    <t>NAUTISERVICIOS S.A.S</t>
  </si>
  <si>
    <t>TRANSPORTES PEGASUS S.A.S</t>
  </si>
  <si>
    <t>HUILA</t>
  </si>
  <si>
    <t>MENESES RAMIREZ S.A.S.</t>
  </si>
  <si>
    <t>TRANSPORTES JORGE ELIECER TOVAR Y CIA LTDA</t>
  </si>
  <si>
    <t>COOTRANSGANADERA LTDA</t>
  </si>
  <si>
    <t>TRANSPORTES MANRIQUE S.A.S.</t>
  </si>
  <si>
    <t>TRANSPORTES SANTA MARTA</t>
  </si>
  <si>
    <t>COOTRANSHUILA LTDA</t>
  </si>
  <si>
    <t>COOTRANSGIGANTE LTDA</t>
  </si>
  <si>
    <t>COOMOTOR LTDA</t>
  </si>
  <si>
    <t>T.J. SERVICE LTDA</t>
  </si>
  <si>
    <t>TRANSPORTES YAER LTDA</t>
  </si>
  <si>
    <t>INVERSIONES TRACTO EXPRESS LTDA</t>
  </si>
  <si>
    <t>SUMINISTROS Y TRANSPORTES S.A.S</t>
  </si>
  <si>
    <t>COOTRANSGAR LTDA</t>
  </si>
  <si>
    <t>COOTRANSLABOYANA LTDA</t>
  </si>
  <si>
    <t>TRANSPORTES TRES FRONTERAS LTDA</t>
  </si>
  <si>
    <t>LINEAS TIMANCO LTDA</t>
  </si>
  <si>
    <t>PETROL SERVICE Y CIA S EN C</t>
  </si>
  <si>
    <t>TRANSPORTES MASA LTDA</t>
  </si>
  <si>
    <t>LOGISTICA ANDINA DE TRANSPORTE LOGIANDINA LTDA</t>
  </si>
  <si>
    <t>PETRO GO CARRIER LTDA</t>
  </si>
  <si>
    <t>G Y G PETRO SERVICE LTDA</t>
  </si>
  <si>
    <t>TRANSPORTADORA ANDINA S.A.S.</t>
  </si>
  <si>
    <t>SOCIEDAD DE TRANSPORTES CAMINOS LTDA TRANSCAM</t>
  </si>
  <si>
    <t>PRECOOPERATIVA DE TRANSPORTES SIN FRONTERAS LTDA</t>
  </si>
  <si>
    <t>TRANSNACIONAL DE HIDROCARBUROS Y BIOCOMBUSTIBLES CARGO S.A.S.</t>
  </si>
  <si>
    <t>LOGISTICA PLUS S.A.</t>
  </si>
  <si>
    <t>COOPERATIVA DE TRANSPORTES Y SERVICIOS DE LA AMAZONIA</t>
  </si>
  <si>
    <t>J.H SERVICES S.A.S.</t>
  </si>
  <si>
    <t>TRANSALPES S.A.S</t>
  </si>
  <si>
    <t>TRANSPORTES LIQUIM S.A.S</t>
  </si>
  <si>
    <t>TRANSPORTES OVICARGAS S EN C</t>
  </si>
  <si>
    <t>DINA EXPRESS LTDA</t>
  </si>
  <si>
    <t>TRANSPORTES RIVERA DEL SUR S.A.S</t>
  </si>
  <si>
    <t>GOLDEN S.A.S</t>
  </si>
  <si>
    <t>TRANSCHAIRA S.A.S</t>
  </si>
  <si>
    <t>MECANICOS ASOCIADOS S.A.</t>
  </si>
  <si>
    <t>ARITRANS S.A.S</t>
  </si>
  <si>
    <t>TRANSPORTE SURCOLOMBIANA DE CARGA S.A.S</t>
  </si>
  <si>
    <t>TRANSMAGUARE S.A.S</t>
  </si>
  <si>
    <t>ARGECO S.A.S.</t>
  </si>
  <si>
    <t>TRANSPORTE TMC Y CIA LTDA</t>
  </si>
  <si>
    <t>LOGISTICA DE CARGA TERRESTRE LCT S.A.S</t>
  </si>
  <si>
    <t>SERVICIO DE TRANSPORTE ESPECIALIZADO ANDINO S.A.S</t>
  </si>
  <si>
    <t>TRANSPORTADORA LAS CEIBAS S.A.S</t>
  </si>
  <si>
    <t>CONSTRUCCIONES M.B LTDA</t>
  </si>
  <si>
    <t>SERVITRANSMAQUINAS SAS</t>
  </si>
  <si>
    <t>TESA INGENIERIA S.A.S</t>
  </si>
  <si>
    <t>TRANSPORTES DORADO DE COLOMBIA S.A.S</t>
  </si>
  <si>
    <t>TRANSPORTE Y SERVICIOS INTEGRALES DEL SUR S.A.S</t>
  </si>
  <si>
    <t>EMPRESA DE CARGA MAC S.A.S</t>
  </si>
  <si>
    <t>COLTRANSGLOBAL LTDA</t>
  </si>
  <si>
    <t>VIATURCOL S.A.S</t>
  </si>
  <si>
    <t>COLOMBIANA DE TRANSPORTES Y DIST. S.A.SCOLTRADIS S.A.S</t>
  </si>
  <si>
    <t>PETROANDINA SERVICES S.A.S</t>
  </si>
  <si>
    <t>C.I OIL. INTERNACIONAL CARGO S.A.S</t>
  </si>
  <si>
    <t>TRANSPORTE BUJA ESPECIAL</t>
  </si>
  <si>
    <t>INCINERADOS DEL HUILA S.A ESP</t>
  </si>
  <si>
    <t>TRANSGUAYABERO S.A.S</t>
  </si>
  <si>
    <t>POSTALCARGO S.A.S</t>
  </si>
  <si>
    <t>SERVIAMBIENTAL S.A. ESP</t>
  </si>
  <si>
    <t>ASCOM S.A.S</t>
  </si>
  <si>
    <t>COOMMAQUIVOL</t>
  </si>
  <si>
    <t>OPITRANS LTDA</t>
  </si>
  <si>
    <t>MOTOCARGA S.A.S</t>
  </si>
  <si>
    <t>MEGATRANS LTDA</t>
  </si>
  <si>
    <t>TRANSPORTES EQUIPOS Y LOGISTICA S.A.S</t>
  </si>
  <si>
    <t>TRANSGRUAS LA GAITANA S.A.S</t>
  </si>
  <si>
    <t>CENDAL</t>
  </si>
  <si>
    <t>TRANSPORTES MAXIMO S.A.S</t>
  </si>
  <si>
    <t>GRUPO 3R S.A.S</t>
  </si>
  <si>
    <t>COMERCIALIZADORA Y TRANSPORTADORA CUATRO A S.A.S</t>
  </si>
  <si>
    <t>BEDOYA OSORIO CIA S EN C</t>
  </si>
  <si>
    <t>SERVICIOS TECNICOS DEL GUAICHIRIA S.A.S.</t>
  </si>
  <si>
    <t>HOLDING EMPRESARIAL INTEGRAL DE LA AMAZONIA HOLDEILAM SAS</t>
  </si>
  <si>
    <t>INGETRANS</t>
  </si>
  <si>
    <t>DARKON S.A.S.</t>
  </si>
  <si>
    <t>LOGISTICA Y SERVICIOS TRANBSFLOREZ S.A.S</t>
  </si>
  <si>
    <t>GEOAMBIENTAL PIONEROS SAS</t>
  </si>
  <si>
    <t>TRANSPORTES LA ESTRELLA 2 SAS</t>
  </si>
  <si>
    <t>LOGISTICA ROLDAN GARZON SAS</t>
  </si>
  <si>
    <t>SERVICIOS TECNICOS LOGISTICOS Y SUMINISTROS S.A.S.</t>
  </si>
  <si>
    <t>PONY ESPECIAL SAS MODALIDAD CARGA</t>
  </si>
  <si>
    <t>TRANSPORTES RAPIENTREGA S.A.S</t>
  </si>
  <si>
    <t>AMAZONIA</t>
  </si>
  <si>
    <t>TRANSSERVICIOS S.A.S.</t>
  </si>
  <si>
    <t>TRANSPORTES DE CARGA 223 S.A.S.</t>
  </si>
  <si>
    <t>SANVISERVICIOS SVS ZOMAC S.A.S.</t>
  </si>
  <si>
    <t>STAR TRAILERS S.A.S.</t>
  </si>
  <si>
    <t>SUR AMBIENTAL</t>
  </si>
  <si>
    <t>SOLUCIONES AMBIENTALES INTEGRALES DE LA AMAZONIA S.A. E.S.P.</t>
  </si>
  <si>
    <t>INVERSIONISTAS UNIDOS DE COLOMBIA INVERCOLL S.A.S.</t>
  </si>
  <si>
    <t>YAREV GROUP S.A.S.</t>
  </si>
  <si>
    <t>COMERCIALIZADORA DE SERVICIOS VARIOS S.A.S. E.S.P</t>
  </si>
  <si>
    <t>ESCOVIAL S.A.S</t>
  </si>
  <si>
    <t>CIPAVI LTDA</t>
  </si>
  <si>
    <t>OVER LAND TOURS S.A.S.</t>
  </si>
  <si>
    <t>JD LOGISTICA EN SALUD</t>
  </si>
  <si>
    <t>TRANSCARGA JP SAS</t>
  </si>
  <si>
    <t>BTM TRANSPORTES</t>
  </si>
  <si>
    <t>SOCIEDAD PROMOTORA PROINTURES SAS</t>
  </si>
  <si>
    <t>TRANSPORTES Y SUMINISTROS LOGISTICOS DEL SU- TRANSLOGISUR SAS</t>
  </si>
  <si>
    <t>CEPEDA GUTIERREZ SAS</t>
  </si>
  <si>
    <t>TRANSPORTES ARQUITECTO SUMINSITROS SAMACA SAS</t>
  </si>
  <si>
    <t>TRANSPORTES TESLA SAS</t>
  </si>
  <si>
    <t>MUNDIAL DE CARGA SAS</t>
  </si>
  <si>
    <t>TRANSPORTES PAYARA SAS</t>
  </si>
  <si>
    <t>TAXIS EXPRES FLORENCIA SAS</t>
  </si>
  <si>
    <t>COOPERATIVA DE TRANSPORTADORES DE PALERMO- COOTRANSPAL LTDA</t>
  </si>
  <si>
    <t>LA GUAJIRA</t>
  </si>
  <si>
    <t>INVERSIONES PALIS Y CIA LIMITADA</t>
  </si>
  <si>
    <t>BERAEDINELLI RESTREPO &amp;CIA LTDA</t>
  </si>
  <si>
    <t>TRANSPORTES ESPECIALES FENIX LTDA., ESPECIALES FENIX LTDA.</t>
  </si>
  <si>
    <t>ASOCIACION TRANSPORTADORA "TRANSFACIL"</t>
  </si>
  <si>
    <t>EMPRESA DE TRANSPORTE SOTRACALGUE</t>
  </si>
  <si>
    <t>INVERSIONES Y CONSTRUCCIONES LA MACUIRA</t>
  </si>
  <si>
    <t>EMPRESA NACIONAL DE TRANSPORTE PUBLICO TERRESTRE AUTOMOTOR Y MIXTO CAR</t>
  </si>
  <si>
    <t>MAXICARGA S.A.S.</t>
  </si>
  <si>
    <t>TRASMILLAS LOGISTICA Y TRANSPORTADORA S.A.S</t>
  </si>
  <si>
    <t>EXPRESO ESPECIAL DEL NORTE S.A. S</t>
  </si>
  <si>
    <t>TRANSPORTES Y SUMINISTROS “ISOF” S.A.S</t>
  </si>
  <si>
    <t>EMPRESA SERVILOGISTICA Y TRANSPORTE S.A.S</t>
  </si>
  <si>
    <t>TRANS-OASIS SOLUCIONES S.A.S.</t>
  </si>
  <si>
    <t>EMPRESA LOGISTICA Y SERVICIOS TRANSCARGA</t>
  </si>
  <si>
    <t>SERCARGA Y LOGISTICA S.A.S.</t>
  </si>
  <si>
    <t>POLY TRADE &amp; TRANSPORT S.A.S</t>
  </si>
  <si>
    <t>SERVITRANSPORTE Y CARGA S.A.S.</t>
  </si>
  <si>
    <t>TRANSPORTES RAPISERVICIOS S.A.S</t>
  </si>
  <si>
    <t>ANALISIS Y SOLUCIONES EN TRANSPORTES S.A.S.</t>
  </si>
  <si>
    <t>PRECISION LOGISTICA S.A.S</t>
  </si>
  <si>
    <t>EMPRESA GLT DE CARGA S.A.S.</t>
  </si>
  <si>
    <t>MAGDALENA</t>
  </si>
  <si>
    <t>TU CARGA LOGISTICA</t>
  </si>
  <si>
    <t>WEALTH GROUP COLOMBIA SAS</t>
  </si>
  <si>
    <t>SERVICIOS DE CARGA Y TRANSPORTE VELOZ SAS</t>
  </si>
  <si>
    <t>SLT LOGISTICA GROUP S.A.S</t>
  </si>
  <si>
    <t>MAPE LOGISTIC SAS</t>
  </si>
  <si>
    <t>TRANSPORTE LOGISTICO MEGA EXPRESS SAS</t>
  </si>
  <si>
    <t>LOGICONTAINERS</t>
  </si>
  <si>
    <t>SERVICIOS ECOLOGICOS DE COLOMBIA SAS</t>
  </si>
  <si>
    <t>TRANSPORTEE DE SERVICIO ESPECIAL ENTRAPETROL</t>
  </si>
  <si>
    <t>EN- CARGA</t>
  </si>
  <si>
    <t>TRANSPORTES AGUACHICA</t>
  </si>
  <si>
    <t>A &amp; J LOGISTICA SAS</t>
  </si>
  <si>
    <t>TCS LOGICARGO SAS</t>
  </si>
  <si>
    <t>TRANSPORTE SAN ISIDRO SAS</t>
  </si>
  <si>
    <t>PRONALCARGA S. A. S.</t>
  </si>
  <si>
    <t>Trasladada de la DT Magdalena a la DT cundinamarca</t>
  </si>
  <si>
    <t>TRANSPORTE Y SERVICIO DE COLOMBIA</t>
  </si>
  <si>
    <t>PROYECTOS ESPECIALIZADOS EN LOGISTICA SAS</t>
  </si>
  <si>
    <t>TRANSPORTE DE CARGA NACIONAL SAS</t>
  </si>
  <si>
    <t>IMPULSA SOCIAL</t>
  </si>
  <si>
    <t>VOLKT ENGINEERING SAS</t>
  </si>
  <si>
    <t>GEOTRANSPORT COLOMBIA SAS</t>
  </si>
  <si>
    <t>GRUPO EMPRESARIAL DAJE SAS</t>
  </si>
  <si>
    <t>COMPAÑIA PROMOTORA DE TRANSPORTE BAGU SAS</t>
  </si>
  <si>
    <t>TRANSPORTE ARTICO SAS</t>
  </si>
  <si>
    <t>LOGISTICA Y TRANSPORTE TBS</t>
  </si>
  <si>
    <t>CHAMPAN MINERALS</t>
  </si>
  <si>
    <t>LTA CARGO S.A.S</t>
  </si>
  <si>
    <t>TRANSMAQUIMUNDO SAS</t>
  </si>
  <si>
    <t>NOVA TERRA CARGO</t>
  </si>
  <si>
    <t>TRANSPORTE EJECUTIVO MULTIMODAL SAS TEM</t>
  </si>
  <si>
    <t>TRANSPORTANDO EXPRESS SAS</t>
  </si>
  <si>
    <t>PINABEN MOVIL CARGO SAS</t>
  </si>
  <si>
    <t>FREIGTH TRANSPOLOGISTICT SAS - SOLUCIONES LOGÍSTICAS W S. A. S.</t>
  </si>
  <si>
    <t>Trasladada de la DT Boyaca a la DT Magdalena</t>
  </si>
  <si>
    <t>SUMINISTROS DE AGUAS DEL MAGDALENA</t>
  </si>
  <si>
    <t>AS CARGA SAS</t>
  </si>
  <si>
    <t>TRANSPORTES ARDILA</t>
  </si>
  <si>
    <t>RUPORT GROUP S.A.S</t>
  </si>
  <si>
    <t>TRANSPORTE LOGISTICO E INGENIERIA</t>
  </si>
  <si>
    <t>PROSERCARGA S.A.S</t>
  </si>
  <si>
    <t>EMPRESA DE TRANSPORTE LOGISTICO TRES C SERVICIOS ESPECIALES SAS</t>
  </si>
  <si>
    <t>AGENCIA LOGISTICA DEL CARIBE S.A.S</t>
  </si>
  <si>
    <t>ALIANZA LOGISTICA S.A.S</t>
  </si>
  <si>
    <t>SOCIEDAD TRANSPORTADORA LA PERLA SAS</t>
  </si>
  <si>
    <t>EMPRESA DE TRANSPORTE ,ALQUILER Y SERVICIOS PETROLEROS SAS</t>
  </si>
  <si>
    <t>TRANSPORTES NISSI S.A.S</t>
  </si>
  <si>
    <t>FAST TRANSPORT TRUCK S.A.S</t>
  </si>
  <si>
    <t>TRANSUMINISTROS HMS S.A.S.</t>
  </si>
  <si>
    <t>TRANSPORTE DE SERVICIO ESPECIAL Y DE CARGA VISION SABANERA S.A.S,</t>
  </si>
  <si>
    <t>Trasladada de la DT Magdalena a la DT Santander</t>
  </si>
  <si>
    <t>VIGITRANS COLOMBIA S.A.S.</t>
  </si>
  <si>
    <t>DAPET LOGISTICA Y TRANSPORTE S.A.S.</t>
  </si>
  <si>
    <t>COSMOS LOGISTICS S.A.S</t>
  </si>
  <si>
    <t>INTER ENVIOS LOGISTICA Y TRANSPORTE S.A.S</t>
  </si>
  <si>
    <t>ACOMPA S.A.S.</t>
  </si>
  <si>
    <t>TRANSPORTES ESPECIALES DE PLATO S.A.S,</t>
  </si>
  <si>
    <t>INTERNACIONAL 365 S.A.S.</t>
  </si>
  <si>
    <t>GUAMAL EXPRESS S.A.S.</t>
  </si>
  <si>
    <t>TRAK-ATLANTE S.A.S.</t>
  </si>
  <si>
    <t>TRANSPORTE LOAD AND GO S.A.S</t>
  </si>
  <si>
    <t>TRANSPORTES INTEGRALES DE COLOMBIA S.A.S.</t>
  </si>
  <si>
    <t>SILOGISTICA S.A.S</t>
  </si>
  <si>
    <t>INDUTRANS LOGISTICS S.A.S.</t>
  </si>
  <si>
    <t>LOGISTICA HMG S.A.S.</t>
  </si>
  <si>
    <t>CARIBBEAN SEA FOOD LOGISTICS S.A.S.</t>
  </si>
  <si>
    <t>TRANSPORTADORA DE CARGA H &amp; C LOGISTICA Y TRANSPORTES S.A.S.</t>
  </si>
  <si>
    <t>TRANSPORTES PABON VIVAS OPERADOR LOGISTICO S.A.S.</t>
  </si>
  <si>
    <t>TRANSPORTES Y SOLUCIONES M C S.A.S</t>
  </si>
  <si>
    <t>RINCOTRANS TRANSPORTE ESPECIAL S.A.S,</t>
  </si>
  <si>
    <t>MI CARGA YA S.A.S.</t>
  </si>
  <si>
    <t>TRANSPORTES A &amp; M S.A.S.</t>
  </si>
  <si>
    <t>SOCIEDAD EPAR S.A.S.</t>
  </si>
  <si>
    <t>LOGISTICA NACIONAL MJ S.A.S.</t>
  </si>
  <si>
    <t>NORTH BLUE S.A.S.</t>
  </si>
  <si>
    <t>COMPAÑIA LOGISTICA TRANSPORTADORA DEL CARIBE S.A.S (COLTRANC)</t>
  </si>
  <si>
    <t>RUTAS Y TRANSPORTE S.A.S</t>
  </si>
  <si>
    <t>M &amp; C CARGO S.A.S.</t>
  </si>
  <si>
    <t>LOGISTICA WORLD TRANS S.A.S</t>
  </si>
  <si>
    <t>INTERCARGA DE COLOMBIA S.A.S</t>
  </si>
  <si>
    <t>TRANSPORTES GLOBALCON S.A.S</t>
  </si>
  <si>
    <t>ON TIME CARGO EXPRESS RP S.A.S</t>
  </si>
  <si>
    <t>TRANSPORTE XIME EXPRESS S.A.S.</t>
  </si>
  <si>
    <t>TRANSPORTES ROCER S.A.S</t>
  </si>
  <si>
    <t>SUMINISTROS COLCARGA S.A.S</t>
  </si>
  <si>
    <t>SERVICIO DE LOGISTICA CARGO S.A.S</t>
  </si>
  <si>
    <t>MYC MUDANZAS Y ENVIOS DE COLOMBIA S.A.S.</t>
  </si>
  <si>
    <t>TUCARGA CARGO S.A.S</t>
  </si>
  <si>
    <t>TRANSMAQUIYARIMA S.A.S</t>
  </si>
  <si>
    <t>SERVICIOS Y TRANSPORTE DE COLOMBIA S.A.S.</t>
  </si>
  <si>
    <t>EL HALCON EXPRESS CARGO S.A.S</t>
  </si>
  <si>
    <t>TRANSPORTES Y LOGÍSTICAS CARGACOL S.A.S</t>
  </si>
  <si>
    <t>ERVICIOS FORESTALES Y PETROLEROS S.A.S IGLA SERFOPETROL S.A.S</t>
  </si>
  <si>
    <t>TRANSPORTES GOLDEN CARGA S.A.</t>
  </si>
  <si>
    <t>CIELO LOGISTICO S.A.S</t>
  </si>
  <si>
    <t>OPEERADORA LOGISTICA DE SANTA MARTA S.A.S., SIGLA: OPERLOG S.A.</t>
  </si>
  <si>
    <t>SERAMCO S.A.S</t>
  </si>
  <si>
    <t>SOLUCIONES LOGISTICAS PRIMAGRO S.A.S.(SG CARGAS S.A.S.)</t>
  </si>
  <si>
    <t>Cambio de Razon Social</t>
  </si>
  <si>
    <t>SERVITRANSPORTES JF S.A.S</t>
  </si>
  <si>
    <t>TRANSPORTES MK&amp;C S.A.S.,</t>
  </si>
  <si>
    <t>FLOTA EXPRESS S.A.S.</t>
  </si>
  <si>
    <t>BG TRANSPORTES Y SERVICIOS S.A.S</t>
  </si>
  <si>
    <t>TRANSPORTE DE CARGA CARGAMAX S.A.S</t>
  </si>
  <si>
    <t>STARK SOLUCIONES LOGISTICAS S.A.S.</t>
  </si>
  <si>
    <t>INDUSTRIA DE TRANSPORTE DE CARGA S.A.S., SIGLA: INTRACAR S.A.S.</t>
  </si>
  <si>
    <t>TRANSPORTES ANTARES SAS</t>
  </si>
  <si>
    <t>TRANSPORTES TRT SAS</t>
  </si>
  <si>
    <t>JUSAMA SOLUCIONES S.A.S</t>
  </si>
  <si>
    <t>TRANSPORTE ELITE S.A.S</t>
  </si>
  <si>
    <t>TRANS CARGA MONTAJES Y SUMINISTROS S.A.S.</t>
  </si>
  <si>
    <t>HH CARGA &amp; LOGISTICA S.A.S</t>
  </si>
  <si>
    <t>TRANSPORTE Y LOGISTICA MARENA S.A.S</t>
  </si>
  <si>
    <t>TRANSPORTE CARGA PREMIUM S.A.S</t>
  </si>
  <si>
    <t>META</t>
  </si>
  <si>
    <t>FACTORY INTEGRATED LOGISTICS SAS</t>
  </si>
  <si>
    <t>Mediante Resolucion se le Reconocio el cambio de domicilio
 de la DT CESAR hacia la DT META</t>
  </si>
  <si>
    <t>JAH INGENIERIA Y SUMINISTROS S.AS.</t>
  </si>
  <si>
    <t>Mediante Resolución 20253040018795 DEL 16-05-2025 se
 reconocio cambio de domicilio a la DT Meta</t>
  </si>
  <si>
    <t>SOCIEDAD TRANSPORTADORA VARGAS LTDA.</t>
  </si>
  <si>
    <t>TRANSPORTES TAURO LTDA.</t>
  </si>
  <si>
    <t>TRANSPORTES AUTOLLANOS S.A.</t>
  </si>
  <si>
    <t>TRANSPORTES SAN JOSE DEL GUAVIARE</t>
  </si>
  <si>
    <t>FERRO S.A.S.</t>
  </si>
  <si>
    <t>TRANSPORTES IMPROARROZ LTDA.</t>
  </si>
  <si>
    <t>TRANSPORTES CARGA PETROL LTDA.</t>
  </si>
  <si>
    <t>SERVIPETROLEOS S.A.S</t>
  </si>
  <si>
    <t>LOGISTICA INTEGRAL ANDINA LTDA.</t>
  </si>
  <si>
    <t>5 EXPRESS SERVICIOS S.A.S.</t>
  </si>
  <si>
    <t>DUAL COLOMBIA LTDA.</t>
  </si>
  <si>
    <t>TRANSPORTES GAYCO S.A.S.- DANIEL GARCIA ABRIL</t>
  </si>
  <si>
    <t>TRANSPORTES CIRCULAR S.A.S.</t>
  </si>
  <si>
    <t>TRANSPORTES MB S.A.S.</t>
  </si>
  <si>
    <t>SOLUCIONES INTEGRALES DE TRANSPORTE MUNDIAL Y ASOCIADOS S.A.</t>
  </si>
  <si>
    <t>NG BUSINESS GROUP S.A.S.</t>
  </si>
  <si>
    <t>ALIANZA TRANSPORTADORA ORGANIZACIÓN COOPERATIVA - ALITRANS OC</t>
  </si>
  <si>
    <t>MOVILIZANDO ENVIOS LTDA - ANGELA NAYIBE CANTERO TOVAR-</t>
  </si>
  <si>
    <t>INVERSIONES EN TRANSPORTE Y LOGISTICA S.A.S.</t>
  </si>
  <si>
    <t>SOL CARGA S.A.S.</t>
  </si>
  <si>
    <t>TRANSPORTES CEHUROS S.A.S. - CESAR HUMBERTO ROJAS SANTANA</t>
  </si>
  <si>
    <t>OTRANSPEL LTDA- RAMIRO A GUTIERREZ</t>
  </si>
  <si>
    <t>TRANSPORTES NBE S.A. DIANA PATRICIA BONILLA NARVAEZ</t>
  </si>
  <si>
    <t>GEOVANI VALVUENA TRANSPORTES S.A.S -GVTRANS S.A.S.</t>
  </si>
  <si>
    <t>ALITRANSPETREOS S.A.S.</t>
  </si>
  <si>
    <t>TRANSPORTE Y LOGISTICA ORINOQUENSE S.A.S.</t>
  </si>
  <si>
    <t>Q &amp; G TRANSPORTAMOS ORINOQUIA S.A.S.</t>
  </si>
  <si>
    <t>TRANSPORTES TMC &amp; CIA S.A.S.</t>
  </si>
  <si>
    <t>METRANSPUERTO S.A.S.</t>
  </si>
  <si>
    <t>RAPIDO LOS CENTAUROS S.A.</t>
  </si>
  <si>
    <t>TRANSPORTES E INVERSIONES JOANKA S.A.S.</t>
  </si>
  <si>
    <t>TRANSPORTES RAM S.A.S.</t>
  </si>
  <si>
    <t>LOGISTICA Y ESTRATEGIAS EN TRANSPORTE S.A.S.</t>
  </si>
  <si>
    <t>SUPERTRANSPORTES DE COLOMBIA S.A.S.</t>
  </si>
  <si>
    <t>GRUPO LEON INGIENIRIA S.A.S.</t>
  </si>
  <si>
    <t>TRANSPORTE SERVI SPRESS CARGO S.A.S.</t>
  </si>
  <si>
    <t>SOLUCIONES SUMINISTROS &amp; SERVICIOS EMPRESARIALES S</t>
  </si>
  <si>
    <t>ASOMINERALES CABUYARO S.A.S.</t>
  </si>
  <si>
    <t>TRANSPORTES JFC S.A.S.</t>
  </si>
  <si>
    <t>SALCATRAN S.A.S.- TRANSPORTE Y LOGISTICA</t>
  </si>
  <si>
    <t>TRANSMATEO S.A.S.</t>
  </si>
  <si>
    <t>GRUPO EMPRESARIAL DE TRANSPORTE DEL ORIENTE S.A.S.</t>
  </si>
  <si>
    <t>EMPRESA DE TRANSPORTE DE CARGA ORINOQUIA S.A.S.</t>
  </si>
  <si>
    <t>SERVILLANOS S.A.S.</t>
  </si>
  <si>
    <t>GRUPO EMPRESARIAL CANDILEJAS S.A.S.</t>
  </si>
  <si>
    <t>TRANSPORTE DE CARGA JUC S.A.S.</t>
  </si>
  <si>
    <t>VECOBA TRANSPORTES S.A.S.</t>
  </si>
  <si>
    <t>SUMITRANSPORTES ESTERLING S.A.S.</t>
  </si>
  <si>
    <t>COLOMBIANA DE TRANSPORTES TERRESTRE SUA S.A.S.</t>
  </si>
  <si>
    <t>TRANSPORTES SANCAGUA S.A.S.</t>
  </si>
  <si>
    <t>TRANSPORTES GARCIA HORTUA S.A.S.</t>
  </si>
  <si>
    <t>TRANSPORTES MAJAGUYAL S.A.S.</t>
  </si>
  <si>
    <t>COMPAÑÍA YACUANA S.A.S.</t>
  </si>
  <si>
    <t>ETP LOGISTICA Y TRANSPORTES.A.S.</t>
  </si>
  <si>
    <t>PETRANS DEL LLANO S.A.S.</t>
  </si>
  <si>
    <t>ZEACOL S.A.S.</t>
  </si>
  <si>
    <t>TRANSPORTES PARAISO REGIONAL</t>
  </si>
  <si>
    <t>TRANSPORTAMOS DEL LLANO S.A.S.</t>
  </si>
  <si>
    <t>TRANSPORTES C &amp; D S.A.S.</t>
  </si>
  <si>
    <t>TRANSPORTES DEL ORIENTE DE COLOMBIA S.A.S.</t>
  </si>
  <si>
    <t>TRANSPORTE Y CARGA DE COLOMBIA S.A.S.</t>
  </si>
  <si>
    <t>TRANSPORTES ESPECIALES LEAL S.A.S</t>
  </si>
  <si>
    <t>CAM TRANSPORTES Y EQUIPOS DE COLOMBIA S.A.S</t>
  </si>
  <si>
    <t>LOGISTICA Y CARGA DEL ORIENTE S.A.S.</t>
  </si>
  <si>
    <t>INTERNACIONAL DE NEGOCIOS Y SERVICIOS S.A.S.</t>
  </si>
  <si>
    <t>ORGANIZACIÓN DE LOGISTICA INTEGRAL DE TRANSPORTE S.A.S</t>
  </si>
  <si>
    <t>TRANSPORTADORA TIMOM S.A.S.</t>
  </si>
  <si>
    <t>S&amp;S SERVICIOS Y SUMINISTROS MORACAR S.A.S.</t>
  </si>
  <si>
    <t>GRUPO EMPRESARIAL NEWÜTSU IBOTO S.A.S.</t>
  </si>
  <si>
    <t>STS TRANSPORTES S.A.S.</t>
  </si>
  <si>
    <t>SERVICONSTRUCCIONES MAZAL S.A.S.</t>
  </si>
  <si>
    <t>COMPAÑÍA DE TRANSPORTADORES DE PUERTO GAITAN S.A.S</t>
  </si>
  <si>
    <t>MULTICARGAS MC S.A.S.</t>
  </si>
  <si>
    <t>SOLUCIONES Y TRANSPORTES F.C S.A.S. - F.C S.A.S.</t>
  </si>
  <si>
    <t>EMICOR COLOMBIA S.A.S.</t>
  </si>
  <si>
    <t>GARPET S.A.S.</t>
  </si>
  <si>
    <t>MOVICAR SERVICIOS INTEGRALES S.A.S.</t>
  </si>
  <si>
    <t>SERVICIOS ESPECIALES DEL LLANO S.A.</t>
  </si>
  <si>
    <t>TRANSPORTES E INGENIERIA V &amp; M SAS-</t>
  </si>
  <si>
    <t>BETAS ING S.A.S.</t>
  </si>
  <si>
    <t>INTERCARGO TRANSPORTES S.A.S.</t>
  </si>
  <si>
    <t>TRANSAGREGADOS JAV S.A.S.</t>
  </si>
  <si>
    <t>TRANSPORTES Y GRUAS ARNES S.A.S.</t>
  </si>
  <si>
    <t>INVERSIONES ANDINA MORASAN S.A.S.</t>
  </si>
  <si>
    <t>TRANSCAR VMT S.A.S.</t>
  </si>
  <si>
    <t>TRANSPORTES LAS COROCORAS LOGISTICA A SU SERVICIO S.A.S.</t>
  </si>
  <si>
    <t>LLANO CARGO S.A.S.</t>
  </si>
  <si>
    <t>TRANS GUEJAR S.A.S.</t>
  </si>
  <si>
    <t>TRANSPORTES ALCARAVAN DE VISTA HERMOSA SAS</t>
  </si>
  <si>
    <t>SERVITRANSPORTES LA GUARATARA DEL LLANO S.A.S.</t>
  </si>
  <si>
    <t>INGEKAR LPR S.A.S.</t>
  </si>
  <si>
    <t>TRANSBELNOCAR S.A.S.</t>
  </si>
  <si>
    <t>ALIANZA TRANSPORTAMOS S.A.S</t>
  </si>
  <si>
    <t>ARA TRANSPORTES S.A.S.</t>
  </si>
  <si>
    <t>PETROLTRANSPORTE S.A.S.</t>
  </si>
  <si>
    <t>TRANSPORTE Y LOGISTICA PETROLERA S.A.S.</t>
  </si>
  <si>
    <t>TRANSPORTES Y MOVILIZACIONES NACIONALES S.A.S.</t>
  </si>
  <si>
    <t>BIENES Y SERVICIOS YEVIMAQUINAS S.A.S.</t>
  </si>
  <si>
    <t>SOLUCIONES GLOBALES Y LOGISTICA DE TRANSPORTE</t>
  </si>
  <si>
    <t>TRANSPORTE DE LIQUIDOS Y LOGISTICA DE CARGA DE COLOMBIA S.A.S.</t>
  </si>
  <si>
    <t>TRANSPORTES DE LOS LLANOS SAVAL SAS.</t>
  </si>
  <si>
    <t>ADR TRANSPORTE S.A.S</t>
  </si>
  <si>
    <t>CARBOL S.A.S.</t>
  </si>
  <si>
    <t>SERVIEQUIPOS TLC S.A.S.</t>
  </si>
  <si>
    <t>SERVITRANSPORTES JYM S.A.S. “SERVIJYM S.A.S”</t>
  </si>
  <si>
    <t>ECOLOCAR S.A.S.</t>
  </si>
  <si>
    <t>COMPAÑÍA PRESTADORA DE SERVICIOS DEL LLANO S.A.S.</t>
  </si>
  <si>
    <t>PONY CARGA MAQ S.A.S.</t>
  </si>
  <si>
    <t>TRANSPORTES E INVERSIONES MAQUINAS DEL GUEJAR S.A.S.</t>
  </si>
  <si>
    <t>TRANS SANMAP S.A.S</t>
  </si>
  <si>
    <t>MAQUIICONSTRUCCIONES LTDA.</t>
  </si>
  <si>
    <t>MAQUINARIA EQUIPOS Y CONSTRUCCIONES S.A.S.</t>
  </si>
  <si>
    <t>INVERSIONES HFD S.A.S.</t>
  </si>
  <si>
    <t>MOVILIZACIONES ESPECIALES PETROLERAS S.A.S.</t>
  </si>
  <si>
    <t>TRANSPORTE DEL LLANO S.A.S.</t>
  </si>
  <si>
    <t>TRANSPORTES Y SERVICIOS T &amp; S OJ S.A.S.</t>
  </si>
  <si>
    <t>TRANSPORTES TRITURADOS Y TRITURADOS S.A.S.</t>
  </si>
  <si>
    <t>TRANSPORTES RED S.A.S.</t>
  </si>
  <si>
    <t>TRANSPORTE LLANO GRANDE S.A.S.</t>
  </si>
  <si>
    <t>RIGOL INGENIERIA S.A.S.</t>
  </si>
  <si>
    <t>TC TRANSPORTAMOS S.A.S.</t>
  </si>
  <si>
    <t>TRANSPORTES SANLIN S.A.S.</t>
  </si>
  <si>
    <t>SUMITRANSPORTE INGETECH S.A.S.</t>
  </si>
  <si>
    <t>SERVICIOS Y SUMINISTROS CARPETROL S.A.S.</t>
  </si>
  <si>
    <t>PROYECARGA S.A.S.</t>
  </si>
  <si>
    <t>TRANSPORTES MIGUEL CUCUNUBA S.A.S CAMBIO A TRANSPORTES SANTA ROSALIA DE</t>
  </si>
  <si>
    <t>TRANS EXPRESS DEL GUAVIARE COLOMBIANA DE ENCOMIENDAS S.A.S.</t>
  </si>
  <si>
    <t>SERVICENTRO S.A.S.</t>
  </si>
  <si>
    <t>SERVICIO DE TRANSPORTES FERNANDEZ S.A.S. - SERVITRANSFERNANDEZ S.A.S.</t>
  </si>
  <si>
    <t>AUTOMETA TRANSPORTES S.A.S.</t>
  </si>
  <si>
    <t>COLOMBIANA INTERNACIONAL LIMITADA TRANSPORTE DE CARGA - COLINTER -</t>
  </si>
  <si>
    <t>SURACARGA S.A.S.</t>
  </si>
  <si>
    <t>TSI TRANSPORTES &amp; SERVICIOS INTEGRALES S.A.S.</t>
  </si>
  <si>
    <t>TRANSPORTES DEL ARIARI S.A.S.</t>
  </si>
  <si>
    <t>TRANSPORTES UNIVERSAL S.A.S.</t>
  </si>
  <si>
    <t>CENTRO LOGISTICO DE TRANSPORTE HS LTDA. - CLTHS LTDA</t>
  </si>
  <si>
    <t>MUNDOPETROL JR S.A.S.</t>
  </si>
  <si>
    <t>PETROINGS DEL META S.A.S.</t>
  </si>
  <si>
    <t>A&amp;G TRANSPORTES S.A.S.</t>
  </si>
  <si>
    <t>TRANSPORTES METROPLUS S.A.S.</t>
  </si>
  <si>
    <t>TITANS TRANSPORT S.A.S.</t>
  </si>
  <si>
    <t>INGENIERIA Y TRANSPORTE DE CARGA DEL META S.A.S.</t>
  </si>
  <si>
    <t>MULTISERVICIOS EL TAUTACO RAJ S S.A.S.</t>
  </si>
  <si>
    <t>NACIONAL DE TRANSPORTES Y CONSTRUCCIONES S.A.S.</t>
  </si>
  <si>
    <t>TRANSPORTE DE LOS LLANOS DE CARGA S.A.S.</t>
  </si>
  <si>
    <t>TRANSPORTE Y CONSTRUCCIONES JYS S.A.S. (ANTES: TRANSPORTE J &amp; S S.A.S.)</t>
  </si>
  <si>
    <t>20203040010445
 20253040010885</t>
  </si>
  <si>
    <t>07/08/2020
 27/03/2025</t>
  </si>
  <si>
    <t>CAMBIO RAZÓN SOCIAL</t>
  </si>
  <si>
    <t>TRANSPORTES G &amp; T S.A.S.</t>
  </si>
  <si>
    <t>OBRAS Y TRANSPORTES INFINITO S.A.S.</t>
  </si>
  <si>
    <t>GLOBAL LOGISTICA Y SERVICIOS DE TRANSPORTE MB S.A.S.</t>
  </si>
  <si>
    <t>TRANSPORTES BARINAS S.A.S.</t>
  </si>
  <si>
    <t>PUERTORIENTE LOGISTICA Y TRANSPORTE S.A.S.</t>
  </si>
  <si>
    <t>INVERSIONES INTERRA S.A.S.</t>
  </si>
  <si>
    <t>SOCIEDAD TIERRADENTRO S.A.S.</t>
  </si>
  <si>
    <t>USEND S.A.S.</t>
  </si>
  <si>
    <t>TRANSPORTE ESPECIAL SAVITRANS SAS</t>
  </si>
  <si>
    <t>CUPAR SERVICES S.A.S.</t>
  </si>
  <si>
    <t>NACIONAL DE TRANSPORTE Y LOGISTICA DE COLOMBIA S.A.S.</t>
  </si>
  <si>
    <t>HCM TRANSPORTES Y LOGISTICA S.A.S.</t>
  </si>
  <si>
    <t>TRANSPORTES DE RESIDUOS AMBIENTALES S.A.S.</t>
  </si>
  <si>
    <t>STG TRANSAMBIENTAL S.A.S.</t>
  </si>
  <si>
    <t>PIÑEROS VALENCIA TRANSPORTES S.A.S.</t>
  </si>
  <si>
    <t>TRACTOCAR DEL LLANO S.A.S.</t>
  </si>
  <si>
    <t>LOGISTICA INTEGRAL DE DISTRIBUCION LID S.A.S.</t>
  </si>
  <si>
    <t>METATRANSPORTES S.A.S.</t>
  </si>
  <si>
    <t>TERRACARGA LOGISTICS S.A.S.</t>
  </si>
  <si>
    <t>TRANSPORTES L &amp; L ASOCIADOS S.A.S.</t>
  </si>
  <si>
    <t>TRANSPORTES Y LOGISTICA DEL ARIARI S.A.S</t>
  </si>
  <si>
    <t>CARGAS Y TRANSPORTES S.A.S.</t>
  </si>
  <si>
    <t>TRANSPETROL DE LOS LLANOS S.A.S.</t>
  </si>
  <si>
    <t>SERVINCE COLOMBIA JP S.A.S.</t>
  </si>
  <si>
    <t>SOLUCIONES YK S.A.S.</t>
  </si>
  <si>
    <t>IMEC S.A. E.S.P.</t>
  </si>
  <si>
    <t>COMPAÑÍA DE BIENES Y SERVICIOS NORTE CINCO S.A.S.</t>
  </si>
  <si>
    <t>CARGA EXPRESS LOGISTICA Y TRANSPORTES S.A.S.</t>
  </si>
  <si>
    <t>ALIANZA EXPRESS CARGA S.A.S.</t>
  </si>
  <si>
    <t>COMPAÑIA IMPORTADORA Y EXPORTADORA ORICARGA S.A.S.</t>
  </si>
  <si>
    <t>SERVICIOS TECNICOS EN LOGISTICA Y TRANSPORTE 24/7. SIGLA: STLT S.A.S.</t>
  </si>
  <si>
    <t>TRANSPORTES FLOTA EXPRESS DEL LLANO S.A.S.</t>
  </si>
  <si>
    <t>TRANSPORTES DE CARGA LA ESTRELLA 2 S.A.S.</t>
  </si>
  <si>
    <t>MULTISERVICIOS LATINOAMERICANOS S.A.S.</t>
  </si>
  <si>
    <t>COLOMBIA TC S.A.S.</t>
  </si>
  <si>
    <t>TRANSPORTE Y Y SERVICIOS INDUSTRIALES E INTEGRALES S.A.S.</t>
  </si>
  <si>
    <t>SERVIPETROL DEL ORIENTE S.A.S.</t>
  </si>
  <si>
    <t>MULTISOLUCIONES Y SERVICIOS S.A.S.</t>
  </si>
  <si>
    <t>BM GROUP LOGISTICS S.A.S.</t>
  </si>
  <si>
    <t>TRANSPORTADORA RUBIALES S.A.S.</t>
  </si>
  <si>
    <t>SERVIPETRANS DELLLANO S.A.S. - SERVIPETRANS DE COLOMBIA</t>
  </si>
  <si>
    <t>INGENIERIA DE TRANSPORTES PETROLEROS S.A.S.INTRAPETROL S.A.S.</t>
  </si>
  <si>
    <t>FLEX CARGO S.A.S.</t>
  </si>
  <si>
    <t>IVATRANS S.A.S.</t>
  </si>
  <si>
    <t>TRANSPORTES LLANOCOL S.A.S.</t>
  </si>
  <si>
    <t>GRUPO EMPRESARIAL JAELFA S.A.S.</t>
  </si>
  <si>
    <t>SERVITRANSPORTES ANDINA S.A.S.</t>
  </si>
  <si>
    <t>IZAJES Y MONTAJES PSW S.A.S</t>
  </si>
  <si>
    <t>SERVICIOS Y LOGISTICA AGROINDUSTRIAL S.A.S.</t>
  </si>
  <si>
    <t>IZAJES DEL LLANO S.A.S.</t>
  </si>
  <si>
    <t>TRANSPORTE ALIANZA DEL META S.A.S</t>
  </si>
  <si>
    <t>SOLUCIONES INTEGRALES EN EL LLANO S.A.S.</t>
  </si>
  <si>
    <t>EDITOUR VIP</t>
  </si>
  <si>
    <t>EXCABOY DVM´S L.T.D.A.</t>
  </si>
  <si>
    <t>JUAN CARLOS ORTIZ STERLING</t>
  </si>
  <si>
    <t>SERVICIO DE TRANSPORTE &amp; EQUIPOS PESADOS S.A.S</t>
  </si>
  <si>
    <t>TRANSREFORESTAR S.A.S</t>
  </si>
  <si>
    <t>OPEN TOUR S.A.S.</t>
  </si>
  <si>
    <t>GRUME GRUAS DEL META S.A.S</t>
  </si>
  <si>
    <t>LOR ENVIOS S.A.S.</t>
  </si>
  <si>
    <t>SERVICIOS CONFIABLES PETROLEROS S.A.S.</t>
  </si>
  <si>
    <t>TRANSPORTES BARLOVENTO S.A.S</t>
  </si>
  <si>
    <t>TRANSPORTES INTEGRALES LA SABANA S.A.S</t>
  </si>
  <si>
    <t>UNION A &amp; B S.A.S.</t>
  </si>
  <si>
    <t>SUMINISTROS Y TRANSPORTES LOGISTICS S.A.S.,</t>
  </si>
  <si>
    <t>PRESTEZA SOLUCIONES &amp; SERVICIOS S.A.S.</t>
  </si>
  <si>
    <t>TRANSPORTE DE CARGA EL DORADO SAS</t>
  </si>
  <si>
    <t>TRANSPORTES NUEVA SURAMERICANA S.A.S.</t>
  </si>
  <si>
    <t>SE TRASLADA DESDE DT MAGDALENA</t>
  </si>
  <si>
    <t>CANAVEN TRANSPORTES DE COLOMBIA S.A.S.</t>
  </si>
  <si>
    <t>TRANSPORTES E INVERSIONES S&amp;M</t>
  </si>
  <si>
    <t>GM TRANSCARGA S.A.S.</t>
  </si>
  <si>
    <t>GEINPETROL S.A.S</t>
  </si>
  <si>
    <t>EMPRESA DE TRANSPORTE DE SERVICIO ESPECIAL Y ESCOLAR ESCOTURS</t>
  </si>
  <si>
    <t>SERVITRANSTUR</t>
  </si>
  <si>
    <t>SERVICIOS SUMINISTROS Y TRANSPORTES PETROGUAMAL</t>
  </si>
  <si>
    <t>INVERSIONES Y SUMINISTROS CAM S.A.S.</t>
  </si>
  <si>
    <t>TRANSPORTE FLUVIAL Y TERRESTRE YURUPARI S.A.S.</t>
  </si>
  <si>
    <t>SERVITRANSPORTES RIVERA S.A.S.</t>
  </si>
  <si>
    <t>TRANSPORTADORA COLOMBIANA DE CARGA S.A.S.</t>
  </si>
  <si>
    <t>TRANSPORTE, CONSTRUCCIÓN Y LOGISTICA S.A.S. -TCL GAITAN S.A.S.</t>
  </si>
  <si>
    <t>GRUAS Y TRANSPORTES GVILLALOT SAS</t>
  </si>
  <si>
    <t>WILSON LEONARDO TORRES SANCHEZ</t>
  </si>
  <si>
    <t>TRANSPORTES Y SERVICIOS MARSON S.A.S.</t>
  </si>
  <si>
    <t>GRUPO CALDERON S.A.S.</t>
  </si>
  <si>
    <t>COMERCIALIZADORA Y SUMINISTROS L&amp;L</t>
  </si>
  <si>
    <t>TRANS AZUR ESPECIALES</t>
  </si>
  <si>
    <t>MOVEMOS SERVIC S.A.S.</t>
  </si>
  <si>
    <t>KIOS S.A.S.</t>
  </si>
  <si>
    <t>SERVICIOS DE INGENIERIA PROFESIONALES DE COLOMBIA S.A.S.</t>
  </si>
  <si>
    <t>TRANSPORTES JIWI S. A. S.</t>
  </si>
  <si>
    <t>CAMBIO DE DOMICILIO DE DT HUILA A DT META</t>
  </si>
  <si>
    <t>IRINA PARDO MORENO</t>
  </si>
  <si>
    <t>TRANSPORTE SERVICIOS LOGISTICO DE CARGA S.A.S.</t>
  </si>
  <si>
    <t>TRANSPORTE SERVICIOS LOGISTICO DE CARGA S.A.S. -TRANSERLOG</t>
  </si>
  <si>
    <t>TRANSPORTES DIANSER S.A.S.</t>
  </si>
  <si>
    <t>TRANSPORTES H &amp; MT S.A.S.</t>
  </si>
  <si>
    <t>LA UNION CARGA S.A.S.</t>
  </si>
  <si>
    <t>TRANSPORTES INTEGRALES SERVI EXPRESS DE COLOMBIA</t>
  </si>
  <si>
    <t>SERVIARRAYANES S.A.S.</t>
  </si>
  <si>
    <t>SUMO GRUAS S.A.S.</t>
  </si>
  <si>
    <t>SERVICIOS FALD S.A.S. ESP</t>
  </si>
  <si>
    <t>SUMI.TRANSPORTES ACACIAS S.A.S.</t>
  </si>
  <si>
    <t>GLOBAL TRANSPORT SERVICE S.A.S.</t>
  </si>
  <si>
    <t>MONTAJES TECNICOS ZAMBRANO &amp; VARGAS S.A.S.</t>
  </si>
  <si>
    <t>ALIANZA TRANSPORTADORA DE CARGA S.A.S</t>
  </si>
  <si>
    <t>TRANSPORTES PAYARA S.A.S.</t>
  </si>
  <si>
    <t>ESPECIALES DAZASHA S.A.S.</t>
  </si>
  <si>
    <t>BENAIA INGENIERIA Y TRANSPORTES S.A.S.</t>
  </si>
  <si>
    <t>MULTISERVICIOS SOL DEL ORIENTE S.A.S.</t>
  </si>
  <si>
    <t>SERVICIOS INDUSTRIALES E INTEGRALES DEL MEDIO AMBIENTE SERVINTEGRAL S.A.S</t>
  </si>
  <si>
    <t>ALIANZA LOGISTICA DE TRANSPORTE VEGA LEITON S.A.S.</t>
  </si>
  <si>
    <t>CENTRO ORIENTE SOLUCIONES S.A.S</t>
  </si>
  <si>
    <t>MARKETING Y SERVICIOS LOGISTICOS INTEGRALES S.A.S.</t>
  </si>
  <si>
    <t>LOGISTICA Y TRANSPORTE CAICEDO UBAQUE S.A.S</t>
  </si>
  <si>
    <t>LEGOL SERVICIOS E INGENIERIA S.A.S.</t>
  </si>
  <si>
    <t>HB INVERSIONES S.A.S.</t>
  </si>
  <si>
    <t>LOGISTICA Y TRANSPORTE MULTIMODAL AEROVAUPES SAS ZOMAC</t>
  </si>
  <si>
    <t>TRANSAPICOL S.A.S.</t>
  </si>
  <si>
    <t>CIPG SOLUCIONES INTEGRALES S.A.S.</t>
  </si>
  <si>
    <t>TRANSPORTES Y CONSTRUCCIONES ISC S.A.S.</t>
  </si>
  <si>
    <t>CROIL SERVICIOS E INGENIERIA S.A.S.</t>
  </si>
  <si>
    <t>SERVIGRUASHA S.A.S.</t>
  </si>
  <si>
    <t>SERVICIOS Y SOLUCIONES EL PORVENIR S.A.S.</t>
  </si>
  <si>
    <t>SERVICIOS INTEGRALES PETROELENCANTO S.A.S.</t>
  </si>
  <si>
    <t>NARIÑO</t>
  </si>
  <si>
    <t>COOP. DE TRANSPORTADORES UNIDOS DE NARIÑO LTDA</t>
  </si>
  <si>
    <t>2017 - En Liquidacion - Activa</t>
  </si>
  <si>
    <t>INVERSIONES Y TRANSPORTES S.A.</t>
  </si>
  <si>
    <t>COOP. INTEGRAL DE TRANS. DE NARIÑO LIMITADA</t>
  </si>
  <si>
    <t>COOP. DE TRANSPORTADORES DEL PUTUMAYO</t>
  </si>
  <si>
    <t>TRANSORIENTE</t>
  </si>
  <si>
    <t>TRANSPORTE Y COMERCIO INTERNACIONAL LTDA.</t>
  </si>
  <si>
    <t>2024 En reestructuracion- Activa</t>
  </si>
  <si>
    <t>TRANSPORTES DEL PACIFICO S.A.</t>
  </si>
  <si>
    <t>TRANSPORTADORES DE IPIALES S.A.</t>
  </si>
  <si>
    <t>TRANSPORTADORES DEL VALLE DEL GUAMUEZ S.A.S.</t>
  </si>
  <si>
    <t>TRANSPORTADORA ANDES LTDA.</t>
  </si>
  <si>
    <t>INTERMODAL ANDINA DETRANSPORTES</t>
  </si>
  <si>
    <t>TRANSPORTES NIAGARA LTDA.</t>
  </si>
  <si>
    <t>FLOTA GUAITARA S.A.</t>
  </si>
  <si>
    <t>COMERCIALIZADORA Y TRANSPORTADORA DEL SUR LTDA</t>
  </si>
  <si>
    <t>TRANSPORTE PESADO INTERNACIONAL LTDA.</t>
  </si>
  <si>
    <t>TRANSPORTE INTERNACIONAL DE CARGA S.A.</t>
  </si>
  <si>
    <t>COOP. DE TRANSPORTADORES KILILI LIMITADA</t>
  </si>
  <si>
    <t>TRANSDEPET &amp; CARGA LTDA</t>
  </si>
  <si>
    <t>RIVERA TRANSPORTE DE CARGA INTERNACIONAL</t>
  </si>
  <si>
    <t>TRANSPETROLEROS LIMITADA</t>
  </si>
  <si>
    <t>COOPERTAIVA DE TRANSPORTES ESPAÑA</t>
  </si>
  <si>
    <t>TTES. Y SER. URGTES INTERNALES CIA. LTDA.</t>
  </si>
  <si>
    <t>TRANSPORTES Y SERVCICIOS CARIBE</t>
  </si>
  <si>
    <t>TRANSPORTE NACIONAL DE CARGA LIMITADA</t>
  </si>
  <si>
    <t>SOC. ALIANZA DE NEGOCIOS Y TRANSPORTE INTERNACIONAL S.A.</t>
  </si>
  <si>
    <t>TRANSERCOL LIMITADA</t>
  </si>
  <si>
    <t>TRANSPORTE INTERNACIONAL GALERAS S.A.S.</t>
  </si>
  <si>
    <t>COOP. TRANSAMAZONICA DE TRANSPORTADORES FLUIVIALES</t>
  </si>
  <si>
    <t>COOP. TRANS. DER. DEL PETROLEO SERVICIOS LTDA</t>
  </si>
  <si>
    <t>TRANSPORTE GRAN COLOMBIA LTDA.</t>
  </si>
  <si>
    <t>NACIONAL DE TRANSPORTES Y SERVICIOS ABIAR</t>
  </si>
  <si>
    <t>GRUPO BYZA SOLUCIONES S.A.S.</t>
  </si>
  <si>
    <t>COMPAÑÍA DISTRIBUIDORA DE CARGA CDC LTDA</t>
  </si>
  <si>
    <t>TTE. DE CARGA NAL. E INTER. TRANSPUTUMAYO S.A.S.</t>
  </si>
  <si>
    <t>SISTEMAS LOGISTICOS INTEGRALES DE COLOMBIA LTDA.</t>
  </si>
  <si>
    <t>COOPERATIVA DE TRANSPORTE DE CARGA COFANIA</t>
  </si>
  <si>
    <t>CP TRANSPORTE Y LOGISTICA S.A.S.</t>
  </si>
  <si>
    <t>HG TRANSPORTES Y SERVICIOS S.A.S.</t>
  </si>
  <si>
    <t>TRANSPORTE DE PUERTO ASIS HONG KONG S.A.</t>
  </si>
  <si>
    <t>EMP. DE TTE. ASESORIAS Y SUMINISTROS TAX ORITO S.A.S</t>
  </si>
  <si>
    <t>SOCIEDAD DE SERVICIOS INTEGRALES DE TRANSPORTE S.A.S.</t>
  </si>
  <si>
    <t>PUENTES ORTEGA Y COMPAÑIA LIMITADA</t>
  </si>
  <si>
    <t>SERVITEM LIMITADA TRANSPORTE Y MENSAJERIA</t>
  </si>
  <si>
    <t>TRANSPORTES QUINTERO ALMEIDA S.A.S.</t>
  </si>
  <si>
    <t>ADUANAR CARGO TRANSPORTE INTERNACIONAL DE CARGA S.A.S.</t>
  </si>
  <si>
    <t>COOP: MULT. EMP. COMUNI. DE PRES. SERV Y COMERCIAL</t>
  </si>
  <si>
    <t>TRANSPORTES DEL SUR AMAZONICOS S.A.S.</t>
  </si>
  <si>
    <t>ALIANZA PARA EL TRANSPORTE Y COMERCIO INTERNACIONAL S.A.S.</t>
  </si>
  <si>
    <t>TRANSPORTE JUAN ANDRES S.A.S.</t>
  </si>
  <si>
    <t>TRANSPORTE SURANDINO DE LIQUIDOS DE COLOMBIA S.A:S.</t>
  </si>
  <si>
    <t>MENPORT S.A.</t>
  </si>
  <si>
    <t>L&amp;T LOGISTICA Y TRANSPORTE S.A.S.</t>
  </si>
  <si>
    <t>MULTIPLES SERVICIOS DE PETROLEOS S.A.S.</t>
  </si>
  <si>
    <t>SERVIVELOZ DEL SUR S.A.S.</t>
  </si>
  <si>
    <t>TRANSPORTES GUERREROS Y GUERREROS S.A.S.</t>
  </si>
  <si>
    <t>TRANSPETROL PUERTO ASIS SRS S.A.S.</t>
  </si>
  <si>
    <t>TRANSPORTES Y OPERACIONES INTERNACIONALES S.A:S.</t>
  </si>
  <si>
    <t>TRANSPORTES T &amp; M S.A.S.</t>
  </si>
  <si>
    <t>TAOCCI S.A.S</t>
  </si>
  <si>
    <t>ANDINA DE CARGA INTERNACIONAL S.A.S.</t>
  </si>
  <si>
    <t>TRANSPORTADORA VILLA EXPRES S.A.S.</t>
  </si>
  <si>
    <t>TRANSPORTADORES COLOMBIANOS DEL SUR S.A.S.</t>
  </si>
  <si>
    <t>TRANSPORTADORA DE CARGA POR COLOMBIA S.A.S.</t>
  </si>
  <si>
    <t>TRANSPORTES LA FRONTERA S.A.S.</t>
  </si>
  <si>
    <t>TRANSPORTES LA FRONTERA SAS</t>
  </si>
  <si>
    <t>TRANSPORTE Y LOGISTICA EN COMERCIO EXTERIOR S.A.S.</t>
  </si>
  <si>
    <t>TRANSPORTES FEDRACK S.A.S.</t>
  </si>
  <si>
    <t>MHY CONSTRUCTORES S.A.S.</t>
  </si>
  <si>
    <t>CERON &amp; PRIETO S.A.S.</t>
  </si>
  <si>
    <t>TRANSPORTE LA HORMIGA VALLE DEL GUAMUEZ S.A.S.</t>
  </si>
  <si>
    <t>S &amp; J FULL SERVICES LTDA</t>
  </si>
  <si>
    <t>REEFER LOGISTIC M&amp;R</t>
  </si>
  <si>
    <t>LOGISTIC Y TTE DE CARGA S.A.S. ZOMAC</t>
  </si>
  <si>
    <t>EMPRESA INTERNACIONAL DE CARGA PESADA S.A.S ZOMAC</t>
  </si>
  <si>
    <t>EMPRESA DE TRANSPORTES MULTISERVICIOS S.A.S</t>
  </si>
  <si>
    <t>GETIN S.A.S.</t>
  </si>
  <si>
    <t>LA NUEVA GENERACION DEL PUTUMAYO S.A.S. ZOMAC</t>
  </si>
  <si>
    <t>MUNDIAL DE TRANSPORTES S:A:S.</t>
  </si>
  <si>
    <t>TRANSPORTE INTEGRADOS DAGO S.A.S.</t>
  </si>
  <si>
    <t>EMPRESA DE TRANSPORTE PETROTRANS S.A.S</t>
  </si>
  <si>
    <t>TRANSPORTES DE CARGA DEL SUR S.A.S.</t>
  </si>
  <si>
    <t>SUCORDITRANS S.A.S.</t>
  </si>
  <si>
    <t>TRANSPETROMIRA S.A.S.</t>
  </si>
  <si>
    <t>DACARB SERVICES S.A.S ZOMAC</t>
  </si>
  <si>
    <t>OPERADOR LOGISTICO COLMENA S.A.S.</t>
  </si>
  <si>
    <t>TRAXXO S.A:S.</t>
  </si>
  <si>
    <t>MULTITRANSPORT EXPRESS S.A.S. ZOMAC</t>
  </si>
  <si>
    <t>INTERNATIONAL LOGISTICS MD S.A.S.</t>
  </si>
  <si>
    <t>SERVICIOS Y TRANSPORTES ASOCIADOS S.A.S</t>
  </si>
  <si>
    <t>YEP LOGISTTIC TTE. DE CARGA TERRESTRE NAL. E INTERNAL. S.A.S.</t>
  </si>
  <si>
    <t>YADIRA MAYAC S.A.S.</t>
  </si>
  <si>
    <t>COLMENA TRANSPORTES S.A.S.</t>
  </si>
  <si>
    <t>TRANSPORTE INTERNACIONAL TRUCK S.A:S. ZOMAC</t>
  </si>
  <si>
    <t>MULTISERVICIOS AMBIENTALES AGUA Y VIDA S.A.S. ZOMAC</t>
  </si>
  <si>
    <t>PLATANILLO TRANSPORTES Y SERVICIOS S.A.S.</t>
  </si>
  <si>
    <t>DIMA CARGA INTERNACIONAL S.A.S ZOMAC</t>
  </si>
  <si>
    <t>INDUCARG LOGISTICA Y TRANSPORTE SAS</t>
  </si>
  <si>
    <t>TRANSPORTES COYOTE SAS</t>
  </si>
  <si>
    <t>ZEYMAR TRANSPORTADORA SAS</t>
  </si>
  <si>
    <t>ENCOENVIOS LOGISTICA Y TRANSPORTE SAS</t>
  </si>
  <si>
    <t>LOGISTICA ESTRATEGICA TRANSVIKALO SAS</t>
  </si>
  <si>
    <t>COOPERATIVA DE TRANSPORTE Y SERVICIOS ESPECIALES - COOTRANSERP</t>
  </si>
  <si>
    <t>TRANSPORTES Y LOGISTICA RUTA 25 S.A.S.</t>
  </si>
  <si>
    <t>CASA DEL GRANJERO S.A.</t>
  </si>
  <si>
    <t>NORTE DE SANTAN</t>
  </si>
  <si>
    <t>TRANSPORTES GOLDEN EAGLE LTDA.</t>
  </si>
  <si>
    <t>COOPERATIVA DE VOLQUETEROS DE TAME LTDA</t>
  </si>
  <si>
    <t>COOPERATIVA TRANSPORTADORA DE MATERIALES DEL SARARE LTDA.</t>
  </si>
  <si>
    <t>TRANSPORTES SANTANDEREANA DE CARGA LIMITADA.</t>
  </si>
  <si>
    <t>COOPERATIVA TRANSPORTADORA FLUVIAL Y TERRESTRE DE ARAUCA LTDA</t>
  </si>
  <si>
    <t>TRANSPORTES UNIDOS RIOCARFE Y CIA LTDA.</t>
  </si>
  <si>
    <t>COOPERATIVA DE TRANSPORTADORES NACIONALES DE PAMPLONA LTDA</t>
  </si>
  <si>
    <t>EMPRESA DE TRANSPORTE ENRIQUE ROPERO SEPULVEDA</t>
  </si>
  <si>
    <t>TRANSPORTES DEL NORDESTE S.A.</t>
  </si>
  <si>
    <t>EMPRESA DE TRANSPORTES GALVIS LTDA.</t>
  </si>
  <si>
    <t>TRANSPORTES CONDOR S.A.S</t>
  </si>
  <si>
    <t>COOPERATIVA ARAUCANA DE TRANSPORTADORES</t>
  </si>
  <si>
    <t>COOPERATIVA DE TRANSPORTADORES DE CARGA DE ARAUCA LTDA.</t>
  </si>
  <si>
    <t>EMPRESA CORTA DISTANCIA LTDA</t>
  </si>
  <si>
    <t>SERVICIO TRANSPORTE NACIONAL E INTERNACIONAL LAS GANDOLAS LTDA.</t>
  </si>
  <si>
    <t>COOPERATIVA DE TRANSPORTADORES DEL SARARE LTDA</t>
  </si>
  <si>
    <t>TRANSPORTADORA REGIONAL S.A.</t>
  </si>
  <si>
    <t>COOPERATIVA DE VOLQUETEROS DEL SARARE LTDA</t>
  </si>
  <si>
    <t>TRANSPORTES E INVERSIONES ANDINAS LTDA.</t>
  </si>
  <si>
    <t>COOPERATIVA AGROPECUARIA DEL NORTE DE SANTANDER LTDA.</t>
  </si>
  <si>
    <t>TRANSPORTES ALIADOS Y CIA. LTDA.</t>
  </si>
  <si>
    <t>TRANSPORTES ITALO S. A.</t>
  </si>
  <si>
    <t>TRANSPORTES DEL NORTE S.A.</t>
  </si>
  <si>
    <t>TRANSERVICIOS LTDA.</t>
  </si>
  <si>
    <t>COOPERATIVA DE TRANSPORTES DEL SARARE LTDA.</t>
  </si>
  <si>
    <t>TRANSPORTES SAN SEBASTIAN E.U.</t>
  </si>
  <si>
    <t>COOPERATIVA MULTIACTIVA TRANSPORTADORA DE MATERIALES CUNA DE LA LIBERTA</t>
  </si>
  <si>
    <t>TRANSPORTES VILLA DEL ROSARIO S.A.</t>
  </si>
  <si>
    <t>MORENO &amp; GALVIS TRANSPORTES Y CARGA LTDA</t>
  </si>
  <si>
    <t>COOPERATIVA MULTIACTIVA DE TRANSPORTADORES DE CARBON Y SIMILARES DE NOR</t>
  </si>
  <si>
    <t>COOPERATIVA DE TRANSPORTADORES DE TAME LTDA</t>
  </si>
  <si>
    <t>COOPERATIVA DE TRANSPORTADORES TASAJERO LTDA.</t>
  </si>
  <si>
    <t>MACROCARG LTDA.</t>
  </si>
  <si>
    <t>TRANSPORTE ROMAR INTERNACIONAL LTDA</t>
  </si>
  <si>
    <t>SOCIEDAD LAMKARGA S.A.S</t>
  </si>
  <si>
    <t>M &amp; A SERVICE LTDA</t>
  </si>
  <si>
    <t>COOPERATIVA DE MICROBUSES LTDA.</t>
  </si>
  <si>
    <t>RADIO TAX ARAUCA LTDA.</t>
  </si>
  <si>
    <t>TRANSPORTES LINCE LTDA.</t>
  </si>
  <si>
    <t>TRANSMOVILIZAR CARGA S.A.S</t>
  </si>
  <si>
    <t>TRANSPORTES OKENDO S.A.S.</t>
  </si>
  <si>
    <t>T.U.R COLOMBIA LIMITED S.A.S.</t>
  </si>
  <si>
    <t>MOGOLLON S.A.S.- OPERADOR LOGISTICO DE CARGA</t>
  </si>
  <si>
    <t>TRANSPORTE INTERNACIONAL ANDINA DE NACIONES S.A.S.</t>
  </si>
  <si>
    <t>TRANSCOMIN S.A.S</t>
  </si>
  <si>
    <t>TRANSPORTE BRICEÑO LOPEZ S.A.S</t>
  </si>
  <si>
    <t>TRANSPORTE AUTOPLANETA S.A.S</t>
  </si>
  <si>
    <t>TEAM LOGISTICA &amp; TRANSPORTE S.A.</t>
  </si>
  <si>
    <t>LOGISTCARGA S.A.S</t>
  </si>
  <si>
    <t>MENDOZA TRANSPORTES Y SERVICIOS</t>
  </si>
  <si>
    <t>SERVICIOS TRANSANDINOS S.A.S.</t>
  </si>
  <si>
    <t>LOGISTICA - IZAJE TRANSPORTE - PIEDEMONT S.AS</t>
  </si>
  <si>
    <t>TRANSPORTES LOGISITICOS DE CARGA NACIONAL SAS</t>
  </si>
  <si>
    <t>TRANSPORTES OLIVARES S.A.S.</t>
  </si>
  <si>
    <t>TRANSPORTADORES DE NORTE DE SANTANDER S.A.S.</t>
  </si>
  <si>
    <t>TRANSPORTES Y SERVICIOS ASOTRANSCARGA S.A.S</t>
  </si>
  <si>
    <t>TRANSPORTE E INVERSIONES CEPEDA TRIANA EN COLOMBIA S.A.S.</t>
  </si>
  <si>
    <t>D&amp;D TRANSPORTES &amp; SERVICIOS S.A.S.</t>
  </si>
  <si>
    <t>CAPITOUR TRANSPORTE ESPECIAL S.A.S.</t>
  </si>
  <si>
    <t>CARGO AMERICAN EXPRESS S.A.S</t>
  </si>
  <si>
    <t>E CONTANIER S.A S</t>
  </si>
  <si>
    <t>INVERSIONES TRACTO TAME S.A.S</t>
  </si>
  <si>
    <t>NOVASA LOGISTIC S..A.S</t>
  </si>
  <si>
    <t>TRANSPORTES Y MUDANZAS LA SERRANÍA S.A.S</t>
  </si>
  <si>
    <t>PARCAT SEUS TIBU S.A.S</t>
  </si>
  <si>
    <t>EXPRESO BARI S.A.S</t>
  </si>
  <si>
    <t>LANDCARGO S.A.S</t>
  </si>
  <si>
    <t>BETHEL GRUAS Y MONTAJES S.A.S</t>
  </si>
  <si>
    <t>TRANSCRANES COLOMBIA S.A.S.</t>
  </si>
  <si>
    <t>LOGISTICA DE TRANSPORTE CARGOEX S.A.S</t>
  </si>
  <si>
    <t>ALIADOS ESTRATEGICOS EN TRANSPORTES Y SERVICIOS DEL LLANO S.A.S</t>
  </si>
  <si>
    <t>TRANSPORTES DE CARGA BELTRAN S.A.S.</t>
  </si>
  <si>
    <t>INVERSIONES KZAJO S.A.S.</t>
  </si>
  <si>
    <t>TRANSPORTE CARVAJAL INTERNACIONAL S.A.S</t>
  </si>
  <si>
    <t>TRANSPORTE JF S.A.S.</t>
  </si>
  <si>
    <t>TRANSPORTAR CARGA S.A.S.</t>
  </si>
  <si>
    <t>AVANZANDO LOGISTICA Y TRANSPORTE ESPECIAL S.A.S.</t>
  </si>
  <si>
    <t>TRANSPORTADORES ALIADOS DEL DEPARTAMENTO DE ARAUCA S.A.S.</t>
  </si>
  <si>
    <t>TRANSPORTES Y SERVICIOS INTEGRALES DE COLOMBIA S.A.S.,</t>
  </si>
  <si>
    <t>TRANSEXPRESS HM S.A.S.</t>
  </si>
  <si>
    <t>TRASLADOS Y LOGISTICA TRANSPORTE S.A.S.,</t>
  </si>
  <si>
    <t>QUALITY TRANSPORTES S.A.S.,</t>
  </si>
  <si>
    <t>TRANSPORTES ROPERO S.A.S.</t>
  </si>
  <si>
    <t>RTT TRANSPORTE Y LOGISTICA S.A.S.</t>
  </si>
  <si>
    <t>TRANSLOGISTIC SAN MIGUEL S.A.S.</t>
  </si>
  <si>
    <t>LOGISTICA SUMITRANS S.A.S.</t>
  </si>
  <si>
    <t>COOPERATIVA MULTIACTIVA DE APORTE Y CREDITO COOGUASIMALE</t>
  </si>
  <si>
    <t>INMOBILIARIAY TRANSPORTE ATRIUM S.A.S.</t>
  </si>
  <si>
    <t>ENVIOS INTERNACIONALES S.A.S.</t>
  </si>
  <si>
    <t>LOGISTICAS TM S.A.S.</t>
  </si>
  <si>
    <t>TRANSPORTES Y LOGISTICA MULTINACIONAL S.A.S</t>
  </si>
  <si>
    <t>TRANSPORTES FRIGOTRUCK S.A.S.</t>
  </si>
  <si>
    <t>FACTORING AGROINDUSTRIAL S.A.S</t>
  </si>
  <si>
    <t>TRANSPORTES LA LEYENDA S.A.S</t>
  </si>
  <si>
    <t>INVERSIONES 3 POT S.A.S</t>
  </si>
  <si>
    <t>TRANSPORTE INTEGRAL NOR ORIENTE S.A.S. ZOMAC</t>
  </si>
  <si>
    <t>MULTISERVICIOS SD S.A.S.</t>
  </si>
  <si>
    <t>MARQUESA EXPRESS S.A.S</t>
  </si>
  <si>
    <t>LOGISTICA &amp; TRANSPORTE CASTELLANOS CANO S.A.S</t>
  </si>
  <si>
    <t>LOGISTICA INTEGRAL PORTUARIA CARGO S.A.S</t>
  </si>
  <si>
    <t>TRANSPORTE J&amp;R S.A.S.</t>
  </si>
  <si>
    <t>TRANSFRIO FLOREZ S.A.S.</t>
  </si>
  <si>
    <t>COOPERATIVA TRANSPORTADORA DE ARAUCA COOTRANSAR LTDA</t>
  </si>
  <si>
    <t>FLEXCARGA S.A.S.</t>
  </si>
  <si>
    <t>CENTROENVIOS SERVICORREOS S.A.S</t>
  </si>
  <si>
    <t>SOLUCIONES EMPRESARIALES SERYM S.A.S.</t>
  </si>
  <si>
    <t>TODOTERRENO S.A.S - ZOMAC</t>
  </si>
  <si>
    <t>TRANSPORTES A TIEMPO EXPRESS S.A.S</t>
  </si>
  <si>
    <t>TRANSPORTES HERMANOS MT S.A.S</t>
  </si>
  <si>
    <t>MEGATRANSPORTE R&amp;P S.A.S</t>
  </si>
  <si>
    <t>TRANSCARGA 7/24 S.A.S</t>
  </si>
  <si>
    <t>RIO DE ORO S.A.S. ZOMAC</t>
  </si>
  <si>
    <t>JDF TRANSPORTE S.A.S</t>
  </si>
  <si>
    <t>TRANSPORTES C&amp;E S.A.S</t>
  </si>
  <si>
    <t>GRUPO EKC S.A.S</t>
  </si>
  <si>
    <t>TRANSPORTES ORBEL S.A.S</t>
  </si>
  <si>
    <t>TRANS CONCORD TRAVEL S.A.S</t>
  </si>
  <si>
    <t>TRANSPORTE DE CARGA CYO S.A.S</t>
  </si>
  <si>
    <t>LIFTI CARGO S.A.S</t>
  </si>
  <si>
    <t>SURTICERVEZAS PACHECO S.A.S</t>
  </si>
  <si>
    <t>MIPCE MANTENIMIENTO INDUSTRIAL PETROLERO LTDA</t>
  </si>
  <si>
    <t>SBR LOGISTICS S.A.S</t>
  </si>
  <si>
    <t>QUINDIO</t>
  </si>
  <si>
    <t>TRANSPORTES DEL QUINDIO S.A.</t>
  </si>
  <si>
    <t>COOPERATIVA DE MOTORISTAS DE QUIMBAYA LTDA.</t>
  </si>
  <si>
    <t>COOPERATIVA QUINDIANA DE TRANSPORTES LTDA.</t>
  </si>
  <si>
    <t>TRANSCARTER S.A.S</t>
  </si>
  <si>
    <t>TRANSARMENIA CARGA S.A. DE FAMILIA</t>
  </si>
  <si>
    <t>FINALTAX MOTORS FINALCARGA LTDA.</t>
  </si>
  <si>
    <t>CRONOENTREGAS LTDA</t>
  </si>
  <si>
    <t>TRANSARAMA S.A.S.</t>
  </si>
  <si>
    <t>TRANSPORTE Y LOGISTICA OSPINA CAMIONES S.A.S</t>
  </si>
  <si>
    <t>TRANSPORTES ESPECIALES VIP S.A.S.</t>
  </si>
  <si>
    <t>TRANSPORTE LOGISTICO MULTIMODAL DE CARGA ORIOS S.A.S</t>
  </si>
  <si>
    <t>LOS CHOCHES DEL CAFE S.A.S</t>
  </si>
  <si>
    <t>TRANSPORTE Y MUDANZAS LA CIMA S.A.S.</t>
  </si>
  <si>
    <t>TRANSPORTES D.M S.A.S</t>
  </si>
  <si>
    <t>RISARALDA</t>
  </si>
  <si>
    <t>COOPERATIVA DE TRANSPORTADORES DEL RISARALDA LTDA.</t>
  </si>
  <si>
    <t>TRANSPORTES RAGRI S.A.</t>
  </si>
  <si>
    <t>COMPAÑÍA COLOMBIANA DE TRANSPORTES S.A. COLDETRANS S.A.</t>
  </si>
  <si>
    <t>TRANSPAPEL S.A.S</t>
  </si>
  <si>
    <t>TRANSPORTES MUÑOZ LTDA.</t>
  </si>
  <si>
    <t>PEREIRANA DE TRANSPORTES SAS</t>
  </si>
  <si>
    <t>INTERANDINA DE CARGA S.A.</t>
  </si>
  <si>
    <t>TRANSPORTES TERRESTRES DEL RISARALDA SAS. TRANSRIS</t>
  </si>
  <si>
    <t>TG LOGÍSTICA S.A.</t>
  </si>
  <si>
    <t>COOPERATIVA DE TRANSPORTES INTEGRADOS</t>
  </si>
  <si>
    <t>TRANSPORTE REFRIGERADO R.L.</t>
  </si>
  <si>
    <t>UNIÓN INDUSTRIAL Y COMERCIAL DE CARGA UNICARGA LTDA.</t>
  </si>
  <si>
    <t>TRANSPORTES ALIANCE SAS</t>
  </si>
  <si>
    <t>REDEFRÍO S.A.S.</t>
  </si>
  <si>
    <t>MONAR S.A.</t>
  </si>
  <si>
    <t>TRANSPORTES CAMI S.A.</t>
  </si>
  <si>
    <t>COOPERATIVA DE TRANSPORTADORES DE BELÉN DE UMBRÍA LTDA</t>
  </si>
  <si>
    <t>GRÚAS PEREIRA S.A.S.</t>
  </si>
  <si>
    <t>SERVIAGRÍCOLA DE COLOMBIA S.A.S</t>
  </si>
  <si>
    <t>TRANSPORTES ESPECIALES DEL OTÚN SAS</t>
  </si>
  <si>
    <t>OPERADOR DE PLATAFORMA LOGÍSTICA DE TRANSPORTE INTERMODAL Y AFINES S.A.S</t>
  </si>
  <si>
    <t>INMERCO SA</t>
  </si>
  <si>
    <t>TRANSPORTES CHICUÉ GÓMEZ S.A.S</t>
  </si>
  <si>
    <t>INDUSTRIA TRANSPORTADORA CARDONA SAS - INTRANSCAR SAS -</t>
  </si>
  <si>
    <t>MOVITRAM S.A.S.</t>
  </si>
  <si>
    <t>TRANSPORTADORES UNIDOS S.A.</t>
  </si>
  <si>
    <t>INVERGLOBAL TEAM S.A.S</t>
  </si>
  <si>
    <t>LOGICER S.A.S.</t>
  </si>
  <si>
    <t>A TIEMPO CARGO LOGÍSTICA S.A.S</t>
  </si>
  <si>
    <t>ZIDCAR S.A.S.</t>
  </si>
  <si>
    <t>TRANSPORTE DE CARGA ECR S.A.S</t>
  </si>
  <si>
    <t>MOVITRAM GRÚAS S.A.S.</t>
  </si>
  <si>
    <t>ARENAS DE OCCIDENTE S.A.S.</t>
  </si>
  <si>
    <t>DLR LOGÍSTICA S.A.S</t>
  </si>
  <si>
    <t>AMGL TRANSPORTE INTERNACIONAL SAS</t>
  </si>
  <si>
    <t>TRANDECOL S.A.S</t>
  </si>
  <si>
    <t>AAA CARGA Y TRANSPORTES SAS</t>
  </si>
  <si>
    <t>INVERSIONES TELOS SAS</t>
  </si>
  <si>
    <t>TRUVEL SA</t>
  </si>
  <si>
    <t>TRANSPORTE DE CARGA COPA S.A.S.</t>
  </si>
  <si>
    <t>GNL GREEN NETWORK LOGISTICS SAS</t>
  </si>
  <si>
    <t>MÁS FRÍO LOGÍSTICA Y TRANSPORTE S.A.S</t>
  </si>
  <si>
    <t>LOGÍSTICA Y TRANSPORTE GH GLOBAL S.A.S.</t>
  </si>
  <si>
    <t>TRANSPORTES GRAJALES GRAJALES S.A.S.</t>
  </si>
  <si>
    <t>TRANSPORTES REFRIGERADOS JP S.A.S.</t>
  </si>
  <si>
    <t>ALMACAFÉ CARGO S.A.S</t>
  </si>
  <si>
    <t>ICE ESPECIAL LOGISTICA J&amp;A S.A.S.</t>
  </si>
  <si>
    <t>GRUPO D4 SAS</t>
  </si>
  <si>
    <t>SANTANDER</t>
  </si>
  <si>
    <t>FRIMAC S.A.</t>
  </si>
  <si>
    <t>COOPERATIVA SANTANDEREANA DE TRANSPORTADORES LTDA</t>
  </si>
  <si>
    <t>TRANSPORTADORA DE GANADO SUAREZ &amp; CIA LTDA.</t>
  </si>
  <si>
    <t>COOPERATIVA DE TRANSPORTADORES SANTANDEREANOS LTDA.</t>
  </si>
  <si>
    <t>SANTAMARIA TRASTEOS S.A.S</t>
  </si>
  <si>
    <t>TRANSTECOL S.A.S.</t>
  </si>
  <si>
    <t>COOPERATIVA DE TRANSPORTADORES DEL SARAVITA LTDA. -COOTRASARAVITA LTDA</t>
  </si>
  <si>
    <t>INVERSIONES Y SERVICIOS DE COLOMBIA S.A</t>
  </si>
  <si>
    <t>TRANSPORTES TERRESTRES DE CARGA LTDA</t>
  </si>
  <si>
    <t>PROVEEDORA DE CARGA S. A.</t>
  </si>
  <si>
    <t>ORIENTAL DE TRANSPORTES S.A.</t>
  </si>
  <si>
    <t>COOPERATIVA DE TRANSPORTADORES DEL SUR</t>
  </si>
  <si>
    <t>COOPERATIVA MULTIACTIVA Y DE TRANSPORTE DE SANTANDER - CETER</t>
  </si>
  <si>
    <t>COOPERATIVA DE TRANSPORTADORES JORTURBAY</t>
  </si>
  <si>
    <t>TRANSPORTES SANTANDER S.A.</t>
  </si>
  <si>
    <t>COOPERATIVA DE TRANSPORTADORES RICAURTE LTDA</t>
  </si>
  <si>
    <t>COOPERATIVA DE TRANSPORTADORES DEL MEDIO MAGDALENA LTDA</t>
  </si>
  <si>
    <t>COOPERATIVA DE TRANSPORTADORES DE SAN GIL LTDA.</t>
  </si>
  <si>
    <t>CARGAMOS LTDA</t>
  </si>
  <si>
    <t>COVOLCO COOPERATIVA DE TRANSPORTADORES DE VOLQUETAS, TANQUES Y CARGA</t>
  </si>
  <si>
    <t>ANDINA INTERNACIONAL DE TANQUES LTDA</t>
  </si>
  <si>
    <t>EMPRESA VILLA DE SAN CARLOS S.A</t>
  </si>
  <si>
    <t>TRANSPORTES CALDERON S.A.</t>
  </si>
  <si>
    <t>COOPERATIVA DE TRANSPORTADORES COTRANS</t>
  </si>
  <si>
    <t>COOPERATIVA MULTIACTIVA DE TAXISTAS Y TRANSPORTADORES UNIDOS LTDA</t>
  </si>
  <si>
    <t>ARDILA GOMEZ TRANSPORTES Y REPRESENTACIONES LTDA.</t>
  </si>
  <si>
    <t>TRANSPORTE EN INOXIDABLE LIQUIDOS DE COLOMBIA LTDA</t>
  </si>
  <si>
    <t>COMPAÑIA TRANSPORTADORA DEL ORIENTE LTDA</t>
  </si>
  <si>
    <t>TRANSPORTADORES UNIDOS DE LOS ANDES S.A.</t>
  </si>
  <si>
    <t>TRANSPORTES LA FLECHA S.A.S</t>
  </si>
  <si>
    <t>TRANSPORTES BARCENAS LTDA.</t>
  </si>
  <si>
    <t>TRANSPORTES ANDINA DE TANQUES LTDA</t>
  </si>
  <si>
    <t>TRACTOCAR DE COLOMBIA Y CIA. LTDA</t>
  </si>
  <si>
    <t>TRANSPORTES HERRERA Y COMPAÑIA LTDA</t>
  </si>
  <si>
    <t>TRANSPORTADORA DE GANADO SANTANDER</t>
  </si>
  <si>
    <t>MIXER S.A.S</t>
  </si>
  <si>
    <t>TRANSPORTADORA TRAVEL LTDA</t>
  </si>
  <si>
    <t>TRANSPORTES LIQUIDOS DE COLOMBIA T. L. C. S.A.</t>
  </si>
  <si>
    <t>TRANSPORTES JAIME BUENDIA SAS.</t>
  </si>
  <si>
    <t>INSUMOS SERVICIOS Y TRANSPORTES LTDA</t>
  </si>
  <si>
    <t>TRANSPORTES PIEDECUESTA S.A.</t>
  </si>
  <si>
    <t>TRANSPORTES MG LTDA</t>
  </si>
  <si>
    <t>TRANSPORTES DE COLOMBIA LTDA</t>
  </si>
  <si>
    <t>OPERADORES LOGISTICOS DE CARGA S.A.</t>
  </si>
  <si>
    <t>TRANSPORTE INTERNACIONAL TRANSAMERICAN S.A.S</t>
  </si>
  <si>
    <t>TRANSPORTADORA NACIONAL DE COLOMBIA COMPAÑIA LTDA</t>
  </si>
  <si>
    <t>TRANSPORTES CAMFRI S.A.</t>
  </si>
  <si>
    <t>TRANSPORTE MULTIMODAL DE CARGA MULTICARGO S.A.</t>
  </si>
  <si>
    <t>TRANSPORTES SERVIFRIO S.A.</t>
  </si>
  <si>
    <t>COOPERATIVA NACIONAL DE TRANSPORTADORES DE CARGA TRANSPORTES RHINO</t>
  </si>
  <si>
    <t>POLO CONSTRUCCIONES SAS</t>
  </si>
  <si>
    <t>AUTOTANQUES DE COLOMBIA S.A.S</t>
  </si>
  <si>
    <t>TRANSPORTADORA COLOMBIANA DE CARBON SAS</t>
  </si>
  <si>
    <t>TRANSPORTES ESPECIALES J.M.G. S.A.</t>
  </si>
  <si>
    <t>TRANSPORTES ICONOIL S.A.S.</t>
  </si>
  <si>
    <t>TRANSPORTES LOGISTICO MULTIMODAL S.A.S.</t>
  </si>
  <si>
    <t>TRANSPORTES INTEGRALES DEL ORIENTE S.A.S.</t>
  </si>
  <si>
    <t>EASY TRANS LOGISTICA S.A.S</t>
  </si>
  <si>
    <t>TRANSPORTES A.V.V. S.A.S.</t>
  </si>
  <si>
    <t>GLOBAL SUPPORT GROUP S.A.</t>
  </si>
  <si>
    <t>LOGISTICA DE SANTANDER LTDA.</t>
  </si>
  <si>
    <t>TRANSPORTES CARLOS A. RAMOS S.A.S.</t>
  </si>
  <si>
    <t>TRANSMAQ S.A.S.</t>
  </si>
  <si>
    <t>TRANSPORTE Y SUMINISTROS LOS YARIGUIES S.A.S</t>
  </si>
  <si>
    <t>HB SOLUCIONES LOGISTICAS S.A.S.</t>
  </si>
  <si>
    <t>R.D. TRANSPORTES S.A.S.</t>
  </si>
  <si>
    <t>EMPRESA DE TRANSPORTE Y SUMINISTROS LTDA.</t>
  </si>
  <si>
    <t>COMPAÑIA TRANSPORTADORA DE COLOMBIA S.A.S - COTRANSCOL S.A.S</t>
  </si>
  <si>
    <t>TECNOLOGIA Y TRANSPORTES S.A.S.</t>
  </si>
  <si>
    <t>CONSULTORES PROFESIONALES ASOCIADOS LTDA.</t>
  </si>
  <si>
    <t>EMPRESA CONEXOS LOGISTICA S.A.S.</t>
  </si>
  <si>
    <t>TRANSPORTE BUMANGUESA DE CARGA S.A.S.</t>
  </si>
  <si>
    <t>COMPAÑIA PROMOTORA DE TRANSPORTE S.A.S.</t>
  </si>
  <si>
    <t>LINEAS UNIDAS DE TRANSPORTE SOCIEDAD POR ACCIONES SIMPLIFICADA</t>
  </si>
  <si>
    <t>INVERSIONES Y TRANSPORTES DE COLOMBIA S.A.S.</t>
  </si>
  <si>
    <t>TRANSPORTES LA COROCORA S.A.S.</t>
  </si>
  <si>
    <t>EMPRESA DE TRANSPORTES GIRON S.A.TRANSGIRON</t>
  </si>
  <si>
    <t>EMPRESA TRANSPORTES RIO GRANDE S.A.S.</t>
  </si>
  <si>
    <t>TRANSPORTES REYCEL LTDA.</t>
  </si>
  <si>
    <t>COTRASCAL S.A.S.</t>
  </si>
  <si>
    <t>TAXIS DEL SUR S.A. - TAXSUR S.A.</t>
  </si>
  <si>
    <t>TRANSPORTES PURIFIC S.A.S.</t>
  </si>
  <si>
    <t>ASOCIACION DE VOLQUETEROS DE SABANA DE TORRES</t>
  </si>
  <si>
    <t>TRANSPORTES CIUDAD BONITA S.A.</t>
  </si>
  <si>
    <t>GRUAS Y EQUIPOS INDUSTRIALES S.A.S.</t>
  </si>
  <si>
    <t>INVERSIONES EL SARAVITA S.A.S.</t>
  </si>
  <si>
    <t>TRANSPORTES OLEAGINOSOS DE SANTANDER S.A.S.</t>
  </si>
  <si>
    <t>SERVIMINEROS S.A.S.</t>
  </si>
  <si>
    <t>NIVCAL S.A.S</t>
  </si>
  <si>
    <t>CONSTRUCCIONES Y SERVICIOS HERMAQUINAS LTDA.</t>
  </si>
  <si>
    <t>E.L.C. ENLACE LOGISTICO DE CARGA S.A.S.</t>
  </si>
  <si>
    <t>TRANSPORTES DE CARGA FLOREZ S.A.S. TCF S.A.S</t>
  </si>
  <si>
    <t>MOVILCARGO S.A.S.</t>
  </si>
  <si>
    <t>TRANSPORTE &amp; LOGISTICA ARENAS SOCIEDAD POR ACCIONES SIMPLIFICADA</t>
  </si>
  <si>
    <t>LOS SOCIOS DEL LLANITO S.A.S</t>
  </si>
  <si>
    <t>TRANSPORTE Y LOGISTICA LA RUTA DEL SOL S.A.S</t>
  </si>
  <si>
    <t>MANSEL S.A.S.</t>
  </si>
  <si>
    <t>COTRASABANA LTDA</t>
  </si>
  <si>
    <t>TRANSPORTES EXPRECAR SAS</t>
  </si>
  <si>
    <t>GVT S.A.S.</t>
  </si>
  <si>
    <t>INTERSUPPLY CORP S.A.S.</t>
  </si>
  <si>
    <t>ENCARGA LOGISTICA S.A.S</t>
  </si>
  <si>
    <t>EMPRESA COLOMBIANA DE TRANSPORTES ECOTRANSPORTES S.A.S.</t>
  </si>
  <si>
    <t>TS LINCE S.A.S.</t>
  </si>
  <si>
    <t>AFAL MULTISERVICIOS SAS</t>
  </si>
  <si>
    <t>EDS GALVIS Y JAIMES S.A.S</t>
  </si>
  <si>
    <t>TRANSPORTES LOGISTICOS DE CARGA NACIONAL S.A.S.</t>
  </si>
  <si>
    <t>TRANSPORTES PETROWIL S.A.S</t>
  </si>
  <si>
    <t>RUNBOX SAS</t>
  </si>
  <si>
    <t>COOPERATIVA DE VOLQUETEROS DEL MAGDALENA MEDIO</t>
  </si>
  <si>
    <t>COOPERATIVA MULTIACTIVA DE SERVICIOS Y SUMINISTROS</t>
  </si>
  <si>
    <t>MONTAJES TRANSPORTE E INGENIERIA MTI SAS</t>
  </si>
  <si>
    <t>MOVILPETROL SAS</t>
  </si>
  <si>
    <t>ALBEDO SAS ESP</t>
  </si>
  <si>
    <t>ASOCIACION DE TRANSPORTADORES DE SABANA DE TORRES</t>
  </si>
  <si>
    <t>TRANSAGREGADOS LEON ASOCIADOS S.A.S.</t>
  </si>
  <si>
    <t>PRACARGO SERVICES S.A.S.</t>
  </si>
  <si>
    <t>LLANITO PUNTUAL S.A.S.</t>
  </si>
  <si>
    <t>TRANSPORTES TDM S.A.S</t>
  </si>
  <si>
    <t>INVERTIMOS HB S.A.S</t>
  </si>
  <si>
    <t>TRANSMAQUIPETROL S.A.S.</t>
  </si>
  <si>
    <t>DIANA MARIA CARREÑO SALAS - MULTISERVICIOS TIC</t>
  </si>
  <si>
    <t>LOGISTICA DE ENTREGAS Y DISTRIBUCION NACIONAL S.A.S</t>
  </si>
  <si>
    <t>CONSTRUCCIONES Y TRANSPORTES PUERTA DEL SOL S.A.S.- COTRANSSOL</t>
  </si>
  <si>
    <t>TRANSPORTES Y MATERIALES JR S.A.S.</t>
  </si>
  <si>
    <t>SOLSERVIS TRANSPORTES SAS</t>
  </si>
  <si>
    <t>TRANSPORTE DE CARGA DEL CESAR S.A.S</t>
  </si>
  <si>
    <t>TRANSPORTADORA LOGISTICA INTEGRAL-ILCON SAS</t>
  </si>
  <si>
    <t>ASOCIACION DE VOLQUETEROS DE PUERTO WILCHES - ASOVOL</t>
  </si>
  <si>
    <t>COOPERATIVA DE CHOFERES DE BARRANCABERMEJA</t>
  </si>
  <si>
    <t>M.T.M. S.A.S.</t>
  </si>
  <si>
    <t>TRANSPORTES ESTURCOL S.A.S.</t>
  </si>
  <si>
    <t>TRANSPORTE S.G. S.AS</t>
  </si>
  <si>
    <t>74 D</t>
  </si>
  <si>
    <t>ADEMIR GUTIERREZ SUMINISTROS Y MONTAJES S.A.S.</t>
  </si>
  <si>
    <t>PETRO STAR SERVICES DE COLOMBIA SAS</t>
  </si>
  <si>
    <t>TRANSPORTES Y SERVICIOS PETROLEROS SAN SEBASTIAN S.A.S.</t>
  </si>
  <si>
    <t>GRUPO TRANSDELTA S.A.S.</t>
  </si>
  <si>
    <t>AOG TRANSPORTES S.A.S</t>
  </si>
  <si>
    <t>TRANSPORTES &amp; SERVICIOS ATCAR S.A.S.</t>
  </si>
  <si>
    <t>EMPRESA DE TRANSPORTES LEBRIJA LTDA</t>
  </si>
  <si>
    <t>ASOCIACION COLOMBIANA DE TRANSPORTE Y LOGISTICA ASOTRANSLOG</t>
  </si>
  <si>
    <t>TRANSFANALI S.A.S</t>
  </si>
  <si>
    <t>TRANSPORTE MULTIMODAL TMS CARGO S.A.S.</t>
  </si>
  <si>
    <t>CARGO EXPRESS COLOMBIA SAS</t>
  </si>
  <si>
    <t>PREVESA S.A.S</t>
  </si>
  <si>
    <t>A&amp;C LTDA</t>
  </si>
  <si>
    <t>NAD INGENIERIA S.A.S</t>
  </si>
  <si>
    <t>D INGENIERIA LTDA</t>
  </si>
  <si>
    <t>TRASAMER S.A.S</t>
  </si>
  <si>
    <t>OPERADOR LOGISTICO MORALAR SAS - TRANSMORALAR SAS</t>
  </si>
  <si>
    <t>FRIOTRANS COLOMBIA S.A.S</t>
  </si>
  <si>
    <t>INTERNACIONAL DE TRANSPORTE Y LOGISTICA I.T.L. SAS</t>
  </si>
  <si>
    <t>CONCRETART LOGISTICA DE TRANSPORTE S.A.S</t>
  </si>
  <si>
    <t>ISTRACOL S.A.S</t>
  </si>
  <si>
    <t>TKARGO S.A.S</t>
  </si>
  <si>
    <t>HUMALA INVERSIONES S.A.S</t>
  </si>
  <si>
    <t>GRANCARGO S.A.S</t>
  </si>
  <si>
    <t>LOGISTICA MULTIMODAL ESPECIALIZADA LME S.A.S</t>
  </si>
  <si>
    <t>TRANSPORTES CHICAMOCHA S.A.S.</t>
  </si>
  <si>
    <t>COMPAÑIA TRANSPORTADORA NACIONAL DEL ORIENTE S.A.S</t>
  </si>
  <si>
    <t>GRUPO ARTE S.A.S</t>
  </si>
  <si>
    <t>B &amp; J TRANSPORTES Y SUMINISTROS SAS</t>
  </si>
  <si>
    <t>SUMINISTROS Y LOGISTICA R.J .PIBA</t>
  </si>
  <si>
    <t>GASMOVIL LTDA</t>
  </si>
  <si>
    <t>TRANSCASTAÑEDA LTDA</t>
  </si>
  <si>
    <t>SERVICIOS INTEGRALES GIHEAR S.A.S</t>
  </si>
  <si>
    <t>TRANSPORTE Y LOGISTICA DE CARGA INTERNACIONAL COMPAÑIA SAS</t>
  </si>
  <si>
    <t>AZUTRANS S.A.S</t>
  </si>
  <si>
    <t>COOPERATIVA DE SERVICIOS PETROLEROS J.S. LTDA.</t>
  </si>
  <si>
    <t>MONTAJES TPM S.A.S.</t>
  </si>
  <si>
    <t>TRANSPORTES Y SUMINISTROS TORRES S.A.S</t>
  </si>
  <si>
    <t>ALPA CONSTRUCCIONES LIMITADA</t>
  </si>
  <si>
    <t>TRANSCARNES S.A.S</t>
  </si>
  <si>
    <t>SUMINISTROS Y SERVICIOS BETEL S.A.S.</t>
  </si>
  <si>
    <t>SERVICIOS Y SUMINISTROS M.&amp;.M</t>
  </si>
  <si>
    <t>MI AGUILA TRANSPORTES S.A.S</t>
  </si>
  <si>
    <t>TRANSPORTES ECOWIL S.A.S.</t>
  </si>
  <si>
    <t>MULTIENTREGAS AL INSTANTE S.A.S</t>
  </si>
  <si>
    <t>TRANSPORTES MORENO TAVERA S.A.S. TRANSMT S.A.S</t>
  </si>
  <si>
    <t>DURAN &amp; FLOREZ INGENIERIA SAS-D&amp;F INGENIERIA S.A.S.</t>
  </si>
  <si>
    <t>SOLUCIONES EN IMPORTACIONES EXPORTACIONES Y TRANSPORTE - SIETTRA S.A.S.</t>
  </si>
  <si>
    <t>TRANSPORTES INFANTAS S.A.S.</t>
  </si>
  <si>
    <t>COMERCIALIZADORA INTEGRAL DE CARGA S.A.S.</t>
  </si>
  <si>
    <t>MULTISERVICIOS LINCEN S.A.S</t>
  </si>
  <si>
    <t>CONSULTORIAS CONSTRUCCIONES INGENIERIAS Y MANTENIMIENTO DE OLEODUCTOS</t>
  </si>
  <si>
    <t>GLP MULTISERVICIOS S.A.S.</t>
  </si>
  <si>
    <t>MAQUINARIA Y EQUIPOS LIZAMA S.A.S - MAQUILIZAMA</t>
  </si>
  <si>
    <t>TRANSPORTE INTEGRADO DE CARGA DEL MAGDALENA MEDIO S.A.S</t>
  </si>
  <si>
    <t>TRANSPORTES BASILOS S.A.S - TRANSBASILOS S.A.S</t>
  </si>
  <si>
    <t>LOGISTICA DE COLOMBIA S.A.S</t>
  </si>
  <si>
    <t>SERVICIOS Y SOLUCIONES LLANITO S.A.S</t>
  </si>
  <si>
    <t>SUMINISPETROL SAS</t>
  </si>
  <si>
    <t>SCR SERVICIOS E INGENIERIA SAS</t>
  </si>
  <si>
    <t>NESTOR QUINTERO CORREA</t>
  </si>
  <si>
    <t>TRANSPORTES MARYED SAS</t>
  </si>
  <si>
    <t>CONFORT EXPRESS SAS</t>
  </si>
  <si>
    <t>GECAN SERVICIOS Y SUMINISTROS S.A.S</t>
  </si>
  <si>
    <t>MULTISERVICIOS INDUSTRIALES LIMITADA</t>
  </si>
  <si>
    <t>TRANSPORTES Y GRUAS RIQUELME S.A.S</t>
  </si>
  <si>
    <t>GRUPO ALIMENTICIO ALBA DEL FONCE SAS</t>
  </si>
  <si>
    <t>LOGISTICA Y TRANSPORTE DE BARRANCABERMEJA SAS</t>
  </si>
  <si>
    <t>MULTIASFALTOS S.A.S</t>
  </si>
  <si>
    <t>J &amp; M LOGISTICA INTEGRAL S.A.S</t>
  </si>
  <si>
    <t>R3 INGENIERIA S.A.S - R3 INGENIERIA S.A.S</t>
  </si>
  <si>
    <t>PROYECTOS Y CONTROLES DE INGENIERIA SAS</t>
  </si>
  <si>
    <t>ASFALTOS ALFA SAS</t>
  </si>
  <si>
    <t>JEREMIAS VESGA INGENIERIA SAS</t>
  </si>
  <si>
    <t>TRANINSPECOL SAS</t>
  </si>
  <si>
    <t>TOLIMA</t>
  </si>
  <si>
    <t>TRANSPORTES CENTROLIMA LTDA.</t>
  </si>
  <si>
    <t>INDUSTRIA DE CARGA GABRIEL ARANGUREN RAMÍREZ LTDA</t>
  </si>
  <si>
    <t>SERVICIO NACIONAL DE TRANSPORTES S.A.S</t>
  </si>
  <si>
    <t>COOPERATIVA DE TRANSPORTADORES VELOTAX LTDA</t>
  </si>
  <si>
    <t>COOPERATIVA MULTIACTIVA TRANSPORTADORES Y USUARIOS DEL SERVICIO INTERMU</t>
  </si>
  <si>
    <t>SISTEMAS DE TRANSPORTES LTDA</t>
  </si>
  <si>
    <t>CONTINENTAL DE TRANSPORTES LIMITADA TRANSCONTINENTAL EN REORGANIZACION</t>
  </si>
  <si>
    <t>COOPERATIVA DE TRANSPORTADORES DE SALDAÑA LTDA.</t>
  </si>
  <si>
    <t>ROJIENTREGAS S.A.S.</t>
  </si>
  <si>
    <t>SOCIEDAD COMERCIAL DE TRANSPORTISTAS DEL TOLIMA LTDA</t>
  </si>
  <si>
    <t>COOPERATIVA DE TRANSPORTADORES DEL SUR DEL TOLIMA LTDA.</t>
  </si>
  <si>
    <t>TRANSPORTES RÁPIDO TOLIMA S.A.</t>
  </si>
  <si>
    <t>TRANSPORTADORA VIATELA S.A</t>
  </si>
  <si>
    <t>TRANSPORTADORA REGIONAL DEL TOLIMA S.A.</t>
  </si>
  <si>
    <t>INVERSIONISTAS DE CARGA S.A.S.</t>
  </si>
  <si>
    <t>COOPERATIVA DE TRANSPORTE LATINCARGA LTDA</t>
  </si>
  <si>
    <t>COMPAÑÍA COMERCIALIZADORA DE INSUMOS DEL TRANSPORTE</t>
  </si>
  <si>
    <t>OPERACIÓN Y LOGÍSTICA</t>
  </si>
  <si>
    <t>TOLIENVIOS LOGÍSTICA S.A.S</t>
  </si>
  <si>
    <t>COMERCIALIZADORA TRANSPORTES Y ALQUILER S.A.S.</t>
  </si>
  <si>
    <t>OHM TRANSPORTADORA S.A.S.</t>
  </si>
  <si>
    <t>L&amp;M TRANSLOGISTICS S.A.S</t>
  </si>
  <si>
    <t>INVERSIONES Y COMMODITIES DE COLOMBIA S.A.S</t>
  </si>
  <si>
    <t>SERVITRANSPORTES Y LOGÍSTICA DE COLOMBIA S.A.S</t>
  </si>
  <si>
    <t>L.P. LOGISTICS S.A.S</t>
  </si>
  <si>
    <t>TRANSPORTES ESPECIALES ROCA S.A.S.</t>
  </si>
  <si>
    <t>SERVICIO PURIFICENSE DE TRANSPORTE DE CARGA "PURICARGA S.A.S"</t>
  </si>
  <si>
    <t>TRIENERGY INC S.A.S</t>
  </si>
  <si>
    <t>TRANSPORTE Y LOGISTICA HEBRAL S.A.S</t>
  </si>
  <si>
    <t>MOVIMIENTOS COLOMBIA MOVICOL S.A.S</t>
  </si>
  <si>
    <t>OPDC INVERSIONES S.A.S</t>
  </si>
  <si>
    <t>VALLE DEL CAUCA</t>
  </si>
  <si>
    <t>TRANSPORTES PACAR LTDA.</t>
  </si>
  <si>
    <t>EMPRESA DE TRANSPORTES TRASTEOS LA CUIDADOSA S.A.S.</t>
  </si>
  <si>
    <t>COOPERATIVA UNIVERSAL DEL TRANSPORTE</t>
  </si>
  <si>
    <t>VICTORIA CARGO TRANSPORTES S.A.S.</t>
  </si>
  <si>
    <t>TRANSPORTES ESPECIALIZADOS RODRIGO TENORIO RIVERA LTDA.</t>
  </si>
  <si>
    <t>TRANSPORTES FREVALLE S.A.S.</t>
  </si>
  <si>
    <t>COMPAÑIA DE TRANSPORTE TERMINALES S.A.</t>
  </si>
  <si>
    <t>TRANSPORTE DE CARGA BASTIDAS S.A.S.</t>
  </si>
  <si>
    <t>TRANSPORTES AL MUNDO S.A.S.</t>
  </si>
  <si>
    <t>TRANSPORTADORA OCCIDENTAL DE CARGA S.A.S.</t>
  </si>
  <si>
    <t>REAL TRANSPORTADORA DE CARGA LTDA</t>
  </si>
  <si>
    <t>TRANSPORTES EXCLUSIVOS DE CARGA S.A.S.</t>
  </si>
  <si>
    <t>COOPERATIVA INTEGRAL DE TRANSPORTE DE CARTAGO LTDA</t>
  </si>
  <si>
    <t>J.J. OROZCO LTDA</t>
  </si>
  <si>
    <t>MALDONADO RAMIREZ Y CIA S. EN C.</t>
  </si>
  <si>
    <t>COOPERATIVA DE TRANSPORTES DEL VALLE</t>
  </si>
  <si>
    <t>PROMOTORA DE TRANSPORTES LTDA</t>
  </si>
  <si>
    <t>TRANSPORTES LA FORTALEZA S.A.S.</t>
  </si>
  <si>
    <t>TRANSPORTES NUEVO OCCIDENTE LTDA.</t>
  </si>
  <si>
    <t>TRANSPORTES ATLAS S.A.S.</t>
  </si>
  <si>
    <t>TRANSPORTES CENTROVALLE SA</t>
  </si>
  <si>
    <t>TRANSPORTES MEJIA S.A.</t>
  </si>
  <si>
    <t>TRANSRÁPIDO RODRÍGUEZ E.U.</t>
  </si>
  <si>
    <t>TRANSCARGA R.G. LTDA</t>
  </si>
  <si>
    <t>COOPERATIVA BUGALAGRANDEÑA DE TRANSPORTES LTDA.</t>
  </si>
  <si>
    <t>TRANSPORTADORA LA PRENSA DEL VALLE LTDA</t>
  </si>
  <si>
    <t>TODO TRANSPORTES COLOMBIA LTDA.</t>
  </si>
  <si>
    <t>THR LOGISTICA S.A.S.</t>
  </si>
  <si>
    <t>TRANSPORTES CARGA EXPRESS LTDA.</t>
  </si>
  <si>
    <t>VAN DE LEUR TRADING S.A.S.</t>
  </si>
  <si>
    <t>COOPERATIVA DE TRANSPORTADORES CIUDAD SEÑORA DE BUGA LTDA.</t>
  </si>
  <si>
    <t>TRANSPORTES ASFALTOS Y CONSTRUCCIONES S.A.S.</t>
  </si>
  <si>
    <t>TRANSPORTADORA LA PAILA Y CIA. LTDA</t>
  </si>
  <si>
    <t>SOCIEDAD INDUSTRIAL Y DE TRANSPORTES HLG LTDA.</t>
  </si>
  <si>
    <t>TRANSCARGO S.A.</t>
  </si>
  <si>
    <t>FERRO S.A.S</t>
  </si>
  <si>
    <t>COOPERATIVA DE TRANSPORTADORES UNIDOS DE PALMIRA LTDA</t>
  </si>
  <si>
    <t>TRANSPORTES ESPECIALES DE COLOMBIA LTDA.</t>
  </si>
  <si>
    <t>RONAL LTDA</t>
  </si>
  <si>
    <t>LA GRAN ANDINA TRANSPORTES LTDA.</t>
  </si>
  <si>
    <t>INTERCOLOMBIANA DE CARGA LTDA</t>
  </si>
  <si>
    <t>EMPRESA DE TRANSPORTES TRASTEOS EL HOGAR S.A.S.</t>
  </si>
  <si>
    <t>TRANSPORTES MAYA LTDA</t>
  </si>
  <si>
    <t>TRANSPORTE DE PRODUCTOS LIQUIDOS S.A.S</t>
  </si>
  <si>
    <t>FERREMOLQUES S.A.</t>
  </si>
  <si>
    <t>AEROENVIOS LTDA.</t>
  </si>
  <si>
    <t>COLOMBIANA DE FRIOCARGA S.A.S</t>
  </si>
  <si>
    <t>MULTIPACK TRANSPORTES LTDA</t>
  </si>
  <si>
    <t>TRANSPORTAMOS CARGA LTDA</t>
  </si>
  <si>
    <t>GAME S.A.S.</t>
  </si>
  <si>
    <t>EXPRESO CARTAGO LTDA.</t>
  </si>
  <si>
    <t>MUDEXITO LTDA</t>
  </si>
  <si>
    <t>TRANSPORTADORA MERCANTIL DEL VALLE LTDA</t>
  </si>
  <si>
    <t>TRANSPORTES GRANELES LTDA.</t>
  </si>
  <si>
    <t>EMPRESA TRANSPORTADORA EL INGENIO S.A.</t>
  </si>
  <si>
    <t>TRANSPORTES OCCAR S.A.S.</t>
  </si>
  <si>
    <t>TRANSPORTES Y MUDANZAS EL TRIUNFO LTDA</t>
  </si>
  <si>
    <t>TRANSPORTADORA DE CARGAS SOBRE RUEDAS S.A.</t>
  </si>
  <si>
    <t>SERVIEXPRESS LTDA.</t>
  </si>
  <si>
    <t>TRANSPORTES CAMIONES Y CAMIONES LTDA</t>
  </si>
  <si>
    <t>LOGISTICA INTERNACIONAL S.A.S.</t>
  </si>
  <si>
    <t>ORGANIZACION LOGISTICA Y CIA. LTDA</t>
  </si>
  <si>
    <t>TRANSMILENIO INTERNACIONAL DE CARGA S.A.</t>
  </si>
  <si>
    <t>LOGISTICA INTEGRAL DE CARGA LTDA</t>
  </si>
  <si>
    <t>C.C.M. INGENIERIA S.A.</t>
  </si>
  <si>
    <t>TRANSPORTES GUIVAL E.U.</t>
  </si>
  <si>
    <t>OPERMAR OPERADORES PORTUARIOS CIA. S.A.S.</t>
  </si>
  <si>
    <t>TRANSPORTES MARTIGONZA LTDA</t>
  </si>
  <si>
    <t>TRANSPORTES FRIO LTDA</t>
  </si>
  <si>
    <t>TRANSCONSUL LTDA</t>
  </si>
  <si>
    <t>TRANSPORTADORA Y COMERCIALIZADORA S.A</t>
  </si>
  <si>
    <t>COOPERATIVA MULTIACTIVA UNIAGRO</t>
  </si>
  <si>
    <t>COOPERATIVA DE TRANSPORTADORES LA ANDINA LTDA</t>
  </si>
  <si>
    <t>MOVITRANS S.A.S</t>
  </si>
  <si>
    <t>TRANSPORTES PORTILLA S.A.S.</t>
  </si>
  <si>
    <t>COOPERATIVA DE TRANSPORTADORES Y CONDUCTORES UNIDA POR COLOMBIA</t>
  </si>
  <si>
    <t>TRANSPORTES LEA S. A. S. (ANTES: TRANSPORTES LUIS EDUARDO ARDILA TORO &amp; CI</t>
  </si>
  <si>
    <t>CAMBIO RAZON SOCIAL</t>
  </si>
  <si>
    <t>AM TRANSPORTADORES CIA. LTDA</t>
  </si>
  <si>
    <t>EMPRESA COLOMBIANA DE TRANSPORTES JE S.A.S</t>
  </si>
  <si>
    <t>DINAMICA LOGISTICA S.A.S.</t>
  </si>
  <si>
    <t>ENTREGAS S.A.S</t>
  </si>
  <si>
    <t>SERVICOMEX LOGISTICA S.A.S.</t>
  </si>
  <si>
    <t>SOCIEDAD CAFETERO EXPRESS S.A.S.</t>
  </si>
  <si>
    <t>BGP CONTAINER &amp; LOGISTICS S.A.</t>
  </si>
  <si>
    <t>PORTAGRANELES LTDA</t>
  </si>
  <si>
    <t>GLOBAL TRANSPORTES LTDA</t>
  </si>
  <si>
    <t>TRANSPORTES COLOMBIA A.R S.A.S</t>
  </si>
  <si>
    <t>HUMBERTO QUINTERO O. Y CIA. S.C.A</t>
  </si>
  <si>
    <t>ARTURO ACEVEDO S.A.S.</t>
  </si>
  <si>
    <t>COMPAÑIA DE CARGUE Y DESCARGUE DE GRANELES LTDA</t>
  </si>
  <si>
    <t>COMPAÑIA DE CARGA Y TRANSPORTE LTDA</t>
  </si>
  <si>
    <t>TRANSPORTE CALI EXPRESO LTDA</t>
  </si>
  <si>
    <t>COOPERATIVA ESPECIALIZADA DE TRANSPORTE Y SERVICIO LA ERMITA LTDA</t>
  </si>
  <si>
    <t>DELTA CARGA COLOMBIA LTDA</t>
  </si>
  <si>
    <t>ADVANCED TRANSPORT S.A.</t>
  </si>
  <si>
    <t>C.I. FUEL SERVICES S.A.</t>
  </si>
  <si>
    <t>DL TRANS LOGÍSTICA Y SERVICIOS S.A.S. - SIGLA: DL TRANS</t>
  </si>
  <si>
    <t>TRANSPORTES ESPECIALES DEL VALLE S.A.</t>
  </si>
  <si>
    <t>TRANSEMCAR P.V. LTDA.</t>
  </si>
  <si>
    <t>B &amp; S INTEGRAL DE CARGA S.A.</t>
  </si>
  <si>
    <t>COLOMBIANA DE TRANSPORTE DE CARGA S.A.S.</t>
  </si>
  <si>
    <t>CAMIONEROS DE COLOMBIA S.A.</t>
  </si>
  <si>
    <t>TRANSPORTE DEL VALLE LTDA.</t>
  </si>
  <si>
    <t>TRANSPORTES ESPECIALES MEJISA S.A.S.</t>
  </si>
  <si>
    <t>TRANSPORTES ALAMEDAS S.A.</t>
  </si>
  <si>
    <t>MEGA TRANSPORTES L Y A NACIONAL SAS</t>
  </si>
  <si>
    <t>MACROSERVICIOS EXPRESS DE COLOMBIA SAS</t>
  </si>
  <si>
    <t>TRANSNACIONAL DE OCCIDENTE S.A.S.</t>
  </si>
  <si>
    <t>COOPERATIVA MULTIACTIVA AL SERVICIO DEL TRANSPORTE, MOVILIDAD Y LOGÍSTICA</t>
  </si>
  <si>
    <t>COOPERATIVA DE TRANSPORTADORES GRIS SAN FERNANDO LTDA.</t>
  </si>
  <si>
    <t>TRANSRECREATIVOS S.A.S.</t>
  </si>
  <si>
    <t>INVERSIONES MARTINEZ R E HIJOS S.A.S.</t>
  </si>
  <si>
    <t>COOPERATIVA DE TRANSPORTADORES DE OCCIDENTE LTDA.</t>
  </si>
  <si>
    <t>TRANSPORTADORA ESPECIALIZADA DE CARGA</t>
  </si>
  <si>
    <t>TRANSPORTES MULTICARP DE COLOMBIA S.A.S.</t>
  </si>
  <si>
    <t>COMPANIA INTEGRAL DE TRANSPORTES S.A.S.</t>
  </si>
  <si>
    <t>COORDINADORA LOGISTICA DE CARGA S.A.S.</t>
  </si>
  <si>
    <t>TRANSPORTE Y SUMINISTRO DE PRODUCTOS PETROLEROS S.A.S.</t>
  </si>
  <si>
    <t>GRUAS TELESCOPICAS DE COLOMBIA S.A.</t>
  </si>
  <si>
    <t>TRANSPORTES INTEGRALES Y EFICIENTES DE COLOMBIA S.A.S.</t>
  </si>
  <si>
    <t>TRANSPORTES ESPECIALES ACAR LTDA.</t>
  </si>
  <si>
    <t>K LOGISTICS S.A.S.</t>
  </si>
  <si>
    <t>GRUAS DE OCCIDENTE S.A.</t>
  </si>
  <si>
    <t>TRANSQUIM S.A.S.</t>
  </si>
  <si>
    <t>TRANSPORTADORA LOGISTICA ORTEGA S.A.S.</t>
  </si>
  <si>
    <t>GRC OCCIDENTAL DE TRANSPORTES S.A.S. (GONZALO RINCON CASTRO OCCIDENTAL</t>
  </si>
  <si>
    <t>OPERADOR LOGISTICO EL CORTIJO S.A.S.</t>
  </si>
  <si>
    <t>TRANSPORTES A.R. S.A.S.</t>
  </si>
  <si>
    <t>LOGISTICA Y TRANSPORTES EL TRIUNFO S.A.S.</t>
  </si>
  <si>
    <t>TAC LOGÍSTICA Y TRANSPORTE S.A.S.</t>
  </si>
  <si>
    <t>OPERADORES &amp; TRANSPORTES DEL PACIFICO S.A.S.</t>
  </si>
  <si>
    <t>ASESORIAS Y SUMINISTROS TAX ORITO S.A.S.</t>
  </si>
  <si>
    <t>S.O.S. LOGISTICA EXPRESS S.A.S.</t>
  </si>
  <si>
    <t>LOGISTICA VEHICULOS DE COLOMBIA S.A.S.</t>
  </si>
  <si>
    <t>ALMACENAMIENTO LOGISTICA Y TRANSPORTE ALT. S.A.S</t>
  </si>
  <si>
    <t>TRANSPORTE Y CARGA NISSI S.A.S.</t>
  </si>
  <si>
    <t>DISTRIBUIDORA SUPER 80 S.A.</t>
  </si>
  <si>
    <t>COOPERATIVA DE TRANSPORTADORES DE CARGA DEL VALLE</t>
  </si>
  <si>
    <t>LOGYSTICS INTERNATIONAL S.A.S.</t>
  </si>
  <si>
    <t>TRANSMINEROS DE COLOMBIA DEL PACIFICO S.A.S.</t>
  </si>
  <si>
    <t>CENTRAL LOGISTICA DE TRANSPORTE FRISON S.A.S.</t>
  </si>
  <si>
    <t>TRANSPORTES OCCIDENTAL S.A.S</t>
  </si>
  <si>
    <t>TRANSPORTES ESPECIALIZADOS DEL NORTE S.A.S.</t>
  </si>
  <si>
    <t>TRANSPORTES ESPECIALES UNO A LIMITADA</t>
  </si>
  <si>
    <t>LOGISTICA INTEGRAL INTERNACIONAL LOGIS S.A.S</t>
  </si>
  <si>
    <t>TRANSPORTES LOGISTICO MG S.A.S.</t>
  </si>
  <si>
    <t>TRANSPORTE RODRIGUEZ J &amp; W S.A.S.</t>
  </si>
  <si>
    <t>TRANSPORTES DE CARGA INTERNACIONAL WORLD TRANSPORT S.A.S</t>
  </si>
  <si>
    <t>TRANSPORTES REFRICAR S.A.S.</t>
  </si>
  <si>
    <t>TRANSPORTES PORTILLA CARDONA S.A.S.</t>
  </si>
  <si>
    <t>HA LOGISTICA S.A.S</t>
  </si>
  <si>
    <t>LOGISTICA Y SERVICIOS VIALES EN CADENA S.A.S</t>
  </si>
  <si>
    <t>TRANSPORTADORA HUBER FRANCO S.A.S. - HUBERTRANSPORTES</t>
  </si>
  <si>
    <t>TRANSPORTES GRAJALES S.A.S</t>
  </si>
  <si>
    <t>URBANOS Y TERRESTRES DEL VALLE S.A.S.</t>
  </si>
  <si>
    <t>TRUSTMETRANS S.A.S.</t>
  </si>
  <si>
    <t>TRANSPORTE LOGISTICO DE CARGA DE OCCIDENTE S.A.S</t>
  </si>
  <si>
    <t>TRANSPORT SERVICE S.A.S</t>
  </si>
  <si>
    <t>LG OPERADORES LOGISTICOS S.A.S.</t>
  </si>
  <si>
    <t>EXPRESSWAY CARGO S.A.S.</t>
  </si>
  <si>
    <t>LOGISTICA E.P. ASESORIAS E INVERSIONES S.A.S</t>
  </si>
  <si>
    <t>CARGUEMOS S.A.S.</t>
  </si>
  <si>
    <t>INVERTRANS RGM SAS</t>
  </si>
  <si>
    <t>TRANSPORTES LIQUIDOS L&amp;R S.A.S.</t>
  </si>
  <si>
    <t>FUERZA LOGISTICA DE DISTRIBUCION S.A.S.</t>
  </si>
  <si>
    <t>LOGISTICA Y TRANSPORTE DE MERCANCIAS S.A.S.</t>
  </si>
  <si>
    <t>AAA GRAN COLOMBIANA DE TRANSPORTES S.A.S.</t>
  </si>
  <si>
    <t>REGENCY SERVICES DE COLOMBIA S.A.S.</t>
  </si>
  <si>
    <t>JDS LOGÍSTICA S.A.S.</t>
  </si>
  <si>
    <t>SABANA CAR LTDA.</t>
  </si>
  <si>
    <t>MEGA ALFA TRANSPORTES S.A.S.</t>
  </si>
  <si>
    <t>LOGÍSTICA Y SERVICIOS JR SAS</t>
  </si>
  <si>
    <t>TRANSBARRETOS S.A.S.</t>
  </si>
  <si>
    <t>TRANSPORTES NORTH POLARIX CARGO S.A.S.</t>
  </si>
  <si>
    <t>INTERNACIONAL DE TRANSPORTES DE COLOMBIA S.A.S.</t>
  </si>
  <si>
    <t>HMP TRANS S.A.S.</t>
  </si>
  <si>
    <t>LATORRE VILLALBA ASOCIADOS S.A.S</t>
  </si>
  <si>
    <t>CINCO LOGISTICA Y CONSULTORIA S.A.S</t>
  </si>
  <si>
    <t>TRANSPORTES RECREATIVO LTDA</t>
  </si>
  <si>
    <t>TRANSPORTES LOGISTICOS ESPECIALIZADOS DE COLOMBIA S.A.S</t>
  </si>
  <si>
    <t>GLOBALISTIK S.A.S.</t>
  </si>
  <si>
    <t>TRANSPORTE Y SOLUCIONES LOGISTICAS DE COLOMBIA S.A.S.</t>
  </si>
  <si>
    <t>TRANSPORTES NUEVA COLOMBIA S.A.S.</t>
  </si>
  <si>
    <t>TRANSPORTES FENIX S.A.</t>
  </si>
  <si>
    <t>ASISTENCIA LOGÍSTICA COLOMBIANA S.A.S.</t>
  </si>
  <si>
    <t>TRI FIT S.A.</t>
  </si>
  <si>
    <t>TRANSPORTE DE CARGA DE LAS AMERICAS S.A.S. T.C.A. S.A.S.</t>
  </si>
  <si>
    <t>DIFETRANS SOCIEDAD S.A.S.</t>
  </si>
  <si>
    <t>TRANSPORCARCOL S.A.S</t>
  </si>
  <si>
    <t>CONSTRUCASA DISTRIBUIDORA S.A.</t>
  </si>
  <si>
    <t>SUMINISTROS Y TRANSPORTES RODRIGUEZ DEL VALLE S.A.S</t>
  </si>
  <si>
    <t>LOGISKARGA S.A.S.</t>
  </si>
  <si>
    <t>RED LOGISTICA Y TRANSPORTE S.A.S</t>
  </si>
  <si>
    <t>PRONTO DL TRANS S.A.S.</t>
  </si>
  <si>
    <t>TRANSLIQUIMICOS S.A.S.</t>
  </si>
  <si>
    <t>TRANSCARGA LOGISTICS S.A.S</t>
  </si>
  <si>
    <t>LOGITRANS ANING S.A.S.</t>
  </si>
  <si>
    <t>ASFALCARGO S.A.S.</t>
  </si>
  <si>
    <t>TRANSPORTE DE CARGA TORO AUTOS S.A.S.</t>
  </si>
  <si>
    <t>TRANSPORTES SV S.A.S.</t>
  </si>
  <si>
    <t>IMPOLOGISTIC DE COLOMBIA S.A.S.</t>
  </si>
  <si>
    <t>DATA CONTROL PORTUARIO S.A.</t>
  </si>
  <si>
    <t>TRANSPORTES LOGOS S.A.S.</t>
  </si>
  <si>
    <t>TRANSMEJIA P OPL S.A.S.</t>
  </si>
  <si>
    <t>INTERCONTINENTAL LOGISTICA Y TRANSPORTE S.A.S</t>
  </si>
  <si>
    <t>CAMBIO DE DOMICILIO DE DT ATLANTICO A DT VALLE</t>
  </si>
  <si>
    <t>GREEN PACIFIC CARGO SAS</t>
  </si>
  <si>
    <t>ENCIITRANS S.A.S.</t>
  </si>
  <si>
    <t>TRANSPORTES LOGISTICO JIMENEZ MELAN S.A.S</t>
  </si>
  <si>
    <t>ASTAIZA CAMABAJAS S.A.S</t>
  </si>
  <si>
    <t>BICARGA LOGISTICA S.A.S</t>
  </si>
  <si>
    <t>LOGISTICA AL MINUTO S.A.S.</t>
  </si>
  <si>
    <t>MEDIOS Y TRANSPORTE E.U.</t>
  </si>
  <si>
    <t>COORDINADORA NACIONAL DEL VALLE S.A.S</t>
  </si>
  <si>
    <t>PVC CARGO S.A.S</t>
  </si>
  <si>
    <t>SOCIEDAD GESTTORA DE INVERSIONES TAX CARGA S.A.S</t>
  </si>
  <si>
    <t>TURBO TRANSPORTES AV S.A.S.</t>
  </si>
  <si>
    <t>TRANS LOGISTIC COLOMBIA S.A.S</t>
  </si>
  <si>
    <t>LOGISTICA INTELIGENTE SOLUTION S.A.S</t>
  </si>
  <si>
    <t>SERVICIO Y TRANSPORTE Y LOGISTICA S.A.S</t>
  </si>
  <si>
    <t>ULTRA SCALA S.A.S.</t>
  </si>
  <si>
    <t>ATNLOGISTICS S.A.S.</t>
  </si>
  <si>
    <t>INDUSTRIA DE LOGISTICA Y TRANSPORTE COLOMBIA S.A.S</t>
  </si>
  <si>
    <t>ARCARGA LOGÍSTICA Y TRANSPORTE S.A.S.</t>
  </si>
  <si>
    <t>OPERADOR LOGISTICO Y TRANSPORTES CALI S.A.S.</t>
  </si>
  <si>
    <t>TRANSPORTES REYES S.A.S.</t>
  </si>
  <si>
    <t>K-ROS LOGÍSTICA Y TRANSPORTE S.A.S.</t>
  </si>
  <si>
    <t>MASTERPLAC S.A.S.</t>
  </si>
  <si>
    <t>BCC S.A.S. -</t>
  </si>
  <si>
    <t>CPL TRANSPORTE DE COLOMBIA S.A.S (ANTES: EMPRESA DE CARGA IMPERIAL DE TRA</t>
  </si>
  <si>
    <t>CAMBIO DE DOMICILIO DE DT MAGDALENA A VALLE (RES 2022230051725 DEL 19/08/2022 CAMBIO DE RAZON SOCIAL)</t>
  </si>
  <si>
    <t>SALAZAR TRANSPORTE Y LOGÍSTICA S.A.S.- SIGLA: ST&amp;L S.A.S. (ANTES: EMPRESA D</t>
  </si>
  <si>
    <t>20222130049135
 20253040005555</t>
  </si>
  <si>
    <t>19/08/2022
 21/02/2025</t>
  </si>
  <si>
    <t>CAMBIO DE DOMICILIO y RAZÓN SOCIAL DE DT BOLIVAR A DT VALLE; ACEPTACIÓN CAMBIO DE DOMICILIO EN DT VALLE</t>
  </si>
  <si>
    <t>TRANSPORTADORA COLOMBIANA NARIÑENSE DE CARGA S.A.S.</t>
  </si>
  <si>
    <t>QUALILTY LOGÍSTICA S.A.S.</t>
  </si>
  <si>
    <t>LOGÍSTICA EN TRANSPORTE NACIONAL DE CARGA Y BODEGAJE S.A.S.</t>
  </si>
  <si>
    <t>INGENIERIA COLOMBIANA S.A.H. S.A.S.</t>
  </si>
  <si>
    <t>GRUPO CAFRA S.A.S.</t>
  </si>
  <si>
    <t>LOGÍSTICA DE CARGA MEJÍA S.A.S.</t>
  </si>
  <si>
    <t>JOMEL TRANSPORTES S.A.S.</t>
  </si>
  <si>
    <t>GRUPO LOGÍSTICO MODELO S.A.S.</t>
  </si>
  <si>
    <t>MUNDIPORT S.A.S.</t>
  </si>
  <si>
    <t>TRANSPORTES ESPECIALES Y TURÍSTICOS DE COLOMBIA S.A.S.</t>
  </si>
  <si>
    <t>TRANSPORTES TAMIR S.A.S.</t>
  </si>
  <si>
    <t>SOLUCIONES, TRANSPORTE Y LOGÍSTICA IBAZAN S.A.S.</t>
  </si>
  <si>
    <t>CARGO PETROLEUM S.A.S.</t>
  </si>
  <si>
    <t>INVERVIAL ING S.A.S.</t>
  </si>
  <si>
    <t>TCS TRANSPORTE DE CARGA SOLIS S.A.S. - SIGLA: TC SOLIS</t>
  </si>
  <si>
    <t>SOLUCIONES NACAR S.A.S.</t>
  </si>
  <si>
    <t>EMPRESA DE TRANSPORTE DE CARGA Y LOGÍSTICA ELB S.A.S. - SIGLA: ELB S.A.S.</t>
  </si>
  <si>
    <t>CAMBIO DE DOMICILIO DE DT BOLIVAR A DT VALLE</t>
  </si>
  <si>
    <t>SKALA RED LOGÍSTICA S.A.S.</t>
  </si>
  <si>
    <t>TRANSMAQUINAS D&amp;C S.A.S.</t>
  </si>
  <si>
    <t>DC CARGO EXPRESS S.A.S.</t>
  </si>
  <si>
    <t>SERAGROINDUSTRIAL S.A.S.</t>
  </si>
  <si>
    <t>ZAFRAS S.A.</t>
  </si>
  <si>
    <t>TRANSPORTES LARES S.A.S.</t>
  </si>
  <si>
    <t>ICETRACK LOGÍSTICA Y TRANSPORTE S.A.S. - SIGLA: ICETRACK S.A.S.</t>
  </si>
  <si>
    <t>TRANSCARGASS S.A.S</t>
  </si>
  <si>
    <t>R.G. ANAMI S.A.S.</t>
  </si>
  <si>
    <t>VELOCES CORP S.A.S.</t>
  </si>
  <si>
    <t>G&amp;B INVERLOG S.A.S.</t>
  </si>
  <si>
    <t>BOTERO HOYOS DISTRIBUCIONES S.A.S. - SIGLA: COMBUSTIBLES BDH S.A.S.</t>
  </si>
  <si>
    <t>CARGA SAN SEBASTIAN S.A.S.</t>
  </si>
  <si>
    <t>DNA LOGISTICS S.A.S.</t>
  </si>
  <si>
    <t>tienNombre</t>
  </si>
  <si>
    <t>codigo</t>
  </si>
  <si>
    <t>sigla</t>
  </si>
  <si>
    <t>nombre</t>
  </si>
  <si>
    <t>gerente</t>
  </si>
  <si>
    <t>depaNombre</t>
  </si>
  <si>
    <t>muniNombre</t>
  </si>
  <si>
    <t>direccion</t>
  </si>
  <si>
    <t>telefono</t>
  </si>
  <si>
    <t>email</t>
  </si>
  <si>
    <t>url</t>
  </si>
  <si>
    <t>url_red</t>
  </si>
  <si>
    <t>IPS Privadas</t>
  </si>
  <si>
    <t>COOPERATIVA PARA LA SALUD ORAL ORALCOOP</t>
  </si>
  <si>
    <t>BogotᬠD.C.</t>
  </si>
  <si>
    <t>BogotᬠD.C</t>
  </si>
  <si>
    <t>CARRERA 64 100-55</t>
  </si>
  <si>
    <t>5330539-3134241468</t>
  </si>
  <si>
    <t>oralcoop@oralcoop.com</t>
  </si>
  <si>
    <t>PEDRO ANDRES MANTILLA DURAN</t>
  </si>
  <si>
    <t>KR 64 # 100 55</t>
  </si>
  <si>
    <t>ASOCIACION CENTRO DE EDUCACION ESPECIAL REHABILITACION Y CAPACITACION RENACER</t>
  </si>
  <si>
    <t>JOSE ERNESTO CHAPARRO SARMIENTO</t>
  </si>
  <si>
    <t>CL 33 # 19 36</t>
  </si>
  <si>
    <t>insrenacer@hotmail.com</t>
  </si>
  <si>
    <t>CL 33 # 19 25</t>
  </si>
  <si>
    <t>INVERSIONES DAMA SALUD SAS</t>
  </si>
  <si>
    <t>JENNY ALEXANDRA ARIAS MARTINEZ</t>
  </si>
  <si>
    <t>KR 13 # 57-12 - Barrio:CHAPINERO</t>
  </si>
  <si>
    <t>coordinadorhabilitacion@sonria.com.co</t>
  </si>
  <si>
    <t>WWW.SONRIA.COM.CO</t>
  </si>
  <si>
    <t>SONRIA DAMA SALUD SEDE RESTREPO</t>
  </si>
  <si>
    <t>LUISA FERNANDA AGUDELO ALEMAN</t>
  </si>
  <si>
    <t>DIAGONAL 19 SUR No 20 -39</t>
  </si>
  <si>
    <t>SONRIA DAMA SALUD SEDE QUIRIGUA</t>
  </si>
  <si>
    <t>MONICA MAYERLY ARIZA HERREя</t>
  </si>
  <si>
    <t>TV 94A # 80A 91</t>
  </si>
  <si>
    <t>SONRIA DAMA SALUD SEDE GALERIAS</t>
  </si>
  <si>
    <t>LUISA AGUDELO ALEMAN</t>
  </si>
  <si>
    <t>AC 53 N 25 - 03 LC</t>
  </si>
  <si>
    <t>SONRIA DAMA SALUD SEDE KENNEDY</t>
  </si>
  <si>
    <t>YURI ADRIANA ESCUDERO HERRN</t>
  </si>
  <si>
    <t>AK 80 No 55 - 37 SUR LC</t>
  </si>
  <si>
    <t>SONRIA DAMA SALUD SEDE AV 68</t>
  </si>
  <si>
    <t>MARIA XIMENA SCARPETTA ROZO</t>
  </si>
  <si>
    <t>AC 72 No. 76 - 76</t>
  </si>
  <si>
    <t>SONRIA DAMA SALUD SEDE FONTIBON</t>
  </si>
  <si>
    <t>ANA MARIA CAMARGO NAVARRETE</t>
  </si>
  <si>
    <t>CRA 99 # 18 04</t>
  </si>
  <si>
    <t>SONRIA DAMA SALUD SEDE SUBA</t>
  </si>
  <si>
    <t>IRMA CONSTANZA PIхROS CARDENAS</t>
  </si>
  <si>
    <t>CRA 92 # 147 68 LOCAL 22</t>
  </si>
  <si>
    <t>SONRIA DAMA SALUD SEDE TECHO</t>
  </si>
  <si>
    <t>CARRERA 78 B NO 38 C 23 SUR</t>
  </si>
  <si>
    <t>SONRIA DAMA SALUD SEDE TUNAL</t>
  </si>
  <si>
    <t>JACOBO ENRIQUE DEL RIO CEDEя</t>
  </si>
  <si>
    <t>CR 25 # 48 - 09 SUR</t>
  </si>
  <si>
    <t>SONRIA DAMA SALUD SEDE C.C HAYUELOS</t>
  </si>
  <si>
    <t>STEPHANY ATEHORTUA SANCHEZ</t>
  </si>
  <si>
    <t>CALLE 20 # 82-52 LOCAL 1-66C/1-66B PISO 1 HAYUELOS CENTRO COMERCIAL Y EMPRESARIAL</t>
  </si>
  <si>
    <t>SONRIA DAMA SALUD SEDE C.C GRAN PLAZA EL ENSUEя</t>
  </si>
  <si>
    <t>ANGELA ROCIO MORENO ANDRADE</t>
  </si>
  <si>
    <t>CALLE 59 S # 51 - 21 LC 145</t>
  </si>
  <si>
    <t>SONRIA DAMA SALUD SEDE VENECIA</t>
  </si>
  <si>
    <t>CINDY PAOLA ALVARADO VIDES</t>
  </si>
  <si>
    <t>AUTOP. SUR N 54A-25</t>
  </si>
  <si>
    <t>SONRIA DAMA SALUD SEDE CHAPINERO</t>
  </si>
  <si>
    <t>YEISON DAVID PINZON SANCHEZ</t>
  </si>
  <si>
    <t>KR 13 # 57-12</t>
  </si>
  <si>
    <t>SONRIA DAMA SALUD SEDE SALITRE</t>
  </si>
  <si>
    <t>ANDREA DEL PILAR GUTIERREZ CASTRO</t>
  </si>
  <si>
    <t>Ac 24 No. 68 C 25 Lc 18</t>
  </si>
  <si>
    <t>SONRIA DAMA SALUD SEDE TITAN PLAZA</t>
  </si>
  <si>
    <t>Kelly Johanna Silva Sepulveda</t>
  </si>
  <si>
    <t>AV. BOYACA NO. 80- 94 LOCAL 1-36</t>
  </si>
  <si>
    <t>SONRIA DAMA SALUD COLINA CAMPESTRE</t>
  </si>
  <si>
    <t>LAURA JULIANA CORTES BECERRA</t>
  </si>
  <si>
    <t>AK 58 # 128 B - 94</t>
  </si>
  <si>
    <t>SONRIA DAMA SALUD SEDE CENTRO MAYOR</t>
  </si>
  <si>
    <t>ANDRES IVAN JIMENEZ GARZON</t>
  </si>
  <si>
    <t>Calle 38A SUR NO 34D 51 C.C CENTRO MAYOR LC 1-107</t>
  </si>
  <si>
    <t>SONRIA DAMA SALUD SEDE PLAZA DE LAS AMERICAS</t>
  </si>
  <si>
    <t>DANIELA PARDO VALENCIA</t>
  </si>
  <si>
    <t>KR 71D # 6 - 94 SUR CC PLAZA DE LAS AMERICAS LC 1129</t>
  </si>
  <si>
    <t>SONRIA DAMA SALUD SEDE C.C PLAZA IMPERIAL</t>
  </si>
  <si>
    <t>MARY LUZ CAMELO RUIZ</t>
  </si>
  <si>
    <t>CL 146 A NO. 106 - 20 LC 1 - 98 CC PLAZA IMPERIAL</t>
  </si>
  <si>
    <t>SONRIA DAMA SALUD SEDE BOSA</t>
  </si>
  <si>
    <t>SANTIAGO IVAN VARELA CASTRO</t>
  </si>
  <si>
    <t>CL 65 SUR NO. 78 L - 65</t>
  </si>
  <si>
    <t>SONRIA DAMA SALUD SEDE C.C PLAZA CENTRAL</t>
  </si>
  <si>
    <t>ANDREA CAROLINA ACHURY HUERTAS</t>
  </si>
  <si>
    <t>CR 65 # 11 - 50 L 2 - 45, L 2 - 46</t>
  </si>
  <si>
    <t>SONRIA DAMA SALUD SEDE RESTREPO 2</t>
  </si>
  <si>
    <t>MARIA ALEJANDRA GOMEZ BARRERA</t>
  </si>
  <si>
    <t>CARRERA 18 SUR No. 17-68</t>
  </si>
  <si>
    <t>SONRIA DAMA SALUD DIVERPLAZA</t>
  </si>
  <si>
    <t>PAOLA ALEJANDRA ANGEL TRIANA</t>
  </si>
  <si>
    <t>TRANSVERSAL 99 # 70 A 89 LOCAL 2-53</t>
  </si>
  <si>
    <t>SONRIA DAMA SALUD SEDE CC PLAZA IMPERIAL 2</t>
  </si>
  <si>
    <t>CL 146 A NO. 106 - 20 LC 2-86 - 2-87</t>
  </si>
  <si>
    <t>SONRIA DAMA SALUD SEDE CEDRITOS</t>
  </si>
  <si>
    <t>LUZ ANGELA CASTILLO BENAVIDES</t>
  </si>
  <si>
    <t>AK 19 134A-07</t>
  </si>
  <si>
    <t>SONRIA DAMA SALUD SEDE UNICENTRO I</t>
  </si>
  <si>
    <t>DAR͏ FERNANDO CAICEDO MEŚS</t>
  </si>
  <si>
    <t>Avenida Carrera 15 124 03 05 07 Local 1 Y 2</t>
  </si>
  <si>
    <t>SONRIA DAMA SALUD SEDE TOBERIN CALLE 164</t>
  </si>
  <si>
    <t>Irma Pin񥲯s</t>
  </si>
  <si>
    <t>Calle 164 23 40 Local 3</t>
  </si>
  <si>
    <t>coordinadohabilitacion@sonria.com.co</t>
  </si>
  <si>
    <t>SERVICIOS MEDICOS YUNIS TURBAY Y CIA SAS</t>
  </si>
  <si>
    <t>YUNIS TURBAY EMILIO JOSE</t>
  </si>
  <si>
    <t>CALLE 86B # 49D-28 CONSULTORIO 301,302,303,304,305,401,402,403,404,405 - Barrio:PATRIA</t>
  </si>
  <si>
    <t>secretaria@yunis.co</t>
  </si>
  <si>
    <t>SERVICIOS MɄICOS YUNIS TURBAY Y Ć SEDE NORTE</t>
  </si>
  <si>
    <t>DANIEL ANDRES YUNIS LONDOя</t>
  </si>
  <si>
    <t>CALLE 86B # 49D-28 CONSULTORIO 301,302,303,304,305,401,402,403,404,405</t>
  </si>
  <si>
    <t>ETICA ORAL LIMITADA</t>
  </si>
  <si>
    <t>VILA VALERA HUMBERTO</t>
  </si>
  <si>
    <t>CL 127 No 19A -44/62 P2 CONS 202-203 ACOMEDICA 2</t>
  </si>
  <si>
    <t>servietica@yahoo.com</t>
  </si>
  <si>
    <t>HUMBERTO VILA VALERA</t>
  </si>
  <si>
    <t>CL 127 No 19A - 44 /62 P2 CONS 202-203 ACOMEDICA 2</t>
  </si>
  <si>
    <t>BIONUCLEAR S.A.S</t>
  </si>
  <si>
    <t>MERCEDES CHINOME</t>
  </si>
  <si>
    <t>AK 45 # 106 30 OFICINA 204, CONSULTORIO 201 Y 209</t>
  </si>
  <si>
    <t>3044350519 - 3008589820</t>
  </si>
  <si>
    <t>bionuclearsas@gmail.com</t>
  </si>
  <si>
    <t>BIONUCLEAR</t>
  </si>
  <si>
    <t>ARIEL MORENO CACERES</t>
  </si>
  <si>
    <t>AK 45 # 106 30PI 2</t>
  </si>
  <si>
    <t>CLINICA RETORNAR SAS</t>
  </si>
  <si>
    <t>MARAI DEL PILAR JAIME IZQUIERDO</t>
  </si>
  <si>
    <t>AK 20 87 33</t>
  </si>
  <si>
    <t>obarrera@clinicaretornar.com</t>
  </si>
  <si>
    <t>CLINICA RETORNAR</t>
  </si>
  <si>
    <t>MARIA DEL PILAR JAIME IZQUIERDO</t>
  </si>
  <si>
    <t>CR 24 NO. 84 46</t>
  </si>
  <si>
    <t>7957100 ext</t>
  </si>
  <si>
    <t>SALUD INTEGRAL EL LAGO LTDA</t>
  </si>
  <si>
    <t>FAJARDO DIAZ FRANCISCO ANTONIO</t>
  </si>
  <si>
    <t>CL 79 # 18 34 CS 506</t>
  </si>
  <si>
    <t>info@saludintegralellago.co</t>
  </si>
  <si>
    <t>MARCO ALBERTO FAJARDO DIAZ</t>
  </si>
  <si>
    <t>CALLE 79 No. 18 - 34 C- 506</t>
  </si>
  <si>
    <t>OPTICA COLOMBIANA S.A.S</t>
  </si>
  <si>
    <t>MEJIA HENAO RODRIGO</t>
  </si>
  <si>
    <t>CRA 12 N 82-02 LC 2-08</t>
  </si>
  <si>
    <t>contab@opticacolombiana.com</t>
  </si>
  <si>
    <t>OPTICA COLOMBIANA S.A.S - NIZA</t>
  </si>
  <si>
    <t>Maria Alejandra Cuervo Mosquera</t>
  </si>
  <si>
    <t>CARRERA 52 # 125A - 59 LC 1-62</t>
  </si>
  <si>
    <t>601 3264500 Ext 4123</t>
  </si>
  <si>
    <t>niza@opticacolombiana.com</t>
  </si>
  <si>
    <t>OPTICA COLOMBIANA S.A.S EXITO CALLE 80</t>
  </si>
  <si>
    <t>KR 59 A 79 - 30 LC L0124</t>
  </si>
  <si>
    <t>601 3264500 Ext 4109</t>
  </si>
  <si>
    <t>calle80@opticacolombiana.com</t>
  </si>
  <si>
    <t>OPTICA COLOMBIANA S.A.S CENTRO COMERCIAL ANDINO</t>
  </si>
  <si>
    <t>CRA 12 N 82 - 02 LC 2-08</t>
  </si>
  <si>
    <t>601 3264500 Ext 4101</t>
  </si>
  <si>
    <t>andino@opticacolombiana.com</t>
  </si>
  <si>
    <t>OPTICA COLOMBIANA S.A.S - PALATINO</t>
  </si>
  <si>
    <t>KR 7 # 139 07 LC 204</t>
  </si>
  <si>
    <t>601 3264500 Ext 4108</t>
  </si>
  <si>
    <t>palatino@opticacolombiana.com</t>
  </si>
  <si>
    <t>OPTICA COLOMBIANA S.A.S CENTRO COMERCIAL SANTAFE</t>
  </si>
  <si>
    <t>CLL 185 # 45-03 LC 225</t>
  </si>
  <si>
    <t>601 3264500 Ext 4113</t>
  </si>
  <si>
    <t>santafebogota@opticacolombiana.com</t>
  </si>
  <si>
    <t>OPTICA COLOMBIANA S.A.S - GRAN ESTACION</t>
  </si>
  <si>
    <t>AC 26 N 62 -47 LC 2-24</t>
  </si>
  <si>
    <t>601 3264500 Ext 4102</t>
  </si>
  <si>
    <t>granestacion@opticacolombiana.com</t>
  </si>
  <si>
    <t>OPTICA COLOMBIANA S.A.S - UNICENTRO BOGOTA</t>
  </si>
  <si>
    <t>Avenida 15 No 123-30 LC 2-26 CS 1</t>
  </si>
  <si>
    <t>601 3264500 Ext 4118</t>
  </si>
  <si>
    <t>unicentrobogota@opticacolombiana.com</t>
  </si>
  <si>
    <t>OPTICA COLOMBIANA S.A.S CENTRO COMERCIAL SAN MARTIN</t>
  </si>
  <si>
    <t>KR 7 # 32 - 12 LOCAL 121</t>
  </si>
  <si>
    <t>601 3264500 Ext 4116</t>
  </si>
  <si>
    <t>sanmartin@opticacolombiana.com</t>
  </si>
  <si>
    <t>OPTICA COLOMBIANA S.A.S - PARQUE LA COLINA</t>
  </si>
  <si>
    <t>CR 58 D N 146-51 LOCAL 253 B</t>
  </si>
  <si>
    <t>601 3264500 Ext 4125</t>
  </si>
  <si>
    <t>parquecolina@opticacolombiana.com</t>
  </si>
  <si>
    <t>OPTICA COLOMBIANA S.A.S - PLAZA CENTRAL</t>
  </si>
  <si>
    <t>CR 65 N 11 - 50 CC. PLAZA CENTRAL ESPACIO 1-29</t>
  </si>
  <si>
    <t>601 3264500 Ext 4124</t>
  </si>
  <si>
    <t>plazacentral@opticacolombiana.com</t>
  </si>
  <si>
    <t>UNIDAD RADIOLOGICA DENTO CRANEO MAXILO FACIAL S.A.</t>
  </si>
  <si>
    <t>DACHIARDI REY ALBERTO</t>
  </si>
  <si>
    <t>CL 125 No. 20 - 70 OF 204</t>
  </si>
  <si>
    <t>6012153469 - 3226313167</t>
  </si>
  <si>
    <t>unidadradiologica125@gmail.com</t>
  </si>
  <si>
    <t>UNIDAD RADIOLOGICA DENTO CRANEO MAXILO FACIAL</t>
  </si>
  <si>
    <t>6016291124 - 3226313167</t>
  </si>
  <si>
    <t>CL 77 No. 16 - 20 OF 507 - 509 / 511</t>
  </si>
  <si>
    <t>6016232761 - 3226313167</t>
  </si>
  <si>
    <t>CENTRO DE ENFERMEDADES DIGESTIVAS SAS</t>
  </si>
  <si>
    <t>PINEDA OVALLE LUIS FERNANDO</t>
  </si>
  <si>
    <t>CL 97 # 23 37 LOCAL 104</t>
  </si>
  <si>
    <t>abonilla@gutmedica.com</t>
  </si>
  <si>
    <t>GUTMEDICA ALMIRANTE</t>
  </si>
  <si>
    <t>ADRIANNA LUCIA BONILLA GARZON</t>
  </si>
  <si>
    <t>CR 16 # 84A - 09 CS 311</t>
  </si>
  <si>
    <t>GUTMEDICA DALI</t>
  </si>
  <si>
    <t>Cl 97 # 23-37 Cs 302, 303. 315-11,315-6,315-5, Areas 315,204 Y 201</t>
  </si>
  <si>
    <t>LITOMEDICA S.A</t>
  </si>
  <si>
    <t>RUEDA SALAZAR MANUEL MARCELO</t>
  </si>
  <si>
    <t>CRA 13 # 49-40 CONSULTORIO 620 Y 624 - 1 LITOMEDICA</t>
  </si>
  <si>
    <t>7448024, 7448204, 3436600</t>
  </si>
  <si>
    <t>litomedicacorrespondencia@gmail.com</t>
  </si>
  <si>
    <t>MANUEL MARCELO RUEDA SALAZAR</t>
  </si>
  <si>
    <t>7448024-7448204 - 3014606499</t>
  </si>
  <si>
    <t>litomedicasa@yahoo.es</t>
  </si>
  <si>
    <t>LITOMEDICA CENTRO MEDICO ALMIRANTE COLON</t>
  </si>
  <si>
    <t>Cr 16 N 84 A 09 Cs 611</t>
  </si>
  <si>
    <t>(601)8056344</t>
  </si>
  <si>
    <t>LITOMEDICA MARLY CALLE 50</t>
  </si>
  <si>
    <t>CALLE 50 N 9-16 Local 2 TAC y Local 3 RMN</t>
  </si>
  <si>
    <t>745 60 36, 600 87 03, 600 87 04.</t>
  </si>
  <si>
    <t>LITOMEDICA URODINAMIA</t>
  </si>
  <si>
    <t>CALLE 50 N 7 - 36 PISO 3</t>
  </si>
  <si>
    <t>FUNDACION PARA LA REHABILITACION DE ALCOHOLICOS Y ADICTOS-FUNDAR</t>
  </si>
  <si>
    <t>GUTIERREZ OSORIO JOSE GOETHE</t>
  </si>
  <si>
    <t>CRA 16 # 36 22</t>
  </si>
  <si>
    <t>ffundar@ffundar.org</t>
  </si>
  <si>
    <t>FUNDACION PARA LA REHABILITACION DE ALCOHOLICOS Y ADICTOS - FUNDAR</t>
  </si>
  <si>
    <t>EDGAR ANDRES BARRETO AGUDELO</t>
  </si>
  <si>
    <t>KR 16 # 36 22</t>
  </si>
  <si>
    <t>OPTICA DR MENDEZ S A S</t>
  </si>
  <si>
    <t>MENDEZ ANGULO LUIS JORGE</t>
  </si>
  <si>
    <t>KR 19 # 100 10 - Barrio:CHAPINERO</t>
  </si>
  <si>
    <t>gerencia@opticadrmendez.com</t>
  </si>
  <si>
    <t>www.opticadrmendez.com</t>
  </si>
  <si>
    <t>OPTICA DR MENDEZ SAS</t>
  </si>
  <si>
    <t>LUIS JORGE MENDEZ ANGULO</t>
  </si>
  <si>
    <t>KR 7 # 115 60 LC B 112 - 160</t>
  </si>
  <si>
    <t>optimendez@yahoo.com</t>
  </si>
  <si>
    <t>KR 19 # 100 10</t>
  </si>
  <si>
    <t>opticadrmendez@yahoo.es</t>
  </si>
  <si>
    <t>CEUSA CENTRO DE ESPECIALISTAS EN UROLOGIA S A</t>
  </si>
  <si>
    <t>VARGAS CABRERA CARLOS ENRIQUE</t>
  </si>
  <si>
    <t>CARRERA 16 NO. 84A - 09 OFICINA 419</t>
  </si>
  <si>
    <t>6217017- 3166929389</t>
  </si>
  <si>
    <t>ceusa1@outlook.com</t>
  </si>
  <si>
    <t>Carlos Enrique Vargas Cabrera</t>
  </si>
  <si>
    <t>CARRERA 16 A NO. 84 05 PISO 6</t>
  </si>
  <si>
    <t>6217017-3166929389</t>
  </si>
  <si>
    <t>UNIDAD DERMATOLOGICA DE FOTOTERAPIA SAS</t>
  </si>
  <si>
    <t>HERNANDEZ DE CHALELA CECILIA</t>
  </si>
  <si>
    <t>Transversal 55 98 A 66 Oficina 405 Centro Comercial Iserra 100</t>
  </si>
  <si>
    <t>gerencia@udf.com.co</t>
  </si>
  <si>
    <t>ANDREA LEON PILONIETA</t>
  </si>
  <si>
    <t>UNIDAD DERMATOLOGICA Y DE FOTOTERAPIA</t>
  </si>
  <si>
    <t>AVENIDA AMERICAS No. 62-84 Local 2-19</t>
  </si>
  <si>
    <t>FUNDACION CENTRO DE INVESTIGACION E INFORMACION EN DEFICIENCIAS AUDITIVAS-""CINDA"""</t>
  </si>
  <si>
    <t>DI-COLLOREDO MELS PALAU PAOLA MARIA PIA TADEA</t>
  </si>
  <si>
    <t>CALLE 35 No. 17-24</t>
  </si>
  <si>
    <t>2455509-2881801-3166243334-3174383710</t>
  </si>
  <si>
    <t>administracion@fundacioncinda.org</t>
  </si>
  <si>
    <t>PAOLA MARIA PIA TADEA DI COLLOREDO MELS PALAU</t>
  </si>
  <si>
    <t>Calle 35 No.17-24</t>
  </si>
  <si>
    <t>ASOCIACION CENTRO DE ATENCION PARA NIяS CON TRASTORNOS SENSORIOMOTORES ""ACONIя"""</t>
  </si>
  <si>
    <t>ACEVEDO DE RONDEROS BEATRIZ EUGENIA</t>
  </si>
  <si>
    <t>CALLE 127 B # 45-28</t>
  </si>
  <si>
    <t>administracion@aconino.org</t>
  </si>
  <si>
    <t>http://www.aconino.org/</t>
  </si>
  <si>
    <t>ASOCIACION CENTRO DE ATENCION PARA NIяS CON TRASTORNOS SENSORIOMOTORES ""ACONIя"</t>
  </si>
  <si>
    <t>LUISA FERNANDA VARGAS GUTIERREZ</t>
  </si>
  <si>
    <t>CL 6A No.71A-10</t>
  </si>
  <si>
    <t>INVERSIONES EN RECREACION DEPORTE Y SALUD S.A. Sigla: BODYTECH S.A.</t>
  </si>
  <si>
    <t>Raul Pineda</t>
  </si>
  <si>
    <t>carrera 19 B # 83-11</t>
  </si>
  <si>
    <t>7442222- EXT 40257 CELULAR 3213046169</t>
  </si>
  <si>
    <t>constanza.fonseca@bodytechcorp.com</t>
  </si>
  <si>
    <t>www.bodytech.com.co</t>
  </si>
  <si>
    <t>IPS CENTRO MEDICO DEPORTIVO BODYTECH CHAPINERO</t>
  </si>
  <si>
    <t>JENNY ALEJANDRA PINZON BOHORQUEZ</t>
  </si>
  <si>
    <t>CRA 7 # 63 25</t>
  </si>
  <si>
    <t>7442222 EXT 42104</t>
  </si>
  <si>
    <t>chapinero@bodytechcorp.com</t>
  </si>
  <si>
    <t>IPS CENTRO MEDICO DEPORTIVO BODYTECH CEDRITOS</t>
  </si>
  <si>
    <t>JULIANA MARTINEZ MORENO</t>
  </si>
  <si>
    <t>Cl 147 # 7 - 52 Piso 2 CC Show Place</t>
  </si>
  <si>
    <t>7442222 EXT 41300</t>
  </si>
  <si>
    <t>cedritos@bodytechcorp.com</t>
  </si>
  <si>
    <t>IPS CENTRO MEDICO DEPORTIVO BODYTECH COLINA</t>
  </si>
  <si>
    <t>GLORIA ALEXANDRA FANDIя MATUK</t>
  </si>
  <si>
    <t>AC 138 # 58 -74 PISO 2</t>
  </si>
  <si>
    <t>7442222 EXT 41604</t>
  </si>
  <si>
    <t>colina@bodytechcorp.com</t>
  </si>
  <si>
    <t>IPS CENTRO MEDICO DEPORTIVO BODYTECH CHICO</t>
  </si>
  <si>
    <t>ERWIN ALEXANDER ROMERO VELANDIA</t>
  </si>
  <si>
    <t>Av 19 # 102 - 31 Piso 3 Entrada 1</t>
  </si>
  <si>
    <t>7442222 EXT 41504</t>
  </si>
  <si>
    <t>chico@bodytechcorp.com</t>
  </si>
  <si>
    <t>IPS CENTRO MEDICO DEPORTIVO ATHLETIC SALITRE</t>
  </si>
  <si>
    <t>MIGUEL ANGEL PEс OLAVE</t>
  </si>
  <si>
    <t>AV 68 # 23 45</t>
  </si>
  <si>
    <t>salitre.gerente@athleticgym.com.co</t>
  </si>
  <si>
    <t>IPS CENTRO MEDICO DEPORTIVO BODYTECH AUTOPISTA 135</t>
  </si>
  <si>
    <t>YUHEIDYS JOHANNA CERVERA SIERRA</t>
  </si>
  <si>
    <t>CALLE 134 A No 23-72</t>
  </si>
  <si>
    <t>7442222 EXT 41004</t>
  </si>
  <si>
    <t>autopista135@bodytechcorp.com</t>
  </si>
  <si>
    <t>IPS CENTRO MEDICO DEPORTIVO BODYTECH PASADENA</t>
  </si>
  <si>
    <t>CAMILO ANDRES CASTRO MANZO</t>
  </si>
  <si>
    <t>KR 53- 102 A 77 LOCAL 201</t>
  </si>
  <si>
    <t>7442222 EXT 42300</t>
  </si>
  <si>
    <t>pasadena@bodytechcorp.com</t>
  </si>
  <si>
    <t>IPS CENTRO MEDICO DEPORTIVO BODYTECH CABRERA</t>
  </si>
  <si>
    <t>DIANA MILENA ARIAS PRADA</t>
  </si>
  <si>
    <t>CL 85 # 7 13</t>
  </si>
  <si>
    <t>7442222 EXT 41204</t>
  </si>
  <si>
    <t>cabrera@bodytechcorp.com</t>
  </si>
  <si>
    <t>IPS CENTRO MEDICO DEPORTIVO BODYTECH TORRE CENTRAL</t>
  </si>
  <si>
    <t>KATHERINE RAMIREZ SUAREZ</t>
  </si>
  <si>
    <t>Calle 26 No 68 C -61 LOCAL 116</t>
  </si>
  <si>
    <t>7442222 EXT 42800</t>
  </si>
  <si>
    <t>torrecentral@bodytechcorp.com</t>
  </si>
  <si>
    <t>IPS CENTRO MEDICO DEPORTIVO BODYTECH SULTANA</t>
  </si>
  <si>
    <t>NELSON GASPAR PENAGOS MENDEZ</t>
  </si>
  <si>
    <t>Calle 12 Sur No. 31-33</t>
  </si>
  <si>
    <t>7442222 EXT 42700</t>
  </si>
  <si>
    <t>sultana@bodytechcorp.com</t>
  </si>
  <si>
    <t>IPS CENTRO MEDICO DEPORTIVO BODYTECH PABLO VI</t>
  </si>
  <si>
    <t>VIVIANA MARCELA NAVARRETE QUIROGA</t>
  </si>
  <si>
    <t>Cra 52 Bis # 56 B 26 Piso 2</t>
  </si>
  <si>
    <t>7442222 EXT 42200</t>
  </si>
  <si>
    <t>pablovi@bodytechcorp.com</t>
  </si>
  <si>
    <t>IPS CENTRO MEDICO DEPORTIVO BODYTECH SUBA</t>
  </si>
  <si>
    <t>NATALY RINCON MORA</t>
  </si>
  <si>
    <t>Av Cr 104 # 148 - 07 Loc 269 Cc Plaza Imperial</t>
  </si>
  <si>
    <t>7442222 EXT 42600</t>
  </si>
  <si>
    <t>suba@bodytechcorp.com</t>
  </si>
  <si>
    <t>IPS CENTRO MEDICO DEPORTIVO BODYTECH PORTAL 80</t>
  </si>
  <si>
    <t>JEIMY NATHALY RODRIGUEZ OSORIO</t>
  </si>
  <si>
    <t>Tv 100 A # 80 A 20 Lc 30-01 Centro Comercial Portal 80</t>
  </si>
  <si>
    <t>7442222 EXT 42400</t>
  </si>
  <si>
    <t>portal80@bodytechcorp.com</t>
  </si>
  <si>
    <t>IPS CENTRO MEDICO DEPORTIVO BODYTECH AUTOPISTA 170</t>
  </si>
  <si>
    <t>AURA DEL ROSARIO MORENO MORA</t>
  </si>
  <si>
    <t>Auto Norte # 167 - 10</t>
  </si>
  <si>
    <t>autopista170@bodytechcorp.com</t>
  </si>
  <si>
    <t>IPS CENTRO MEDICO DEPORTIVO BODYTECH KENNEDY</t>
  </si>
  <si>
    <t>DIANA MILENA OSORIO VARGAS</t>
  </si>
  <si>
    <t>Transversal 78J No. 41F-05 Sur</t>
  </si>
  <si>
    <t>7442222 EXT 41904</t>
  </si>
  <si>
    <t>kennedy@bodytechcorp.com</t>
  </si>
  <si>
    <t>IPS CENTRO MEDICO DEPORTIVO BODYTECH NORMANDIA</t>
  </si>
  <si>
    <t>PAOLA ANGELINA CASTAхDA CARDENAS</t>
  </si>
  <si>
    <t>AVENIDA BOYACA No. 49-29 PISO 2</t>
  </si>
  <si>
    <t>7442222 EXT 35209</t>
  </si>
  <si>
    <t>normandia@bodytechcorp.com</t>
  </si>
  <si>
    <t>IPS CENTRO MEDICO DEPORTIVO BODYTECH HAYUELOS</t>
  </si>
  <si>
    <t>CAROLINA CACERES ESPITIA</t>
  </si>
  <si>
    <t>Calle 20 No. 82-52 Local 4-59</t>
  </si>
  <si>
    <t>7442222 EXT 41800</t>
  </si>
  <si>
    <t>hayuelos@bodytechcorp.com</t>
  </si>
  <si>
    <t>IPS CENTRO MEDICO DEPORTIVO BODYTECH FLORESTA</t>
  </si>
  <si>
    <t>SHERYL NICKOLL ALVAREZ ROJAS</t>
  </si>
  <si>
    <t>Avenida Carrera 68 #90 88 Nivel 0</t>
  </si>
  <si>
    <t>floresta@bodytechcorp.com</t>
  </si>
  <si>
    <t>IPS CENTRO MEDICO DEPORTIVO BODYTECH CENTRO MAYOR</t>
  </si>
  <si>
    <t>LORENA DEL PILAR URZOLA GOMEZ</t>
  </si>
  <si>
    <t>CALLE 38 A SUR NO 34 D- 50 LOC 1-145</t>
  </si>
  <si>
    <t>7442222 EXT 35800</t>
  </si>
  <si>
    <t>centromayor@bodytechcorp.com</t>
  </si>
  <si>
    <t>IPS CENTRO MEDICO DEPORTIVO BODYTECH TITAN PLAZA</t>
  </si>
  <si>
    <t>MIGUEL ANGEL MURCIA PINILLA</t>
  </si>
  <si>
    <t>CR 72 80-94 LC SE 4-27</t>
  </si>
  <si>
    <t>7442222 EXT 45104</t>
  </si>
  <si>
    <t>titanplaza@bodytechcorp.com</t>
  </si>
  <si>
    <t>IPS CENTRO MEDICO DEPORTIVO BODYTECH CARRERA 11</t>
  </si>
  <si>
    <t>JENNY ANGELICA ZALDUA ORJUELA</t>
  </si>
  <si>
    <t>CL 96 - 10-38</t>
  </si>
  <si>
    <t>7442222 EXT 45304</t>
  </si>
  <si>
    <t>carrera11@bodytechcorp.com</t>
  </si>
  <si>
    <t>IPS CENTRO MEDICO DEPORTIVO BODYTECH BULEVAR</t>
  </si>
  <si>
    <t>MARIA LILIANA BOLIVAR BOLIVAR</t>
  </si>
  <si>
    <t>CR 58 127-29 LC 181 B</t>
  </si>
  <si>
    <t>3102830824-3102677727</t>
  </si>
  <si>
    <t>bulevar@bodytechcorp.com</t>
  </si>
  <si>
    <t>IPS CENTRO MEDICO DEPORTIVO BODYTECH PLAZA CENTRAL</t>
  </si>
  <si>
    <t>NIDYA CONSUELO LOPEZ CABALLERO</t>
  </si>
  <si>
    <t>CC PLAZA CENTRAL CRA 65 11-48 L 3-28</t>
  </si>
  <si>
    <t>7422639/3102839346</t>
  </si>
  <si>
    <t>plazacentral@bodytechcorp.com</t>
  </si>
  <si>
    <t>IPS CENTRO MEDICO DEPORTIVO BODYTECH DIVERPLAZA</t>
  </si>
  <si>
    <t>DARIO URUEс MACHADO</t>
  </si>
  <si>
    <t>TV 99 # 70 A 89</t>
  </si>
  <si>
    <t>7422668 - 3103486324</t>
  </si>
  <si>
    <t>diverplaza@bodytechcorp.com</t>
  </si>
  <si>
    <t>IPS CENTRO MEDICO DEPORTIVO BODYTECH GRAN ESTACION</t>
  </si>
  <si>
    <t>JAVIER MATEO ZAMBRANO ROCHA</t>
  </si>
  <si>
    <t>AC 26 No 62-47 P 4</t>
  </si>
  <si>
    <t>granestacion@bodytechcorp.com</t>
  </si>
  <si>
    <t>IPS CENTRO MEDICO DEPORTIVO BODYTECH GALERIAS</t>
  </si>
  <si>
    <t>WILSON FABIAN LEON RUIZ</t>
  </si>
  <si>
    <t>carrera 24 No 53-73 piso 6 local 601</t>
  </si>
  <si>
    <t>7442222 EXT 48001</t>
  </si>
  <si>
    <t>galerias@bodytechcorp.com</t>
  </si>
  <si>
    <t>IPS CENTRO MEDICO DEPORTIVO BODYTECH PLAZA BOSA</t>
  </si>
  <si>
    <t>CALLE 65 SUR N 78H-51 LC 3-14 CC PLAZA BOSA</t>
  </si>
  <si>
    <t>7442222 EXT 48400</t>
  </si>
  <si>
    <t>plazabosa@bodytechcorp.com</t>
  </si>
  <si>
    <t>IPS CENTRO MEDICO DEPORTIVO BODYTECH SANTA ANA</t>
  </si>
  <si>
    <t>CARLOS ANDRES BRICEя HUERTAS</t>
  </si>
  <si>
    <t>CL 110 # 9A 10 70 LOC ANCLA 1-2</t>
  </si>
  <si>
    <t>2136076 / 6752270 / 3183060927</t>
  </si>
  <si>
    <t>nordic@bodytechcorp.com</t>
  </si>
  <si>
    <t>IPS CENTRO MEDICO DEPORTIVO BODYTECH COUNTRY</t>
  </si>
  <si>
    <t>DIEGO ALEJANDRO MELO DUARTE</t>
  </si>
  <si>
    <t>Calle 138 # 10-42</t>
  </si>
  <si>
    <t>3183414098-3183414086</t>
  </si>
  <si>
    <t>gerente.gymhouse@bodytechcorp.com</t>
  </si>
  <si>
    <t>IPS CENTRO MEDICO DEPORTIVO BODYTECH ENSUEя</t>
  </si>
  <si>
    <t>MELISA GERALDINE CALVO ORTIZ</t>
  </si>
  <si>
    <t>CARRERA 51 No 59C SUR -93 LOCAL 206</t>
  </si>
  <si>
    <t>3178871398-3213046169</t>
  </si>
  <si>
    <t>ensueno@bodytechcorp.com</t>
  </si>
  <si>
    <t>IPS CENTRO MEDICO DEPORTIVO BODYTECH CALLE 90</t>
  </si>
  <si>
    <t>LYDY YANETH VILLANUEVA HERNANDEZ</t>
  </si>
  <si>
    <t>CL 90 No 16-34</t>
  </si>
  <si>
    <t>7442222 EXT 3800 - 38004</t>
  </si>
  <si>
    <t>calle90@bodytechcorp.com</t>
  </si>
  <si>
    <t>IPS CENTRO MEDICO DEPORTIVO ATHLETIC HUB 72</t>
  </si>
  <si>
    <t>ERIK DAVID MESA FERRUCHO</t>
  </si>
  <si>
    <t>CR 24 # 71 A 85</t>
  </si>
  <si>
    <t>3008512774 - 7442222</t>
  </si>
  <si>
    <t>hub72.gerente@athleticgym.com.co</t>
  </si>
  <si>
    <t>IPS CENTRO MEDICO DEPORTIVO ATHLETIC RESTREPO</t>
  </si>
  <si>
    <t>CAMILO ANDRES DIAZ ESPITIA</t>
  </si>
  <si>
    <t>CR 22 No 14-31 SUR</t>
  </si>
  <si>
    <t>restrepo.gerente@athleticgym.com.co</t>
  </si>
  <si>
    <t>IPS CENTRO MEDICO DEPORTIVO BODYTECH PASEO DEL RIO</t>
  </si>
  <si>
    <t>SANDRA YANETH ARAOZ USECHE</t>
  </si>
  <si>
    <t>Dg 57 C Sur # 62 - 60 Piso 4 Local 401 CC Paseo Villa Del Rio</t>
  </si>
  <si>
    <t>villadelrio@bodytechcorp.com</t>
  </si>
  <si>
    <t>IPS CENTRO MEDICO DEPORTIVO BODYTECH CONNECTA</t>
  </si>
  <si>
    <t>Av Cl 26 # 92-32 MD 64 Y 65 PISO 4</t>
  </si>
  <si>
    <t>conecta@bodytechcorp.com</t>
  </si>
  <si>
    <t>IPS CENTRO MEDICO DEPORTIVO ATHLETIC GRAN GRANADA</t>
  </si>
  <si>
    <t>GLADYS MARCELA SANCHEZ CALDUCHO</t>
  </si>
  <si>
    <t>Av Cl 80 # 116 B 23 Cs 1 P 1 Y P 2</t>
  </si>
  <si>
    <t>grangranada.gerente@athleticgym.com.co</t>
  </si>
  <si>
    <t>IPS CENTRO MEDICO DEPORTIVO ATHLETIC CALLE 170</t>
  </si>
  <si>
    <t>JACKSON STICK BONILLA SAENZ</t>
  </si>
  <si>
    <t>Cl 169 B # 67 - 61 Cs 1 P1 Y P2</t>
  </si>
  <si>
    <t>calle170.gerente@athleticgym.com.co</t>
  </si>
  <si>
    <t>IPS CENTRO MEDICO DEPORTIVO ATHLETIC CALLE 147</t>
  </si>
  <si>
    <t>BRAYAN ALEXIS COBOS RINCӎ</t>
  </si>
  <si>
    <t>Cr 7 B # 146 - 90 Cs 1 P1 Y P2</t>
  </si>
  <si>
    <t>gerente.calle147@athleticgym.com.co</t>
  </si>
  <si>
    <t>IPS CENTRO MEDICO DEPORTIVO ATHLETIC FONTIBON</t>
  </si>
  <si>
    <t>YASMIN MORA MORA</t>
  </si>
  <si>
    <t>Cl 17 # 96 A - 56/60 Piso 1 Y 2</t>
  </si>
  <si>
    <t>3193192956 - 3213046169</t>
  </si>
  <si>
    <t>fontibon.gerente@athleticgym.com.co</t>
  </si>
  <si>
    <t>IPS CENTRO MEDICO DEPORTIVO ATHLETIC ENGATIVA</t>
  </si>
  <si>
    <t>FREDY ALEXANDER BONILLA RENTERIA</t>
  </si>
  <si>
    <t>Tv 113 # 66 - 87 Piso 1 Y 2</t>
  </si>
  <si>
    <t>engativa.gerente@athleticgym.com.co</t>
  </si>
  <si>
    <t>RED COLOMBIANA DE MEDICINA GENETICA SAS PREGEN</t>
  </si>
  <si>
    <t>RAMIREZ URIBE MARIA VICTORIA</t>
  </si>
  <si>
    <t>CRA 15A No 106-42</t>
  </si>
  <si>
    <t>pregen@pregencolombia.com</t>
  </si>
  <si>
    <t>www.pregencolombia.com</t>
  </si>
  <si>
    <t>PREGEN</t>
  </si>
  <si>
    <t>CONSTANZA BERNAL VILLEGAS</t>
  </si>
  <si>
    <t>KR 15 A # 106 42</t>
  </si>
  <si>
    <t>pregen@cable.net.co</t>
  </si>
  <si>
    <t>MEDICOS CARDIOLOGOS ASOCIADOS MEDICARDIA LTDA</t>
  </si>
  <si>
    <t>MENDOZA MENDEZ EYDI</t>
  </si>
  <si>
    <t>CRA 16 # 82 74 CONS 417- 419</t>
  </si>
  <si>
    <t>2367755 3133916296 3011051058 3011579270</t>
  </si>
  <si>
    <t>medicardia2000@yahoo.es</t>
  </si>
  <si>
    <t>PATOLAB SAS</t>
  </si>
  <si>
    <t>TEUZABA TORRES ESPERANZA</t>
  </si>
  <si>
    <t>Cr 19C # 90-14 Cs 308-309-303-304-306</t>
  </si>
  <si>
    <t>patolab@patolab-ltda.com</t>
  </si>
  <si>
    <t>PATOLAB SAS CALLE 90</t>
  </si>
  <si>
    <t>ESPERANZA TEUZABA TORRES</t>
  </si>
  <si>
    <t>PATOLAB SAS CALLE 91</t>
  </si>
  <si>
    <t>Esperanza Teuzaba Torres</t>
  </si>
  <si>
    <t>CALLE 91 No. 19 C - 55 CONSULTORIO 205</t>
  </si>
  <si>
    <t>ORDEN MINISTROS DE LOS ENFERMOS</t>
  </si>
  <si>
    <t>NESPOLI BRUNO</t>
  </si>
  <si>
    <t>CARRERA 15 ESTE No. 69 - 60 SUR</t>
  </si>
  <si>
    <t>cmsancamilo@gmail.com</t>
  </si>
  <si>
    <t>CENTRO SAN CAMILO JUAN REY</t>
  </si>
  <si>
    <t>FRANK JHORDANO CASTRO GUZMAN</t>
  </si>
  <si>
    <t>CENTRO DE ANGIOLOGIA Y CIRUGIA VASCULAR LTDA</t>
  </si>
  <si>
    <t>KR 13 # 49 40 CS 425</t>
  </si>
  <si>
    <t>gerencia@centrodeangiologia.com</t>
  </si>
  <si>
    <t>IGNACIO UCROS DIAZ</t>
  </si>
  <si>
    <t>KR 13 # 49 40 OF 425</t>
  </si>
  <si>
    <t>CENTRO DE ANGIOLOGIA Y CIRUGIA VASCULAR LTDA SEDE SANTANA</t>
  </si>
  <si>
    <t>CALLE 119 N 7 14 CONS 316</t>
  </si>
  <si>
    <t>OFTALMOS S.A.</t>
  </si>
  <si>
    <t>IGNACIO BARRAQUER COLL</t>
  </si>
  <si>
    <t>AV 100 No. 18 A 51</t>
  </si>
  <si>
    <t>2187077 ext 326</t>
  </si>
  <si>
    <t>gcalidad@barraquer.com.co</t>
  </si>
  <si>
    <t>WWW.BARRAQUER.COM.CO</t>
  </si>
  <si>
    <t>CLINICA BARRAQUER</t>
  </si>
  <si>
    <t>N鳴or Dar�Bustamante Ram�z</t>
  </si>
  <si>
    <t>SOCIEDAD PEDIATRICA DE LOS ANDES S.A.S - SPLA S.A.S.</t>
  </si>
  <si>
    <t>EDGAR AUGUSTO CASTRO CAMACHO</t>
  </si>
  <si>
    <t>Carrera 48 # 94-19 Pisos 0, 1, 2, 3 y 4</t>
  </si>
  <si>
    <t>gerencia@spla.com.co</t>
  </si>
  <si>
    <t>SOCIEDAD PEDIATRICA DE LOS ANDES S.A.S - SPLA S.A.S</t>
  </si>
  <si>
    <t>JENNY PAOLA MOLANO PERALTA</t>
  </si>
  <si>
    <t>LABORATORIO VASCULAR ECOLAB Y COMPAщA LIMITADA</t>
  </si>
  <si>
    <t>VICTOR GUILLERMO BRETON MARTINEZ</t>
  </si>
  <si>
    <t>KR 18 # 84 11 CS 603</t>
  </si>
  <si>
    <t>info@ecolab.net.co</t>
  </si>
  <si>
    <t>CARDIOLOG LABORATORIO DE CARDIOLOGIA INTEGRAL LIMITADA</t>
  </si>
  <si>
    <t>ACUс OLMOS JAIRO</t>
  </si>
  <si>
    <t>AC 127 # 20 78 CS 409 y 411</t>
  </si>
  <si>
    <t>2593531-6156908</t>
  </si>
  <si>
    <t>cardiologltda@gmail.com</t>
  </si>
  <si>
    <t>GUSTAVO ADOLFO FUENTES MARTINEZ</t>
  </si>
  <si>
    <t>AC 127 # 20 - 78 CS 409 Y 411</t>
  </si>
  <si>
    <t>MEDICANESTESIA S.A</t>
  </si>
  <si>
    <t>PINILLA ROJAS ALVARO ALEJANDRO</t>
  </si>
  <si>
    <t>AK 9 # 116 20 OF 740</t>
  </si>
  <si>
    <t>medicanestesia@ama.com.co</t>
  </si>
  <si>
    <t>JHON ALEXANDER RESTREPO RESTREPO</t>
  </si>
  <si>
    <t>CL 119 # 7 86/80/74/66 PI 10 CS 1001,1002,1003 PI 4 CS 412</t>
  </si>
  <si>
    <t>CENTRO DE ENDOCRINOLOGIA Y ENFERMEDADES METABOLICAS LTDA</t>
  </si>
  <si>
    <t>MONTOYA LOPEZ BLANCA LUCY</t>
  </si>
  <si>
    <t>CRA. 16 No. 84A - 09 Cons. 712</t>
  </si>
  <si>
    <t>luzs08@hotmail.com</t>
  </si>
  <si>
    <t>CRA 16 # 84 A 09 CONS 712</t>
  </si>
  <si>
    <t>UNIDAD DE NEUROLOGIA LIMITADA</t>
  </si>
  <si>
    <t>DIAZ PECCHENINO FERNANDO</t>
  </si>
  <si>
    <t>CARRERA 16 N 84 A 09 CS 523</t>
  </si>
  <si>
    <t>unidaddeneurologia@gmail.com</t>
  </si>
  <si>
    <t>https://unidaddeneurologia.com</t>
  </si>
  <si>
    <t>LUIS ALFONSO BARRAGAN ASIS</t>
  </si>
  <si>
    <t>CARRERA 16 N 84A 09 CS 523</t>
  </si>
  <si>
    <t>ALARCON FORERO SOCIEDAD DE MEDICINA DEPORTIVA LTDA AF MEDICINA DEPORTIVA LTDA</t>
  </si>
  <si>
    <t>FORERO FRANCO JUAN PABLO</t>
  </si>
  <si>
    <t>CALLE 106 No. 17 A 58 PISO 01</t>
  </si>
  <si>
    <t>personalgym@gmail.com</t>
  </si>
  <si>
    <t>AF MEDICINA DEPORTIVA</t>
  </si>
  <si>
    <t>9320283/3112456011</t>
  </si>
  <si>
    <t>CENTRO DE ENFERMEDADES MAMARIAS LTDA</t>
  </si>
  <si>
    <t>GUTIERREZ MARTINEZ RAFAEL ANDRES</t>
  </si>
  <si>
    <t>Carrera 16 82 47 Consultorio 502A, 601A, 601B, 602, 702B</t>
  </si>
  <si>
    <t>6019158390 3214950722</t>
  </si>
  <si>
    <t>administracion@cenfma.com</t>
  </si>
  <si>
    <t>www.cenfma.com</t>
  </si>
  <si>
    <t>NINA PATRICIA GUTIERREZ CAICEDO</t>
  </si>
  <si>
    <t>6019158390 3102397856</t>
  </si>
  <si>
    <t>INSTITUTO OFTALMOLOGICO SALAMANCA S.A IOSAL</t>
  </si>
  <si>
    <t>SALAMANCA LOPEZ MANUEL ANTONIO</t>
  </si>
  <si>
    <t>CRA 18 # 79 32 PISO 1-2</t>
  </si>
  <si>
    <t>IOSAL@HOTMAIL.COM</t>
  </si>
  <si>
    <t>GIOVANNI SALAMANCA PALACIOS</t>
  </si>
  <si>
    <t>iosal@hotmail.com</t>
  </si>
  <si>
    <t>INSTITUTO AMERICANO DE OFTALMOLOGIA S.A.S</t>
  </si>
  <si>
    <t>ASTUDILLO MUяZ ITALO</t>
  </si>
  <si>
    <t>KR 15 # 88-20 PISO 2</t>
  </si>
  <si>
    <t>2573064 - 2566081</t>
  </si>
  <si>
    <t>calidad.iao@gmail.com</t>
  </si>
  <si>
    <t>INSTITUTO AMERICANO DE OFTALMOLOGIA</t>
  </si>
  <si>
    <t>FUNDACION LIGA CENTRAL CONTRA LA EPILEPSIA</t>
  </si>
  <si>
    <t>MEDINA MALO CARLOS HERNANDO</t>
  </si>
  <si>
    <t>CALLE 35 # 17 48 PISO 1</t>
  </si>
  <si>
    <t>2455717-7487058-3223047602</t>
  </si>
  <si>
    <t>administracion@epilepsia.org</t>
  </si>
  <si>
    <t>www.epilepsia.org</t>
  </si>
  <si>
    <t>fundacion liga central contra la epilepsia</t>
  </si>
  <si>
    <t>JULIETA HERNANDEZ DE CASTAя</t>
  </si>
  <si>
    <t>Cl 35 Nmero 17-48 PISO 1</t>
  </si>
  <si>
    <t>FISIOTERAPIA AVANZADA S.A.S</t>
  </si>
  <si>
    <t>VILLALBA BOTERO AMPARO</t>
  </si>
  <si>
    <t>CALLE 134 # 7B - 83 OFICINA 913</t>
  </si>
  <si>
    <t>info@fisioavanzada.com.co</t>
  </si>
  <si>
    <t>www.fisioavanzada.com.co</t>
  </si>
  <si>
    <t>ALEJANDRA ORJUELA PERDOMO</t>
  </si>
  <si>
    <t>CORPORACION SINDROME DE DOWN</t>
  </si>
  <si>
    <t>PEREZ ARCINIEGAS MAURICIO</t>
  </si>
  <si>
    <t>CARRERA 49 # 99 - 10</t>
  </si>
  <si>
    <t>administracion@corporacionsindromededown.org</t>
  </si>
  <si>
    <t>LUZ EUGENIA GARCIA DE GALINDO</t>
  </si>
  <si>
    <t>CARRERA 49 # 99-10</t>
  </si>
  <si>
    <t>direccion@corporacionsindromededown.org</t>
  </si>
  <si>
    <t>corporacion sindorme de down</t>
  </si>
  <si>
    <t>Luz Eugenia Garcia de Galindo</t>
  </si>
  <si>
    <t>carrera 57 c N 128-03</t>
  </si>
  <si>
    <t>ingreso@corporacionsindromededown.org</t>
  </si>
  <si>
    <t>CARRERA 59 A NO. 128 B 31 MANZANA 7 URBANIZACION LAS VILLAS</t>
  </si>
  <si>
    <t>LABORATORIO DE OTONEUROLOGIA - INSTITUTO NACIONAL DE OTOLOGIA GARCIA GOMEZ SAS</t>
  </si>
  <si>
    <t>JUAN MANUEL GARCIA GOMEZ</t>
  </si>
  <si>
    <t>AV. CR 9 NO 116 - 20 CONSULTORIO. 219 Y 219 A</t>
  </si>
  <si>
    <t>3143168254-3161689</t>
  </si>
  <si>
    <t>calidad@juanmanuelgarcia.co</t>
  </si>
  <si>
    <t>AV. CR 9 NO. 116 - 20 CONSULTORIO 219 Y 219A</t>
  </si>
  <si>
    <t>l.gomez@juanmanuelgarcia.co</t>
  </si>
  <si>
    <t>INSTITUTO NACIONAL DE OTOLOGIA GARCIA GOMEZ - SANTA ANA MEDICAL CENTER</t>
  </si>
  <si>
    <t>CL 119 NO 7 - 14 CS 320 - CS 317 - CS 717</t>
  </si>
  <si>
    <t>601 3161689</t>
  </si>
  <si>
    <t>UNIDAD MEDICO QUIRڒGICA DE ORL SAS SIGLA UNIMEQ ORL SAS</t>
  </si>
  <si>
    <t>PEсRANDA SAN JUAN AUGUSTO</t>
  </si>
  <si>
    <t>Transversal 23 94 33 Oficina 301</t>
  </si>
  <si>
    <t>7396139 - 3118995244</t>
  </si>
  <si>
    <t>augpenar@gmail.com</t>
  </si>
  <si>
    <t>UNIMEQ ORL SAS</t>
  </si>
  <si>
    <t>GARCIA GOMEZ ELIZABETH</t>
  </si>
  <si>
    <t>Avenida Carrera 9 116 20 Consultorio 203-207-209-211-215-217-221</t>
  </si>
  <si>
    <t>7396139 3118995244</t>
  </si>
  <si>
    <t>calidad@unimeqorl.co</t>
  </si>
  <si>
    <t>UNIDAD MEDICO QUIRڒGICA DE ORL S.A.S</t>
  </si>
  <si>
    <t>ELIZABETH GARCIA GOMEZ</t>
  </si>
  <si>
    <t>KR 7 BIS 124 26 CS 301, 302</t>
  </si>
  <si>
    <t>7396139 y 3118995244</t>
  </si>
  <si>
    <t>UNIDAD MEDICO QUIRURGICA DE ORL</t>
  </si>
  <si>
    <t>Transversal 23 No 94-33 Consultorio 201 Y 202</t>
  </si>
  <si>
    <t>UNIMEQ ORL SAS.</t>
  </si>
  <si>
    <t>Elizabeth Garc�G󭥺</t>
  </si>
  <si>
    <t>Carrera 56 # 9-17 Local 4 y 5</t>
  </si>
  <si>
    <t>Avenida Calle 116 9 72 Consultorio 207- 208</t>
  </si>
  <si>
    <t>7396139 -3118995244</t>
  </si>
  <si>
    <t>ELIZABETH GARĆ GӍEZ</t>
  </si>
  <si>
    <t>Cr 91 N 139 - 34 Lc 10 y 11</t>
  </si>
  <si>
    <t>(601) 7396139</t>
  </si>
  <si>
    <t>DENTIFACIL LTDA</t>
  </si>
  <si>
    <t>GARCIA ZUщGA ANDRES</t>
  </si>
  <si>
    <t>AV 19 # 118 95 OF 202</t>
  </si>
  <si>
    <t>dentifacilsantabarbara2023@gmail.com</t>
  </si>
  <si>
    <t>DENTIFACIL</t>
  </si>
  <si>
    <t>IMEVI SAS</t>
  </si>
  <si>
    <t>GOMEZ QUIN TITO EDUARDO</t>
  </si>
  <si>
    <t>CALLE 75A # 20C-19 PISO 1 - Barrio:SAN FELIPE</t>
  </si>
  <si>
    <t>7462749 - 3155776677</t>
  </si>
  <si>
    <t>servicios.habilitacion@imevisas.co</t>
  </si>
  <si>
    <t>SEDE CIRUǴ SALUD VISUAL</t>
  </si>
  <si>
    <t>TITO EDUARDO GOMEZ QUIN</t>
  </si>
  <si>
    <t>CR 18 # 80 - 06 CS 417, 419 Y 501 CENTRO MEDICO COUNTRY 80 ETAPA II - PROPIEDAD HORIZONTAL</t>
  </si>
  <si>
    <t>SEDE KENNEDY SALUD VISUAL</t>
  </si>
  <si>
    <t>CRA 78 No 34 SUR - 32</t>
  </si>
  <si>
    <t>SEDE CALLE 75 SALUD VISUAL</t>
  </si>
  <si>
    <t>CALLE 75A # 20C-19 PISO 1 y 2</t>
  </si>
  <si>
    <t>SEDE SUBA SALUD VISUAL</t>
  </si>
  <si>
    <t>JUAN ELISEO MACHADO</t>
  </si>
  <si>
    <t>CL 139 NO. 94 55 LC 3</t>
  </si>
  <si>
    <t>MIRARI CARE</t>
  </si>
  <si>
    <t>AVENIDA CARRERA 19 NO. 103 72 PISO 1 Y 2</t>
  </si>
  <si>
    <t>SEDE PASEO VILLA DEL RIO SALUD VISUAL</t>
  </si>
  <si>
    <t>Juan Eliseo Machado Rodriguez</t>
  </si>
  <si>
    <t>Diagonal 57C Sur No.62-60 Local 259-260</t>
  </si>
  <si>
    <t>SEDE COLINA SALUD VISUAL</t>
  </si>
  <si>
    <t>Carrera 59 # 152 b - 79 Consultorio 201 - 202</t>
  </si>
  <si>
    <t>SEDE RESTREPO SALUD VISUAL</t>
  </si>
  <si>
    <t>CR 18 NO. 15 - 34 SUR</t>
  </si>
  <si>
    <t>SEDE ELEMENTO SALUD VISUAL</t>
  </si>
  <si>
    <t>JUAN ELISEO MACHADO RODR͇UEZ</t>
  </si>
  <si>
    <t>CL 26 NO. 69 - 76 OFIC 701 - 702 TO 3</t>
  </si>
  <si>
    <t>SEDE CALLE 100 SALUD VISUAL</t>
  </si>
  <si>
    <t>CALLE 99 # 49 - 38 CS 401, 407, 408, 409, 410, 411, 412</t>
  </si>
  <si>
    <t>SEDE GRAN ESTACION SALUD VISUAL</t>
  </si>
  <si>
    <t>Ak 60 # 24 - 09 Lc 220 Cc Gran Estacion</t>
  </si>
  <si>
    <t>CALLE 75 TORRE B SALUD VISUAL</t>
  </si>
  <si>
    <t>JUAN ELISEO MACHADO RODRIGUEZ</t>
  </si>
  <si>
    <t>CALLE 75A NO. 20C - 55</t>
  </si>
  <si>
    <t>DIAGNOSTICO OCULAR DEL COUNTRY S.A.S</t>
  </si>
  <si>
    <t>MCWHIRTER SHARON JANE</t>
  </si>
  <si>
    <t>CARRERA 16 82 95 CONSULTORIO 702B - 703</t>
  </si>
  <si>
    <t>diagnosticooculardelcountrysas@gmail.com</t>
  </si>
  <si>
    <t>https://diagnosticoocular.com/</t>
  </si>
  <si>
    <t>HECTOR FERNANDO GOMEZ GOYENECHE</t>
  </si>
  <si>
    <t>Carrera 16 82 95 Consultorio 702B- 703</t>
  </si>
  <si>
    <t>DIAGNOSTICOOCULARDELCOUNTRYSAS@GMAIL.COM</t>
  </si>
  <si>
    <t>RADIOLOGIA Y MEDICINA NUCLEAR DE LA SABANA SAS RADIONUCLEAR SAS</t>
  </si>
  <si>
    <t>PEс RODRIGUEZ PEDRO MANUEL</t>
  </si>
  <si>
    <t>AK 7 # 119 14 LOCAL 110</t>
  </si>
  <si>
    <t>6012158860, 6012156258</t>
  </si>
  <si>
    <t>RADIONUCLEAR1@HOTMAIL.COM</t>
  </si>
  <si>
    <t>RADIOLOGIA Y MEDICINA NUCLEAR DE LA SABANA</t>
  </si>
  <si>
    <t>INSTITUTO DE DIAGNOSTICO MEDICO S.A.</t>
  </si>
  <si>
    <t>PATRICIA HERNANDEZ</t>
  </si>
  <si>
    <t>CL 76 # 13 - 46</t>
  </si>
  <si>
    <t>3143615683 - 3117346055 - 310552 46 69</t>
  </si>
  <si>
    <t>legal@idime.com.co, contabilidad@idime.com.co, notificaciones.calidad@idime.com.co</t>
  </si>
  <si>
    <t>WWW.IDIME.COM.CO</t>
  </si>
  <si>
    <t>IDIME S.A SEDE LAGO</t>
  </si>
  <si>
    <t>LIDA YAMILE GONZALEZ BOLIVAR</t>
  </si>
  <si>
    <t>CALLE 76 # 13 46</t>
  </si>
  <si>
    <t>3143615683 - 3229071832 - 310 552 46 69</t>
  </si>
  <si>
    <t>http://www.idime.com.co</t>
  </si>
  <si>
    <t>IDIME S.A SEDE NORTE</t>
  </si>
  <si>
    <t>AK 45 # 122 68</t>
  </si>
  <si>
    <t>IDIME LA CAROLINA</t>
  </si>
  <si>
    <t>KR 14 # 127 11 CS 101</t>
  </si>
  <si>
    <t>INSTITUTO DE DIAGNӓTICO MEDICO S.A SEDE SUR</t>
  </si>
  <si>
    <t>CARRERA 21 # 22-66/68 SUR TORRE 1 - PISO 1</t>
  </si>
  <si>
    <t>INSTITUTO DE DIAGNOSTICO MEDICO SA SEDE OCCIDENTE</t>
  </si>
  <si>
    <t>AV AMERICAS # 69 C 84 94</t>
  </si>
  <si>
    <t>IDIME SEDE LAGO CALLE 77</t>
  </si>
  <si>
    <t>CALLE 77 # 13 35</t>
  </si>
  <si>
    <t>3143615683 - 3229071832 - 310552 46 69</t>
  </si>
  <si>
    <t>INSTITUTO DE DIAGNOSTICO MEDICO SA TOBERIN</t>
  </si>
  <si>
    <t>CR 19 B NO. 168 - 53</t>
  </si>
  <si>
    <t>INSTITUTO DE DIAGNOSTICO MEDICO S.A. SEDE CLINICA NUEVA EL LAGO</t>
  </si>
  <si>
    <t>Calle 76 No. 15-55 S󴡮o 1 ( S1-3 S1-4 S1-5) S󴡮o 2 y Piso 1 (P1-15)</t>
  </si>
  <si>
    <t>LENTES DE CONTACTO HELMUTH SCHMIDT MUMM SAS</t>
  </si>
  <si>
    <t>SCHMIDT MUMM HELMUTH</t>
  </si>
  <si>
    <t>AV CLL 19 # 5 51 OF 306</t>
  </si>
  <si>
    <t>LENTESHSN@HOTMAIL.COM</t>
  </si>
  <si>
    <t>CL 98 # 15 11 LC 101</t>
  </si>
  <si>
    <t>LENTESHSM@HOTMAIL.COM</t>
  </si>
  <si>
    <t>CENTRO OFTALMOLOGICO DE LASER SAS SIGLA COLASER SAS</t>
  </si>
  <si>
    <t>MARIO ENRIQUE ORTIZ GOMEZ</t>
  </si>
  <si>
    <t>CL 93 # 15 51 OF 310 y 206-1</t>
  </si>
  <si>
    <t>6185414-3144743441</t>
  </si>
  <si>
    <t>colaserltda@hotmail.com</t>
  </si>
  <si>
    <t>CENTRO OFTALMOLOGICO DE LASER</t>
  </si>
  <si>
    <t>MARIA ISABEL CARBONELL CASTILLO</t>
  </si>
  <si>
    <t>INTEGRA MEDICA COLOMBIA S.A.</t>
  </si>
  <si>
    <t>DAZA CARREя JAIME ORLANDO</t>
  </si>
  <si>
    <t>Cr 14 N. 127-11 Consultorio 303 Mezanine Piso 1</t>
  </si>
  <si>
    <t>3108087950 - 3138867226 - 3204970790</t>
  </si>
  <si>
    <t>gerencia@integramedicacolombia.com</t>
  </si>
  <si>
    <t>https://integramedicacolombia.com</t>
  </si>
  <si>
    <t>Jaime Orlando Daza Carre񯼯td&gt;</t>
  </si>
  <si>
    <t>Cr 14 N. 127 - 11 Consultorio 303 Mezanine Piso 1</t>
  </si>
  <si>
    <t>3108087950- 3138867226 - 3204970790</t>
  </si>
  <si>
    <t>CENTRO DE TECNOLOGIA OFTALMICA S.A.S. Y PODR`UTILIZAR LA SIGLA CTO S.A.S</t>
  </si>
  <si>
    <t>GARCIA PAVA ALVARO</t>
  </si>
  <si>
    <t>CRA 16 N 97 - 46 ED TORRE 97 LOCAL 5</t>
  </si>
  <si>
    <t>centrodetecnologia@ctoltda.com</t>
  </si>
  <si>
    <t>OPTICA ZONA O</t>
  </si>
  <si>
    <t>ALFONSO MARIA UCROS CUELLAR</t>
  </si>
  <si>
    <t>SOCIEDAD DE ENFERMERAS PROFESIONALES SAS - SEP SAS</t>
  </si>
  <si>
    <t>GUTIERREZ ESCOBAR MARIA ESMERALDA</t>
  </si>
  <si>
    <t>Carrera 18 No 140 - 53</t>
  </si>
  <si>
    <t>clinicasep@hotmail.com</t>
  </si>
  <si>
    <t>www.clinicasep.com</t>
  </si>
  <si>
    <t>MARIA ESMERALDA GUTIERREZ ESCOBAR</t>
  </si>
  <si>
    <t>SOCIEDAD DE ENFERMERAS PROFESIONALES SAS</t>
  </si>
  <si>
    <t>Carrera 18 No.134-71</t>
  </si>
  <si>
    <t>CIRULASER ANDES S.A</t>
  </si>
  <si>
    <t>DEL VALLE RODRIGUEZ ARMANDO JOSE</t>
  </si>
  <si>
    <t>Avenida Carrera 9 # 116 20 Local 108 Cs 301, 301 A, 301 B, 301 C</t>
  </si>
  <si>
    <t>3202336309 - 6017420571</t>
  </si>
  <si>
    <t>gerenciacirulaser@gmail.com</t>
  </si>
  <si>
    <t>JUAN CARLOS ALDANA CELIS</t>
  </si>
  <si>
    <t>Avenida Carrera 9 # 116 20 Local108 Cs 301, 301A, 301B,301C</t>
  </si>
  <si>
    <t>6373911 - 3202336309</t>
  </si>
  <si>
    <t>INSTITUTO DE CORNEA S A S</t>
  </si>
  <si>
    <t>CHACON APONTE ALBERTO</t>
  </si>
  <si>
    <t>KR 7 A # 121 36 PRIMER PISO</t>
  </si>
  <si>
    <t>ALCHACON@INCORNEA.COM.CO</t>
  </si>
  <si>
    <t>INSTITUTO DE CORNEA</t>
  </si>
  <si>
    <t>ALBERTO CHACON APONTE</t>
  </si>
  <si>
    <t>KR 7A # 121 - 36 PRIMER PISO</t>
  </si>
  <si>
    <t>calidad@incornea.com.co</t>
  </si>
  <si>
    <t>CENTRO DE EVALUACION MEDICA PORVIDA LIMITADA La sociedad podra usar la sigla CEM PORVIDA</t>
  </si>
  <si>
    <t>HERNANDEZ HERNANDEZ MARIA HELNA</t>
  </si>
  <si>
    <t>Av. Calle 9 # 50 15 Local C1060</t>
  </si>
  <si>
    <t>5640026 - 3125890196</t>
  </si>
  <si>
    <t>umedica@porvida.com.co asistenteadministrativa@porvida.com.co</t>
  </si>
  <si>
    <t>CENTRO DE EVALUACION MEDICA PORVIDA LIMITADA</t>
  </si>
  <si>
    <t>asistenteadministrativa@porvida.com.co</t>
  </si>
  <si>
    <t>MEDICA MAGDALENA SAS</t>
  </si>
  <si>
    <t>FRANCO REY JAIME EDUARDO</t>
  </si>
  <si>
    <t>CALLE 39 # 14 34</t>
  </si>
  <si>
    <t>direccionadministrativa@clinicamagdalena.com contabilidad@clinicamagdalena.com calidad@clinicamagdalena.com</t>
  </si>
  <si>
    <t>NUEVA CLINICA MAGDALENA</t>
  </si>
  <si>
    <t>JAIME EDUARDO FRANCO SANDINO</t>
  </si>
  <si>
    <t>CALLE 39 No. 14-34</t>
  </si>
  <si>
    <t>CENTRO MEDICO DE ORIENTACION LA GLORIA S.A.S SIGLA IPS LA GLORIA S.A.S</t>
  </si>
  <si>
    <t>MUяZ CORREA LUZ DAICY</t>
  </si>
  <si>
    <t>CALLE 34 # 15 51</t>
  </si>
  <si>
    <t>lagloriaipssas@hotmail.com</t>
  </si>
  <si>
    <t>CENTRO MEDICO DE ORIENTACION LA GLORIA S.A.S IPS</t>
  </si>
  <si>
    <t>PANORAMAX LTDA</t>
  </si>
  <si>
    <t>MONROY HERNANDEZ JOSE GUILLERMO</t>
  </si>
  <si>
    <t>CALLE 49 # 9 21 PISO 1</t>
  </si>
  <si>
    <t>radiologicopanoramaxmonroy@gmail.com</t>
  </si>
  <si>
    <t>ASOCIACION DE AMIGOS CONTRA EL CANCER PROSEGUIR</t>
  </si>
  <si>
    <t>GARCIA PARRA GINNA ROCIO</t>
  </si>
  <si>
    <t>CARRERA 16 No 59-04 Barrio:CHAPINERO</t>
  </si>
  <si>
    <t>5557080 EXT 1026</t>
  </si>
  <si>
    <t>calidad@proseguir.org</t>
  </si>
  <si>
    <t>www.proseguir.org</t>
  </si>
  <si>
    <t>GINNA ROCIO GARCIA PARRA</t>
  </si>
  <si>
    <t>AC 32 # 15 31 piso 1 y 2</t>
  </si>
  <si>
    <t>CENTRO DE CUIDADO INTERMEDIO</t>
  </si>
  <si>
    <t>GINNA GARCIA PARRA</t>
  </si>
  <si>
    <t>CALLE 33 BIS NO 15-50</t>
  </si>
  <si>
    <t>PROSEGUIR SEDE 3</t>
  </si>
  <si>
    <t>Cra. 16 N 59-04</t>
  </si>
  <si>
    <t>ASOCIADOS EN REPRODUCCION HUMANA SAS</t>
  </si>
  <si>
    <t>CUBILLOS GARCIA MARY JEANNETTE</t>
  </si>
  <si>
    <t>CL 134 # 7 B 83 CS 708</t>
  </si>
  <si>
    <t>(601) 7440055 - 3103440493- 3144443278</t>
  </si>
  <si>
    <t>jeancubi1@gmail.com</t>
  </si>
  <si>
    <t>OBGYN S.A.S</t>
  </si>
  <si>
    <t>CARRERA 19 A NO. 82 85 CONSULTORIO 801</t>
  </si>
  <si>
    <t>6358057 - 6215670</t>
  </si>
  <si>
    <t>obgynltda@hotmail.com</t>
  </si>
  <si>
    <t>OBGYN</t>
  </si>
  <si>
    <t>LUIS ANDRES SARMIENTO RODRIGUEZ</t>
  </si>
  <si>
    <t>RADIOTERAPIA ONCOLOGIA MARLY S.A</t>
  </si>
  <si>
    <t>ESGUERRA VILLAMIZAR HERMAN JOSE</t>
  </si>
  <si>
    <t>CRA 9 # 49 22</t>
  </si>
  <si>
    <t>2878154 Ext 106</t>
  </si>
  <si>
    <t>gerencia@radioterapiaoncologiamarly.com</t>
  </si>
  <si>
    <t>HERMAN JOSE ESGUERRA VILLAMIZAR</t>
  </si>
  <si>
    <t>RADIOTERAPIA ONCOLOGIA MARLY EQUIPO 2</t>
  </si>
  <si>
    <t>KR 8 # 49 34 SOTANO 3 PI 7</t>
  </si>
  <si>
    <t>2124395 2878154 EXT 40 - 3222000488</t>
  </si>
  <si>
    <t>EVOLUCIONAR SERVICIOS DE SALUD SAS</t>
  </si>
  <si>
    <t>ESTRADA MADRIGAL CLAUDIA ISABEL</t>
  </si>
  <si>
    <t>CL 95 No. 11-51 of. 201-204</t>
  </si>
  <si>
    <t>claudiaricaurte@evolucionar.com.co</t>
  </si>
  <si>
    <t>www.evolucionar.com.co</t>
  </si>
  <si>
    <t>DIANA CRISTINA OBANDO POLO</t>
  </si>
  <si>
    <t>CLL 95 No 11- 51 OF 201-202-204</t>
  </si>
  <si>
    <t>MAGBA NEURODIGITAL S.A.S</t>
  </si>
  <si>
    <t>OLGA LUCIA HINESTROZA CASTRO</t>
  </si>
  <si>
    <t>CARRERA 16A # 82-46 CONSULTORIO 711</t>
  </si>
  <si>
    <t>magbaneurodigital@gmail.com</t>
  </si>
  <si>
    <t>magbaneuro@hotmail.com</t>
  </si>
  <si>
    <t>ORTHO WAVE COLOMBIA SAS</t>
  </si>
  <si>
    <t>LEAL CONTRERAS CARLOS ALBERTO</t>
  </si>
  <si>
    <t>AC 134 # 7 B 83 OF 122 CS 4</t>
  </si>
  <si>
    <t>gerenciageneral@drorthowavecolombia.com</t>
  </si>
  <si>
    <t>Angela Rocio Hernandez Arenas</t>
  </si>
  <si>
    <t>AC 134 # 7 B 83 OF 122 Cs 4 y 621</t>
  </si>
  <si>
    <t>orthowavecolombia@hotmail.com</t>
  </si>
  <si>
    <t>UNIDAD DE LABORATORIOS ESPECIALIZADA S.A.S. SIGLA: ZEPHIA 1-A S.A.S.</t>
  </si>
  <si>
    <t>BECERRA DIAZ LINA ESPERANZA</t>
  </si>
  <si>
    <t>CALLE 93 N 14 - 20 entrada C Torre Norte Consultorio 410 Centro Comercial Centro 93</t>
  </si>
  <si>
    <t>zephia1a@hotmail.com</t>
  </si>
  <si>
    <t>http://www.zephia1a.com/pw/</t>
  </si>
  <si>
    <t>ZEPHIA 1A</t>
  </si>
  <si>
    <t>ANDREA CAROLINA OROZCO CASTAя</t>
  </si>
  <si>
    <t>FOTOTERAPIA BOJANINI Y LOPEZ SAS</t>
  </si>
  <si>
    <t>BOJANINI MORRON GIOVANI JOSE</t>
  </si>
  <si>
    <t>Calle 127 Bis # 19-25, Consultorio 302 - Edificio Imagen 127</t>
  </si>
  <si>
    <t>angelalopezfajardo8@hotmail.com</t>
  </si>
  <si>
    <t>FOTOTERAPIA BOJANINI Y LOPEZ S.A.S</t>
  </si>
  <si>
    <t>Calle 127 bis # 19-25 con 302</t>
  </si>
  <si>
    <t>FOTOTERAPIA BOJANINI Y LOPEZ SAS CALLE 66</t>
  </si>
  <si>
    <t>ANGELA SUSANA LOPEZ FAJARDO</t>
  </si>
  <si>
    <t>Calle 66 #11-50 Oficina 502-505-506</t>
  </si>
  <si>
    <t>3099228 - 3099229</t>
  </si>
  <si>
    <t>CENTRO OCULAR DE MIOPIA DR. RINCON SOCIEDAD POR ACCIONES SIMPLIFICADAS S A S</t>
  </si>
  <si>
    <t>SANCHEZ CIFUENTES TERESA</t>
  </si>
  <si>
    <t>AV CR 19 103 21</t>
  </si>
  <si>
    <t>calidad@centrooculardrrincon.co</t>
  </si>
  <si>
    <t>CENTRO OCULAR DE MIOPIA DR RINCON</t>
  </si>
  <si>
    <t>Teresa Sanch麠Cifuentes</t>
  </si>
  <si>
    <t>CENTROOCULARDEMIOPIA@HOTMAIL.COM</t>
  </si>
  <si>
    <t>CENTRO OCULAR DE MIOPIA DR RINCON SEDE CLL 93</t>
  </si>
  <si>
    <t>Teresa Sanchez Cifuentes</t>
  </si>
  <si>
    <t>Ak 45 N 93 - 45</t>
  </si>
  <si>
    <t>UROBOSQUE S.A</t>
  </si>
  <si>
    <t>GUTIERREZ MARTINEZ ALVARO</t>
  </si>
  <si>
    <t>AC 134 No. 7- 83 TO 3 PI 6 MD 361 -TO 2 PI 6 MD 266 CS 1-3</t>
  </si>
  <si>
    <t>6482254 - 3178929377</t>
  </si>
  <si>
    <t>informacion@urobosque.com - direccionadministrativa@urobosque.com</t>
  </si>
  <si>
    <t>ALVARO JR GUTIERREZ MARTINEZ</t>
  </si>
  <si>
    <t>AC 134 # 7 83 TO 3 PI 6 MD 361 -TO 2 PI 6 MD 266 CS 1 - 3</t>
  </si>
  <si>
    <t>6482254 - 3173703964</t>
  </si>
  <si>
    <t>direccionmedica@urobosque.com - christian@tobonmedellinortiz.com</t>
  </si>
  <si>
    <t>UROBOSQUE SEDE SUR</t>
  </si>
  <si>
    <t>CR 32 No.25 B-80</t>
  </si>
  <si>
    <t>informacion@urobosque.com - christian@tobonmedellinortiz.com</t>
  </si>
  <si>
    <t>OPTILASER S.A</t>
  </si>
  <si>
    <t>HENAO DE BRIGARD PABLO JOSE</t>
  </si>
  <si>
    <t>Av Carrera 19 # 95 20 consultorio 707</t>
  </si>
  <si>
    <t>7436009 -316 2815586</t>
  </si>
  <si>
    <t>gerencia@optilaser.com.co</t>
  </si>
  <si>
    <t>http://optilaser.com.co/</t>
  </si>
  <si>
    <t>OPTILSER S.A.</t>
  </si>
  <si>
    <t>SILVIA CRISTINA LOSADA OсTE</t>
  </si>
  <si>
    <t>7436009 - 316 2815586</t>
  </si>
  <si>
    <t>OPTICA ALEMANA EYH SCHMIDT SA</t>
  </si>
  <si>
    <t>SCHMIDT BARRERA JUANITA</t>
  </si>
  <si>
    <t>AC 19 # 9 47</t>
  </si>
  <si>
    <t>contacto@opticaalemana.com.co</t>
  </si>
  <si>
    <t>GONZALO GOMEZ VASQUEZ</t>
  </si>
  <si>
    <t>AC 19 # 9 47 P 1 Ips</t>
  </si>
  <si>
    <t>OPTICA ALEMANA UNICENTRO DE OCCIDENTE</t>
  </si>
  <si>
    <t>Kr. 111C # 86-74 LOCAL 210</t>
  </si>
  <si>
    <t>OPTICA ALEMANA CALLE 122</t>
  </si>
  <si>
    <t>Cl. 122 # 18 B - 73</t>
  </si>
  <si>
    <t>OPTICA ALEMANA COLINA</t>
  </si>
  <si>
    <t>Avenida Carrera 58 # 137 A - 10</t>
  </si>
  <si>
    <t>FUNDACION OFTALMOLOGICA NACIONAL</t>
  </si>
  <si>
    <t>ROCA GARAVITO SANDRA</t>
  </si>
  <si>
    <t>CALLE 50 # 13 50 PISO 1- PISO 2 - PISO 4 (EXCEPTO 407- 409 - 410) Y PISO 5</t>
  </si>
  <si>
    <t>sgerencia@fundonal.org</t>
  </si>
  <si>
    <t>Juan Pablo Cosme Damian Rodriguez Alvira</t>
  </si>
  <si>
    <t>CALLE 50 # 13 50 PISO 1- PISO 2 - PISO 4 EXCEPTO 407-409-410 Y PISO 5</t>
  </si>
  <si>
    <t>LABOPAT SAS Y/O LABOPAT LABORATORIO CLINICO PATOLOGIA Y CITOLOGIA SAS</t>
  </si>
  <si>
    <t>JARAMILLO HOYOS BEATRIZ HELENA</t>
  </si>
  <si>
    <t>CARRERA 13A No. 96-83 Piso 2 y 3</t>
  </si>
  <si>
    <t>7452555-3153626293</t>
  </si>
  <si>
    <t>laboratorio@labopat.com.co</t>
  </si>
  <si>
    <t>WWW.LABOPAT.COM.CO</t>
  </si>
  <si>
    <t>ANDRES REYES JARAMILLO</t>
  </si>
  <si>
    <t>KR 13 A # 96 83 piso 2 y 3</t>
  </si>
  <si>
    <t>LABORATORIO@LABOPAT.COM.CO</t>
  </si>
  <si>
    <t>LABOPAT SAS HORIZONTE</t>
  </si>
  <si>
    <t>AV. CALLE 127 No. 20-78 CONSULTORIO 323</t>
  </si>
  <si>
    <t>3905326-3153626293</t>
  </si>
  <si>
    <t>LABOPAT SAS COUNTRY</t>
  </si>
  <si>
    <t>KR 16 # 82 74 CS 615</t>
  </si>
  <si>
    <t>LABOPAT SAS MARLY</t>
  </si>
  <si>
    <t>Calle 50 No. 8-27 CONSULTORIO 501</t>
  </si>
  <si>
    <t>CENTRO MEDICO LA FACULTAD SAS</t>
  </si>
  <si>
    <t>ESPITIA GALINDO LUIS EDUARDO</t>
  </si>
  <si>
    <t>CRA 18 sur No. 56A-50</t>
  </si>
  <si>
    <t>7608414 - 2059235 - 3132416725</t>
  </si>
  <si>
    <t>i.p.s.lafacultad@hotmail.com</t>
  </si>
  <si>
    <t>www.cmlafacultad.com</t>
  </si>
  <si>
    <t>ALEXANDRA GARCIA CASTILLO</t>
  </si>
  <si>
    <t>CRA 18 Sur No. 56A-50</t>
  </si>
  <si>
    <t>FUNDACION DEL QUEMADO</t>
  </si>
  <si>
    <t>GUERRERO SERRANO CLARA HERLINDA</t>
  </si>
  <si>
    <t>CL 128 B # 59 B 20</t>
  </si>
  <si>
    <t>contacto@fundaciondelquemado.org</t>
  </si>
  <si>
    <t>www.fundaciondelquemado.org</t>
  </si>
  <si>
    <t>MARIO AUGUSTO BUSTILLO CABRERA</t>
  </si>
  <si>
    <t>6433318 - 2531223</t>
  </si>
  <si>
    <t>subdireccionpril@fundaciondelquemado.org</t>
  </si>
  <si>
    <t>PROCREACION MEDICAMENTE ASISTIDA LTDA</t>
  </si>
  <si>
    <t>CAVELIER CASTRO LUIS EDUARDO</t>
  </si>
  <si>
    <t>CALLE 50 # 7 36 PI 6</t>
  </si>
  <si>
    <t>6017458154 / 3175165347 / 3176426450</t>
  </si>
  <si>
    <t>pma@fertilidadpma.com</t>
  </si>
  <si>
    <t>WWW.FERTILIDADPMA.COM</t>
  </si>
  <si>
    <t>PMA MARLY</t>
  </si>
  <si>
    <t>Pablo G󭥺 Cusnir</t>
  </si>
  <si>
    <t>CALLE 50 # 7 36 PI 4 - PI 6</t>
  </si>
  <si>
    <t>UNIDAD MEDICA Y DE DIAGNOSTICO S.A</t>
  </si>
  <si>
    <t>CASTELLANOS GUTIERREZ JUAN CARLOS</t>
  </si>
  <si>
    <t>AK 45 NO. 122 - 96 Piso 1 Excepto Consultorios A y B - Piso 2 - Piso 4 - Barrio:SANTA BARBARA</t>
  </si>
  <si>
    <t>3176551904 - 3212535796</t>
  </si>
  <si>
    <t>NotificacionesJudiciales@umd.com.co</t>
  </si>
  <si>
    <t>CENTRO MEDICO COLMEDICA SEDE COUNTRY PARK</t>
  </si>
  <si>
    <t>EDUARDO PLATA FORERO</t>
  </si>
  <si>
    <t>KR 18 N 84 - 11 PISO 2 Y 3</t>
  </si>
  <si>
    <t>CENTRO MEDICO COLMEDICA SEDE CEDRITOS</t>
  </si>
  <si>
    <t>Cll 140 No. 11-45 Piso 9 Ofc 901 a la 921</t>
  </si>
  <si>
    <t>CENTRO MEDICO COLMEDICA SEDE COLINA CAMPESTRE</t>
  </si>
  <si>
    <t>CALLE 151 N 54 - 15 ET II LC 21</t>
  </si>
  <si>
    <t>CENTRO ODONTOLOGICO COLMEDICA CALLE 84</t>
  </si>
  <si>
    <t>CARRERA 18 # 84-06 PISO 7 CONSULTORIO 702</t>
  </si>
  <si>
    <t>CENTRO MEDICO COLMEDICA SEDE SALITRE CAPITAL</t>
  </si>
  <si>
    <t>AC 26 No. 69C-03 T. A y T. B Ofc. 3-01 y 5-01</t>
  </si>
  <si>
    <t>CENTRO DE DIAGNOSTICO ESPECIALIZADO COLMEDICA</t>
  </si>
  <si>
    <t>Carrera 18 No. 84-06 Piso 8</t>
  </si>
  <si>
    <t>CENTRO DE DIAGNOSTICO ESPECIALIZADO BELLA SUIZA</t>
  </si>
  <si>
    <t>CL 127 A No. 7-19 LOCAL 101</t>
  </si>
  <si>
    <t>CENTRO MEDICO COLMEDICA SEDE CHAPINERO</t>
  </si>
  <si>
    <t>CR 7 No. 52-53</t>
  </si>
  <si>
    <t>CENTRO MEDICO COLMEDICA SEDE BELAIRE</t>
  </si>
  <si>
    <t>CALLE 153 NO. 6-65 LOCAL L07 LC201 CC BELAIRE PLAZA ET II</t>
  </si>
  <si>
    <t>CENTRO MEDICO COLMEDICA SEDE SUBA</t>
  </si>
  <si>
    <t>CL 145 No 103B-69 CENTRO EMPRESARIAL ALPASO PLAZA LOCAL 501</t>
  </si>
  <si>
    <t>CENTRO MEDICO COLMEDICA SEDE PLAZA CENTRAL</t>
  </si>
  <si>
    <t>CR 65 No. 11-90 LC 4-27 A CC PLAZA CENTRAL</t>
  </si>
  <si>
    <t>CENTRO MEDICO COLMEDICA SEDE METROPOLIS</t>
  </si>
  <si>
    <t>AK 68 No. 75 A 50 LC 262 A</t>
  </si>
  <si>
    <t>CENTRO MEDICO COLMEDICA BULEVAR NIZA</t>
  </si>
  <si>
    <t>AK 58 No. 127 - 59 LC 258-259-260 Piso 2 CC Bulevar Niza</t>
  </si>
  <si>
    <t>CENTRO MEDICO COLMEDICA UNICENTRO DE OCCIDENTE</t>
  </si>
  <si>
    <t>Cr 111 C No. 86-05 Lc 251 P 2 CC Unicentro de Occidente</t>
  </si>
  <si>
    <t>CENTRO MEDICO COLMEDICA CALLE 185</t>
  </si>
  <si>
    <t>CALLE 185 No. 45-03 LOCAL 2-154, 2-155, 2-156 PISO 2 CC SANTAFE</t>
  </si>
  <si>
    <t>UNIDAD MEDICA Y DE DIAGNOSTICO - IPS</t>
  </si>
  <si>
    <t>CR 65 No. 11-50 LC 3-101, 3-102, 3-103, 3-104,3-105, 3-107, 3-107A, 3-01, 3-03, 3-04 CC PLAZA CENTRAL</t>
  </si>
  <si>
    <t>CENTRO MɄICO SEDE TORRE COLMɄICA SANTA BRBARA</t>
  </si>
  <si>
    <t>AK 45 NO. 122 - 96 Piso 1 Excepto Consultorios A y B - Piso 2 - Piso 4 - Piso 6 - Piso 7</t>
  </si>
  <si>
    <t>CENTRO DE DIAGNOSTICO ESPECIALIZADO SEDE TORRE COLMEDICA SANTA BARBARA</t>
  </si>
  <si>
    <t>AK CRA 45 NO. 122 - 96 PISO 3</t>
  </si>
  <si>
    <t>CENTRO MEDICO COLMEDICA ZAFIRO USAQUEN</t>
  </si>
  <si>
    <t>CARRERA 7 120-20 LC 2-01 2-02 2-03</t>
  </si>
  <si>
    <t>notificacionesjudiciales@umd.com.co</t>
  </si>
  <si>
    <t>CENTRO MEDICO COLMEDICA SEDE MULTIPLAZA</t>
  </si>
  <si>
    <t>Calle 19A No 72-57 Locales C-124 y C-125 Centro Comercial Multiplaza</t>
  </si>
  <si>
    <t>CONSULTORIO DE RADIOLOGIA ORAL COUNTRY LTDA.</t>
  </si>
  <si>
    <t>Beatriz Helena Mejia Ossa</t>
  </si>
  <si>
    <t>CL 85 N. 12 10 OF 408</t>
  </si>
  <si>
    <t>radiologico_country@hotmail.com</t>
  </si>
  <si>
    <t>www.rxcountry.com</t>
  </si>
  <si>
    <t>CONSULTORIO DE RADIOLOGIA ORAL COUNTRY</t>
  </si>
  <si>
    <t>BEATRIZ HELENA MEJIA OSSA</t>
  </si>
  <si>
    <t>CL 85 # 12 10 Of 408</t>
  </si>
  <si>
    <t>1 (57) 2784188</t>
  </si>
  <si>
    <t>radiologicocountry@gmail.com</t>
  </si>
  <si>
    <t>RX COUNTRY SEDE SANTA BARBARA</t>
  </si>
  <si>
    <t>Avenida 19 N 118-30 Lc 8 piso 1</t>
  </si>
  <si>
    <t>RX COUNTRY SEDE MARLY</t>
  </si>
  <si>
    <t>Juan Carlos Mejia Ossa</t>
  </si>
  <si>
    <t>CALLE 47 # 13 33 OF 105</t>
  </si>
  <si>
    <t>FUNDACION HOSPITAL SAN CARLOS</t>
  </si>
  <si>
    <t>LEON JAIME ZAPATA GARCIA</t>
  </si>
  <si>
    <t>KR 12D 32 44 SUR</t>
  </si>
  <si>
    <t>notificacionesjudiciales@fhsc.org.co</t>
  </si>
  <si>
    <t>FERNANDO ANTONIO OCTAVIO GIRALDO MEJIA</t>
  </si>
  <si>
    <t>KR 12D 32- 44 SUR</t>
  </si>
  <si>
    <t>FUNDACION CENTRO DE ESTIMULACION NIVELACION Y DESARROLLO-CEDESNID</t>
  </si>
  <si>
    <t>DEL RIO MANTILLA GLORIA MARINA</t>
  </si>
  <si>
    <t>AVENIDA CARRERA 45 #95-29</t>
  </si>
  <si>
    <t>contacto@cedesnid.org.co</t>
  </si>
  <si>
    <t>MARIA CONSUELO DEL RIO MANTILLA</t>
  </si>
  <si>
    <t>AVENIDA CARRERA 45 # 95-29</t>
  </si>
  <si>
    <t>CENTRO INTEGRAL DE REHABILITACION COLOMBIA - CIREC</t>
  </si>
  <si>
    <t>GONZALEZ CHAVEZ LILIAN</t>
  </si>
  <si>
    <t>KR 54 # 65 25</t>
  </si>
  <si>
    <t>7953600- 3118542905</t>
  </si>
  <si>
    <t>gloria.pinilla@cirec.org</t>
  </si>
  <si>
    <t>DANIEL ANDRES GOMEZ PERICO RAMIREZ</t>
  </si>
  <si>
    <t>7953600-3118542905</t>
  </si>
  <si>
    <t>INSTITUTO DE ESTUDIOS CIENTIFICOS EN ODONTOLOGIA S.A SIGLA IECO</t>
  </si>
  <si>
    <t>RUBIO GARCIA GUILLERMO</t>
  </si>
  <si>
    <t>Carrera 19-80-74 - Barrio:COUNTRY</t>
  </si>
  <si>
    <t>7455560-3118980208</t>
  </si>
  <si>
    <t>contabilidad@ieco.com.co</t>
  </si>
  <si>
    <t>INSTITUTO DE ESTUDIOS CIENTIFICOS EN ODONTOLOGIA S A SIGLA: IECO</t>
  </si>
  <si>
    <t>ADELINA SANCHEZ PULIDO</t>
  </si>
  <si>
    <t>CL 150 NO. 16- 56 CONS 3-006,3-010 Y 1-139</t>
  </si>
  <si>
    <t>CONSULTORIO RADIOLOGICO ORAL Y MAXILOFACIAL</t>
  </si>
  <si>
    <t>CL 96 # 10 29 CS 103</t>
  </si>
  <si>
    <t>CLINICAS ODONTOLOGICAS IECO S.A. - CONSULTA PRIORITARIA</t>
  </si>
  <si>
    <t>Carrera 19-80-74</t>
  </si>
  <si>
    <t>IECO IMAGENES DIAGNOSTICAS CLINICA COLOMBIA</t>
  </si>
  <si>
    <t>CALLE 23 No. 66-46 IN 4 CS 510</t>
  </si>
  <si>
    <t>7569869 - 3114403600</t>
  </si>
  <si>
    <t>ATENCION PRIORITARIA CLINICA COLOMBIA</t>
  </si>
  <si>
    <t>CL 23 # 66 46 IN 4 CS 516 Y 520</t>
  </si>
  <si>
    <t>IECO CLINICA ODONTOLOGICA LAS AMERICAS</t>
  </si>
  <si>
    <t>AV AMERICAS N 62 - 84 LC 2-65 PISO 1</t>
  </si>
  <si>
    <t>CENTRO CARDIOLOGICO DE BOGOTA S.A.S</t>
  </si>
  <si>
    <t>KR 16 # 82 36 piso 1</t>
  </si>
  <si>
    <t>6104522--5314346--6164816</t>
  </si>
  <si>
    <t>robledo.a@centrocardiobogota.com</t>
  </si>
  <si>
    <t>www.centrocardiobogota.com</t>
  </si>
  <si>
    <t>GABRIEL ALBERTO ROBLEDO KAISER</t>
  </si>
  <si>
    <t>ccdbogota@gmail.com</t>
  </si>
  <si>
    <t>LABORATORIO PATOLOGICO DR. J. HERNAN ZARATE GALEANO LTDA</t>
  </si>
  <si>
    <t>MARGARITA CLAUDIA AREVALO ALONSO</t>
  </si>
  <si>
    <t>KR. 19 C N 90-14 CS. 501</t>
  </si>
  <si>
    <t>labpat.hzarate@live.com</t>
  </si>
  <si>
    <t>KR 19 C # 90 14 CS 501</t>
  </si>
  <si>
    <t>m.clareal@gmail.com</t>
  </si>
  <si>
    <t>COMUNIDAD HIJAS DE LA CARIDAD DE SAN VICENTE DE PAUL</t>
  </si>
  <si>
    <t>APONTE SOLER HILDA PAULINA</t>
  </si>
  <si>
    <t>CL 22 C # 26 75</t>
  </si>
  <si>
    <t>HOGAR GERONTOLOGICO SOR CLEMENCIA RENGIFO</t>
  </si>
  <si>
    <t>UNIDAD MEDICA DIAGNOSTICA ESPINOSA GOMEZ SAS</t>
  </si>
  <si>
    <t>GOMEZ DE ESPINOSA MARIA LUCIA</t>
  </si>
  <si>
    <t>Carrera 11 73 40 Local 3</t>
  </si>
  <si>
    <t>3450900 EXT 103</t>
  </si>
  <si>
    <t>GERENCIA@ESPINOSAGOMEZ.COM</t>
  </si>
  <si>
    <t>www.espinosagomez.com</t>
  </si>
  <si>
    <t>UNIDAD MɄICA DIAGNӓTICA ESPINOSA GӍEZ SAS</t>
  </si>
  <si>
    <t>MARIA LUCIA GOMEZ DE ESPINOSA</t>
  </si>
  <si>
    <t>Carrera 11 No 73 - 40 Local 3</t>
  </si>
  <si>
    <t>CALIDAD@ESPINOSAGOMEZ.COM</t>
  </si>
  <si>
    <t>UNIDAD MEDICA DIAGNOSTICA ESPINOSA GOMEZ S.A.S.</t>
  </si>
  <si>
    <t>CRA 16 # 84 A 09 CONS 609</t>
  </si>
  <si>
    <t>6016217157, 3154018962</t>
  </si>
  <si>
    <t>country@espinosagomez.com</t>
  </si>
  <si>
    <t>UNIDAD MEDICA DIAGNOSTICA ESPINOSA GOMEZ</t>
  </si>
  <si>
    <t>Calle 147 # 7-62 Local 29</t>
  </si>
  <si>
    <t>6013000932 y 3154018962</t>
  </si>
  <si>
    <t>calidad@espinosagomez.com</t>
  </si>
  <si>
    <t>INVERSIONES DENTALES SANTANDER S.A.S</t>
  </si>
  <si>
    <t>VEGA OSORIO PEDRO FELIPE</t>
  </si>
  <si>
    <t>AV BOYACA # 51 92 LOCAL 101 102</t>
  </si>
  <si>
    <t>gerencia@indesan.net</t>
  </si>
  <si>
    <t>INDESAN S.A SONRIA -NORMANDIA</t>
  </si>
  <si>
    <t>AV BOYACA No. 51-96</t>
  </si>
  <si>
    <t>d.vega@indesan.net</t>
  </si>
  <si>
    <t>COUNTRY SCAN SAS</t>
  </si>
  <si>
    <t>ADRIANA CALDERON SAAVEDRA</t>
  </si>
  <si>
    <t>CARRERA 16 A 82 37 PISO 2 OFICINA 3</t>
  </si>
  <si>
    <t>3909550-3907836</t>
  </si>
  <si>
    <t>countryscanltda@imagenesdiagnosticasdelcountry.com</t>
  </si>
  <si>
    <t>COUNTRY SCAN LTDA</t>
  </si>
  <si>
    <t>CESAR ANDRES SABOGAL GUTIERREZ</t>
  </si>
  <si>
    <t>KR 16 # 82 - 57 P2 CONSULTORIO 1 Y 2</t>
  </si>
  <si>
    <t>3797910 - 3797940</t>
  </si>
  <si>
    <t>countryscanltda@rmcs.com.co</t>
  </si>
  <si>
    <t>TAC Y RESONANCIA DEL COUNTRY</t>
  </si>
  <si>
    <t>KR 16 A # 82-37 PI 4</t>
  </si>
  <si>
    <t>TAC LA COLINA</t>
  </si>
  <si>
    <t>Calle 167 # 72 - 07 Consultorio 216</t>
  </si>
  <si>
    <t>3797910 ext. 205</t>
  </si>
  <si>
    <t>TAC BELLA SUIZA</t>
  </si>
  <si>
    <t>Calle 127 A # 7-19 Local 102</t>
  </si>
  <si>
    <t>coord.servicio@rmcs.com.co</t>
  </si>
  <si>
    <t>RESONANCIA MAGNETICA DEL COUNTRY SAS</t>
  </si>
  <si>
    <t>CARRERA 16 A 82 37 PISO 2 OFICINA 2</t>
  </si>
  <si>
    <t>resomagsa@imagenesdiagnosticasdelcountry.com</t>
  </si>
  <si>
    <t>www.rmcs.com.co</t>
  </si>
  <si>
    <t>RESONANCIA Y TAC DEL COUNTRY</t>
  </si>
  <si>
    <t>CARRERA 16 No. 84 A - 09 CONSULTORIO 323</t>
  </si>
  <si>
    <t>resomagsa@rmcs.com.co</t>
  </si>
  <si>
    <t>IMAGENES DIAGNOSTICAS DEL COUNTRY</t>
  </si>
  <si>
    <t>KR 16 A No. 82-37 PISO 1 Y 3</t>
  </si>
  <si>
    <t>SOCIEDAD DE MEDICINA REPRODUCTIVA SAS</t>
  </si>
  <si>
    <t>GUTIERREZ APARICIO ANDRES</t>
  </si>
  <si>
    <t>AK 9 # 116 20 OF 302 CS 402-402A-404-404A-406A-406B-408-410-412-412A-415A-416-428-414-515-515A</t>
  </si>
  <si>
    <t>2151807 - 3138166014</t>
  </si>
  <si>
    <t>notificaciones@reprotectucentro.com</t>
  </si>
  <si>
    <t>REPROTEC CENTRO DE FERTILIDAD</t>
  </si>
  <si>
    <t>Deisy Judith Mora Maldonado</t>
  </si>
  <si>
    <t>calidad@reprotectucentro.com</t>
  </si>
  <si>
    <t>LABORATORIO DE GENETICA Y BIOLOGIA MOLECULAR LTDA</t>
  </si>
  <si>
    <t>OSSA REYES HUMBERTO</t>
  </si>
  <si>
    <t>AC 134 No 7B - 83 Consultorio 123</t>
  </si>
  <si>
    <t>8052971 - 6257383</t>
  </si>
  <si>
    <t>aossat@genetica.com.co - ccalidad@genetica.com</t>
  </si>
  <si>
    <t>LABORATORIO DE GENETICA Y BIOLOGIA MOLECULAR</t>
  </si>
  <si>
    <t>HUMBERTO OSSA REYES</t>
  </si>
  <si>
    <t>AC 134 No 7B - 83 - Consultorio 123</t>
  </si>
  <si>
    <t>ccalidad@genetica.com</t>
  </si>
  <si>
    <t>FUNDACION AVANTE</t>
  </si>
  <si>
    <t>ACOSTA ZAMBRANO NUBIA PATRICIA</t>
  </si>
  <si>
    <t>Carrera 65 No. 4 G - 30 - Barrio:La Pradera</t>
  </si>
  <si>
    <t>601 4661276 -6012077609 Whatsapp:3212230220</t>
  </si>
  <si>
    <t>fundavante@hotmail.com</t>
  </si>
  <si>
    <t>Sede C</t>
  </si>
  <si>
    <t>NUBIA PATRICIA ACOSTA ZAMBRANO</t>
  </si>
  <si>
    <t>Carrera 65 No. 4 G - 30</t>
  </si>
  <si>
    <t>601 4661276 - 601 2077609 Whatsapp: 3212230222</t>
  </si>
  <si>
    <t>subdireccionclinica@fundacionavante.org</t>
  </si>
  <si>
    <t>SEDE NORTE</t>
  </si>
  <si>
    <t>CL 127B # 49 79</t>
  </si>
  <si>
    <t>601 2651320 Whatsapp: 3115184705</t>
  </si>
  <si>
    <t>coordinacionsedenorte@fundacionavante.org</t>
  </si>
  <si>
    <t>RESONANCIA MAGNETICA DE COLOMBIA SAS.</t>
  </si>
  <si>
    <t>CARRERA 16 A 82 37 PISO 2 OFICINA 1</t>
  </si>
  <si>
    <t>resomagdecol@imagenesdiagnosticasdelcountry.com</t>
  </si>
  <si>
    <t>CARRERA 16 No. 82 - 57 PISO 2</t>
  </si>
  <si>
    <t>resomagdecol@rmcs.com.co</t>
  </si>
  <si>
    <t>ASONEST SAS</t>
  </si>
  <si>
    <t>PARRA CORREDOR GERMAN DIOGENES</t>
  </si>
  <si>
    <t>Avenida Calle 127 21 60 Consultorio 218-219</t>
  </si>
  <si>
    <t>gerente@asonest.org</t>
  </si>
  <si>
    <t>www.asonest.org</t>
  </si>
  <si>
    <t>ASONEST SAS CONSULTORIO 218 219</t>
  </si>
  <si>
    <t>GINO LEON BELLO RODRIGUEZ</t>
  </si>
  <si>
    <t>Avenida Calle 127 # 21 60 Consultorio 218 219</t>
  </si>
  <si>
    <t>FUNDACION INSTITUTO TECNOL҇ICO DEL SUR</t>
  </si>
  <si>
    <t>BORJORN SALES SEBASTIAN</t>
  </si>
  <si>
    <t>DIAG 50 A SUR # 26 80</t>
  </si>
  <si>
    <t>FUNDACION INSTITUTO TECNOL҇ICO DEL SUR-HOGAR CASA NOSTRA</t>
  </si>
  <si>
    <t>FEDERACION ODONTOLOGICA COLOMBIANA</t>
  </si>
  <si>
    <t>MONTES CAMPUZANO VICTOR HUGO</t>
  </si>
  <si>
    <t>CALLE 93 # 11 39</t>
  </si>
  <si>
    <t>2361414-2184984-3157901758</t>
  </si>
  <si>
    <t>info@federacionodontologicacolombiana.org</t>
  </si>
  <si>
    <t>UNIDAD DE FERTILIDAD DEL COUNTRY SAS</t>
  </si>
  <si>
    <t>MONTOYA MEJIA JUAN MANUEL</t>
  </si>
  <si>
    <t>CRA 16 # 82 29 PI 7</t>
  </si>
  <si>
    <t>conceptum@conceptum.com</t>
  </si>
  <si>
    <t>CLAUDIA PATRICIA RUBIO HERNANDEZ</t>
  </si>
  <si>
    <t>CONTROLAR SALUD INTEGRAL S.A.S</t>
  </si>
  <si>
    <t>TELEZ JIMENEZ CLAUDIA PATRICIA</t>
  </si>
  <si>
    <t>KR 45 A # 94- 91</t>
  </si>
  <si>
    <t>gerenciacomercial@controlarsalud.com</t>
  </si>
  <si>
    <t>CONTROLAR SALUD</t>
  </si>
  <si>
    <t>Claudia Patricia Tellez Jimenez</t>
  </si>
  <si>
    <t>Carrera 45a No 94 - 91</t>
  </si>
  <si>
    <t>VISUAL POINT S.A.S</t>
  </si>
  <si>
    <t>BARBOSA RAMIREZ DAVID HERNANDO</t>
  </si>
  <si>
    <t>AV CRA 68 # 90 - 88 Lc 2-054 - Barrio:FLORESTA</t>
  </si>
  <si>
    <t>calidad.habilitacion@opticasvisualpoint.com</t>
  </si>
  <si>
    <t>www.visualpoint.com</t>
  </si>
  <si>
    <t>OPTICALIA VISUAL POINT - CENTRO MAYOR</t>
  </si>
  <si>
    <t>JENNY ASTRID RUBIANO GONZALEZ</t>
  </si>
  <si>
    <t>CL 38 A SUR # 34 D 50 LC 1109</t>
  </si>
  <si>
    <t>OPTICALIA VISUAL POINT MALL PLAZA</t>
  </si>
  <si>
    <t>AC 19 # 28 - 80 LOCAL B 75</t>
  </si>
  <si>
    <t>OPTICALIA VISUAL POINT - FLORESTA</t>
  </si>
  <si>
    <t>AV CRA 68 # 90 - 88 Lc 2-054</t>
  </si>
  <si>
    <t>OPTICALIA VISUAL POINT - PLAZA DE LAS AMERICAS</t>
  </si>
  <si>
    <t>CRA 71 D # 6 - 94 SUR Lc 1025</t>
  </si>
  <si>
    <t>ORAL SERVICE E U</t>
  </si>
  <si>
    <t>MARTINEZ ORTIZ MELIDA</t>
  </si>
  <si>
    <t>Calle 17 No 65 B-80 Local 1A Montevideo</t>
  </si>
  <si>
    <t>oralservices.eu@gmail.com</t>
  </si>
  <si>
    <t>MELIDA MARTINEZ ORTIZ</t>
  </si>
  <si>
    <t>Calle 17 No 65B/80 local 1A</t>
  </si>
  <si>
    <t>3001373 - 33208201303</t>
  </si>
  <si>
    <t>LA FONT S.A.S.</t>
  </si>
  <si>
    <t>PEDROZA CAMPO FERNANDO</t>
  </si>
  <si>
    <t>CRA 16 N 86B 52 P2 Of 202-203-204 p 3 Area Quirurgica P4 Cs 1 y 2</t>
  </si>
  <si>
    <t>calidad@lafontcirugiaestetica.com</t>
  </si>
  <si>
    <t>www.lafont.com.co</t>
  </si>
  <si>
    <t>EDUARDO PEDROZA VALERO</t>
  </si>
  <si>
    <t>Cra 16 N 86B 52 P 2 Of 202-203-204 P3 Area Quirurgica P4 Cs 1 y 2</t>
  </si>
  <si>
    <t>calidad@cirugiaestetica.com</t>
  </si>
  <si>
    <t>CAYO ALONSO DUARTE SUAREZ Y COMPAщA S EN C</t>
  </si>
  <si>
    <t>DUARTE SUAREZ CAYO ALONSO</t>
  </si>
  <si>
    <t>CALLE 93 B # 13 92 CONS 101</t>
  </si>
  <si>
    <t>CAYOALONSO@YAHOO.COM</t>
  </si>
  <si>
    <t>CAYO ALONSO DUARTE SUAREZ</t>
  </si>
  <si>
    <t>imagenescad@gmail.com</t>
  </si>
  <si>
    <t>INMUNOLOGIA Y DIAGNOSTICO ESPECIALIZADO IDE SAS</t>
  </si>
  <si>
    <t>MARTINEZ ORTIZ NELLY LUPE</t>
  </si>
  <si>
    <t>CRA 9 # 48 40 CONS 402</t>
  </si>
  <si>
    <t>3102106024 - 7453330</t>
  </si>
  <si>
    <t>gerencia@vacunacionide.com</t>
  </si>
  <si>
    <t>www.vacunacionide.com</t>
  </si>
  <si>
    <t>NELLY LUPE MARTINEZ ORTIZ</t>
  </si>
  <si>
    <t>3192314638 - 7453330</t>
  </si>
  <si>
    <t>info@vacunacionide.com</t>
  </si>
  <si>
    <t>INMUNOLOGIA Y DIAGNOSTICO ESPECIALIZADO</t>
  </si>
  <si>
    <t>KR 7 No 119-14 CS 323</t>
  </si>
  <si>
    <t>3174022912 - 3183403377- 2149403</t>
  </si>
  <si>
    <t>UNIDAD DE ESPECIALISTAS OFTALMOLOGICOS S.A.</t>
  </si>
  <si>
    <t>ROMERO SANTA CRUZ GERMAN ASDRUBAL</t>
  </si>
  <si>
    <t>CRA 16 82 95 CS 801-802-305</t>
  </si>
  <si>
    <t>6216615/2572891</t>
  </si>
  <si>
    <t>gerencia@ueoftalmologicos.com.co</t>
  </si>
  <si>
    <t>www.ueoftalmologicos.com.co</t>
  </si>
  <si>
    <t>MARTHA CATALINA ORTIZ ROBLEDO</t>
  </si>
  <si>
    <t>6216615 /2572891</t>
  </si>
  <si>
    <t>COMUNIDAD HERMANAS HOSPITALARIAS DEL SAGRADO CORAZON DE JESUS</t>
  </si>
  <si>
    <t>LIZARRONDO OLLO ANA MARIA</t>
  </si>
  <si>
    <t>CRA 7 # 68 70</t>
  </si>
  <si>
    <t>inmaculada@clinicalainmaculada.org</t>
  </si>
  <si>
    <t>CLINICA LA INMACULADA</t>
  </si>
  <si>
    <t>JULIO CESAR LOPEZ PINILLA</t>
  </si>
  <si>
    <t>ALIRIO GUTIERREZ MILLAN Y CIA SAS UNIDAD DE ATENCIӎ PRIMARIA DARSALUD</t>
  </si>
  <si>
    <t>GUTIERREZ MILLAN ALIRIO</t>
  </si>
  <si>
    <t>KR 78 K # 33 A 76 SUR</t>
  </si>
  <si>
    <t>DARSALUD@HOTMAIL.COM</t>
  </si>
  <si>
    <t>UNIDAD DE ATENCION PRIMARIA DARSALUD</t>
  </si>
  <si>
    <t>darsalud@hotmail.com</t>
  </si>
  <si>
    <t>SO SERVICIOS MEDICOS Y OFTALMOLOGICOS S.A.S</t>
  </si>
  <si>
    <t>Cr 20 # 83-58 P 1-2-3-4-5-6-9 - Barrio:ANTIGUO COUNTRY</t>
  </si>
  <si>
    <t>auditoria@sosaludvisual.com</t>
  </si>
  <si>
    <t>www.sosaludvisual.com</t>
  </si>
  <si>
    <t>SO CENTRO INTEGRAL DE SERVICIOS</t>
  </si>
  <si>
    <t>CESAR JAVIER OTERO ACEVEDO</t>
  </si>
  <si>
    <t>CARRERA 24 No. 53-73 LOCAL 201 - 214</t>
  </si>
  <si>
    <t>SO EUREKA</t>
  </si>
  <si>
    <t>Cesar Javier Otero Acevedo</t>
  </si>
  <si>
    <t>CR 19 N. 84-09 PISO 1 ENTRADA 1</t>
  </si>
  <si>
    <t>SO CALLE 100</t>
  </si>
  <si>
    <t>AVENIDA CALLE 100 # 49-31 LOCAL 1</t>
  </si>
  <si>
    <t>6056828 - 3103039409</t>
  </si>
  <si>
    <t>SO PLAZA CENTRAL</t>
  </si>
  <si>
    <t>CARRERA 65 # 11-50 LOCAL 2-06</t>
  </si>
  <si>
    <t>CLINICA OFTALMOLOGICA DEL COUNTRY AVI</t>
  </si>
  <si>
    <t>CESAR JAVIER OTERO</t>
  </si>
  <si>
    <t>Cr 20 # 83-58 P 1-2-3-4-5-6-9</t>
  </si>
  <si>
    <t>SALUD Y DIAGNOSTICO DIAMEDICAL SAS</t>
  </si>
  <si>
    <t>OSPITIA CASTRO ANGELA MARIA</t>
  </si>
  <si>
    <t>CL 81 # 19 A 12</t>
  </si>
  <si>
    <t>diamedical@gmail.com</t>
  </si>
  <si>
    <t>ANGELA MARIA OSPITIA CASTRO</t>
  </si>
  <si>
    <t>SOCIEDAD INTERDISCIPLINARIA PARA LA SALUD S.A.S Sigla: SIPLAS S.A.S, CENTRO DE MEDICINA DIAGNOSTICA SIPLAS Y CMD SIPLAS</t>
  </si>
  <si>
    <t>GUTIERREZ VELEZ JUAN DIEGO</t>
  </si>
  <si>
    <t>Carrera 14 A 101 73</t>
  </si>
  <si>
    <t>6015938393 Opc 7 Temas normativos</t>
  </si>
  <si>
    <t>thomas.duarte@synlab.co / claudia.dimate@synlab.co / erika.echavarria@synlab.co / /alejandra.serna@synlab.co / mariangeles.davila@synlab.co / servicliente@synlab.co</t>
  </si>
  <si>
    <t>SIPLAS PALERMO</t>
  </si>
  <si>
    <t>SANDOR TIBOR SPAKOVSZKY</t>
  </si>
  <si>
    <t>CALLE 45C bIS 22-38 piso 1 barrio : Palermo</t>
  </si>
  <si>
    <t>DEXA DIAB SERVICIOS MEDICOS SAS</t>
  </si>
  <si>
    <t>VELAZCO PEZO ROSA ELVIRA</t>
  </si>
  <si>
    <t>KR 16 A # 79 33 CS 105-106-107 y PI 2</t>
  </si>
  <si>
    <t>6017437707-3118121617-3025275151-3184058492</t>
  </si>
  <si>
    <t>administracion@dexadiab.com</t>
  </si>
  <si>
    <t>ROSA ELVIRA VELAZCO P. DE YUPANQUI</t>
  </si>
  <si>
    <t>7437707-3164560037-3118121617</t>
  </si>
  <si>
    <t>CAJA DE COMPENSACIӎ FAMILIAR CAFAM</t>
  </si>
  <si>
    <t>QUIяNEZ SUAREZ GABRIEL</t>
  </si>
  <si>
    <t>CRA 15 # 51 35</t>
  </si>
  <si>
    <t>5550700 ext 12017-12015</t>
  </si>
  <si>
    <t>calidadsalud@cafam.com.co</t>
  </si>
  <si>
    <t>Centro de Atenci󮠥n Salud Cafam Calle 51</t>
  </si>
  <si>
    <t>Gustavo Moreno Espitia</t>
  </si>
  <si>
    <t>Kr 15 No. 51 - 35</t>
  </si>
  <si>
    <t>Centro de Atenci󮠥n Salud Cafam Cl�ca Calle 51</t>
  </si>
  <si>
    <t>ASMED RIGOBERTO RAMIREZ ROMERO</t>
  </si>
  <si>
    <t>Calle 51 No. 15- 34</t>
  </si>
  <si>
    <t>Centro de Atenci󮠥n Salud Cafam Floresta</t>
  </si>
  <si>
    <t>AK 68 No.90-88</t>
  </si>
  <si>
    <t>Centro de Atenci󮠥n Salud Cafam Kennedy</t>
  </si>
  <si>
    <t>CRA 78 K 37 A 53 SUR</t>
  </si>
  <si>
    <t>Centro de Atenci󮠥n Salud Cafam Suba</t>
  </si>
  <si>
    <t>KR 113 C # 142 A 98</t>
  </si>
  <si>
    <t>Centro de Atenci󮠥n Salud Cafam Calle 48</t>
  </si>
  <si>
    <t>KR 13 # 48-47</t>
  </si>
  <si>
    <t>Centro de Atenci󮠥n Salud Cafam Centenario</t>
  </si>
  <si>
    <t>Calle 27 N 26- 24 Sur</t>
  </si>
  <si>
    <t>Centro de Atenci󮠥n Salud Cafam Granada Hills</t>
  </si>
  <si>
    <t>Kr. 45 N 146 - 48 piso 2</t>
  </si>
  <si>
    <t>Laboratorio Cl�co CAFAM, Central de Procesamiento</t>
  </si>
  <si>
    <t>Alexandra Palacios Carlos</t>
  </si>
  <si>
    <t>Carrera 16 N 52-35</t>
  </si>
  <si>
    <t>Ӱtica Cafam Floresta</t>
  </si>
  <si>
    <t>Av. Cra. 68 No. 90-88 Cafam Floresta Mundo Comercial Local 10-13</t>
  </si>
  <si>
    <t>Centro de Atenci󮠥n Salud Cafam El Bosque</t>
  </si>
  <si>
    <t>Calle 134 No. 7-83 modulo 211 ( Torre 2 piso 1 modulo 1) y modulo 212 ( Torre 2 piso 1 modulo 2)</t>
  </si>
  <si>
    <t>Centro de Atenci󮠥n Salud Cafam Procuradur�/td&gt;</t>
  </si>
  <si>
    <t>cra 5 no 15 80 piso 2</t>
  </si>
  <si>
    <t>Centro de Atenci󮠥n Salud Cafam Calle 90</t>
  </si>
  <si>
    <t>Carrera 17 N 90 - 13</t>
  </si>
  <si>
    <t>Centro de Cardiologia Cafam La Castellana</t>
  </si>
  <si>
    <t>Carrera 46 N 95-56 Consultorios: 201, 202, 203, 204, 205, 303, 304, 306 y 405</t>
  </si>
  <si>
    <t>Centro de Atenci󮠥n Salud Cafam Avenida Americas</t>
  </si>
  <si>
    <t>Calle 6 A # 70B-58</t>
  </si>
  <si>
    <t>Centro de Atenci󮠥n Salud Cafam Cl�ca Calle 93</t>
  </si>
  <si>
    <t>Edgar Leonardo Vargas Vargas</t>
  </si>
  <si>
    <t>CL 93 # 19 B 77 y CL 93 # 19 B 95</t>
  </si>
  <si>
    <t>5550700 Extensi󮠱2017 - 12015</t>
  </si>
  <si>
    <t>Centro de salud Cafam para la atenci󮠤el dolor</t>
  </si>
  <si>
    <t>Carrera 47 # 95-60</t>
  </si>
  <si>
    <t>5550700 EXT 12017 8051283</t>
  </si>
  <si>
    <t>Centro de Atenci󮠥n Salud Cafam Cl�ca Santa BᲢara</t>
  </si>
  <si>
    <t>Giovanni Santos Perdomo</t>
  </si>
  <si>
    <t>Avenida calle 127 # 16 A - 27</t>
  </si>
  <si>
    <t>5550700 EXT 12017-12015</t>
  </si>
  <si>
    <t>Ӱtica Cafam Floresta 360</t>
  </si>
  <si>
    <t>Av. Carrera 68 No.90-88 Cafam Centro comercial local 1-034</t>
  </si>
  <si>
    <t>5550700 ext 12017 3902612 Opc 2</t>
  </si>
  <si>
    <t>Centro de Atenci󮠥n Salud Cafam Centro</t>
  </si>
  <si>
    <t>Carrera 8 #15-73 Piso 2 y Piso 3</t>
  </si>
  <si>
    <t>5550700 ext 12017 314 4349485</t>
  </si>
  <si>
    <t>Centro de Atenci󮠥n Salud Cafam Calle 72</t>
  </si>
  <si>
    <t>Carrera 29 B # 71C-56 Piso 1</t>
  </si>
  <si>
    <t>5550700 Ext 12017-12015</t>
  </si>
  <si>
    <t>LABINTOX S.A.S</t>
  </si>
  <si>
    <t>ROZO DE MARTENS MARIA DOLORES</t>
  </si>
  <si>
    <t>CALLE 134 BIS No. 18-43 - Barrio:CONTADOR</t>
  </si>
  <si>
    <t>3099174 - 3099175 - 3099176</t>
  </si>
  <si>
    <t>labintox@hotmail.com</t>
  </si>
  <si>
    <t>LABINTOX S.A.S SEDE OLAYA CALLE 27 SUR</t>
  </si>
  <si>
    <t>Maria Dolores Rozo de Martens</t>
  </si>
  <si>
    <t>CALLE 27 SUR N 14-39 CONSULTORIO 102-301-302</t>
  </si>
  <si>
    <t>LABINTOX S.A.S SEDE TEUSAQUILLO</t>
  </si>
  <si>
    <t>Dra. Lola de Martens</t>
  </si>
  <si>
    <t>Av. Caracas 31B - 19 CONSULTORIO 101-203</t>
  </si>
  <si>
    <t>MARIA DOLORES ROZO DE MARTENS</t>
  </si>
  <si>
    <t>CALLE 134 BIS No. 18-43</t>
  </si>
  <si>
    <t>FUNDACION SANTA FE DE BOGOTA</t>
  </si>
  <si>
    <t>GOMEZ RODRIGUEZ JESUS ANTONIO</t>
  </si>
  <si>
    <t>CL 119 # 7 75</t>
  </si>
  <si>
    <t>adriana.urrego@fsfb.org.co</t>
  </si>
  <si>
    <t>www.fsfb.org.co</t>
  </si>
  <si>
    <t>Henry Mauricio Gallardo Lozano</t>
  </si>
  <si>
    <t>6030303 ext. 5105</t>
  </si>
  <si>
    <t>FUNDACION SANTA FE DE BOGOTA - CENTRO DE ATENCION PRIORITARIA</t>
  </si>
  <si>
    <t>AV 15 # 123 - 30 LC 2 PI 1 BL 5</t>
  </si>
  <si>
    <t>Sede Flor Morado Fundaci󮠓anta Fe de BogotἯtd&gt;</t>
  </si>
  <si>
    <t>Javier Romero</t>
  </si>
  <si>
    <t>calle 119 No. 7-14 (Segundo Piso)</t>
  </si>
  <si>
    <t>6030303 EXT: 5270-5247</t>
  </si>
  <si>
    <t>EL INSTITUTO DE CNCER CARLOS ARDILA L܌LE- ICCAL</t>
  </si>
  <si>
    <t>ANDRES RODRIGUEZ MUNERA</t>
  </si>
  <si>
    <t>Calle 120 A No. 7-86</t>
  </si>
  <si>
    <t>andres.rodriguez@fsfb.org.co</t>
  </si>
  <si>
    <t>Centro M餩co y de Atenci󮠐rioritaria Gran Estaci󮠼/td&gt;</t>
  </si>
  <si>
    <t>Cra 60 # 24- 09 L 2- 29. Centro comercial Gran Estaci󮠃ostado Esfera</t>
  </si>
  <si>
    <t>Sede Calle 123 Fundaci󮠓anta Fe de BogotἯtd&gt;</t>
  </si>
  <si>
    <t>carrera 7 #123-35 piso 10 piso y psio 3</t>
  </si>
  <si>
    <t>Toma de muestras AMA</t>
  </si>
  <si>
    <t>Carrera 9 No 117-20 Local 111, piso 1 Asociaci󮠍餩ca de Bogot᭠Bogot᠄.C</t>
  </si>
  <si>
    <t>Centro de Atenci󮠐rioritaria m᳠Cerca Chic󼯴d&gt;</t>
  </si>
  <si>
    <t>Calle 92 # 15-80</t>
  </si>
  <si>
    <t>Edificio Ambulatorio</t>
  </si>
  <si>
    <t>CALLE 119 # 7-80 Piso 2, 6 y 9</t>
  </si>
  <si>
    <t>Edificio Ambulatorio FSFB Piso 1,3,4,5,7,8,10 y 11</t>
  </si>
  <si>
    <t>Calle 119 # 7- 80 Piso 1, Piso 3 C: 301,302,303,304,305,306,307,308,309,310,316,317,318,319, Piso 4 C: 401,402,403,404,405,406,407,408,409,410, Piso 5 C:501,502,503,504,505,506,507,508,509,510,511,Piso 7, Piso 8, Piso 10 consultorio 1004, Piso 11.</t>
  </si>
  <si>
    <t>TERAPIAS SAS</t>
  </si>
  <si>
    <t>PEREZ FERNANDEZ NATALIA</t>
  </si>
  <si>
    <t>CL 135A No 10-39 piso 1</t>
  </si>
  <si>
    <t>terapias_ltda@yahoo.es</t>
  </si>
  <si>
    <t>APRENDAMOS JUNTOS</t>
  </si>
  <si>
    <t>SEBASTIAN PELAEZ PEREZ</t>
  </si>
  <si>
    <t>CL 135A # 10 - 39 piso 1</t>
  </si>
  <si>
    <t>ajuntos2@gmail.com</t>
  </si>
  <si>
    <t>UMED LTDA</t>
  </si>
  <si>
    <t>KR 21 # 26 06 SUR</t>
  </si>
  <si>
    <t>2785555 - 3665291 - 3112655841</t>
  </si>
  <si>
    <t>UMEDLTDA@GMAIL.COM</t>
  </si>
  <si>
    <t>www.umedips.com</t>
  </si>
  <si>
    <t>MARIA LUISA MOLINA MONTENEGRO</t>
  </si>
  <si>
    <t>umedltda@gmail.com</t>
  </si>
  <si>
    <t>HOSPITAL UNIVERSITARIO CLINICA SAN RAFAEL</t>
  </si>
  <si>
    <t>OSES ORTEGA RAUL ARMANDO</t>
  </si>
  <si>
    <t>CRA 8 # 17 45 SUR</t>
  </si>
  <si>
    <t>7464714 ext 2740</t>
  </si>
  <si>
    <t>direcciongeneral1@stewardcolombia.org</t>
  </si>
  <si>
    <t>VICTOR HUGO GOMEZ</t>
  </si>
  <si>
    <t>7464714 EXT. 2740</t>
  </si>
  <si>
    <t>CARRERA 8#17-44 SUR</t>
  </si>
  <si>
    <t>7464714 EXT 2740</t>
  </si>
  <si>
    <t>direcciongeneral1@ncsanrafael.com.co</t>
  </si>
  <si>
    <t>FUNDACION HOSPITAL DE LA MISERICORDIA</t>
  </si>
  <si>
    <t>BARBERI ABADIA JULIO MAURICIO</t>
  </si>
  <si>
    <t>Avenida Carrera 14 No 1-65</t>
  </si>
  <si>
    <t>(601) 4842098</t>
  </si>
  <si>
    <t>lidercalidad@homifundacion.org.co</t>
  </si>
  <si>
    <t>JULIO MAURICIO BARBERI ABADIA</t>
  </si>
  <si>
    <t>3811970 EXT 227</t>
  </si>
  <si>
    <t>CENTRO MEDICO OFTALMOLOGICO Y LABORATORIO CLINICO ANDRADE NARVAEZ SOCIEDAD POR ACCIONES SIMPLIFICADA SIGLA COLCAN S.A.S.</t>
  </si>
  <si>
    <t>ANDRADE CHAVEZ ABDON MARCELO</t>
  </si>
  <si>
    <t>CALLE 49 # 13-60</t>
  </si>
  <si>
    <t>6017437777 / 3168775766</t>
  </si>
  <si>
    <t>direccioncalidad@laboratoriocolcan.com</t>
  </si>
  <si>
    <t>https://laboratoriocolcan.com/</t>
  </si>
  <si>
    <t>SEDE PRINCIPAL COLCAN</t>
  </si>
  <si>
    <t>Abd󮠍arcelo Andrade Chavez</t>
  </si>
  <si>
    <t>CALLE 49 No. 13 - 60</t>
  </si>
  <si>
    <t>VITALEA 109</t>
  </si>
  <si>
    <t>ABDON MARCELO ANDRADE CHAVEZ</t>
  </si>
  <si>
    <t>CL 109 No. 15-91</t>
  </si>
  <si>
    <t>SEDE CENTRO COLCAN</t>
  </si>
  <si>
    <t>CL 19 # 10 08 CS 204</t>
  </si>
  <si>
    <t>SEDE AMERICAS COLCAN</t>
  </si>
  <si>
    <t>ALICIA DE ANDRADE</t>
  </si>
  <si>
    <t>Calle 6A No. 71B-36</t>
  </si>
  <si>
    <t>SEDE CALLE 45 COLCAN</t>
  </si>
  <si>
    <t>Calle 45 No. 8-98</t>
  </si>
  <si>
    <t>6017435519 / 3173836592</t>
  </si>
  <si>
    <t>SEDE SUBA COLCAN</t>
  </si>
  <si>
    <t>CARRERA 103D No. 152B-23 LC 2</t>
  </si>
  <si>
    <t>VITALEA 82</t>
  </si>
  <si>
    <t>ALICIA CUMANDA NARVAEZ CORDOVA</t>
  </si>
  <si>
    <t>KR 15 # 81 30 INT 2</t>
  </si>
  <si>
    <t>VITALEA 93</t>
  </si>
  <si>
    <t>Carrera 11# 93A-30 Local 101</t>
  </si>
  <si>
    <t>VITALEA SALITRE</t>
  </si>
  <si>
    <t>AVENIDA CALLE 24 69B 53</t>
  </si>
  <si>
    <t>VITALEA 117</t>
  </si>
  <si>
    <t>Abd󮠍arcelo Andrade Chᶥz</t>
  </si>
  <si>
    <t>Calle 117 # 6A - 60 Local 101 Edificio Flormorado Empresarial P.H.</t>
  </si>
  <si>
    <t>VITALEA NIZA</t>
  </si>
  <si>
    <t>TRANSVERSAL 60 128 88</t>
  </si>
  <si>
    <t>SOY VIOLETA</t>
  </si>
  <si>
    <t>Calle 109 15 66</t>
  </si>
  <si>
    <t>VITALEA RESTREPO</t>
  </si>
  <si>
    <t>CARRERA 18 #18-60SUR</t>
  </si>
  <si>
    <t>VITALEA CEDRITOS</t>
  </si>
  <si>
    <t>Avenida Carrera 19 139 35</t>
  </si>
  <si>
    <t>6017435519 - 3173836592</t>
  </si>
  <si>
    <t>CEMPAI SAS</t>
  </si>
  <si>
    <t>MARIA TERESA VARGAS JIMENEZ</t>
  </si>
  <si>
    <t>Calle 134 # 7B 83 Consultorio 813 - 814 Edificio El Bosque</t>
  </si>
  <si>
    <t>3212092628- 3108176600</t>
  </si>
  <si>
    <t>gerencia@cempai.com</t>
  </si>
  <si>
    <t>CL͎ICA DE NUESTRA SEяRA DE LA PAZ</t>
  </si>
  <si>
    <t>RENDON DIAZ CARLOS MARIO</t>
  </si>
  <si>
    <t>carrera 69 # 12 - 75</t>
  </si>
  <si>
    <t>gestorcalidad@cllapaz.com.co</t>
  </si>
  <si>
    <t>https://cllapaz.com.co</t>
  </si>
  <si>
    <t>CLINICA DE NUESTRA SEяRA DE LA PAZ</t>
  </si>
  <si>
    <t>RUBEN DARIO ROBAYO RODRIGUEZ</t>
  </si>
  <si>
    <t>CARRERA 69 # 12 - 75</t>
  </si>
  <si>
    <t>UNIMINUTO</t>
  </si>
  <si>
    <t>Ruben Dario Robayo Rodriguez</t>
  </si>
  <si>
    <t>TRANSVERSAL 76 # 81 A 09</t>
  </si>
  <si>
    <t>Medicina de Rehabilitaci󮠹 Electrodiagn󳴩co SAS</t>
  </si>
  <si>
    <t>RIBERO CALVO RAUL ANDRES</t>
  </si>
  <si>
    <t>CALLE 116 # 9 - 72 CONSULTORIO 712</t>
  </si>
  <si>
    <t>4762774-3152741711</t>
  </si>
  <si>
    <t>irme.ltda.dolor@gmail.com</t>
  </si>
  <si>
    <t>IRME</t>
  </si>
  <si>
    <t>RAUL ANDRES RIBERO CALVO</t>
  </si>
  <si>
    <t>CALLE 116 # 9 - 72 CONSULTORIO 712 -713-714</t>
  </si>
  <si>
    <t>MEDICINA PERINATAL LTDA</t>
  </si>
  <si>
    <t>MOTTA MURCIA ABELARDO</t>
  </si>
  <si>
    <t>CRA 16 # 84 A 09 CONS 314</t>
  </si>
  <si>
    <t>medicinaperinatal@yahoo.com</t>
  </si>
  <si>
    <t>ABELARDO MOTTA MURCIA</t>
  </si>
  <si>
    <t>KR 16 # 84 A 09 CS 314</t>
  </si>
  <si>
    <t>6217519 - 6217530</t>
  </si>
  <si>
    <t>CONSULTORIO REINA SOFIA</t>
  </si>
  <si>
    <t>AC 127 21 60 CS 201</t>
  </si>
  <si>
    <t>TEL. 6157477</t>
  </si>
  <si>
    <t>FUNDACION OPERACION SONRISA COLOMBIA</t>
  </si>
  <si>
    <t>VARGAS DEL VALLE HELENA MARGARITA</t>
  </si>
  <si>
    <t>CALLE 90 No 19C-41</t>
  </si>
  <si>
    <t>cambogota@operacionsonrisa.org.co</t>
  </si>
  <si>
    <t>CAMILO ARENAS BERMUDEZ</t>
  </si>
  <si>
    <t>CLL 90 # 19 C - 41</t>
  </si>
  <si>
    <t>6210069 - 3115314720</t>
  </si>
  <si>
    <t>INVERSIONES LAYNE S.A.S.</t>
  </si>
  <si>
    <t>VIVES CAMARGO NELLY MARIA</t>
  </si>
  <si>
    <t>AK 19 # 108-35 Local 1</t>
  </si>
  <si>
    <t>coordinacionoperativavpbg@gmail.com</t>
  </si>
  <si>
    <t>INSTITUTO MEDICO DE TERAPIA CELULAR SUIZA VIDA PLENA</t>
  </si>
  <si>
    <t>NELLY MAŔ VIVES CAMARGO</t>
  </si>
  <si>
    <t>andrea@inverlayne.com</t>
  </si>
  <si>
    <t>CENTRO MEDICO ENDOCENTRO LTDA</t>
  </si>
  <si>
    <t>MOLANO VILLA JUAN CARLOS</t>
  </si>
  <si>
    <t>TV 60 # 115 58 T B OF 403, 407,409,410,413,206</t>
  </si>
  <si>
    <t>endocentroltda@yahoo.com</t>
  </si>
  <si>
    <t>www.endocentroltda.com</t>
  </si>
  <si>
    <t>JUAN CARLOS MARULANDA GӍEZ</t>
  </si>
  <si>
    <t>VIVIR IPS SAS</t>
  </si>
  <si>
    <t>MORELO VERGEL ALVARO</t>
  </si>
  <si>
    <t>CARRERA 10 NUMERO 26-34 SUR</t>
  </si>
  <si>
    <t>calidadycontrol@vivirips.com</t>
  </si>
  <si>
    <t>VIVIR IPS SAS COUNTRY SUR</t>
  </si>
  <si>
    <t>MARIA CLEMENCIA GALVIS OCAMPO</t>
  </si>
  <si>
    <t>MAŔ CLEMENCIA GALVIS OCAMPO</t>
  </si>
  <si>
    <t>CARRERA 49 NUMERO 94 - 80</t>
  </si>
  <si>
    <t>UNIDAD MEDICA SANTAFE SAS</t>
  </si>
  <si>
    <t>AV CALLE 127 # 15 A - 55</t>
  </si>
  <si>
    <t>7429579 - 3173834659 - 3163195807- 3163345158</t>
  </si>
  <si>
    <t>subdireccionadm@ums.com.co calidad@ums.com.co recursoshumanos@ums.com.co alcadai1@hotmail.com</t>
  </si>
  <si>
    <t>https://ums.com.co/</t>
  </si>
  <si>
    <t>UNIMEDICA SANTAFE KENNEDY</t>
  </si>
  <si>
    <t>Alberto Efrain Cadavid Ibarra</t>
  </si>
  <si>
    <t>KR 78 K # 33 A 39 SUR</t>
  </si>
  <si>
    <t>7429579 - 3174038396 - 3173682892 - 3186156250 - 3174349439</t>
  </si>
  <si>
    <t>coordinacionodontologica@ums.com.co kennedyadm@ums.com.co</t>
  </si>
  <si>
    <t>UNIDAD MEDICA SANTAFE IPS CLL 95</t>
  </si>
  <si>
    <t>ALBERTO EFRAIN CADAVID IBARRA</t>
  </si>
  <si>
    <t>AK 45 # 95 81 PISO 1 CS 101, 102, 103, 104 Y PISO 2 COMPLETO</t>
  </si>
  <si>
    <t>7429559 -3183518270 - 3163345158 - 3173682892- 3163195807</t>
  </si>
  <si>
    <t>calle95adm@ums.com.co</t>
  </si>
  <si>
    <t>UNIDAD MEDICA SANTA FE AMERICAS</t>
  </si>
  <si>
    <t>ALBERTO CADAVID</t>
  </si>
  <si>
    <t>Calle 6 A No. 69 c 56</t>
  </si>
  <si>
    <t>6017430506 - 3174025612 - 3163847676 - 3173682892</t>
  </si>
  <si>
    <t>americasadm@ums.com.co americasjefeadministrativa@ums.com.co calidad@ums.com.co</t>
  </si>
  <si>
    <t>UNIDAD MEDICA SANTAFE UNICENTRO</t>
  </si>
  <si>
    <t>Dr. Alberto Efra�Cadavid Ibarra</t>
  </si>
  <si>
    <t>AC 127 NO. 15A - 55</t>
  </si>
  <si>
    <t>7429579 - 3173834659 - 3163195807 - 3163345158 -3173682892</t>
  </si>
  <si>
    <t>unicentroadm@ums.com.co</t>
  </si>
  <si>
    <t>UNIMEDICA SANTAFE KENNEDY II</t>
  </si>
  <si>
    <t>Dr. Alberto Cadavid</t>
  </si>
  <si>
    <t>CR 78 K NO. 33 A 03 SUR</t>
  </si>
  <si>
    <t>7429579 - 3174038396- 3173682892- 3174349439 -3186156250</t>
  </si>
  <si>
    <t>kennedyadm@ums.com.co kennedyjefeadm@ums.com.co</t>
  </si>
  <si>
    <t>UNIDAD MEDICA SANTAFE CALLE 122</t>
  </si>
  <si>
    <t>CR 16 122 18/28 PI 2</t>
  </si>
  <si>
    <t>7466629 - 3163345158 - 3173682892 -7429579</t>
  </si>
  <si>
    <t>Calle122adm@ums.com.co</t>
  </si>
  <si>
    <t>CLINICA DE OJOS (CLINOJOS) S.A. / CLINOJOS S.A.</t>
  </si>
  <si>
    <t>EDUARDO SILVESTRE ESCANDON GARCIA</t>
  </si>
  <si>
    <t>AK 45 # 95 54</t>
  </si>
  <si>
    <t>853 1912</t>
  </si>
  <si>
    <t>calidad@clinojos.com</t>
  </si>
  <si>
    <t>CL͎ICA DE OJOS CLINOJOS</t>
  </si>
  <si>
    <t>6512121 EXT 203</t>
  </si>
  <si>
    <t>CLINICA DE OJOS 104</t>
  </si>
  <si>
    <t>CRISTHIAN DAVID MENDEZ RODRIGUEZ</t>
  </si>
  <si>
    <t>Ak 9 No. 104 A - 58 Piso 1 al 7</t>
  </si>
  <si>
    <t>8531912 - 3107865180</t>
  </si>
  <si>
    <t>gerencia@cliniojos.com</t>
  </si>
  <si>
    <t>CENTRO DE TERAPIAS OCUFILEN LTDA</t>
  </si>
  <si>
    <t>ORDOхZ SUSANA</t>
  </si>
  <si>
    <t>CALLE 117 # 6 A 83 CONS 503-504</t>
  </si>
  <si>
    <t>ocufilen@gmail.com</t>
  </si>
  <si>
    <t>CENTRO DE TERAPIAS OCUFILEN</t>
  </si>
  <si>
    <t>AYUDAS DIAGNOSTICAS SURA S.A.S</t>
  </si>
  <si>
    <t>SANDRA LEONOR CEBALLOS GOMEZ</t>
  </si>
  <si>
    <t>AK 14 No. 49-83 LC 2</t>
  </si>
  <si>
    <t>2602100 3178528626 /3164625445</t>
  </si>
  <si>
    <t>RqExt@suramericana.com.co / llbenavidesm@sura.com.co / gpgonzalez@sura.com.co</t>
  </si>
  <si>
    <t>www.dinamicaips.com.co</t>
  </si>
  <si>
    <t>AYUDAS DIAGNOSTICAS SURA CALLE 49</t>
  </si>
  <si>
    <t>Adriana Isabel Florez</t>
  </si>
  <si>
    <t>3178528626 / 3164625445 / 2602100</t>
  </si>
  <si>
    <t>rqext@suramericana.com.co / llbenavidesm@sura.com.co</t>
  </si>
  <si>
    <t>AYUDAS DIAGNOSTICAS IPS SURA OLAYA</t>
  </si>
  <si>
    <t>CRA 14 No. 26 A 79 SUR PISO 1</t>
  </si>
  <si>
    <t>AYUDAS DIAGNOSTICAS SALUD SURA CALLE 100</t>
  </si>
  <si>
    <t>Cl 100 # 19A - 35 P3 Y P6 Area Central Y Costado Suroccidental Y P7 Costado Sur Occidental P4 Cons11</t>
  </si>
  <si>
    <t>AYUDAS DIAGNOSTICAS SURA CENTRAL DE PROCESAMIENTO</t>
  </si>
  <si>
    <t>CL 25D 96B 70 P1B Costado suroccidente P3</t>
  </si>
  <si>
    <t>Ayudas Diagnosticas Sura Plaza Central</t>
  </si>
  <si>
    <t>Cr 65 N 11 - 50 Lc 2-48</t>
  </si>
  <si>
    <t>rqext@suramericana.com.co / lbenavidesm@sura.com.co</t>
  </si>
  <si>
    <t>Ayudas Diagnosticas Salud Sura Norte</t>
  </si>
  <si>
    <t>Cl 98 # 19 A 58</t>
  </si>
  <si>
    <t>AYUDAS DIAGNOSTICAS SALUD SURA USAQUEN</t>
  </si>
  <si>
    <t>ADRIANA ISABEL FLOREZ</t>
  </si>
  <si>
    <t>Cl 119 A No 7 74 P 1 Y 2</t>
  </si>
  <si>
    <t>llbenavidesm@sura.com.co / rqext@suramericana.com.co</t>
  </si>
  <si>
    <t>AYUDAS DIAGNOSTICAS SURA SANTA BARBARA</t>
  </si>
  <si>
    <t>Ak 19 123 52 Piso 1 Costado Norte Piso 2 Cons 8 Y 9</t>
  </si>
  <si>
    <t>AYUDAS DIAGNOSTICAS SURA COUNTRY</t>
  </si>
  <si>
    <t>Cr 16 A No. 84 05 Ps 4 Cons 3</t>
  </si>
  <si>
    <t>RqExt@suramericana.com.co // llbenavidesm@sura.com.co</t>
  </si>
  <si>
    <t>FUNDACION HEMATOLOGICA COLOMBIA</t>
  </si>
  <si>
    <t>MONICA PATRICIA RESTREPO SIERRA</t>
  </si>
  <si>
    <t>CARRERA 65 N 81 - 67</t>
  </si>
  <si>
    <t>571 2369099</t>
  </si>
  <si>
    <t>fuheco@etb.net.co</t>
  </si>
  <si>
    <t>UNIDAD MAMOGRAFICA DEL COUNTRY SAS</t>
  </si>
  <si>
    <t>BERNARDO SANCEZ RESTREPO</t>
  </si>
  <si>
    <t>KR 16 # 84 A 09 CS 423</t>
  </si>
  <si>
    <t>umcb.m@hotmail.com</t>
  </si>
  <si>
    <t>SOCIEDAD DE CIRUGIA OCULAR SOCIEDAD ANONIMA Sigla:SCO</t>
  </si>
  <si>
    <t>UCROS CUELLAR ALFONSO MARIA</t>
  </si>
  <si>
    <t>KR 16 # 97 46 TO A LC 02</t>
  </si>
  <si>
    <t>6257723 ext 113 - 1103</t>
  </si>
  <si>
    <t>INFO@CIRUGIAOCULAR.COM.CO</t>
  </si>
  <si>
    <t>SOCIEDAD DE CIRUGIA OCULAR CALLE 134</t>
  </si>
  <si>
    <t>AC 134 N 7B- 83 Cs 714-716</t>
  </si>
  <si>
    <t>info@cirugiaocular.com.co</t>
  </si>
  <si>
    <t>SOCIEDAD DE CIRUGIA OCULAR TORRE 97</t>
  </si>
  <si>
    <t>CRA 16 # 97-46 ED TORRE 97 PH Torre II Pisos 2-3-4-5, Cs 704, LC 3 Pisos 1 - 2</t>
  </si>
  <si>
    <t>ENFERMERAS DOMICILIARIAS ASOCIADAS ENFASO SAS</t>
  </si>
  <si>
    <t>DUEсS CARDENAS MARTHA HELENA</t>
  </si>
  <si>
    <t>AC 127 # 20 16 Ofc 215</t>
  </si>
  <si>
    <t>enfaso@enfaso.com</t>
  </si>
  <si>
    <t>www.enfaso.com</t>
  </si>
  <si>
    <t>ENFASO PROCEDIMIENTOS PLUSS 127</t>
  </si>
  <si>
    <t>6232105-3134714621</t>
  </si>
  <si>
    <t>ENFASO PROCEDIMIENTOS CLINICA COLOMBIA</t>
  </si>
  <si>
    <t>MARTHA HELENA DUEсS CARDENAS</t>
  </si>
  <si>
    <t>CL 23 # 66-46 CS 815</t>
  </si>
  <si>
    <t>enfaso@gmail.com</t>
  </si>
  <si>
    <t>ENFASO PROCEDIMIENTOS CL͎ICA COLOMBIA 819</t>
  </si>
  <si>
    <t>MAŔ CLAUDIA MORA CALDERӎ</t>
  </si>
  <si>
    <t>CALLE 23 No 66-46 CONS 819</t>
  </si>
  <si>
    <t>2202700 EXT 7822 - 5701446</t>
  </si>
  <si>
    <t>MEDIPORT SAS</t>
  </si>
  <si>
    <t>OBREGON DIEGO BARRETO</t>
  </si>
  <si>
    <t>Avenida Carrera 7 # 127 - 48 OF 501 - 502 - 512</t>
  </si>
  <si>
    <t>3154662116- 3156071491 - 3102016213 - 7463713</t>
  </si>
  <si>
    <t>info@mediport.com.co</t>
  </si>
  <si>
    <t>MEDIPORT BS</t>
  </si>
  <si>
    <t>DIEGO BARRETO</t>
  </si>
  <si>
    <t>Calle 127 A 7 A 36</t>
  </si>
  <si>
    <t>FISIOEXPRESS LTDA</t>
  </si>
  <si>
    <t>KR 7 F # 145 59</t>
  </si>
  <si>
    <t>servicioalcliente@fisioexpress.com</t>
  </si>
  <si>
    <t>SANDRA SANTACRUZ ESGUERRA</t>
  </si>
  <si>
    <t>CIENCIA Y ESTETICA CIRUGIA PLASTIKA MD SAS</t>
  </si>
  <si>
    <t>TURRIAGO PRIETO CLAUDIA PATRICIA</t>
  </si>
  <si>
    <t>AK 45 # 118 86 PI 7</t>
  </si>
  <si>
    <t>contadorcienciayestetica@hotmail.com</t>
  </si>
  <si>
    <t>CIENCIA Y ESTETICA CIRUGIA PLASTICA</t>
  </si>
  <si>
    <t>LUIS ANSELMO PAVAJEAU MUяZ</t>
  </si>
  <si>
    <t>CENTRO DE GASTROENTEROLOGIA Y ENDOSCOPIA LIMITADA</t>
  </si>
  <si>
    <t>CALLE 117 #6A 60 CONSULTORIO 603A</t>
  </si>
  <si>
    <t>informacion.unidadgastro@gmail.com</t>
  </si>
  <si>
    <t>WILLIAM ALBERTO OTERO REGINO</t>
  </si>
  <si>
    <t>CALLE 117 #6A-60 CONSULTORIO 603A</t>
  </si>
  <si>
    <t>centrodegastrocalidad@gmail.com</t>
  </si>
  <si>
    <t>LINA MABEL OTERO PARRA</t>
  </si>
  <si>
    <t>Calle 119 7 14 Consultorio 521</t>
  </si>
  <si>
    <t>CENTRO MEDICO COMUNITARIO VILLA AMALIA</t>
  </si>
  <si>
    <t>AMAYA PACHON ALBERTO</t>
  </si>
  <si>
    <t>AC 72 # 110 13 PI 2</t>
  </si>
  <si>
    <t>JACPVA@HOTMAIL.COM</t>
  </si>
  <si>
    <t>FUNDACION ABOOD SHAIO</t>
  </si>
  <si>
    <t>OBANDO IRAGORRI LUZ MARIA</t>
  </si>
  <si>
    <t>DIAG 115 A # 70 C 75</t>
  </si>
  <si>
    <t>direcciongeneral@shaio.org</t>
  </si>
  <si>
    <t>https://www.shaio.org/</t>
  </si>
  <si>
    <t>GILBERTO ANDRES MEJIA ESTRADA</t>
  </si>
  <si>
    <t>CRUZ ROJA COLOMBIANA SECCIONAL CUNDINAMARCA Y BOGOTA</t>
  </si>
  <si>
    <t>ARANGO LONDOя MARIA VIRGINIA</t>
  </si>
  <si>
    <t>CARRERA 23 No. 73-19</t>
  </si>
  <si>
    <t>dsalud@cruzrojabogota.org.co</t>
  </si>
  <si>
    <t>GABRIEL CAMERO RAMOS</t>
  </si>
  <si>
    <t>AK 68 No 68 B 31</t>
  </si>
  <si>
    <t>CRUZ ROJA COLOMBIANA SECCIONAL CUNDINAMARCA Y BOGOTA SERVICIO DE VACUNACION UNICENTRO</t>
  </si>
  <si>
    <t>AV 15 # 123 30 ENTRADA 3</t>
  </si>
  <si>
    <t>CRUZ ROJA COLOMBIANA SECCIONAL CUNDINAMARCA Y BOGOTA SEDE NORTE</t>
  </si>
  <si>
    <t>AC 134 NO. 7 B-41 PUERTA 2 Piso 1 y Piso 2, Excepto el Laboratorio Cl�co y Toma de Muestras del Piso 1</t>
  </si>
  <si>
    <t>CRUZ ROJA COLOMBIANA SECCIONAL CUNDINAMARCA Y BOGOTA SEDE ALQUERIA</t>
  </si>
  <si>
    <t>Av. CRA. 68 No. 31 - 41 SUR</t>
  </si>
  <si>
    <t>CRUZ ROJA COLOMBIANA SECCIONAL CUNDINAMARCA Y BOGOTA SEDE CALLE 73</t>
  </si>
  <si>
    <t>KR 23 # 73 19 TO A PI 1-2-3</t>
  </si>
  <si>
    <t>7460909 EXT 102 103</t>
  </si>
  <si>
    <t>SERVICIO DE VACUNACIӎ CENTRO COMERCIAL ANDINO</t>
  </si>
  <si>
    <t>CARRERA 11 82 01/51/71 PISO 2 LOCAL 248</t>
  </si>
  <si>
    <t>3183505960/3506507266</t>
  </si>
  <si>
    <t>SERVICIO DE VACUNACION CENTRO COMERCIAL PLAZA DE LAS AMERICAS</t>
  </si>
  <si>
    <t>TRANSVERSAL 71D 26 94SUR PISO 1 LOCAL 1931AC1</t>
  </si>
  <si>
    <t>ANALIZAR LABORATORIO CLINICO AUTOMATIZADO S.A.S.</t>
  </si>
  <si>
    <t>CL 103 # 14 A 76</t>
  </si>
  <si>
    <t>www.analizarlab.com</t>
  </si>
  <si>
    <t>ANALIZAR LABORATORIO CLINICO AUTOMATIZADO S.A.S</t>
  </si>
  <si>
    <t>LABORATORIO BIOCLINICO GOMEZ VESGA G V S.A.S. SIGLA LABORATORIO CLINICO GOMEZ VESGA</t>
  </si>
  <si>
    <t>GOMEZ PARDO EUGENIA</t>
  </si>
  <si>
    <t>AV CRA 7 No. 119-14 LOCAL 104 A Barrio: Usaquen</t>
  </si>
  <si>
    <t>www.labgomezvesga.com</t>
  </si>
  <si>
    <t>GOMEZ VESGA SABANA 2</t>
  </si>
  <si>
    <t>AV CRA. 7 No. 119-14 LOCAL 104 A</t>
  </si>
  <si>
    <t>SALUD OCUPACIONAL DE LOS ANDES LIMITADA</t>
  </si>
  <si>
    <t>ROMERO ZAMBRANO ARIEL HUMBERTO</t>
  </si>
  <si>
    <t>CR 62 N 12 - 58 BG 1-2-3-4-5 - Barrio:CC PUENTE ARANDA</t>
  </si>
  <si>
    <t>3005111879- 3203337914</t>
  </si>
  <si>
    <t>direccion.sgi@soandes.co alexander.leon@soandes.co</t>
  </si>
  <si>
    <t>https://soandes.com.co/</t>
  </si>
  <si>
    <t>SALUD OCUPACIONAL DE LOS ANDES LTDA</t>
  </si>
  <si>
    <t>LEON TUNJO LUIS ALEXANDER</t>
  </si>
  <si>
    <t>CR 62 N 12 - 58 BG 1-2-3-4-5</t>
  </si>
  <si>
    <t>2903763 - 7560686 Ext 100 - 203 / 3203337914</t>
  </si>
  <si>
    <t>coordinacion.polo@soandes.co</t>
  </si>
  <si>
    <t>LEON TENJO LUIS ALEXANDER</t>
  </si>
  <si>
    <t>Av Cr 15 103-37 piso 2 Consultorios 101 al 112 y piso 3</t>
  </si>
  <si>
    <t>4230260/ 3203337914</t>
  </si>
  <si>
    <t>coordinacion.chico@soandes.co</t>
  </si>
  <si>
    <t>Avenida Carrera 24 # 85 - 23 Piso 1</t>
  </si>
  <si>
    <t>7560686 Ext 100 - 203 / 3203337914</t>
  </si>
  <si>
    <t>SERVICIO DE ATENCION ODONTOLOGICA S.A.S SIGLA SEDATO S.A.S</t>
  </si>
  <si>
    <t>PABON PEREZ ANA MARIA</t>
  </si>
  <si>
    <t>AC 127 # 19 A 28 CS 201 ACOMEDICA 1</t>
  </si>
  <si>
    <t>6601318-6141912- 3123783706</t>
  </si>
  <si>
    <t>gerencia@clinicaodontologicasedato.com</t>
  </si>
  <si>
    <t>ANA MARIA PABON PEREZ</t>
  </si>
  <si>
    <t>6601318 - 6141912- 3123783706</t>
  </si>
  <si>
    <t>administracion@clinicaodontologicasedato.com</t>
  </si>
  <si>
    <t>CENTRO DE ESPECIALISTAS DIAGNOSTICO TRATAMIENTOS CEDIT SAS</t>
  </si>
  <si>
    <t>CORDON ASTROZ LIBARDO</t>
  </si>
  <si>
    <t>CALLE 40 SUR No 73D-12</t>
  </si>
  <si>
    <t>administradork@ceditltda.com</t>
  </si>
  <si>
    <t>CEDIT SAS</t>
  </si>
  <si>
    <t>LIBARDO CORDON ASTROZ</t>
  </si>
  <si>
    <t>unidadrenalk@ceditltda.com</t>
  </si>
  <si>
    <t>FUNDACION PARA EL NIя SORDO ICAL</t>
  </si>
  <si>
    <t>FERREIRA CORTES MARTHA PATRICIA</t>
  </si>
  <si>
    <t>Calle 124 No. 7-38 Loc. 203-206 Barrio Santa Barbara</t>
  </si>
  <si>
    <t>direcciongeneral@icalcolombia.org</t>
  </si>
  <si>
    <t>JULIAN EDUARDO FALLA ARREDONDO</t>
  </si>
  <si>
    <t>Calle 124 No. 7-38 Loc. 203-206</t>
  </si>
  <si>
    <t>lideradmitivabog@icalcolombia.org</t>
  </si>
  <si>
    <t>OTOFON SOCIEDAD POR ACCIONES SIMPLIFICADA SIGLA OTOFON S.A.S</t>
  </si>
  <si>
    <t>SCHARF DE SANABRIA FRIDA</t>
  </si>
  <si>
    <t>KR 7 No 119 14 CS 310</t>
  </si>
  <si>
    <t>otofonsa@gmail.com</t>
  </si>
  <si>
    <t>OTOFON S.A.S</t>
  </si>
  <si>
    <t>CENTRO QUIRURGICO DE LA SABANA S.A - CIRUSABANA S.A</t>
  </si>
  <si>
    <t>схS LOPEZ CLAUDIA ISABEL</t>
  </si>
  <si>
    <t>AK 7 # 119 14 CS 107, 213 AL 218, 329, 330, 425</t>
  </si>
  <si>
    <t>2147420-3143954496</t>
  </si>
  <si>
    <t>cirusabana@yahoo.com</t>
  </si>
  <si>
    <t>DORIS BIBIANA GUZMAN LONDOя</t>
  </si>
  <si>
    <t>AK 7 # 119-14 CS 107, 213 AL 218, 329, 330, 425</t>
  </si>
  <si>
    <t>Fundaci󮠃l�ca de Maternidad David Restrepo</t>
  </si>
  <si>
    <t>CRA 13 42 36 OFC 602</t>
  </si>
  <si>
    <t>direccion@fundaciondavidrestrepo.com.co</t>
  </si>
  <si>
    <t>https://fundaciondavidrestrepo.com.co</t>
  </si>
  <si>
    <t>Sede Nutrici󮠐ediᴲica David Restrepo</t>
  </si>
  <si>
    <t>MARTHA YOLANDA RUIZ VALDES</t>
  </si>
  <si>
    <t>Carrera 13 No. 42-36 Edificio Villa Esther - Consultorio 101</t>
  </si>
  <si>
    <t>RTS S.A.S</t>
  </si>
  <si>
    <t>JOSE JOAQUIN RODRIGUEZ QUINTERO</t>
  </si>
  <si>
    <t>CALLE 78 No. 23-40 - Barrio:JUAN XVIII</t>
  </si>
  <si>
    <t>(601)4391270 // 3228845160</t>
  </si>
  <si>
    <t>fredy.rojas@vantive.com</t>
  </si>
  <si>
    <t>https://rcs.baxter.com/es - www.vantive.com</t>
  </si>
  <si>
    <t>RTS AGENCIA CARDIOINFANTIL</t>
  </si>
  <si>
    <t>ARMANDO FORERO</t>
  </si>
  <si>
    <t>KR 14 A # 163 A 98</t>
  </si>
  <si>
    <t>6696996 // 3228807582</t>
  </si>
  <si>
    <t>armando.forero@vantive.com</t>
  </si>
  <si>
    <t>RTS AGENCIA SAN RAFAEL</t>
  </si>
  <si>
    <t>LUIS ALBERTO LEON GIRALDO</t>
  </si>
  <si>
    <t>Cra 8 # 17 Sur - 44 Sur Entrada 3 Piso 1 y Local 5</t>
  </si>
  <si>
    <t>(601) 4391295 // 3152449265</t>
  </si>
  <si>
    <t>luis.alberto.leon@vantive.com</t>
  </si>
  <si>
    <t>RTS AGENCIA CSR BOGOTA</t>
  </si>
  <si>
    <t>WILTON JAVIER LESMES FERRO</t>
  </si>
  <si>
    <t>Calle 43 No. 25 - 61 Piso 1 Y Piso 2 Consultorios 8, 9, 10, 11</t>
  </si>
  <si>
    <t>(601)3438900-4391269 - whatsapp 3176400917</t>
  </si>
  <si>
    <t>wilton.lesmes@vantive.com</t>
  </si>
  <si>
    <t>RTS AGENCIA HOSPITAL MILITAR CENTRAL</t>
  </si>
  <si>
    <t>Claudia Marcela Pineda Fula</t>
  </si>
  <si>
    <t>TV 3C No. 49-02 HOSPITAL MILITAR CENTRAL PISO 4 ALA NORTE UNIDAD RENAL</t>
  </si>
  <si>
    <t>(601) 4391285 Ext. 2400 - 2401 -2405 - Cel 3176417621</t>
  </si>
  <si>
    <t>claudia.pineda@vantive.com</t>
  </si>
  <si>
    <t>RTS AGENCIA LA CALLEJA</t>
  </si>
  <si>
    <t>Rosa Esperanza Vargas L󰥺</t>
  </si>
  <si>
    <t>CALLE 127 BIS No 19-25 PISO 5</t>
  </si>
  <si>
    <t>555 36 10 - 3135945227- 3152638952</t>
  </si>
  <si>
    <t>rosa.esperanza.vargas@vantive.com</t>
  </si>
  <si>
    <t>RTS AGENCIA UNIVERSIDAD NACIONAL</t>
  </si>
  <si>
    <t>Calle 44 # 59-75 Piso 1 Unidad Renal, Consultorios 16 Y 17</t>
  </si>
  <si>
    <t>3104198250 - (601)5552105</t>
  </si>
  <si>
    <t>RTS SUCURSAL INSTITUTO NACIONAL DEL RIяN</t>
  </si>
  <si>
    <t>FREDY ORLANDO ROJAS CARVAJAL</t>
  </si>
  <si>
    <t>CALLE 78 No. 23-40</t>
  </si>
  <si>
    <t>(601) 4391270 // 322 8845160</t>
  </si>
  <si>
    <t>DIAGNOSTICO PRENATAL LTDA</t>
  </si>
  <si>
    <t>ORJUELA ESCOBAR JORGE ENRIQUE</t>
  </si>
  <si>
    <t>AC 127 # 20 78 CONS 420</t>
  </si>
  <si>
    <t>3102593296 / WhatsApp 3102593296 / 6017456801</t>
  </si>
  <si>
    <t>diagpren@gmail.com</t>
  </si>
  <si>
    <t>3102593296 / WhapsApp 3054228602 / 6017456801</t>
  </si>
  <si>
    <t>CENTRO DE REHABILITACION PARA ADULTOS CIEGOS CRAC</t>
  </si>
  <si>
    <t>LOPERA RESTREPO GLADYS DE LAS MERCEDES</t>
  </si>
  <si>
    <t>AC 8 SUR # 31 A 31</t>
  </si>
  <si>
    <t>direccion@cracolombia.org.co</t>
  </si>
  <si>
    <t>Centro de Rehabilitaci󮠰ara Adultos Ciegos CRAC Sede Norte</t>
  </si>
  <si>
    <t>Gladys de las Mercedes Lopera Restrepo</t>
  </si>
  <si>
    <t>Calle 127B No 46-39</t>
  </si>
  <si>
    <t>UNILASER MEDICA S.A.</t>
  </si>
  <si>
    <t>RIOS MORA CARLOS ADRIAN</t>
  </si>
  <si>
    <t>CALLE 90 # 11-44 OFICINA 210</t>
  </si>
  <si>
    <t>unilasermedica@gmail.com</t>
  </si>
  <si>
    <t>UNILASER MEDICA</t>
  </si>
  <si>
    <t>CARLOS ADRIAN RIOS MORA</t>
  </si>
  <si>
    <t>SVIK S.A</t>
  </si>
  <si>
    <t>VARGAS ARANZALES OLGA</t>
  </si>
  <si>
    <t>CALLE 57 # 14 A 14</t>
  </si>
  <si>
    <t>SVIK VENECIA INSTITUTO STELLA DURAN</t>
  </si>
  <si>
    <t>DG 46 SUR # 51 24</t>
  </si>
  <si>
    <t>SVIK CHAPINERO INSTITUTO STELLA DURAN</t>
  </si>
  <si>
    <t>SVIK RESTREPO INSTITUTO STELLA DURAN</t>
  </si>
  <si>
    <t>CALLE 16 SUR # 20 19</t>
  </si>
  <si>
    <t>SVIK KENNEDY INSTITUTO STELLA DURAN</t>
  </si>
  <si>
    <t>CALLE 36 SUR # 75 A 10</t>
  </si>
  <si>
    <t>SVIK UNICENTRO INSTITUTO STELLA DURAN</t>
  </si>
  <si>
    <t>AV 15 # 123 71 OF 201</t>
  </si>
  <si>
    <t>SVIK QUIRIGUA</t>
  </si>
  <si>
    <t>ANGELA OCAс</t>
  </si>
  <si>
    <t>TRANSV. 94 No 83B -22</t>
  </si>
  <si>
    <t>vangel.svik@yahoo.com</t>
  </si>
  <si>
    <t>FUNDACION ARTHUR STANLEY GILLOW</t>
  </si>
  <si>
    <t>GIRALDO RIOS ALEJANDRO</t>
  </si>
  <si>
    <t>AV. CALLE 100 # 11 B 04</t>
  </si>
  <si>
    <t>CONTACTENOS@FUNDACIONGILLOW.ORG</t>
  </si>
  <si>
    <t>ASOCIACION MUTUAL SAN JORGE</t>
  </si>
  <si>
    <t>CANTOR BAUTISTA JOSE JOAQUIN</t>
  </si>
  <si>
    <t>CALLE 101 # 55 88</t>
  </si>
  <si>
    <t>SERVITERAPIAS SAS - SERVICIOS TERAPEUTICOS DOMICILIARIOS</t>
  </si>
  <si>
    <t>MARIA CLARA CORREA SAGRE</t>
  </si>
  <si>
    <t>Cra 7c Bis No 139-18 OFICINA 409</t>
  </si>
  <si>
    <t>7514675 - 3123511353</t>
  </si>
  <si>
    <t>serviterapias@gmail.com</t>
  </si>
  <si>
    <t>www.serviterapias.com</t>
  </si>
  <si>
    <t>SERVITERAPIAS SAS- SERVICIOS TERAPEUTICOS DOMICILIARIOS</t>
  </si>
  <si>
    <t>POLICLINICO SOCIAL DEL NORTE LTDA</t>
  </si>
  <si>
    <t>SEGURA BARON JAIME ENRIQUE</t>
  </si>
  <si>
    <t>KRA 8 H # 164 B 19</t>
  </si>
  <si>
    <t>:psndelnorte@policlinicosocial delnorte.com</t>
  </si>
  <si>
    <t>JOSE HERNANDO BAQUERO VILLAMIL</t>
  </si>
  <si>
    <t>KR 8 H # 164 B 19</t>
  </si>
  <si>
    <t>CLINICA ODONTOLOGICA PROTECCION ORAL S.A.S. SIGLA COPO S.A.S.</t>
  </si>
  <si>
    <t>CAMACHO BERNAL MAURICIO</t>
  </si>
  <si>
    <t>AV CRA 19 No 125 26 PISO 1</t>
  </si>
  <si>
    <t>7552985 7559251 7557216 3175161250</t>
  </si>
  <si>
    <t>contacto@proteccionoral.com</t>
  </si>
  <si>
    <t>CLINICA ODONTOLOGICA PROTECCION ORAL</t>
  </si>
  <si>
    <t>PATRICIA VELANDIA ORJUELA</t>
  </si>
  <si>
    <t>CLINICA ODONTOLOGICA PROTECCION ORAL SEDE AV BOYACA</t>
  </si>
  <si>
    <t>PATRICIA VELANDIA RODRIGUEZ</t>
  </si>
  <si>
    <t>Avenida Carrera 72 No. 9 97</t>
  </si>
  <si>
    <t>7032431 - 3163068085</t>
  </si>
  <si>
    <t>sedeamericas@proteccionoral.com</t>
  </si>
  <si>
    <t>LABORATORIO DE INVESTIGACIӎ HORMONAL LIH S.A.</t>
  </si>
  <si>
    <t>GLADYS JUDITH LAVERDE DE ARBELAEZ</t>
  </si>
  <si>
    <t>Carrera 21 # 166 - 77 piso 1 Y 2 / 81 piso 1</t>
  </si>
  <si>
    <t>3212319606 - 3014956667</t>
  </si>
  <si>
    <t>calidad@lablih.net</t>
  </si>
  <si>
    <t>www.lablih.net</t>
  </si>
  <si>
    <t>LABORATORIO DE INVESTIGACION HORMONAL LIH S.A.</t>
  </si>
  <si>
    <t>GLORIA LILIANA MARTINEZ MERIZALDE</t>
  </si>
  <si>
    <t>LABORATORIO DE INVESTIGACION HORMONAL LIH S.A. SEDE BOSQUE</t>
  </si>
  <si>
    <t>CALLE 134 No 7B-83 cons 420</t>
  </si>
  <si>
    <t>3212319606 - 3009517286</t>
  </si>
  <si>
    <t>LABORATORIO DE INVESTIGACION HORMONAL LIH S.A. SEDE MARLY</t>
  </si>
  <si>
    <t>CALLE 50 N. 8-24 CONSULTORIOS 306-307</t>
  </si>
  <si>
    <t>3009517287 - 3212319606</t>
  </si>
  <si>
    <t>LABOIRATORIO DE INVESTIGACION HORMONAL LIH S.A. SEDE COUNTRY</t>
  </si>
  <si>
    <t>CARRERA 16 NO. 84 A -09 CONSULTORIO 613</t>
  </si>
  <si>
    <t>3212319606 - 3009517293</t>
  </si>
  <si>
    <t>LABORATORIO DE INVESTIGACION HORMONAL LIH S.A. SEDE SALITRE</t>
  </si>
  <si>
    <t>AVENIDA CALLE 24 # 69 C - 17 LOCAL 1</t>
  </si>
  <si>
    <t>3212319606 - 3009517297</t>
  </si>
  <si>
    <t>LABORATORIO DE INVESTIGACION HORMONAL LIH S.A SEDE CENTRO INTERNACIONAL</t>
  </si>
  <si>
    <t>CARRERA 13A 34-55 OFC. 101</t>
  </si>
  <si>
    <t>3212319606 - 3214682416</t>
  </si>
  <si>
    <t>LIH SA SEDE CIMA COUNTRY</t>
  </si>
  <si>
    <t>CALLE 83 # 16 A - 44 CONSULTORIO 208</t>
  </si>
  <si>
    <t>3212319606 - 3015406430</t>
  </si>
  <si>
    <t>LABORATORIO DE INVESTIGACIӎ HORMONAL LIH S.A. PASADENA 106</t>
  </si>
  <si>
    <t>CALLE 106 # 56 - 41 CONSULTORIO 201 EDIFICIO CIENTO6</t>
  </si>
  <si>
    <t>3212319606 - 3024082711</t>
  </si>
  <si>
    <t>LABORATORIO DE INVESTIGACIӎ HORMONAL LIH S.A. SEDE CMC</t>
  </si>
  <si>
    <t>Carrera 19 A # 82- 85 CONSULTORIO 223</t>
  </si>
  <si>
    <t>3212319606 - 3015406458</t>
  </si>
  <si>
    <t>LABORATORIO DE INVESTIGACIӎ HORMONAL LIH S.A. SEDE SANTA BARBARA</t>
  </si>
  <si>
    <t>CARRERA 7 # 121-95</t>
  </si>
  <si>
    <t>3212319606 - 3009517285</t>
  </si>
  <si>
    <t>LABORATORIO DE INVESTIGACIӎ HORMONAL LIH S.A. SEDE UNICENTRO</t>
  </si>
  <si>
    <t>CALLE 127 # 14-12</t>
  </si>
  <si>
    <t>3212319606 - 3009517283</t>
  </si>
  <si>
    <t>LABORATORIO DE INVESTIGACIӎ HORMONAL LIH SEDE AMERICAS</t>
  </si>
  <si>
    <t>CALLE 6 A N 70 - 26</t>
  </si>
  <si>
    <t>3212319606 - 3015406465</t>
  </si>
  <si>
    <t>SISTEMAS DE TERAPIA RESPIRATORIA SAS</t>
  </si>
  <si>
    <t>MIRANDA MIRANDA JOSE CARLOS</t>
  </si>
  <si>
    <t>Carrera 23 No. 124-87 ofc 703-704</t>
  </si>
  <si>
    <t>notificaciones@strencasa.com</t>
  </si>
  <si>
    <t>CATALINA MIRANDA BARBOSA</t>
  </si>
  <si>
    <t>carrera 23 n 124-87 oficina 703-704</t>
  </si>
  <si>
    <t>7945808- 3187173056</t>
  </si>
  <si>
    <t>serviciocliente@strencasa.com</t>
  </si>
  <si>
    <t>ENFETER SA</t>
  </si>
  <si>
    <t>RIVEROS AHUMADA JORGE HERNANDO</t>
  </si>
  <si>
    <t>AC 116 No 9-72 Consultorio 601 y 501</t>
  </si>
  <si>
    <t>7420030 4894228</t>
  </si>
  <si>
    <t>info.legal@enfeter.com.co</t>
  </si>
  <si>
    <t>BEATRIZ EUGENIA PUENTES DIAZ</t>
  </si>
  <si>
    <t>coordinacion.gestionintegral@enfeter.com.co</t>
  </si>
  <si>
    <t>OPTICA ALEMANA SCHMIDT HIJOS LTDA</t>
  </si>
  <si>
    <t>SCHLIEF RAETHER WOLF GUNNAR</t>
  </si>
  <si>
    <t>CARRERA 11 N 82-71 LOCAL 3-52 - Barrio:EL RETIRO</t>
  </si>
  <si>
    <t>3002112 - 3219648703</t>
  </si>
  <si>
    <t>gerencia@opticaalemanash.com</t>
  </si>
  <si>
    <t>www.opticaalemanash.com</t>
  </si>
  <si>
    <t>OPTICA ALEMANA</t>
  </si>
  <si>
    <t>GLORIA ATENAIS GARRIDO LINCE</t>
  </si>
  <si>
    <t>CALLE 64 N 7-80</t>
  </si>
  <si>
    <t>3585595 2498441 3143209609</t>
  </si>
  <si>
    <t>OPTICA ALEMANA ANDINO</t>
  </si>
  <si>
    <t>CARRERA 11 N 82-71 LOCAL 3-52</t>
  </si>
  <si>
    <t>BECERRA TORRES LIMITADA</t>
  </si>
  <si>
    <t>BECERRA TAFUR JAIME GABRIEL</t>
  </si>
  <si>
    <t>CALLE 90 # 11 44 CONS 210</t>
  </si>
  <si>
    <t>jaimebecerraorl@yahoo.com</t>
  </si>
  <si>
    <t>ORTODONCISTAS ASOCIADOS S.A.S</t>
  </si>
  <si>
    <t>HERNANDEZ RODRIGUEZ LUIS CARLOS</t>
  </si>
  <si>
    <t>KR 11 # 66 53 LOCAL 1</t>
  </si>
  <si>
    <t>helen.contabilidad@ortoasociados.com</t>
  </si>
  <si>
    <t>LUIS CARLOS HERNANDEZ RODRIGUEZ</t>
  </si>
  <si>
    <t>KR 11 # 66- 53 LOCAL 1</t>
  </si>
  <si>
    <t>ORTODONCISTAS ASOCIADOS SAS</t>
  </si>
  <si>
    <t>AV 15 # 124 29 OF 501</t>
  </si>
  <si>
    <t>KR 103 C BIS # 150 B 17</t>
  </si>
  <si>
    <t>CLINICA RANGEL PEREIRA LTDA</t>
  </si>
  <si>
    <t>RANGEL RODRIGUEZ. AUGUSTO ALBERTO</t>
  </si>
  <si>
    <t>CALLE 96 No 14-53/47 OFICINA 201</t>
  </si>
  <si>
    <t>6114050 - 3002002714</t>
  </si>
  <si>
    <t>arangelp@clinicarangelpereira.com</t>
  </si>
  <si>
    <t>CLINICA RANGEL PEREIRA</t>
  </si>
  <si>
    <t>AUGUSTO ALBERTO RANGEL PEREIRA</t>
  </si>
  <si>
    <t>CALLE 96 # 14-53/47 OFICINA 201</t>
  </si>
  <si>
    <t>6114050 - 3102002714</t>
  </si>
  <si>
    <t>CAJA DE COMPENSACION FAMILIAR COMPENSAR</t>
  </si>
  <si>
    <t>HERNAN CASTELLANOS RAMIREZ</t>
  </si>
  <si>
    <t>AV. CL 26 No. 66 A - 48</t>
  </si>
  <si>
    <t>601 4285088</t>
  </si>
  <si>
    <t>gdentescontrolbogota@compensarsalud.com</t>
  </si>
  <si>
    <t>www.compensar.com</t>
  </si>
  <si>
    <t>UNIDAD DE SERVICIOS KENNEDY</t>
  </si>
  <si>
    <t>ADRIANA BAREя RODRIGUEZ</t>
  </si>
  <si>
    <t>TV 78 H # 41 C 48 SUR</t>
  </si>
  <si>
    <t>UNIDAD DE SERVICIOS CALLE 26</t>
  </si>
  <si>
    <t>AC 26 No 66 A 48</t>
  </si>
  <si>
    <t>UNIDAD DE SERVICIOS CALLE 42</t>
  </si>
  <si>
    <t>CL 42 # 13-19 TO A TO B</t>
  </si>
  <si>
    <t>UNIDAD DE SERVICIOS CALLE 134</t>
  </si>
  <si>
    <t>AC 134 # 7 B 83 LC 6 - LC 17 y PI 11</t>
  </si>
  <si>
    <t>UNIDAD DE SERVICIOS SUBA</t>
  </si>
  <si>
    <t>CL 139 No. 94-55 PI1, PI2, CONS 201, PI5, PI6, P7 CONS 701, LOCAL 2</t>
  </si>
  <si>
    <t>UNIDAD DE SERVICIOS CALLE 94</t>
  </si>
  <si>
    <t>CL 94 No. 23-43 TO B, PI1, PI2, PI3, PI4, PI5, PI6, PI7, PI8</t>
  </si>
  <si>
    <t>UNIDAD DE SERVICIOS AVENIDA PRIMERO DE MAYO</t>
  </si>
  <si>
    <t>AV 1o. DE MAYO No 10 BIS - 22 SUR</t>
  </si>
  <si>
    <t>UNIDAD DE SERVICIOS FONTIBON</t>
  </si>
  <si>
    <t>DG 16 # 104 51 OF100 - LC5 y LC8 - CENTRO COMERCIAL VIVA FONTIBON</t>
  </si>
  <si>
    <t>CAJA DE COMPENSACION FAMILIAR / CONSULTORIO EMPRESARIAL SUPERINTENDENCIA DE SOCIEDADES</t>
  </si>
  <si>
    <t>AC 26 No. 51-80 PI 1 CS MEDICO</t>
  </si>
  <si>
    <t>UNIDAD DE SERVICIOS EAAB CENTRO NARIя</t>
  </si>
  <si>
    <t>AK 36 No. 23 - 33</t>
  </si>
  <si>
    <t>CAJA DE COMPENSACION FAMILIAR COMPENSAR UNIDAD DE SERVICIOS DE SALUD EAAAB USAQUEN</t>
  </si>
  <si>
    <t>CL 110 N. 9 - 80</t>
  </si>
  <si>
    <t>UNIDAD DE SERVICIOS EAAB SANTA LUCIA</t>
  </si>
  <si>
    <t>AK 14 N. 41 - 70 SUR</t>
  </si>
  <si>
    <t>SEDE UNIDAD MEDICA SANTAFE KENNEDY</t>
  </si>
  <si>
    <t>KR 78 K No 33 A - 03 SUR P2 CS 210 P5 CS 510</t>
  </si>
  <si>
    <t>SEDE CENTRAL DE PROCESAMIENTO DE LABORATORIO CLINICO</t>
  </si>
  <si>
    <t>CL 63 No. 28 - 42 PI 1 Y PI 2</t>
  </si>
  <si>
    <t>SEDE SAMU 134</t>
  </si>
  <si>
    <t>AC 134 # 7 B - 41 - PUERTA 2 PISO 1 LABORATORIO CLINICO Y TOMA DE MUESTRAS</t>
  </si>
  <si>
    <t>UNIDAD DE SERVICIOS CALLE 145</t>
  </si>
  <si>
    <t>AK 45 No. 145 - 24 TO A PI 1 PI 2 PI 3 TO B PI 1 PI 2</t>
  </si>
  <si>
    <t>SEDE UNIDAD MEDICA SANTAFE CALLE 95</t>
  </si>
  <si>
    <t>AK 45 # 95 - 81 PI 1 CS 105</t>
  </si>
  <si>
    <t>UNIDAD DE SERVICIOS DE SALUD CALLE 153</t>
  </si>
  <si>
    <t>KR 59 No. 152B 79 PI 2 CONS 203 - 204 PI3 PI4 PI5 PI6</t>
  </si>
  <si>
    <t>UNIDAD DE SERVICIOS DE SALUD AUTOPISTA SUR</t>
  </si>
  <si>
    <t>AC 57 R SUR # 73 I - 55 PI 1 CS 1 al 18 y 106 al 141</t>
  </si>
  <si>
    <t>UNIDAD DE SERVICIOS DE SALUD CARRERA 69 BLOQUE I</t>
  </si>
  <si>
    <t>KR 69 # 47 34 TO A PI 1 PI 2 SALA TELESALUD</t>
  </si>
  <si>
    <t>COMPENSAR SEDE CALLE 122</t>
  </si>
  <si>
    <t>KR 16 No. 122 18 / 28 PI 1 CS 101</t>
  </si>
  <si>
    <t>CENTRO DE ACONDICIONAMIENTO Y PREPARACION FISICA CAPF - CUR</t>
  </si>
  <si>
    <t>KR 69 # 49A - 73 BQ H P2 CONSULTORIO MEDICO</t>
  </si>
  <si>
    <t>CENTRO DE BIENESTAR INTEGRAL CENTRO MAYOR</t>
  </si>
  <si>
    <t>CL 38 A SUR # 34 D - 51 LC 1-134 PI 1 CS 101 AL 108 P2 CS 201 AL 226 PI 3 CS 301</t>
  </si>
  <si>
    <t>CENTRAL ESPECIALIZADA DE PROCESAMIENTO BOGOTA CEP BOGOTA</t>
  </si>
  <si>
    <t>CLL 63B N 28 - 44</t>
  </si>
  <si>
    <t>CAJA DE COMPENSACION FAMILIAR / CONSULTORIO EMPRESARIAL SUPERINTENDENCIA FINANCIERA DE COLOMBIA</t>
  </si>
  <si>
    <t>CL 7 N 4 - 49 PISO 1 ZONA B</t>
  </si>
  <si>
    <t>CENTRO DE BIENESTAR INTEGRAL CARRERA 60</t>
  </si>
  <si>
    <t>CRA 60 N 66 B 05 - TO A - PI 10 CONS DEP -PI 11CONS 1101 al 1105 y Terapia F�ca - PI 12 - PI 13- TO B PI 1 LOCAL 1</t>
  </si>
  <si>
    <t>ASOCIACION DE OBRAS SOCIALES SAN MARTIN DE PORRES</t>
  </si>
  <si>
    <t>DIAZ MARTINEZ JORGE ELIECER</t>
  </si>
  <si>
    <t>CALLE 40 A SUR # 3 C 35 ESTE</t>
  </si>
  <si>
    <t>OPTICENTRO INTERNACIONAL S.A.S</t>
  </si>
  <si>
    <t>GARCIA MONZON LUIS CARLOS IVAN</t>
  </si>
  <si>
    <t>CRA 11 # 69 81</t>
  </si>
  <si>
    <t>gina.sanchez@opticentro.com.co</t>
  </si>
  <si>
    <t>OPTICENTRO INTERNACIONAL</t>
  </si>
  <si>
    <t>LUIS CARLOS IVAN GARCIA MONZON</t>
  </si>
  <si>
    <t>CRA 11 # 69 81 Local 1</t>
  </si>
  <si>
    <t>3258025 ext 2027</t>
  </si>
  <si>
    <t>OPTICENTRO INTERNACIONAL UNICENTRO</t>
  </si>
  <si>
    <t>GINA CONSUELO SANCHEZ CHARRY</t>
  </si>
  <si>
    <t>KR 15 # 123 30 LC 2-259</t>
  </si>
  <si>
    <t>3258025 ext 2031</t>
  </si>
  <si>
    <t>OPTICENTRO INTERNACIONAL UNICENTRO OCCIDENTE</t>
  </si>
  <si>
    <t>KR 111 C # 86 74 LC 1-16</t>
  </si>
  <si>
    <t>3258025 ext 2032</t>
  </si>
  <si>
    <t>OPTICENTRO INTERNACIONAL OPTICA PALATINO</t>
  </si>
  <si>
    <t>Ak 7 # 138 - 33 Lc 125</t>
  </si>
  <si>
    <t>3258025 ext 2029</t>
  </si>
  <si>
    <t>OPTICENTRO INTERNACIONAL CENTRO COMERCIAL TINTAL PLAZA</t>
  </si>
  <si>
    <t>KR 86 # 6 37 LC 1-36</t>
  </si>
  <si>
    <t>3258025 ext 2003</t>
  </si>
  <si>
    <t>OPTICENTRO INTERNACIONAL PLAZA IMPERIAL</t>
  </si>
  <si>
    <t>Av Cra 104 # 148 - 07 Lc - 195</t>
  </si>
  <si>
    <t>3258025 ext 2001</t>
  </si>
  <si>
    <t>OPTICENTRO INTERNACIONAL C.CIAL GRAN ESTACION</t>
  </si>
  <si>
    <t>Av Cl 26 # 62 - 47 Lc 1 - 29</t>
  </si>
  <si>
    <t>3258025 ext 2020</t>
  </si>
  <si>
    <t>OPTICENTRO INTERNACIONAL CENTRO COMERCIAL SANTAFE</t>
  </si>
  <si>
    <t>CL 185 # 45 30 LC 1-12</t>
  </si>
  <si>
    <t>3258025 ext 2002</t>
  </si>
  <si>
    <t>OPTICENTRO INTERNACIONAL HAYUELOS</t>
  </si>
  <si>
    <t>CL 20 N 82 - 52 LC 1 - 33</t>
  </si>
  <si>
    <t>3258025 ext 2021</t>
  </si>
  <si>
    <t>OPTICENTRO CENTRO MAYOR</t>
  </si>
  <si>
    <t>CALLE 38 A SUR N 34D-50 LOCAL 1041</t>
  </si>
  <si>
    <t>3258025 ext 2019</t>
  </si>
  <si>
    <t>Opticentro Internacional Titan Plaza</t>
  </si>
  <si>
    <t>Gina Sanchez</t>
  </si>
  <si>
    <t>AK 72 No 80 94 LC 1031</t>
  </si>
  <si>
    <t>3258025 ext 2030</t>
  </si>
  <si>
    <t>OPTICENTRO INTERNACIONAL PLAZA CENTRAL</t>
  </si>
  <si>
    <t>Luis Carlos Garcia Monzon</t>
  </si>
  <si>
    <t>CR 65 No 11- 50 LC 2 - 61</t>
  </si>
  <si>
    <t>3258025 ext 2023</t>
  </si>
  <si>
    <t>OPTICENTRO INTERNACIONAL LA FELICIDAD</t>
  </si>
  <si>
    <t>CL 19 A No. 72 - 57 LC B- 143</t>
  </si>
  <si>
    <t>3258025 ext 2022</t>
  </si>
  <si>
    <t>CALLE 67 VITAL</t>
  </si>
  <si>
    <t>Calle 67 # 10 - 27</t>
  </si>
  <si>
    <t>MARYEP S.A</t>
  </si>
  <si>
    <t>URIBE ARANGO MARIA PATRICIA</t>
  </si>
  <si>
    <t>CRA 47 # 95-14</t>
  </si>
  <si>
    <t>maryep@cable.net.co</t>
  </si>
  <si>
    <t>CLINICA ODONTOLOGICA LA CASTELLANA</t>
  </si>
  <si>
    <t>EDUARDO MANRIQUE GUTIERREZ</t>
  </si>
  <si>
    <t>KR 47 # 95 14</t>
  </si>
  <si>
    <t>FUNDACION CENTRO DE INVESTIGACION Y ESTUDIOS ODONTOLOGICOS CIEO</t>
  </si>
  <si>
    <t>MEJIA BURGOS ENRIQUE</t>
  </si>
  <si>
    <t>CRA 5 # 118 10</t>
  </si>
  <si>
    <t>FUNDACION_CIEO@YAHOO.COM</t>
  </si>
  <si>
    <t>LABORATORIO CLINICO DE MARLY DANIEL GAMBOA S.A.S</t>
  </si>
  <si>
    <t>GAMBOA GALVIS DANIEL</t>
  </si>
  <si>
    <t>CALLE 45 # 6-58 LOCAL 6</t>
  </si>
  <si>
    <t>info@laboratoriomarly.com</t>
  </si>
  <si>
    <t>LABORATORIO CLINICO DE MARLY DANIEL GAMBOA SEDE CHAPINERO</t>
  </si>
  <si>
    <t>CLAUDIA IVONNE PERILLA DIAZ</t>
  </si>
  <si>
    <t>gerencia@laboratoriomarly.com</t>
  </si>
  <si>
    <t>INSTITUTO COLOMBIANO DEL SISTEMA NERVIOSO - CLINICA MONTSERRAT -</t>
  </si>
  <si>
    <t>GOMEZ FUENTES CARLOS ANTONIO</t>
  </si>
  <si>
    <t>CALLE 134 No. 17-71</t>
  </si>
  <si>
    <t>direccion@icsn.co</t>
  </si>
  <si>
    <t>INSTITUTO COLOMBIANO DEL SISTEMA NERVIOSO - CLINICA MONTSERRAT</t>
  </si>
  <si>
    <t>OMAR ANTONIO CUELLAR ALVARADO</t>
  </si>
  <si>
    <t>CL 134 # 17 71</t>
  </si>
  <si>
    <t>CENTRO CAMPOALEGRE</t>
  </si>
  <si>
    <t>KILOMETRO 6 VIA SUBA-COTA PISO 1</t>
  </si>
  <si>
    <t>direccion@clinicamontserrat.com</t>
  </si>
  <si>
    <t>ICSN Montserrat SERVICIOS AMBULATORIOS</t>
  </si>
  <si>
    <t>Transversal 60 # 115 - 27 35</t>
  </si>
  <si>
    <t>ICSN Montserrat Consulta Externa</t>
  </si>
  <si>
    <t>Omar Antonio Cuellar Alvarado</t>
  </si>
  <si>
    <t>CARRERA 19 # 135 - 25 PISO 2 Y 3</t>
  </si>
  <si>
    <t>HOPE WORLDWIDE COLOMBIA</t>
  </si>
  <si>
    <t>BORRAS MANZI GABRIEL</t>
  </si>
  <si>
    <t>CALLE 48 SUR # 02 D 13 ESTE</t>
  </si>
  <si>
    <t>HOPEWWCOL@NEUTEL.COM.CO</t>
  </si>
  <si>
    <t>OFTALMOIA SAS</t>
  </si>
  <si>
    <t>CASTILLO ESCOBAR MILCIADES</t>
  </si>
  <si>
    <t>Cl 134 7 B 83 Cs 307 Al 311, 313 Al 317</t>
  </si>
  <si>
    <t>nomorales@colsanitas.com</t>
  </si>
  <si>
    <t>VISIONIA BOSQUE</t>
  </si>
  <si>
    <t>ALFONSO MARIA UCROS</t>
  </si>
  <si>
    <t>CL 134 7 B 83 CS 307 AL 311, 313 AL 317 318 A 322</t>
  </si>
  <si>
    <t>VISIONIA SALITRE</t>
  </si>
  <si>
    <t>CL 23 66 46 INT 4 CS 519, 603 AL 614, 617 Y 801</t>
  </si>
  <si>
    <t>sfiguero@colsanitas.com</t>
  </si>
  <si>
    <t>VISIONIA LA CALLEJA</t>
  </si>
  <si>
    <t>Alfonso Maria Ucros Cuellar</t>
  </si>
  <si>
    <t>CL 127 20-16 CS 504, 505, 506</t>
  </si>
  <si>
    <t>5895424 ext 5717918</t>
  </si>
  <si>
    <t>VISIONIA CALLE 97</t>
  </si>
  <si>
    <t>CR 16 97 46 TO 2 P 6 ED TO 97</t>
  </si>
  <si>
    <t>5895424 EXT 5718260 - 3112348139</t>
  </si>
  <si>
    <t>VISIONIA TORRE KERALTY</t>
  </si>
  <si>
    <t>CL 125 No. 21 A - 60 P 1 Int 2</t>
  </si>
  <si>
    <t>HOGAR SANTA TERESA JORNET DE LA CONGREGACION DE LAS HERMANITAS DE LOS ANCIANOS DESEMPARADOS</t>
  </si>
  <si>
    <t>SUBEIRO SUAREZ BERNARDINA</t>
  </si>
  <si>
    <t>KR 97 # 22 G 64</t>
  </si>
  <si>
    <t>FUNDACION PARA PREVENCION Y REHABILITACION DE LA DROGADICCION Y EL ALCOHOLISMO LIBERATE</t>
  </si>
  <si>
    <t>SUESCUN CAMACHO MARTHA CECILIA</t>
  </si>
  <si>
    <t>TV 77 No. 166-40</t>
  </si>
  <si>
    <t>info@fundacionliberate.org.co</t>
  </si>
  <si>
    <t>www.fundacionliberate.org.co</t>
  </si>
  <si>
    <t>FUNDACION PARA LA PREVECNION Y REHABILITACION DE LA DROGADICCION Y EL ALCOHOLISMO "LIBERATE"</t>
  </si>
  <si>
    <t>MARTHA SUESCUN</t>
  </si>
  <si>
    <t>680 69 10</t>
  </si>
  <si>
    <t>FUNDACIӎ LIBERATE - TEUSAQUILLO</t>
  </si>
  <si>
    <t>MARTHA CECILIA SUESCڎ CAMACHO</t>
  </si>
  <si>
    <t>Calle 35 No 20 - 32</t>
  </si>
  <si>
    <t>CONGREGACION DE DOMINICAS DE SANTA CATALINA DE SENA</t>
  </si>
  <si>
    <t>MORENO MORENO AURA LUCIA</t>
  </si>
  <si>
    <t>CL 45F # 16A 11</t>
  </si>
  <si>
    <t>3274444 ext 530-515</t>
  </si>
  <si>
    <t>calidad@clinicanueva.com</t>
  </si>
  <si>
    <t>www.clinicanueva.com</t>
  </si>
  <si>
    <t>CLINICA NUEVA</t>
  </si>
  <si>
    <t>CL 45 F # 16 A 11</t>
  </si>
  <si>
    <t>3274444 ext 515-530</t>
  </si>
  <si>
    <t>INSTITUTO COLOMBIANO DE ENFERMEDADES VASCULARES ICEV LTDA</t>
  </si>
  <si>
    <t>MURCIA GOMEZ JORGE ALVARO</t>
  </si>
  <si>
    <t>AK 45 # 106 30 CONS 203</t>
  </si>
  <si>
    <t>CLINICANAVARRA@EMPRESARIO</t>
  </si>
  <si>
    <t>INSTITUTO COLOMBIANO DE ENFERMEDADES VASCULARES ICEV LTDA.</t>
  </si>
  <si>
    <t>secgerencia@cardiovascularnavarra.org</t>
  </si>
  <si>
    <t>QUALITAS SALUD LTDA</t>
  </si>
  <si>
    <t>MENDEZ BARRETO CLAUDIO IGNACIO</t>
  </si>
  <si>
    <t>CARRERA 46 No.93-07</t>
  </si>
  <si>
    <t>nubia.montejo@qualitas-salud.com</t>
  </si>
  <si>
    <t>www.qualitas-salud.com</t>
  </si>
  <si>
    <t>QUALITAS SALUD CRC CASTELLANA</t>
  </si>
  <si>
    <t>NUBIA ESTELLA MONTEJO LEON</t>
  </si>
  <si>
    <t>KR 46 # 93 07</t>
  </si>
  <si>
    <t>QUALITAS SALUD CRC MONTEVIDEO</t>
  </si>
  <si>
    <t>CARRERA 65 17 10</t>
  </si>
  <si>
    <t>INSTITUTO DE CIRUGIA OCULAR PALERMO LTDA</t>
  </si>
  <si>
    <t>GAMARRA MURILLO PEDRO NEL</t>
  </si>
  <si>
    <t>CALLE 46 # 13 13</t>
  </si>
  <si>
    <t>2456623-3404577-3215072806</t>
  </si>
  <si>
    <t>icop.palermo@gmail.com</t>
  </si>
  <si>
    <t>INSTITUTO DE CIRUGIA OCULAR PALERMO</t>
  </si>
  <si>
    <t>2456623-2455428</t>
  </si>
  <si>
    <t>CENTRO OFTALMOLOGICO OLSABE S.A.S</t>
  </si>
  <si>
    <t>LOZANO BLOG MONICA</t>
  </si>
  <si>
    <t>CALLE 120 # 7 38</t>
  </si>
  <si>
    <t>admin@ojoslasercenter.com</t>
  </si>
  <si>
    <t>www.ojoslasercenter.com</t>
  </si>
  <si>
    <t>OLSABE S.A.S</t>
  </si>
  <si>
    <t>MONICA LOZANO BLOG</t>
  </si>
  <si>
    <t>CENTRO OFTALMOLOGICO COLOMBIANO LTAD</t>
  </si>
  <si>
    <t>RUEDA MONTENEGRO CLARA INES</t>
  </si>
  <si>
    <t>KR. 19A N 85-11 OFICINA 401 402 406 407 408 409 PISO 5 Y 6</t>
  </si>
  <si>
    <t>nrodriguezcoc@hotmail.com</t>
  </si>
  <si>
    <t>CENTRO OFTALMOLOGICO COLOMBIANO</t>
  </si>
  <si>
    <t>Cristina Ruiz Brugman</t>
  </si>
  <si>
    <t>KR. 19A N 85-11 OFICINA 401, 402, 406, 407, 408, 409 PISO 5 Y 6</t>
  </si>
  <si>
    <t>(57-1) 2360000</t>
  </si>
  <si>
    <t>HOME SALUD SAS</t>
  </si>
  <si>
    <t>LAHUD SANCHEZ YESID EDUARDO</t>
  </si>
  <si>
    <t>CALLE 89 21 - 30</t>
  </si>
  <si>
    <t>homesalud@homesalud.com</t>
  </si>
  <si>
    <t>YESID EDUARDO LAHUD SANCHEZ</t>
  </si>
  <si>
    <t>CENTRO AUDIOLOGICO Y QUIRURGICO DEL COUNTRY SAS</t>
  </si>
  <si>
    <t>CORVACHO AROCA MARTHA LUCIA</t>
  </si>
  <si>
    <t>Calle 98 21-50 oficina 504</t>
  </si>
  <si>
    <t>administracion@caqc.co</t>
  </si>
  <si>
    <t>Juan Camilo Parra Corvacho</t>
  </si>
  <si>
    <t>KR 16 A # 82 46 CS 414 - 504 -609 - 610 - 612</t>
  </si>
  <si>
    <t>6160502/3138935320</t>
  </si>
  <si>
    <t>CENTRO AUDIOLOGICO Y QUIRURGICO DEL COUNTRY SAS SEDE CHAPINERO</t>
  </si>
  <si>
    <t>JUAN CAMILO PARRA CORVACHO</t>
  </si>
  <si>
    <t>CL 99 # 49 38 CS 1301</t>
  </si>
  <si>
    <t>2185242-3138935320</t>
  </si>
  <si>
    <t>CENTRO AUDIOL҇ICO Y QUIRْGICO DEL COUNTRY</t>
  </si>
  <si>
    <t>Avenida Calle 127 # 19A-10 CS 604</t>
  </si>
  <si>
    <t>QUALITY CARE</t>
  </si>
  <si>
    <t>Calle 97 # 23-37 Piso 10 Cons. 1001 Y 309</t>
  </si>
  <si>
    <t>3849060 - 3138935320</t>
  </si>
  <si>
    <t>DERMOESCULTURA S.A.S SIGLA HARKER Y LLOREDA</t>
  </si>
  <si>
    <t>HAKER PEREA HERNANDO</t>
  </si>
  <si>
    <t>Calle 127 A N 7-53 CONSULTORIO DEL 2005 AL 2009</t>
  </si>
  <si>
    <t>6193008-3166234562</t>
  </si>
  <si>
    <t>admin@harkerlloreda.com</t>
  </si>
  <si>
    <t>DERMOESCULTURA SAS SIGLA HARKER Y LLOREDA</t>
  </si>
  <si>
    <t>KATHERINE PINILLOS BOL͖AR</t>
  </si>
  <si>
    <t>CALLE 127 A No. 7-53 CONSULTORIO DEL 2005 AL 2009</t>
  </si>
  <si>
    <t>CLINICA LA CAROLINA S.A.S</t>
  </si>
  <si>
    <t>CORDOBA ESCAMILLA GUSTAVO ALBERTO</t>
  </si>
  <si>
    <t>KR 14 # 127 11 PI 1 LC 3, P2, P4 CS 407</t>
  </si>
  <si>
    <t>gerencia@clinicalacarolina.com.co</t>
  </si>
  <si>
    <t>ALEJANDRA ORDOхZ GUTIERREZ</t>
  </si>
  <si>
    <t>6581616 ext 711 - 2012</t>
  </si>
  <si>
    <t>ORGANIZACIONES DE IMAGENOLOGIA COLOMBIANA O I C S.A.</t>
  </si>
  <si>
    <t>LARA BALCAZAR MARIO GIOVANNY</t>
  </si>
  <si>
    <t>AVENIDA CALLE 116 9 72 CONSULTORIO 213</t>
  </si>
  <si>
    <t>gerenciadminoic@gmail.com</t>
  </si>
  <si>
    <t>https://www.oicradiologia.com/</t>
  </si>
  <si>
    <t>MARIO GIOVANNY LARA BALCAZAR</t>
  </si>
  <si>
    <t>Congregaci󮠤e Hermanas Franciscanas Misioneras de Mar�Auxiliadora, Regi󮠍isionera Santa Mar�Bernarda.</t>
  </si>
  <si>
    <t>ARRAZOLA CORRALES MARIA DEL SOCORRO</t>
  </si>
  <si>
    <t>CALLE 18 No 106-48</t>
  </si>
  <si>
    <t>cmmbernarda@hotmail.com</t>
  </si>
  <si>
    <t>CENTRO ASISTENCIAL MADRE BERNARDA</t>
  </si>
  <si>
    <t>HNA. MARIA LUCILA ARISTIZABAL ARIAS</t>
  </si>
  <si>
    <t>CENTRO DE REHABILITACION PARA NIяS CON LABIO Y PALADAR FISURADO - FISULAB</t>
  </si>
  <si>
    <t>ECEHVERRY BRANDO MARIA DEL PILAR</t>
  </si>
  <si>
    <t>Calle 161 A N. 21-35 - Barrio:Orquideas</t>
  </si>
  <si>
    <t>gerencia@fisulab.org</t>
  </si>
  <si>
    <t>www.fisulab.org</t>
  </si>
  <si>
    <t>ELIANA PATRICIA RINCӎ MUяZ</t>
  </si>
  <si>
    <t>Calle 161 A N. 21-35</t>
  </si>
  <si>
    <t>REVISAVIAE LTDA</t>
  </si>
  <si>
    <t>ORTIZ CERON FERNANDO</t>
  </si>
  <si>
    <t>KR 11 # 61 19 PISO 2 OF 201, 203 Y PISO 4 OF 401</t>
  </si>
  <si>
    <t>2112151-3173803115</t>
  </si>
  <si>
    <t>revisaviae@yahoo.es</t>
  </si>
  <si>
    <t>REVISAVIAE</t>
  </si>
  <si>
    <t>FERNANDO ORTIZ CERON</t>
  </si>
  <si>
    <t>CLINICA ODONTOLOGICA PARA EL NIя LIMITADA C.O.N LTDA</t>
  </si>
  <si>
    <t>VILLAMIL PEс PABLO EDGAR</t>
  </si>
  <si>
    <t>KR 12 A # 78 - 45 PISO 1</t>
  </si>
  <si>
    <t>5307307-2185124-3125100030</t>
  </si>
  <si>
    <t>coibltda@gmail.com</t>
  </si>
  <si>
    <t>https://laclinicaodontologica.com/</t>
  </si>
  <si>
    <t>CLINICAS ODONTOLOGICAS INTEGRADAS DE BOGOT`C O I B</t>
  </si>
  <si>
    <t>Servicios de Salud IPS Suramericana S.A.S</t>
  </si>
  <si>
    <t>CARDONA VELEZ ANA MARIA</t>
  </si>
  <si>
    <t>AK 19 123 52</t>
  </si>
  <si>
    <t>2602100 3164625445 3178525626</t>
  </si>
  <si>
    <t>rqext@suramericana.com.co / llbenavidesm@sura.com.co / gpgonzalez@sura.com.co</t>
  </si>
  <si>
    <t>IPS SURA SANTA BARBARA</t>
  </si>
  <si>
    <t>YANNETH CASTAя CASTAя</t>
  </si>
  <si>
    <t>4824601 / 3164625445</t>
  </si>
  <si>
    <t>rqext@suramericana.com.co / gpgonzalez@sura.com.co</t>
  </si>
  <si>
    <t>IPS SURA OLAYA BOGOTA</t>
  </si>
  <si>
    <t>AK 14 # 26 A 79 SUR</t>
  </si>
  <si>
    <t>SALUD SURA CALLE 100 BOGOTA</t>
  </si>
  <si>
    <t>Cl. 100 No. 19 A - 35</t>
  </si>
  <si>
    <t>(1) 487 38 88 / 3164625445</t>
  </si>
  <si>
    <t>IPS SURA COUNTRY</t>
  </si>
  <si>
    <t>CR 16 A NO. 84 - 05 PS 3 - 4- 5 y 7</t>
  </si>
  <si>
    <t>6214541 / 3164625445</t>
  </si>
  <si>
    <t>IPS SURA PUNTO DE VISTA SANTA BARBARA</t>
  </si>
  <si>
    <t>CR 19 NO. 120 -71 LC 9 EDF BANCO TORRE FALABELA</t>
  </si>
  <si>
    <t>3178528626 - 3164625445 - 6042602100</t>
  </si>
  <si>
    <t>IPS SURA PLAZA CENTRAL</t>
  </si>
  <si>
    <t>CR 65 N 11-50 LC 3-63</t>
  </si>
  <si>
    <t>IPS SALUD SURA USAQUEN</t>
  </si>
  <si>
    <t>CL 119 A # 7 74</t>
  </si>
  <si>
    <t>CLINICA LA SABANA S.A</t>
  </si>
  <si>
    <t>REYES ABISAMBRA LUZ STELLA</t>
  </si>
  <si>
    <t>Avenida carrera 19 102 53 Piso 1 Interior 1 y Piso 7 Consultorio 411-511-603-604-605-606 Y 607</t>
  </si>
  <si>
    <t>gerencia@clinicalasabana.com</t>
  </si>
  <si>
    <t>https://clinicalasabana.com</t>
  </si>
  <si>
    <t>LILIANA PATRICIA GARCIA CASTILLO</t>
  </si>
  <si>
    <t>Avenida Carrera 19 102 53 Piso 1 Interior 1 Y Piso 7 Consultorio 411-511-603-604-605-606 Y 607</t>
  </si>
  <si>
    <t>GERENCIA@CLINICALASABANA.COM</t>
  </si>
  <si>
    <t>SUPERAR LTDA</t>
  </si>
  <si>
    <t>BUSTAMANTE OSPINA GLORIA STELLA</t>
  </si>
  <si>
    <t>CARRERA 21 N 82-51</t>
  </si>
  <si>
    <t>6015267262- 3103340911</t>
  </si>
  <si>
    <t>superar12@yahoo.com</t>
  </si>
  <si>
    <t>4454393 - 3103340911</t>
  </si>
  <si>
    <t>UNIFISIO S.A.S.</t>
  </si>
  <si>
    <t>GOMEZ RAMIREZ LYDDA DEL CARMEN</t>
  </si>
  <si>
    <t>CRA 23 # 45C-31 CONS 609 / 610</t>
  </si>
  <si>
    <t>unifisioltda@hotmail.es</t>
  </si>
  <si>
    <t>NICOLE DAYANA FERNANDA HERRERA GARZON</t>
  </si>
  <si>
    <t>ASOCIACION ACCION SOCIAL EJERCITO</t>
  </si>
  <si>
    <t>MORCILLO DE ARDILA STELLA LICENIA</t>
  </si>
  <si>
    <t>CALLE 125 # 19 67</t>
  </si>
  <si>
    <t>CASA DE LA ESPERANZA</t>
  </si>
  <si>
    <t>CALLE 125 # 19 - 67</t>
  </si>
  <si>
    <t>UNIDAD MEDICA INTEGRAL MARIA AUXILIADORA LIMITADA</t>
  </si>
  <si>
    <t>DONATO RONDON ANGEL OCTAVIO</t>
  </si>
  <si>
    <t>CL 57 A SUR # 79 A 16 P1,P2 Cs201,202,203,204,205,206,207,208,209, P3,P4</t>
  </si>
  <si>
    <t>mariaauxiliadoraips@yahoo.com</t>
  </si>
  <si>
    <t>ANGEL OCTAVIO DONATO RONDON</t>
  </si>
  <si>
    <t>CL 57 A SUR # 79 A 16 P1,P2 Cs201,202,203,204,205,206,207,208,209,P3,P4</t>
  </si>
  <si>
    <t>ASOCIACION COLOMBIANA PRO NIя CON PARALISIS CEREBRAL -PROPACE</t>
  </si>
  <si>
    <t>CARDENAS PARRA HUMBERTO</t>
  </si>
  <si>
    <t>Cra. 54 N 65 - 85 CONS 8 SEGUNDO PISO</t>
  </si>
  <si>
    <t>direccion@propace.org</t>
  </si>
  <si>
    <t>DIANA MILENA VASQUEZ GIRALDO</t>
  </si>
  <si>
    <t>CRA 54 # 65 - 85 CONS 8 SEGUNDO PISO</t>
  </si>
  <si>
    <t>CLINICA DE LA MUJER S.A.S.</t>
  </si>
  <si>
    <t>DE LARRAURI ECHEVARRIA GORKA</t>
  </si>
  <si>
    <t>KR 19 C # 91 17</t>
  </si>
  <si>
    <t>6161799- 3506005706</t>
  </si>
  <si>
    <t>Elizabeth.Parada@QuironSalud.com</t>
  </si>
  <si>
    <t>CLINICA DE LA MUJER</t>
  </si>
  <si>
    <t>MONICA ALEXANDRA CUEVAS ESLAVA</t>
  </si>
  <si>
    <t>CENTRO ADMINISTRATIVO Y ASISTENCIAL CM</t>
  </si>
  <si>
    <t>M󮩣a Alexandra Cuevas Eslava</t>
  </si>
  <si>
    <t>CRA. 19C No. 91-08</t>
  </si>
  <si>
    <t>6161799 EXT. 129</t>
  </si>
  <si>
    <t>UNIDAD MATERNO FETAL CLINICA DE LA MUJER S.A.S.</t>
  </si>
  <si>
    <t>MONICA ALEJANDRA CUEVAS ESLAVA</t>
  </si>
  <si>
    <t>KR 19 C 90-30 PI 4</t>
  </si>
  <si>
    <t>6161799 EXT 129</t>
  </si>
  <si>
    <t>Centro de Fertilidad Cl�ca de la Mujer</t>
  </si>
  <si>
    <t>Cra 19C #90-14 PISO 2 CONSULTORIO 1-2-3</t>
  </si>
  <si>
    <t>CONSULTORIO ESPECIALISTAS CM (ANESTESIOLOGOS CLINICA DE LA MUJER)</t>
  </si>
  <si>
    <t>Monica Cuevas</t>
  </si>
  <si>
    <t>CARRERA 19C # 90-14 CONSULTORIO 604</t>
  </si>
  <si>
    <t>CONSULTA EXTERNA CM - PISO 5</t>
  </si>
  <si>
    <t>Carrera 19C N 90 - 30 Consultorios 504, 507 y 509</t>
  </si>
  <si>
    <t>INSTITUTO DE ORTOPEDIA Y CIRUGIA PLASTICA SAS</t>
  </si>
  <si>
    <t>MURCIA MENDEZ GERMAN ALBERTO</t>
  </si>
  <si>
    <t>AK 19 # 114 87 piso 1 y 2 local 4</t>
  </si>
  <si>
    <t>PACIENTESIOCP@HOTMAIL.COM</t>
  </si>
  <si>
    <t>NELSON REYES BOGANEGRA</t>
  </si>
  <si>
    <t>(601) 6190311</t>
  </si>
  <si>
    <t>FUNDACION FE</t>
  </si>
  <si>
    <t>SANDRA LILIANA GALAN NAVARRO</t>
  </si>
  <si>
    <t>CRA 59 b No. 129 - 45</t>
  </si>
  <si>
    <t>fundacionfe@fundacionfe.org</t>
  </si>
  <si>
    <t>CRA 59 B No. 129 - 45</t>
  </si>
  <si>
    <t>FUNDACION CLINICA MEGASALUD</t>
  </si>
  <si>
    <t>SERNA FIGUEROA SILVIA VICTORIA</t>
  </si>
  <si>
    <t>KR 70 # 51 41</t>
  </si>
  <si>
    <t>funclinicameg@gmail.com</t>
  </si>
  <si>
    <t>ARMANDO ENRIQUE NARVAEZ FETECUA</t>
  </si>
  <si>
    <t>DG 49 SUR # 16F 32</t>
  </si>
  <si>
    <t>3192397214-3157930998</t>
  </si>
  <si>
    <t>DG 49 SUR # 16 F 54</t>
  </si>
  <si>
    <t>3163055283-315930998</t>
  </si>
  <si>
    <t>USIS PERCODEN SAS</t>
  </si>
  <si>
    <t>CHACON TRANSLAVINIA LIDA</t>
  </si>
  <si>
    <t>KR 8 # 49 25 CS 801-802</t>
  </si>
  <si>
    <t>5705021-3158410056</t>
  </si>
  <si>
    <t>usispercoden@gmail.com lydachacon@hotmail.com</t>
  </si>
  <si>
    <t>www.percoden.com</t>
  </si>
  <si>
    <t>LIDA CHACON TRASLAVIс</t>
  </si>
  <si>
    <t>5705021- 3158410056</t>
  </si>
  <si>
    <t>lydachacon@hotmail.com</t>
  </si>
  <si>
    <t>MEDLUCARA LTDA</t>
  </si>
  <si>
    <t>DORADO CORREA IVON ANDREA</t>
  </si>
  <si>
    <t>AK 20 # 80 - 77</t>
  </si>
  <si>
    <t>gerencia@cnsalud.com</t>
  </si>
  <si>
    <t>AK 20 # 80 -77</t>
  </si>
  <si>
    <t>BAVARIA S.A.</t>
  </si>
  <si>
    <t>ALZATE CASTRO HECTOR HERNAN</t>
  </si>
  <si>
    <t>CL 90 # 19 A 29</t>
  </si>
  <si>
    <t>MCKOHN@BAVARIA.COM.CO</t>
  </si>
  <si>
    <t>DIVISION MEDICA BAVARIA S.A.</t>
  </si>
  <si>
    <t>CERVECEŔ DE BOGOT|/td&gt;</t>
  </si>
  <si>
    <t>AV BOYACA # 9 02</t>
  </si>
  <si>
    <t>ADN ANALISIS LTDA</t>
  </si>
  <si>
    <t>SALAZAR VALLEJO MARCELA</t>
  </si>
  <si>
    <t>CRA 16 # 82 95 CONS 805</t>
  </si>
  <si>
    <t>info@adnanalisislabs.com</t>
  </si>
  <si>
    <t>www.adnanalisislabs.com</t>
  </si>
  <si>
    <t>2364102-2364003</t>
  </si>
  <si>
    <t>FUNDACION PARA LA ASISTENCIA DE LA NIхZ ABANDONADA "FANA"</t>
  </si>
  <si>
    <t>ROJAS FERRO FLOR ANGELA</t>
  </si>
  <si>
    <t>CRA 96 # 156 B 18</t>
  </si>
  <si>
    <t>FANACOLOMSAT.NET.CO</t>
  </si>
  <si>
    <t>FUNDACION PARA LA ASISTENCIA DE LA NIхZ ABANDONADA"FANA"</t>
  </si>
  <si>
    <t>CLINICAS JASBAN SAS</t>
  </si>
  <si>
    <t>BUITRAGO PEREZ JAIME ERNESTO</t>
  </si>
  <si>
    <t>AC 24 # 72 B 94</t>
  </si>
  <si>
    <t>3143945985 - 4169570</t>
  </si>
  <si>
    <t>administracion@jasban.com</t>
  </si>
  <si>
    <t>CLINICAS JASBAN</t>
  </si>
  <si>
    <t>NANCY PEс</t>
  </si>
  <si>
    <t>IRIELSA ATARA</t>
  </si>
  <si>
    <t>CALLE 106 N. 23-61 PISO 7</t>
  </si>
  <si>
    <t>3143945985 - 2141484</t>
  </si>
  <si>
    <t>SANDRA QUINTANA</t>
  </si>
  <si>
    <t>AC 127 # 71 B 94 P1</t>
  </si>
  <si>
    <t>3143945985 - 2715252</t>
  </si>
  <si>
    <t>CAJA COLOMBIANA DE SUBSIDIO FAMILIAR COLSUBSIDIO</t>
  </si>
  <si>
    <t>FERNANDO PINILLA MOYA</t>
  </si>
  <si>
    <t>CL 26 # 25-50 Piso 6 Oficina Gerencia IPS</t>
  </si>
  <si>
    <t>7420100 Ext 1546</t>
  </si>
  <si>
    <t>calidad.colsubsidio@colsubsidio.com</t>
  </si>
  <si>
    <t>https://www.colsubsidio.com/</t>
  </si>
  <si>
    <t>CLINICA INFANTIL COLSUBSIDIO</t>
  </si>
  <si>
    <t>YOLIMA ALEXANDRA JIMENEZ CHAVES</t>
  </si>
  <si>
    <t>CALLE 66 # 10 - 48</t>
  </si>
  <si>
    <t>7467310 extensi󮠷5210</t>
  </si>
  <si>
    <t>CLINICA COLSUBSIDIO CIUDAD ROMA</t>
  </si>
  <si>
    <t>JOSE ANTONIO CHAVES GREIFF</t>
  </si>
  <si>
    <t>CALLE 53 SUR # 79 D 71</t>
  </si>
  <si>
    <t>7420100 Ext. 74439</t>
  </si>
  <si>
    <t>CENTRO MEDICO COLSUBSIDIO USAQUEN</t>
  </si>
  <si>
    <t>JULIO CESAR MALDONADO SANCHEZ</t>
  </si>
  <si>
    <t>AK7 # 123 65 PI 3 - 4 - 5</t>
  </si>
  <si>
    <t>CENTRO MEDICO COLSUBSIDIO CALLE 26</t>
  </si>
  <si>
    <t>Calle 27 # 24-87 PI 2 Y 3</t>
  </si>
  <si>
    <t>7420100 ext. 71783, 7563646</t>
  </si>
  <si>
    <t>CENTRO MEDICO CIUDADELA COLSUBSIDIO</t>
  </si>
  <si>
    <t>ROCIO MIREYA REYES FORERO</t>
  </si>
  <si>
    <t>CRA 111 A # 82 36</t>
  </si>
  <si>
    <t>7421122 - 7461120</t>
  </si>
  <si>
    <t>CENTRO MEDICO COLSUBSIDIO CALLE 63</t>
  </si>
  <si>
    <t>TERESA VIVIANA GARCIA SANCHEZ</t>
  </si>
  <si>
    <t>KR 24 # 62 50 PI 2 al 6</t>
  </si>
  <si>
    <t>CENTRO MEDICO COLSUBSIDIO SANTA LIBRADA</t>
  </si>
  <si>
    <t>AK 1 # 76 A 04 SUR PI 2 y 3</t>
  </si>
  <si>
    <t>7420100 ext. 11039 y 11034</t>
  </si>
  <si>
    <t>CENTRO MEDICO COLSUBSIDIO TIERRA GRATA</t>
  </si>
  <si>
    <t>KR 101 # 69 - 67</t>
  </si>
  <si>
    <t>7420100 ext. 75464</t>
  </si>
  <si>
    <t>CENTRO MEDICO COLSUBSIDIO FONTIBON</t>
  </si>
  <si>
    <t>CL 17 # 114 12 LC 18</t>
  </si>
  <si>
    <t>CENTRO MEDICO COLSUBSIDIO PORTAL DEL NORTE</t>
  </si>
  <si>
    <t>AK 45 # 176 31 PI 2</t>
  </si>
  <si>
    <t>7452078 /79-80-84-85</t>
  </si>
  <si>
    <t>CONSULTORIO DE EMPRESA AV VILLAS Y BANCO DE OCCIDENTE</t>
  </si>
  <si>
    <t>VERONICA ANDREA MONTOYA BONILLA</t>
  </si>
  <si>
    <t>Carrera 13 # 26a -47 Consultorio 1</t>
  </si>
  <si>
    <t>7464000 ext 16185</t>
  </si>
  <si>
    <t>CONSULTORIO DE EMPRESA BANCO DE BOGOTA</t>
  </si>
  <si>
    <t>CL 36 # 7 47 PI 3 Consultorios 1y2</t>
  </si>
  <si>
    <t>3320032 Ext 51503</t>
  </si>
  <si>
    <t>CONSULTORIO MEDICO CASA LUKER</t>
  </si>
  <si>
    <t>CL 13 # 68 -98 piso 1 consultorio1</t>
  </si>
  <si>
    <t>4473700 Ext 20622</t>
  </si>
  <si>
    <t>CONSULTORIO MEDICO MEXICHEM COLOMBIA SAS</t>
  </si>
  <si>
    <t>AUTOP SUR # 71 75</t>
  </si>
  <si>
    <t>7825000 EXT 4673</t>
  </si>
  <si>
    <t>CENTRO MEDICO COLSUBSIDIO PRIMERO DE MAYO</t>
  </si>
  <si>
    <t>TV 78 H # 42 C 10 SUR PI 2</t>
  </si>
  <si>
    <t>7450284 ext. 200</t>
  </si>
  <si>
    <t>CENTRO MEDICO COLSUBSIDIO CHICALA</t>
  </si>
  <si>
    <t>KR 85 C# 53 21 SUR</t>
  </si>
  <si>
    <t>CENTRO MEDICO COLSUBSIDIO RESTREPO</t>
  </si>
  <si>
    <t>CL 19 SUR # 21-32 PI 3 y 4</t>
  </si>
  <si>
    <t>7420100 EXT: 78093 - 78065</t>
  </si>
  <si>
    <t>CENTRO MEDICO COLSUBSIDIO QUIROGA</t>
  </si>
  <si>
    <t>CLAUDIA ALEJANDRA DIAZ NUхZ</t>
  </si>
  <si>
    <t>CL 38 SUR # 18 30</t>
  </si>
  <si>
    <t>7607461 Ext. 101</t>
  </si>
  <si>
    <t>SALUD PREFERENCIAL MAZUREN</t>
  </si>
  <si>
    <t>CALLE 152 # 53 A 05 PISO 2 y 3</t>
  </si>
  <si>
    <t>7436756 EXT 73355</t>
  </si>
  <si>
    <t>CENTRO MEDICO COLSUBSIDIO SUBA</t>
  </si>
  <si>
    <t>DIANA MILENA VILLAMIL ROJAS</t>
  </si>
  <si>
    <t>calle 145 # 92 - 30 LC 2-1</t>
  </si>
  <si>
    <t>CENTRO MEDICO COLSUBSIDIO IPANEMA</t>
  </si>
  <si>
    <t>CL 26 SUR # 93 D 12</t>
  </si>
  <si>
    <t>7420100 ext. 14237</t>
  </si>
  <si>
    <t>CONSULTORIO DE EMPRESA EL TIEMPO</t>
  </si>
  <si>
    <t>Dg 44 # 68b-65</t>
  </si>
  <si>
    <t>601 2940100 ext 2361-2360</t>
  </si>
  <si>
    <t>CENTRO INTEGRAL DE DIAGNOSTICO COLSUBSIDIO</t>
  </si>
  <si>
    <t>ERNESTINA ORTEGA JUTINICO</t>
  </si>
  <si>
    <t>KR 43 # 13 66/70</t>
  </si>
  <si>
    <t>6017420100 ext 73000-73001</t>
  </si>
  <si>
    <t>CENTRO MEDICO COLSUBSIDIO PORVENIR</t>
  </si>
  <si>
    <t>Cl 54 F Sur # 93 C 18 LC 251</t>
  </si>
  <si>
    <t>7434383 Ext 73422/26/28</t>
  </si>
  <si>
    <t>CLINICA COLSUBSIDIO CALLE 100</t>
  </si>
  <si>
    <t>ALMA JOHANA ORTIZ VARGAS</t>
  </si>
  <si>
    <t>AC 100 # 23 - 59</t>
  </si>
  <si>
    <t>7457783 Ext 73959/73957</t>
  </si>
  <si>
    <t>CONSULTORIO DE EMPRESA DIAN NIVEL CENTRAL</t>
  </si>
  <si>
    <t>Cra. 7 No 6 C 54 Piso 3 CS 2,3 y 4</t>
  </si>
  <si>
    <t>6014823294 opci󮠹 ext 909678#</t>
  </si>
  <si>
    <t>PUNTO DE ATENCIӎ EN SALUD SURA SUR</t>
  </si>
  <si>
    <t>KR 13 A # 3 - 01 SUR</t>
  </si>
  <si>
    <t>7420100 EXT 71301</t>
  </si>
  <si>
    <t>CENTRO MɄICO COLSUBSIDIO UNICENTRO DE OCCIDENTE</t>
  </si>
  <si>
    <t>KR 111C # 86 - 05 PI 2 LC 2-05/2-06 Centro comercial Unicentro de Occidente</t>
  </si>
  <si>
    <t>7431806, 7431803, 7431809,7431811, 7437695</t>
  </si>
  <si>
    <t>COLSUBSIDIO CLINICA 94</t>
  </si>
  <si>
    <t>LILIAM ESPERANZA AZUERO ORJUELA</t>
  </si>
  <si>
    <t>Carrera 45 No. 94-67</t>
  </si>
  <si>
    <t>7420100 Ext. 10394 - 10383</t>
  </si>
  <si>
    <t>PUNTO DE ATENCIӎ EN SALUD SURA CASTELLANA</t>
  </si>
  <si>
    <t>CARRERA 49#98-20</t>
  </si>
  <si>
    <t>COLSUBSIDIO CL͎ICA 127</t>
  </si>
  <si>
    <t>MONICA ANDREA ORTEGA SANABRIA</t>
  </si>
  <si>
    <t>CALLE 127 # 15A -73</t>
  </si>
  <si>
    <t>3009109947 EXT 74692</t>
  </si>
  <si>
    <t>CENTRO MEDICO COLSUBSIDIO 20 DE JULIO</t>
  </si>
  <si>
    <t>Calle 25B Sur # 5B - 87 Piso 3</t>
  </si>
  <si>
    <t>CENTRO MEDICO SURA PLAZA CENTRAL</t>
  </si>
  <si>
    <t>KR 65 # 11 50 LC 247 A</t>
  </si>
  <si>
    <t>CENTRO MɄICO SURA NUESTRO BOGOT|/td&gt;</t>
  </si>
  <si>
    <t>AK 86 N55A -75 Local 2-5 CC Nuestro BogotἯtd&gt;</t>
  </si>
  <si>
    <t>7420100 EXT 75019</t>
  </si>
  <si>
    <t>DENTIVIP COLSUBSIDIO NUESTRO BOGOT|/td&gt;</t>
  </si>
  <si>
    <t>JEINNY GALEANO PARRA</t>
  </si>
  <si>
    <t>AK 86 No 55 A 75, local 251. CC Nuestro BogotἯtd&gt;</t>
  </si>
  <si>
    <t>7420100 EXT. 75062 - 75060</t>
  </si>
  <si>
    <t>CENTRO MɄICO COLSUBSIDIO PLAZA DE LAS AMɒICAS</t>
  </si>
  <si>
    <t>Kr 71 D # 6-94 S Locales 1828 y 2818</t>
  </si>
  <si>
    <t>7420100 ext. 76100</t>
  </si>
  <si>
    <t>CL͎ICA OFTALMOLӇICA COLSUBSIDIO</t>
  </si>
  <si>
    <t>JOVANNA ALEXANDRA CORREA</t>
  </si>
  <si>
    <t>Carrera 16 N 75-73</t>
  </si>
  <si>
    <t>7420100 EXT 73070</t>
  </si>
  <si>
    <t>UNIDAD DE APLICACIӎ DE MEDICAMENTOS COLSUBSIDIO</t>
  </si>
  <si>
    <t>AK 72 12 B - 48 local 2 - 092</t>
  </si>
  <si>
    <t>DENTIVIP COLSUBSIDIO PLAZA CENTRAL</t>
  </si>
  <si>
    <t>KR 65 # 11-50 LC 2-85</t>
  </si>
  <si>
    <t>DENTIVIP COLONIA 72</t>
  </si>
  <si>
    <t>AVENIDA CARRERA 24 #71A-85 LOCALES 40,41 Y 42</t>
  </si>
  <si>
    <t>DENTIVIP USAQUEN</t>
  </si>
  <si>
    <t>CARRERA 7 # 123 - 65 Piso 2</t>
  </si>
  <si>
    <t>JUAN BAUTISTA SALUD OCUPACIONAL SAS</t>
  </si>
  <si>
    <t>MARIA CRISTINA ORJUELA GAMBA</t>
  </si>
  <si>
    <t>AK 30 No 46 86 / 90</t>
  </si>
  <si>
    <t>744 40 03</t>
  </si>
  <si>
    <t>gerencia@ocupacionaljb.com</t>
  </si>
  <si>
    <t>www.ocupacionaljb.com</t>
  </si>
  <si>
    <t>M</t>
  </si>
  <si>
    <t>calidad@ocupacionaljb.com</t>
  </si>
  <si>
    <t>EUSALUD S.A</t>
  </si>
  <si>
    <t>MONTAGUT CIFUENTES VICTOR GUILLERMO</t>
  </si>
  <si>
    <t>DG 54 # 16 A 16</t>
  </si>
  <si>
    <t>calidad.direccion@eusalud.com</t>
  </si>
  <si>
    <t>www.eusalud.com</t>
  </si>
  <si>
    <t>CLINICA MATERNO INFANTIL EUSALUD</t>
  </si>
  <si>
    <t>AMALIA ZAMBRANO RIAя</t>
  </si>
  <si>
    <t>calidad.proceso@eusalud.com</t>
  </si>
  <si>
    <t>EUSALUD CLINICA DE TRAUMATOLOGIA Y ORTOPEDIA</t>
  </si>
  <si>
    <t>LUIS RAMON MONTAGUT CIFUENTES</t>
  </si>
  <si>
    <t>KR 78 # 3 A 40</t>
  </si>
  <si>
    <t>ORTODONCIA RAFAEL MARTINEZ S.A.S / ORTODONCIA RM S.A.S</t>
  </si>
  <si>
    <t>YAMIN LACOUTURE CAMILO</t>
  </si>
  <si>
    <t>Calle 114 No 6A-92 LOCAL 413 D-410 CENTRO COMERCIAL HACIENDA SANTA BARBARA PH</t>
  </si>
  <si>
    <t>6197909-2154850-3208651852</t>
  </si>
  <si>
    <t>contacto@ortodonciarafaelmartinez.com</t>
  </si>
  <si>
    <t>Calle 114 No 6A-92 Local 413 D-410 CENTRO COMERCIAL HACIENDA SANTA BARBARA PH</t>
  </si>
  <si>
    <t>INSTITUTO ROOSEVELT</t>
  </si>
  <si>
    <t>ZAPATA SANCHEZ JOSE IGNACIO</t>
  </si>
  <si>
    <t>CRA 4 ESTE # 17 50 AV CIRCUNVALAR</t>
  </si>
  <si>
    <t>3534000 Ext. 382 - 3134722258</t>
  </si>
  <si>
    <t>vagomez@ioir.org.co</t>
  </si>
  <si>
    <t>INSTITUTO DE ORTOPEDIA INFANTIL ROOSEVELT</t>
  </si>
  <si>
    <t>JOSE IGNACIO ZAPATA SNCHEZ</t>
  </si>
  <si>
    <t>3534000 Ext. 382 -378</t>
  </si>
  <si>
    <t>jzapata@ioir.org.co</t>
  </si>
  <si>
    <t>SEDE PROPACE</t>
  </si>
  <si>
    <t>JOSE IGNACIO ZAPATA</t>
  </si>
  <si>
    <t>CARRERA 54 # 65-85</t>
  </si>
  <si>
    <t>FUNDACION CENTRO DE REHABILITACION DEL NIя ESPECIAL CERES</t>
  </si>
  <si>
    <t>MATIZ RUGE FABIOLA</t>
  </si>
  <si>
    <t>CL 44 # 67 A 40/28/54</t>
  </si>
  <si>
    <t>ceresadmon@gmail.com</t>
  </si>
  <si>
    <t>CL44 # 67 A 40 Primer Piso</t>
  </si>
  <si>
    <t>OPTICA IRIS SAS BIC</t>
  </si>
  <si>
    <t>RAMOS LOZANO LUIS ALFONSO</t>
  </si>
  <si>
    <t>AK 10 NO 18-36 OFC 906</t>
  </si>
  <si>
    <t>7432069/3103159430</t>
  </si>
  <si>
    <t>opticairis2000@yahoo.com</t>
  </si>
  <si>
    <t>OPTICA IRIS S.A.S</t>
  </si>
  <si>
    <t>LUIS ALFONSO RAMOS L.</t>
  </si>
  <si>
    <t>AK 15 No. 124 - 53 LC 102</t>
  </si>
  <si>
    <t>6200091 -</t>
  </si>
  <si>
    <t>LUIS ALFONSO RAMOS LOZANO</t>
  </si>
  <si>
    <t>Calle 51 # 15 - 21</t>
  </si>
  <si>
    <t>CARRERA 86 # 6-37 LOCAL 271 SEGUNDO PISO</t>
  </si>
  <si>
    <t>Carrera 104 148 07 LC 221 C.C PLAZA IMPERIAL</t>
  </si>
  <si>
    <t>4672624/3134581267</t>
  </si>
  <si>
    <t>COLEGIO MAYOR DE NUESTRA SEяRA DEL ROSARIO</t>
  </si>
  <si>
    <t>KNUDSEN QUEVEDO HANS PETER</t>
  </si>
  <si>
    <t>CALLE 14 # 6 25</t>
  </si>
  <si>
    <t>MARIA CRISTINA ARIZA CORRADINE</t>
  </si>
  <si>
    <t>UNIVERSIDAD DEL ROSARIO SEDE COMPLEMENTARIA</t>
  </si>
  <si>
    <t>CALLE 200 ENTRE AUTOPISTA NORTE Y CARRERA SEPTIMA</t>
  </si>
  <si>
    <t>2970200 EXTENSION 7601</t>
  </si>
  <si>
    <t>www.diana.ortiz@urosario.edu.co</t>
  </si>
  <si>
    <t>COLEGIO MAYOR DE NUESTRA SEяRA DEL ROSARIO SEDE QUINTA DE MUTIS</t>
  </si>
  <si>
    <t>CL 63 D # 24 31</t>
  </si>
  <si>
    <t>girodri@urosario.edu.co</t>
  </si>
  <si>
    <t>OSTRAUMA LTDA</t>
  </si>
  <si>
    <t>SAAVEDRA MOGOLLON OSCAR HEDIEL</t>
  </si>
  <si>
    <t>Avenida Calle 127 21 60 CONSULTORIO D101-5 D101-6 D101-7</t>
  </si>
  <si>
    <t>6017429295 - 3115065297</t>
  </si>
  <si>
    <t>ostraumaltda@gmail.com</t>
  </si>
  <si>
    <t>EDGAR FERNANDO HENAO RIVEROS</t>
  </si>
  <si>
    <t>FUNDACION LEONISTICA DE SALUD OCULAR</t>
  </si>
  <si>
    <t>MUяZ GUARUMO VICTOR MANUEL</t>
  </si>
  <si>
    <t>CALLE 63 # 18 20</t>
  </si>
  <si>
    <t>fundacionleonistica@hotmail.com</t>
  </si>
  <si>
    <t>VICTOR MANUEL MUяZ GUARUMO</t>
  </si>
  <si>
    <t>Fundacion Los Pisingos</t>
  </si>
  <si>
    <t>Carrera 7 No 158 - 41</t>
  </si>
  <si>
    <t>oportunidad@lospisingos.com</t>
  </si>
  <si>
    <t>www.lospisingos.com</t>
  </si>
  <si>
    <t>Daniel Fernandez Castrill󮼯td&gt;</t>
  </si>
  <si>
    <t>SOCIEDAD MEDICA DE ORTOPEDIA Y ACCIDENTES LABORALES S A</t>
  </si>
  <si>
    <t>CASTRO BUENO FERNANDO</t>
  </si>
  <si>
    <t>Calle 6 A # 70 - 06</t>
  </si>
  <si>
    <t>gerenciasmo@coal.clinic</t>
  </si>
  <si>
    <t>CLINICA DE ORTOPEDIA Y ACCIDENTES LABORALES</t>
  </si>
  <si>
    <t>JOHN DOUGLAS CONTRERAS GUERRA</t>
  </si>
  <si>
    <t>UNIDAD CARDIOFETAL LTDA</t>
  </si>
  <si>
    <t>CL 90 # 19 A -49 OF 205</t>
  </si>
  <si>
    <t>2189878 - 466 04 09 - 3152444038</t>
  </si>
  <si>
    <t>u.cardiofetal@gmail.com</t>
  </si>
  <si>
    <t>ALICIA MARQUEZ GARCIA</t>
  </si>
  <si>
    <t>CALLE 90 No. 19 A 49 OFICINA 205</t>
  </si>
  <si>
    <t>2189878 -466 04 09 - 3152444038</t>
  </si>
  <si>
    <t>CLINICA COLOMBIANA DE OBESIDAD Y METABOLISMO SAS</t>
  </si>
  <si>
    <t>GABRIEL FERNANDO CUBILLOS VALENCIA</t>
  </si>
  <si>
    <t>CARRERA 23 # 124-87 TORRE 1 CONSULTORIO 803,804, 805,806 EDIFICIO TORRE ZENTAI</t>
  </si>
  <si>
    <t>9278731-3158739927-3183059495</t>
  </si>
  <si>
    <t>direccioncomercial@clinicaobesidad.com</t>
  </si>
  <si>
    <t>ANA MARIA REY QUINTERO</t>
  </si>
  <si>
    <t>HORUS GRUPO OFTALMOLOGICO S.A</t>
  </si>
  <si>
    <t>CORRALES RAMIREZ LEONCIO</t>
  </si>
  <si>
    <t>KR. 19 B # 84 65 PISO 1</t>
  </si>
  <si>
    <t>(601) 7434335 - 300 3239501</t>
  </si>
  <si>
    <t>admin@horusgo.com</t>
  </si>
  <si>
    <t>HORUS PRINCIPAL</t>
  </si>
  <si>
    <t>JORGE BERTRAN GOMEZ</t>
  </si>
  <si>
    <t>calidad@horusgo.com</t>
  </si>
  <si>
    <t>HORUS GRUPO OFTALMOLOGICO S.A.</t>
  </si>
  <si>
    <t>CRA 19B N 84-48</t>
  </si>
  <si>
    <t>HORUS EDIFICIO AVENIDA CALLE 85</t>
  </si>
  <si>
    <t>JORGE BERTRAN</t>
  </si>
  <si>
    <t>AV. Cl 85 # 19B - 22 LOCAL 2: CONSULTORIO 1-2-3 OFICINA 503/504 CONSULTORIO: 1-2-3</t>
  </si>
  <si>
    <t>SISTEMAS INTEGRALES EN SALUD OCUPACIONAL IPS SAS</t>
  </si>
  <si>
    <t>RODRIGUEZ ROJAS SANDRA LILIANA</t>
  </si>
  <si>
    <t>CARRERA 11 # 66-53 PISO 4 403</t>
  </si>
  <si>
    <t>direccioncalidadsiso@gmail.com</t>
  </si>
  <si>
    <t>https://direccioncalidadsiso@gmail.com</t>
  </si>
  <si>
    <t>LUIS EMILIO MORENO SILVA</t>
  </si>
  <si>
    <t>FUNDACION NIхZ Y DESARROLLO FUNDACION FND COLOMBIA</t>
  </si>
  <si>
    <t>VALLEJO MACIAS DORALISSE</t>
  </si>
  <si>
    <t>AK 60 # 63 63</t>
  </si>
  <si>
    <t>informacion@fndcolombia.org</t>
  </si>
  <si>
    <t>RED DE DIAGNOSTICO MEDICO S.A. -REDIMED S.A</t>
  </si>
  <si>
    <t>GONZALEZ BUITRAGO JORGE ALBERTO</t>
  </si>
  <si>
    <t>AV CARACAS 32 17</t>
  </si>
  <si>
    <t>teusaquillo@redimed.com.co</t>
  </si>
  <si>
    <t>REDIMED IPS CENTRO RADIOLOGICO DEL SUR</t>
  </si>
  <si>
    <t>JORGE ALBERTO GONZALEZ BUITRAGO</t>
  </si>
  <si>
    <t>CALLE 27 SUR # 14 - 39 CS 101 103 104 105 201 202 203 204 205 206 207 303 304 305</t>
  </si>
  <si>
    <t>SUR@REDIMED.COM.CO</t>
  </si>
  <si>
    <t>REDIMED IPS -CENTRO RADIOLOGICO TEUSAQUILLO-</t>
  </si>
  <si>
    <t>AV CARACAS # 31 B 19 Cs 102 103 104 105 106 107 201 202 203 204 205 206 207 208 301 302 303 304 305 306</t>
  </si>
  <si>
    <t>IPS CLINICA JOSE A RIVAS S.A.</t>
  </si>
  <si>
    <t>RIVAS CORREA JOSE ANTONIO</t>
  </si>
  <si>
    <t>AK 19 N 100-28 - Barrio:CHICO</t>
  </si>
  <si>
    <t>5803939-3174051838</t>
  </si>
  <si>
    <t>diradministrativa@clinicarivas.com</t>
  </si>
  <si>
    <t>CLINICA JOSE A RIVAS VIP</t>
  </si>
  <si>
    <t>JOSE ANTONIO RIVAS CORREA</t>
  </si>
  <si>
    <t>AK 19 N 100-28</t>
  </si>
  <si>
    <t>MEDIEXPRESS S.A.S</t>
  </si>
  <si>
    <t>RUA MONCADA CARLOS MARTIN</t>
  </si>
  <si>
    <t>KR 49 # 91 98</t>
  </si>
  <si>
    <t>3102418619 - 7180994</t>
  </si>
  <si>
    <t>gerencia@mediexpress.co</t>
  </si>
  <si>
    <t>MEDIEXPRESS</t>
  </si>
  <si>
    <t>CARLOS MARTIN RUA MONCADA</t>
  </si>
  <si>
    <t>MEDIEXPRESS SEDE 2</t>
  </si>
  <si>
    <t>CALLE 45 A No. 9-31 PRIMER PISO SERVICIO MEDICO CS 1 Y 2</t>
  </si>
  <si>
    <t>ruamon@hotmail.com</t>
  </si>
  <si>
    <t>MEDIEXPRESS SEDE 3</t>
  </si>
  <si>
    <t>CALLE 12 # 1 17 ESTE TORRE A SOTANO SERVICIO MEDICO</t>
  </si>
  <si>
    <t>MEDIEXPRESS SEDE 4</t>
  </si>
  <si>
    <t>AV CIRCUNVALAR # 20 53 SERVICIO MEDICO</t>
  </si>
  <si>
    <t>CLINICA ODONTOLOGICA DEL OCCIDENTE I P S SAS</t>
  </si>
  <si>
    <t>AC 24 # 43 A 84</t>
  </si>
  <si>
    <t>clinicaoccidentalcalidad@gmail.com</t>
  </si>
  <si>
    <t>CLINICA ODONTOLOGICA DEL OCCIDENTE</t>
  </si>
  <si>
    <t>MIRYAM LUCIA SANTAMARIA ROJAS</t>
  </si>
  <si>
    <t>CENTRO DE CIRUGIA MINIMA INVASIVA S.A.S CECIMIN S.A.S</t>
  </si>
  <si>
    <t>MARTINEZ GIRALDO VICTORIA EUGENIA</t>
  </si>
  <si>
    <t>AK 45 104 76 PISO 1, PISO 4, PISO 5 Y PISO 6</t>
  </si>
  <si>
    <t>3125508004-6002555 ext.172</t>
  </si>
  <si>
    <t>scolas@colsanitas.com</t>
  </si>
  <si>
    <t>UNIDAD MEDICA CECIMIN</t>
  </si>
  <si>
    <t>STEPHEN COLAS SANCHEZ</t>
  </si>
  <si>
    <t>FUNDACION AMAR</t>
  </si>
  <si>
    <t>ROJAS REYES MARTHA YANETH</t>
  </si>
  <si>
    <t>CRA 73 # 73 90</t>
  </si>
  <si>
    <t>amarlafundacion_2000@yahoo.es</t>
  </si>
  <si>
    <t>Cl�ca Santo Tom᳠SA</t>
  </si>
  <si>
    <t>GONZALEZ MARTINEZ AMPARO</t>
  </si>
  <si>
    <t>T V 3 C # 51 A 46</t>
  </si>
  <si>
    <t>6015234458/ 6015242224/ 6017060159</t>
  </si>
  <si>
    <t>gerencia@clinicasantotomas.co</t>
  </si>
  <si>
    <t>CLINICA SANTO TOMS S.A</t>
  </si>
  <si>
    <t>CATALINA VERGARA CARULLA</t>
  </si>
  <si>
    <t>TV 3C # 51A 46</t>
  </si>
  <si>
    <t>clinsantoto@gmail.com</t>
  </si>
  <si>
    <t>UNIDAD MEDICA FAMILIAR DEL SUR IPS S.A.</t>
  </si>
  <si>
    <t>CARLOS ALBERTO HURTADO SALAZAR</t>
  </si>
  <si>
    <t>Kra 4 ESTE # 41B-15 SUR consultorio 1,2,5,6,7</t>
  </si>
  <si>
    <t>carlos_a_hurtado@hotmail.com</t>
  </si>
  <si>
    <t>HSJ</t>
  </si>
  <si>
    <t>SOCIEDAD DE CIRUGIA DE BOGOTA HOSPITAL DE SAN JOSE</t>
  </si>
  <si>
    <t>GOMEZ GUSNIR JORGE EUGENIO</t>
  </si>
  <si>
    <t>CALLE 10 # 18 75</t>
  </si>
  <si>
    <t>3538000 ext 109 o 179</t>
  </si>
  <si>
    <t>habilitacion@hospitaldesanjose.org.co - calidad@hospitaldesanjose.org.</t>
  </si>
  <si>
    <t>www.hospitaldesanjose.org.co</t>
  </si>
  <si>
    <t>Sociedad de Cirug�de Bogotᠭ Hospital de San Jos鼯td&gt;</t>
  </si>
  <si>
    <t>Carlos Humberto P鲥z Moreno</t>
  </si>
  <si>
    <t>CL 10 No. 18 - 75</t>
  </si>
  <si>
    <t>3538000 ext 523 o 509</t>
  </si>
  <si>
    <t>calidad@hospitaldesanjose.org.co</t>
  </si>
  <si>
    <t>SERVICIOS DE SALUD OCUPACIONAL UNIMSALUD SAS</t>
  </si>
  <si>
    <t>RODRIGUEZ RODRIGUEZ MARIELA</t>
  </si>
  <si>
    <t>CALLE 72 A No 20 C 55 - Barrio:SAN FELIPE</t>
  </si>
  <si>
    <t>mrodriguez@unimsalud.com.co</t>
  </si>
  <si>
    <t>UNIMSALUD ASISTENCIAL</t>
  </si>
  <si>
    <t>MARIELA RODRIGUEZ DE RODRIGUEZ</t>
  </si>
  <si>
    <t>CALLE 72 A No 20 C 55</t>
  </si>
  <si>
    <t>UNIMSALUD SEDE NORTE</t>
  </si>
  <si>
    <t>Kr 23 # 124 - 87 Torre 2 Oficina 405</t>
  </si>
  <si>
    <t>7264721 - 3005718073</t>
  </si>
  <si>
    <t>CENTRO INTERNACIONAL DE MEDICINAS ALTERNATIVAS VAN UDEN IPS</t>
  </si>
  <si>
    <t>AV SUBA # 100 33</t>
  </si>
  <si>
    <t>cimaips@gmail.com</t>
  </si>
  <si>
    <t>www.vanudeips.net</t>
  </si>
  <si>
    <t>EMELYN VAN UDEN MANJARRES</t>
  </si>
  <si>
    <t>CLINICA AVELLANEDA HERNANDEZ S.A.S.</t>
  </si>
  <si>
    <t>CL 106 # 17 45</t>
  </si>
  <si>
    <t>601-6293045 - 3168762929</t>
  </si>
  <si>
    <t>asisgerencia@clinicaavellaneda.com - gerencia@clinicaavellaneda.com</t>
  </si>
  <si>
    <t>MARTHA HERNANDEZ ORTIZ</t>
  </si>
  <si>
    <t>PREVEDONTO PREVENCION Y SALUD ORAL INTEGRAL SAS sigla PREVEDONTO SAS</t>
  </si>
  <si>
    <t>BATANCOURT RODRIGUEZ MARIO EDUARDO</t>
  </si>
  <si>
    <t>CL 106 # 57 23 OF 609</t>
  </si>
  <si>
    <t>6131241-3105531257</t>
  </si>
  <si>
    <t>contacto@prevedonto.com</t>
  </si>
  <si>
    <t>MANUEL EDUARDO BETANCOURT GALVIS</t>
  </si>
  <si>
    <t>asistentegerencia@prevedonto.com</t>
  </si>
  <si>
    <t>CENTRO DE INVESTIGACIONES DEL SISTEMA NERVIOSO S.A.S. SIGLA GRUPO CISNE S.A.S.</t>
  </si>
  <si>
    <t>DR. RODRIGO NEL CORDOBA ROJAS</t>
  </si>
  <si>
    <t>Calle 173 A N 65-75</t>
  </si>
  <si>
    <t>(601) 8052358 ext 602 - 624 o 3181824021</t>
  </si>
  <si>
    <t>info@grupocisne.org</t>
  </si>
  <si>
    <t>https://grupocisne.org/</t>
  </si>
  <si>
    <t>6018052358 ext 602 - 624 o 3181824021</t>
  </si>
  <si>
    <t>CISNE SEDE AMBULATORIA</t>
  </si>
  <si>
    <t>MARTHA PATRICIA SAAVEDRA GARCIA</t>
  </si>
  <si>
    <t>TRANSVERSAL 58# 104B -32</t>
  </si>
  <si>
    <t>2171202 - 3167430130</t>
  </si>
  <si>
    <t>sedeambulatoria@grupocisne.org</t>
  </si>
  <si>
    <t>CENTRO COLOMBIANO DE FERTILIDAD Y ESTERILIDAD CECOLFES SAS SIGLA CECOLFES</t>
  </si>
  <si>
    <t>PEREZ DE LUCENA CARMEN BEATRIZ</t>
  </si>
  <si>
    <t>Calle 102 N0 14 A. 15</t>
  </si>
  <si>
    <t>cecolfes@cecolfes.com</t>
  </si>
  <si>
    <t>CENTRO COLOMBIANO DE FERTILIDAD Y ESTERILIDAD CECOLFES</t>
  </si>
  <si>
    <t>Carmen Beatriz P鲥z de Lucena</t>
  </si>
  <si>
    <t>Calle 102 No. 14A 15</t>
  </si>
  <si>
    <t>FUNDACION ORIENTAME</t>
  </si>
  <si>
    <t>VILLAREAL VELASQUEZ CRISTINA</t>
  </si>
  <si>
    <t>CRA 18 # 33 A 27</t>
  </si>
  <si>
    <t>(601) 9173500 Ext 204 - 430 - 3504997456</t>
  </si>
  <si>
    <t>secgeneral@orientame.org.co</t>
  </si>
  <si>
    <t>www.orientame.org.co</t>
  </si>
  <si>
    <t>ORIENTAME - SEDE USAQUEN</t>
  </si>
  <si>
    <t>Maria Mercedes Vivas Perez</t>
  </si>
  <si>
    <t>CL 120 A # 7-59</t>
  </si>
  <si>
    <t>(601) 9173500 Ext 204 - 430 - 3103484872</t>
  </si>
  <si>
    <t>ORIENTAME SEDE TEUSAQUILLO</t>
  </si>
  <si>
    <t>MARIA MERCEDES VIVAS PEREZ</t>
  </si>
  <si>
    <t>CRA 17 # 33 50</t>
  </si>
  <si>
    <t>ORIENTAME - SEDE SUBA</t>
  </si>
  <si>
    <t>AC 145 No 91 - 19 local 11 - 207 Centro comercial centro suba</t>
  </si>
  <si>
    <t>ORIENTAME - SEDE TUNAL</t>
  </si>
  <si>
    <t>CARRERA 24 C No. 48-94 SUR OF 3018 CENTRO COMERCIAL CIUDAD TUNAL</t>
  </si>
  <si>
    <t>UNIDAD DE ESTETICA DENTAL S A S</t>
  </si>
  <si>
    <t>MARLON BECERRA DIAZ</t>
  </si>
  <si>
    <t>CL 92 11 51 LC 2</t>
  </si>
  <si>
    <t>7461111 - 4320020 - 3107862504</t>
  </si>
  <si>
    <t>calidadyfranquicias@marlonbecerra.co</t>
  </si>
  <si>
    <t>www.marlonbecerra.co</t>
  </si>
  <si>
    <t>ODONTOLOGIA DE MARLON BECERRA SEDE CHICO</t>
  </si>
  <si>
    <t>CONGREGACION DE LAS HERMANAS DE LA CARIDAD DOMINICAS DE LA PRESENTACION DE LA SANTISIMA VIRGEN</t>
  </si>
  <si>
    <t>GUEVARA SANDOVAL MARIA BETSABE</t>
  </si>
  <si>
    <t>Calle 45 C No. 22-02</t>
  </si>
  <si>
    <t>GestiondeCalidad@clinicapalermo.com.co</t>
  </si>
  <si>
    <t>www.clinicapalermo.com.co</t>
  </si>
  <si>
    <t>CLINICA PALERMO</t>
  </si>
  <si>
    <t>GERARDO LUBIN BURGOS BERNAL</t>
  </si>
  <si>
    <t>CLINICA PALERMO CARRERA 23</t>
  </si>
  <si>
    <t>Carrera 23 No. 45C- 31 Laboratorio Clinico Local 102- Unidad de Cirugia Ambulatoria Local 108- Unidad de Endoscopia Local 109- Consulta externa Locales 203A,204,205,206,206A,207,208,208A,209 y 210-Consulta Prioritaria Local 203 y 215 Consultorio 3</t>
  </si>
  <si>
    <t>LIGA CONTRA EL CANCER SECCIONAL BOGOTA</t>
  </si>
  <si>
    <t>FORERO DE RUIZ GLORIA INES</t>
  </si>
  <si>
    <t>Calle 116 # 15b 08</t>
  </si>
  <si>
    <t>calidad-pamec@ligacontraelcancer.com.co</t>
  </si>
  <si>
    <t>www.ligacontraelcancer.com.co</t>
  </si>
  <si>
    <t>HERNAN ERNESTO FERNANDEZ ANKUDOWICZ</t>
  </si>
  <si>
    <t>CALLE 116 # 15 B 08</t>
  </si>
  <si>
    <t>FUNDACION DE REHABILITACION INTEGRAL LUDUS</t>
  </si>
  <si>
    <t>HAROLD ANDRES ACEVEDO SIERRA</t>
  </si>
  <si>
    <t>DG 88 # 27 - 34</t>
  </si>
  <si>
    <t>2561374 - 2561366 - 3165304548</t>
  </si>
  <si>
    <t>director.ludus@gmail.com</t>
  </si>
  <si>
    <t>WWW.FUNDACIONLUDUS.ORG</t>
  </si>
  <si>
    <t>LEIDY JOHANNA MEJIA JIMENEZ</t>
  </si>
  <si>
    <t>CL 88 # 22 34</t>
  </si>
  <si>
    <t>2561366-3183501314</t>
  </si>
  <si>
    <t>ASOCIACIӎ PROFAMILIA</t>
  </si>
  <si>
    <t>BUITRAGO RUIZ JAIME</t>
  </si>
  <si>
    <t>CALLE 34 # 14 52</t>
  </si>
  <si>
    <t>(601)4434000</t>
  </si>
  <si>
    <t>jonathan.vargas@profamilia.org.co</t>
  </si>
  <si>
    <t>www.profamilia.org.co</t>
  </si>
  <si>
    <t>PROFAMILIA BOGOTA TEUSAQUILLO</t>
  </si>
  <si>
    <t>Zulma Castellanos Ortiz</t>
  </si>
  <si>
    <t>zulma.castellanos@profamilia.org.co</t>
  </si>
  <si>
    <t>PROFAMILIA QUIRIGUA</t>
  </si>
  <si>
    <t>ZULMA BIANEY CASTELLANOS ORTIZ</t>
  </si>
  <si>
    <t>CL 80 BIS # 94 K 40</t>
  </si>
  <si>
    <t>PROFAMILIA KENNEDY</t>
  </si>
  <si>
    <t>TV 73C Bis A 38-41 Sur</t>
  </si>
  <si>
    <t>PROFAMILIA CENTRO PARA JӖENES</t>
  </si>
  <si>
    <t>KR 15 # 34 47</t>
  </si>
  <si>
    <t>PROFAMILIA TUNAL</t>
  </si>
  <si>
    <t>Calle 47B Sur #24B-33 Local 3009-3010</t>
  </si>
  <si>
    <t>PROFAMILIA BOGOTA FERTILIDAD</t>
  </si>
  <si>
    <t>Calle 83 #16A-44 Piso 502</t>
  </si>
  <si>
    <t>(601) 4845808 - 3156076480</t>
  </si>
  <si>
    <t>PROFAMILIA EL BOSQUE</t>
  </si>
  <si>
    <t>CALLE 134 N 7b - 83 consultorio 214</t>
  </si>
  <si>
    <t>ARMONIA DENTO FACIAL ADF S.A.S</t>
  </si>
  <si>
    <t>GONZALEZ MARIя MARCOS DANIEL</t>
  </si>
  <si>
    <t>CARRERA 13 #94A-25/45 OFICINA 501</t>
  </si>
  <si>
    <t>madagon.cirumax@gmail.com</t>
  </si>
  <si>
    <t>MARCOS DANIEL GONZALEZ MARIя</t>
  </si>
  <si>
    <t>CENTRO INTEGRAL DE INNOVACIӎ Y TECNOLOǴ CL͎ICA ONKOS S.A.S</t>
  </si>
  <si>
    <t>OTALORA GONZALEZ ALVARO</t>
  </si>
  <si>
    <t>Diagonal 33 Bis A # 14 37</t>
  </si>
  <si>
    <t>3208400 ext 290 - 3203037398</t>
  </si>
  <si>
    <t>Notificaciones@clinicaonkos.com.co - calidad@clinicaonkos.com.co</t>
  </si>
  <si>
    <t>DIANA MIRENA ROSMIRTH ESPINOSA NARVAEZ</t>
  </si>
  <si>
    <t>dianaespinosanarvaez@gmail.com</t>
  </si>
  <si>
    <t>FUNDACION PARA EL DESARROLLO DE LAS CIENCIAS DE LA COMUNICACIӎ SOCIAL FUNDEMOS IPS</t>
  </si>
  <si>
    <t>JUAN CARLOS BELTRAN GOMEZ</t>
  </si>
  <si>
    <t>AVENIDA CIRCUNVALAR No 60 -00 BLOQUE B - Barrio:EL CASTILLO</t>
  </si>
  <si>
    <t>fundemosips@fundemos.com.co</t>
  </si>
  <si>
    <t>FUNDACION PARA EL DESARROLLO DE LAS CIENCIAS DE LA COMUNICACION SOCIAL FUNDEMOS</t>
  </si>
  <si>
    <t>CARLOS EDUARDO SANCHEZ RIVEROS</t>
  </si>
  <si>
    <t>CARRERA 16 A No 79 - 94</t>
  </si>
  <si>
    <t>546 06 40</t>
  </si>
  <si>
    <t>LABORATORIO DE IDENTIFICACION HUMANA</t>
  </si>
  <si>
    <t>AVENIDA CIRCUNVALAR No 60 -00 BLOQUE B</t>
  </si>
  <si>
    <t>CLINICA JUAN N CORPAS LTDA</t>
  </si>
  <si>
    <t>PIхROS RICARDO LUZ HELENA</t>
  </si>
  <si>
    <t>KR 111 # 159 A 61</t>
  </si>
  <si>
    <t>6865000 Ext.1060 - 3233103491</t>
  </si>
  <si>
    <t>dir_calidad@clinicajuanncorpas.com</t>
  </si>
  <si>
    <t>https://clinicajuanncorpas.com/</t>
  </si>
  <si>
    <t>JUAN CARLOS VERA RUGELES</t>
  </si>
  <si>
    <t>FUNDACION CARDIO INFANTIL INSTITUTO DE CARDIOLOGIA</t>
  </si>
  <si>
    <t>CABRERA POLANIA REINALDO</t>
  </si>
  <si>
    <t>CL 163 A No 13 B 60</t>
  </si>
  <si>
    <t>6672727 Ext. 53304</t>
  </si>
  <si>
    <t>pcasallas@lacardio.org</t>
  </si>
  <si>
    <t>www.cardioinfantil.org</t>
  </si>
  <si>
    <t>JUAN GABRIEL CENDALES REY</t>
  </si>
  <si>
    <t>CL 163 A # 13 B 60</t>
  </si>
  <si>
    <t>6672727 Ext. 53304 Cel. 3183569506</t>
  </si>
  <si>
    <t>FUNDACIӎ CARDIOINFANTIL-INSTITUTO DE CARDIOLOǴ</t>
  </si>
  <si>
    <t>KR 13 B # 161-85 To H Pi1,2,3, To I Pi4 Cs 401, Pi5 Cs 501-502-503-504-508-509-510-511-512-513-514-515-516-517, Pi6 Cs 601-602-603-604-609-611-612-613-615-616-617-618, Pi7 Cs 709-711-712-713-714-716-717-718, Pi8 Cs 801-802-813, Pi10 Cs C01,Pi12 CI1-CI2</t>
  </si>
  <si>
    <t>6672727 ext 53304</t>
  </si>
  <si>
    <t>pcasallas@lacardiol.org</t>
  </si>
  <si>
    <t>Centro Medico Ambulatorio La Cardio102</t>
  </si>
  <si>
    <t>Juan Gabriel Cendales Rey</t>
  </si>
  <si>
    <t>AK 19 102 31 LC2</t>
  </si>
  <si>
    <t>CONSULTORIO RADIOLOGICO ORAL CEDRITOS SOCIEDAD POR ACCIONES SIMPLIFICADA SIGLA RADIOLOGICO ORAL CEDRITOS S A S</t>
  </si>
  <si>
    <t>KR 18 # 140 12 CS 202</t>
  </si>
  <si>
    <t>ventasradiologico@gmail.com</t>
  </si>
  <si>
    <t>CONSULTORIO DE RADIOLOǴ ORAL CHAPINERO S.A.S</t>
  </si>
  <si>
    <t>JUAN DAVID PELAEZ</t>
  </si>
  <si>
    <t>CL 63 # 11 - 45 CS 106</t>
  </si>
  <si>
    <t>601 3000812 - 3154175158 - 3158240770</t>
  </si>
  <si>
    <t>crochapinero@gmail.com</t>
  </si>
  <si>
    <t>www.cro.com.co</t>
  </si>
  <si>
    <t>CONSULTORIO DE RADIOLOGIA ORAL CHAPINERO S.A.S</t>
  </si>
  <si>
    <t>FUNDACION CLINICA HOSPITAL JUAN N CORPAS Y CENTROS ASISTENCIALES AFINES</t>
  </si>
  <si>
    <t>GLORIA INES PIхROS RICARDO</t>
  </si>
  <si>
    <t>Carrera 111 159 A - 61</t>
  </si>
  <si>
    <t>calidad_corpasalternativa@juanncorpas.edu.co</t>
  </si>
  <si>
    <t>CARRERA 111 159 A 61</t>
  </si>
  <si>
    <t>Corpas Santa Ana</t>
  </si>
  <si>
    <t>AK 9 No. 108 a 10</t>
  </si>
  <si>
    <t>3144041694 - 3043457996</t>
  </si>
  <si>
    <t>fundacion_gerencia@juanncorpas.edu.co</t>
  </si>
  <si>
    <t>CORPAS COMUNITARIA-LISBOA IPS</t>
  </si>
  <si>
    <t>Gloria Ines Pi񥲯s Ricardo</t>
  </si>
  <si>
    <t>carrera 150D N 132A-21, piso 1,2,3,4</t>
  </si>
  <si>
    <t>sharon-mc@juanncorpas.edu.co</t>
  </si>
  <si>
    <t>UNION MEDICA DEL NORTE SAS</t>
  </si>
  <si>
    <t>CARREя MORA EUCLIDES</t>
  </si>
  <si>
    <t>CL 129 B # 92 B 09</t>
  </si>
  <si>
    <t>7438163 - 7025526</t>
  </si>
  <si>
    <t>umndelnorte@gmail.com</t>
  </si>
  <si>
    <t>UNION MEDICA DEL NORTE</t>
  </si>
  <si>
    <t>EUCLIDES CARREя MORA</t>
  </si>
  <si>
    <t>Calle 129 B No. 92 B 09</t>
  </si>
  <si>
    <t>Fundaci󮠃entro Materno Infantil Nuestra Se񯲡 de Bel鮼/td&gt;</t>
  </si>
  <si>
    <t>Eulcides Carre񯠍ora</t>
  </si>
  <si>
    <t>KR 93 # 129 A 64 PISO 4</t>
  </si>
  <si>
    <t>cmifundacion@gmail.com</t>
  </si>
  <si>
    <t>E</t>
  </si>
  <si>
    <t>CLINICA DEL SENO IPS LTDA</t>
  </si>
  <si>
    <t>JIMENEZ GONZALEZ MARIA FERNANDA</t>
  </si>
  <si>
    <t>CRA 11 # 68 36</t>
  </si>
  <si>
    <t>notificaciones@clinicadelseno.com</t>
  </si>
  <si>
    <t>www.clinicadelseno.com</t>
  </si>
  <si>
    <t>MARIA FERNANDA JIMENEZ GONZALEZ</t>
  </si>
  <si>
    <t>CLINICA DEL SENO IPS LTDA SEDE KENEDY</t>
  </si>
  <si>
    <t>CL 38 C SUR # 78 P 03</t>
  </si>
  <si>
    <t>administracionkny@clinicadelseno.com</t>
  </si>
  <si>
    <t>CPO S A</t>
  </si>
  <si>
    <t>JIMENEZ GONZALEZ NASLY TATIANA</t>
  </si>
  <si>
    <t>KR 20 23 23 SUR</t>
  </si>
  <si>
    <t>zayda.rodriguez@cpolaya.com.co</t>
  </si>
  <si>
    <t>CENTRO POLICLINICO DEL OLAYA</t>
  </si>
  <si>
    <t>ZAYDA IBET RODRIGUEZ RENGIFO</t>
  </si>
  <si>
    <t>ODONTOAMERICAS</t>
  </si>
  <si>
    <t>Avenida Am鲩cas N 66 a - 27 segundo piso</t>
  </si>
  <si>
    <t>DONTOLUCIA</t>
  </si>
  <si>
    <t>TV 14 48 36 SUR</t>
  </si>
  <si>
    <t>CASTELLANA CPO</t>
  </si>
  <si>
    <t>CRA 48 N 98-81 Segundo Piso</t>
  </si>
  <si>
    <t>CALLE 98</t>
  </si>
  <si>
    <t>KR 49 # 98 A 18 COSULTORIOS 217 Y 312 4 PISO</t>
  </si>
  <si>
    <t>CHAPINERO CPO</t>
  </si>
  <si>
    <t>Avenida Caracas No. 49-83 P 1 CS 113 -107</t>
  </si>
  <si>
    <t>TORRE 7-CPO</t>
  </si>
  <si>
    <t>Zayda Ibet Rodriguez Rengifo</t>
  </si>
  <si>
    <t>CARRERA 19 C SUR 24 67</t>
  </si>
  <si>
    <t>CLINICA INTERNACIONAL DE CIRUGIA S.A.S</t>
  </si>
  <si>
    <t>ANA MERCEDES DIAZ MONTAс</t>
  </si>
  <si>
    <t>KR 17 No. 39B - 04</t>
  </si>
  <si>
    <t>3142525781 3108929899</t>
  </si>
  <si>
    <t>clinicainternacionaldecirugia@gmail.com</t>
  </si>
  <si>
    <t>EDILBERTO DE JESړ HERNANDEZ BARRAZA</t>
  </si>
  <si>
    <t>3142525781 3103849953 6969257</t>
  </si>
  <si>
    <t>CL͎ICA COLSANITAS S.A.</t>
  </si>
  <si>
    <t>Maria Antonia Ortiz</t>
  </si>
  <si>
    <t>AC 100 11 B 67</t>
  </si>
  <si>
    <t>calidadclinica@colsanitas.com</t>
  </si>
  <si>
    <t>www.colsanitas.com.co</t>
  </si>
  <si>
    <t>LABORATORIO KERALTY SUBA</t>
  </si>
  <si>
    <t>Mar�del Pilar Suarez Ramos</t>
  </si>
  <si>
    <t>AC 145 103 B 69 CC AL PASO LC 504</t>
  </si>
  <si>
    <t>6466060 ext 5717528</t>
  </si>
  <si>
    <t>diamalfonso@colsanitas.com</t>
  </si>
  <si>
    <t>CLINISANITAS DIAGNOSTICO</t>
  </si>
  <si>
    <t>AK 45 108 A 50 PISO 3 INT 2</t>
  </si>
  <si>
    <t>5895420 ext 5718466</t>
  </si>
  <si>
    <t>CLINICA REINA SOFIA</t>
  </si>
  <si>
    <t>Julio Cesar Castellanos Ramirez</t>
  </si>
  <si>
    <t>Cra 21 127 03 / Ac 127 21 60 Cn 106 Al 111, 202, 203, 211, 214, 225, 316, 322, 324, 410 A Y B, 424</t>
  </si>
  <si>
    <t>LABORATORIO CENTRAL DE REFERENCIA</t>
  </si>
  <si>
    <t>KR 69 C # 99 - 45 BODEGA 1</t>
  </si>
  <si>
    <t>6058600 Ext. 109</t>
  </si>
  <si>
    <t>CENTRO MɄICO COLSANITAS ILARCO</t>
  </si>
  <si>
    <t>TV 60 115 - 58 TO C LC 103</t>
  </si>
  <si>
    <t>6 247240 6 247247</t>
  </si>
  <si>
    <t>LABORATORIO TEUSAQUILLO</t>
  </si>
  <si>
    <t>CLL 31 B # 14 - 26 PI 2 IN 1</t>
  </si>
  <si>
    <t>5895482 5895494 Ext 5718972</t>
  </si>
  <si>
    <t>UNIDAD RENAL SANITAS</t>
  </si>
  <si>
    <t>Adrian Gustavo Torres Pizarro</t>
  </si>
  <si>
    <t>AVENIDA CALLE 127 No 20-78 CONSULTORIOS 201-202-203 Y 204</t>
  </si>
  <si>
    <t>2744590 6274745</t>
  </si>
  <si>
    <t>CLINICA UNIVERSITARIA COLOMBIA</t>
  </si>
  <si>
    <t>Cl236646Int5Int4Cs201Al209,3P501,503,505Al507,509,703,704,706,708,710,714Al717,719Al723,725Al727,803,811,813,814,816A818,822A825,903,907,911,915,919A921,927,1004,1009,1013,1015Al1019,1103,1119,1121,1122,1203,1206,1209,1210,1214A12161218A1220122212251226</t>
  </si>
  <si>
    <t>CENTRO MEDICO DIAGNOSTICO CALLE 80</t>
  </si>
  <si>
    <t>CRA 89A NO 79-03 PI 4 COSTADO NOR-OCCIDENTAL</t>
  </si>
  <si>
    <t>2 524911</t>
  </si>
  <si>
    <t>LABORATORIO CENTRO MEDICO TUNAL</t>
  </si>
  <si>
    <t>DG 52A SUR 25 16 P1 INT 1</t>
  </si>
  <si>
    <t>LABORATORIO CENTRO MEDICO KENNEDY</t>
  </si>
  <si>
    <t>CL 42 SUR 78K 30 PI 2 IN 1</t>
  </si>
  <si>
    <t>CENTRO MEDICO COLSANITAS HORIZONTE</t>
  </si>
  <si>
    <t>AC 127 20 78 LC 206, 207, LB, UN RAD</t>
  </si>
  <si>
    <t>CENTRO MɄICO COLSANITAS CALLE 96</t>
  </si>
  <si>
    <t>KR 14 96 22 / KR14 96 08 P2 INT 201</t>
  </si>
  <si>
    <t>LABORATORIO KERALTY TOBERIN</t>
  </si>
  <si>
    <t>CR 21 166 53 LC 1 Y 2</t>
  </si>
  <si>
    <t>CENTRO MɄICO COLSANITAS COLINA CAMPESTRE</t>
  </si>
  <si>
    <t>CR 59 152-25 OFICINA 301 INTERIOR 1</t>
  </si>
  <si>
    <t>CENTRO MEDICO PUENTE ARANDA</t>
  </si>
  <si>
    <t>Nidia Alexandra Turmequ頇󭥺</t>
  </si>
  <si>
    <t>CALLE 14 No 62 - 04, Interior 1, Interior 2</t>
  </si>
  <si>
    <t>CLINICA REINA SOFIA PEDIATRICA Y MUJER</t>
  </si>
  <si>
    <t>Ac 127 No 20 - 56</t>
  </si>
  <si>
    <t>LABORATORIO KERALTY RESTREPO</t>
  </si>
  <si>
    <t>CLL 22 SUR 19 C 15</t>
  </si>
  <si>
    <t>LABORATORIO CL͎ICO SANITAS CALLE 103</t>
  </si>
  <si>
    <t>AK 45 NO. 103 B- 03 P1</t>
  </si>
  <si>
    <t>LABORATORIO CL͎ICO SANITAS CALLE 106</t>
  </si>
  <si>
    <t>CL 106 NO 19 - 19 PISO 1 INTERIOR 1</t>
  </si>
  <si>
    <t>LABORATORIO CL͎ICO SANITAS FONTIBӎ</t>
  </si>
  <si>
    <t>CR 96 H 16 J 04 - P 1 INTERIOR 1</t>
  </si>
  <si>
    <t>LABORATORIO KERALTY SALITRE</t>
  </si>
  <si>
    <t>KR 68A 24 B 10 TO 3, PI 3, IN 1</t>
  </si>
  <si>
    <t>CENTRO MEDICO COLSANITAS SANTA ANA</t>
  </si>
  <si>
    <t>ED TO EMPRESARIAL PACIFIC CL 110 9 - 25 PI 1 IN1 PI 2 BODEGA 1</t>
  </si>
  <si>
    <t>6466060 EXT 5711495</t>
  </si>
  <si>
    <t>CENTRO MEDICO COLSANITAS EL DORADO</t>
  </si>
  <si>
    <t>AVENIDA CALLE 26 # 113 - 90</t>
  </si>
  <si>
    <t>CL͎ICA INFANTIL SANTA MAŔ DEL LAGO</t>
  </si>
  <si>
    <t>Mauricio Alejandro Pinto Tinoco</t>
  </si>
  <si>
    <t>CL 73 A NO. 76 66</t>
  </si>
  <si>
    <t>UNIDAD CONSULTA EXTERNA CL͎ICA INFANTIL SANTA MAŔ DEL LAGO</t>
  </si>
  <si>
    <t>CR 76 73 35</t>
  </si>
  <si>
    <t>CENTRO ODONTOLӇICO Y DIAGNӓTICO ESPECIALIZADO LAS AMɒICAS</t>
  </si>
  <si>
    <t>TOMS ESCALLӎ PEZ</t>
  </si>
  <si>
    <t>AV AMɒICAS 62 84 P2 LOC L2 27 L2 28</t>
  </si>
  <si>
    <t>CENTRO ODONTOLOGICO Y DIAGNOSTICO ESPECIALIZADO NORTE</t>
  </si>
  <si>
    <t>AUT NORTE 122 78 PI 1,PI 2,PI 3 IN 2</t>
  </si>
  <si>
    <t>CENTRAL DE PATOLOǴ</t>
  </si>
  <si>
    <t>Fabio Andres Rojas Aguirre</t>
  </si>
  <si>
    <t>CR 70 C NO 115 A 15</t>
  </si>
  <si>
    <t>(57 1 ) 5895482</t>
  </si>
  <si>
    <t>LABORATORIO CENTRO MEDICO PLAZA DE LAS AMERICAS</t>
  </si>
  <si>
    <t>CR 71 D # 6 94 SUR LC 4002 LABORATORIO CC PLAZA DE LAS AMERICAS</t>
  </si>
  <si>
    <t>(57 1) 5895482</t>
  </si>
  <si>
    <t>CENTRO MEDICO DIAGNӓTICO TOBERIN</t>
  </si>
  <si>
    <t>CALLE 163 A 22 36 Piso 3 Costado Oriental</t>
  </si>
  <si>
    <t>LABORATORIO CENTRO MEDICO CEDRO BOLIVAR</t>
  </si>
  <si>
    <t>Calle 152 19 28 Piso 2 Int. 202</t>
  </si>
  <si>
    <t>CLINICA REINA SOFIA MEDICINA AVANZADA 125</t>
  </si>
  <si>
    <t>KR 20 124 64</t>
  </si>
  <si>
    <t>6466060 EXT: 5717528</t>
  </si>
  <si>
    <t>LABORATORIO CLINICO DIAGNOSTICO GENETICO Y MOLECULAR KERALTY</t>
  </si>
  <si>
    <t>Cl 125 19 67</t>
  </si>
  <si>
    <t>LABORATORIO KERALTY SANTA BARBARA</t>
  </si>
  <si>
    <t>Calle 114 6 A 92 Piso 2, Local 227</t>
  </si>
  <si>
    <t>CL͎ICA EIRɎ</t>
  </si>
  <si>
    <t>Andrea Caballero Duque</t>
  </si>
  <si>
    <t>Avenida Carrera 7 146 65</t>
  </si>
  <si>
    <t>6016466060 EXT: 5717528</t>
  </si>
  <si>
    <t>LABORATORIO SERVICIO MEDICO EMPRESARIAL</t>
  </si>
  <si>
    <t>Carrera 5 20 89 Local 103 Interior A</t>
  </si>
  <si>
    <t>TOMA DE MUESTRAS LABORATORIO KERALTY NOGAL</t>
  </si>
  <si>
    <t>Calle 74 6 65 Piso 2 Interior 2</t>
  </si>
  <si>
    <t>Fundaci󮠊averiana de Servicios Medico Odontologicos Interuniversitarios Carlos Marquez Villegas-Javesalud</t>
  </si>
  <si>
    <t>GIEDELMANN VASQUEZ JUAN CARLOS</t>
  </si>
  <si>
    <t>KR 19B # 166 96</t>
  </si>
  <si>
    <t>direccion@javesalud.com.co</t>
  </si>
  <si>
    <t>JAVESALUD TOBERIN</t>
  </si>
  <si>
    <t>SERGIO ANDRES NAVARRETE TURRIAGO</t>
  </si>
  <si>
    <t>KR 19 B # 166 96</t>
  </si>
  <si>
    <t>JAVESALUD JAVERIANA</t>
  </si>
  <si>
    <t>AK 7 40B 17</t>
  </si>
  <si>
    <t>JAVESALUD SANTA BEATRIZ</t>
  </si>
  <si>
    <t>Avenida Carrera 45 No. 123-60 (ڮica Direcci󮩠 Piso 1: Local 106- Entrada Costado Sur- Al lado de Cruz Verde y Piso 5. Ingreso por el Lobby del piso 2.</t>
  </si>
  <si>
    <t>JAVESALUD ALLIANZ</t>
  </si>
  <si>
    <t>Carrera 19 N 102-31</t>
  </si>
  <si>
    <t>JAVESALUD ALLIANZ SALITRE</t>
  </si>
  <si>
    <t>CARRERA 46 No 22 B - 20 LOCAL 04</t>
  </si>
  <si>
    <t>CENTRO DE ASESOŔ PSICOLӇICA Y SALUD CAPS-JAVESALUD</t>
  </si>
  <si>
    <t>Carrera 7 # 40-62, edificio Emilio Arango S.J, piso 2 costado noroccidental</t>
  </si>
  <si>
    <t>Javesalud Country</t>
  </si>
  <si>
    <t>Calle 85#16-29 Local 105 B</t>
  </si>
  <si>
    <t>SERVIMED INSTITUCION PRESTADORA DE SERVICIOS DE SALUD S.A. SERVIMED I.P.S. S.A.</t>
  </si>
  <si>
    <t>Dra JUDIT PINTO</t>
  </si>
  <si>
    <t>KRA 14 No 39 - 49 - Barrio:TEUSAQUILLO</t>
  </si>
  <si>
    <t>direccioncalidad@servimedips.com</t>
  </si>
  <si>
    <t>www.servimedips.com</t>
  </si>
  <si>
    <t>SERVIMED I. P. S. S. A. UNIDAD MEDICA BOSA</t>
  </si>
  <si>
    <t>GUILLEMO ERNESTO MANSILLA ALVREZ</t>
  </si>
  <si>
    <t>Cl 65 Sur 78 19 P 1</t>
  </si>
  <si>
    <t>umbosa@servimedips.com</t>
  </si>
  <si>
    <t>SERVIMED I.P.S. S.A. UNIDAD MEDICA OLAYA SEDE 2</t>
  </si>
  <si>
    <t>GUILLERMO ERNESTO MANSILLA ALVAREZ</t>
  </si>
  <si>
    <t>Cl 27 Sur 19 C 28</t>
  </si>
  <si>
    <t>umolaya@servimedips.com</t>
  </si>
  <si>
    <t>SERVIMED I.P.S. S.A. UNIDAD MEDICA SANTA LIBRADA</t>
  </si>
  <si>
    <t>Cl 78 Sur 10 56</t>
  </si>
  <si>
    <t>SERVIMED I.P.S. S.A. UNIDAD MɄICA SALUD INTEGRAL</t>
  </si>
  <si>
    <t>Cr 14 39 49</t>
  </si>
  <si>
    <t>umchapinero@servimedips.com</t>
  </si>
  <si>
    <t>SERVIMED I.P.S. S.A. UNIDAD MEDICA TUNAL</t>
  </si>
  <si>
    <t>Cl 53 A Sur 33 06</t>
  </si>
  <si>
    <t>umtunal@servimedips.com</t>
  </si>
  <si>
    <t>SERVIMED I.P.S. S.A. UNIDAD MEDICA NORTE</t>
  </si>
  <si>
    <t>AK 45 104 A 47 - 55</t>
  </si>
  <si>
    <t>umnorte@servimedips.com</t>
  </si>
  <si>
    <t>SERVIMED I.P.S. S.A. UNIDAD MEDICA NORMANDIA</t>
  </si>
  <si>
    <t>Ak 72 50 21</t>
  </si>
  <si>
    <t>umnormandia@servimedips.com</t>
  </si>
  <si>
    <t>SERVIMED I.P.S. S.A. CLINICA MODELIA</t>
  </si>
  <si>
    <t>AC 24 No. 80B - 97</t>
  </si>
  <si>
    <t>SUBGERENCIAGENERAL@SERVIMEDIPS.COM</t>
  </si>
  <si>
    <t>CLUB DE LEONES BOGOTA ANTONIO NARIя</t>
  </si>
  <si>
    <t>MATALLANA ORTEGON CARLOS ANTONIO</t>
  </si>
  <si>
    <t>Carrera 95 # 85 10 Piso 1 INT 1</t>
  </si>
  <si>
    <t>4304181 - 4304184 - 3112436098</t>
  </si>
  <si>
    <t>leonesanarino@gmail.com</t>
  </si>
  <si>
    <t>JESUS ALVARO SARRIA DIAGO</t>
  </si>
  <si>
    <t>Carrera 95 No. 85 - 10 Piso 1 INT 1</t>
  </si>
  <si>
    <t>CENTRO MYA</t>
  </si>
  <si>
    <t>RAMIREZ DE CUBILLOS BEATRIZ</t>
  </si>
  <si>
    <t>KR 67 # 180 15</t>
  </si>
  <si>
    <t>CENTRONYA@HOTMAIL.COM</t>
  </si>
  <si>
    <t>COMUNIDAD RELIGIOSA DE PROTECCIӎ DEL ANCIANO INDIGENTE HERMANITAS DE LOS POBRES DE SAN PEDRO CLAVER</t>
  </si>
  <si>
    <t>PAREJA GOMEZ CARMEN EMILIA</t>
  </si>
  <si>
    <t>AV CARACAS # 1 16 SUR</t>
  </si>
  <si>
    <t>COMUNIDAD RELIGIOSA DE PROTECCION DEL ANCIANO INDIGENTE HERMANITAS DE LOS POBRES DE SAN PEDRO CLAVER</t>
  </si>
  <si>
    <t>PORSALUD SAS</t>
  </si>
  <si>
    <t>FORERO GOMEZ CLAUDIA PATRICIA</t>
  </si>
  <si>
    <t>CL 145 A # 94 A 17</t>
  </si>
  <si>
    <t>auditoriamedica@porsaludips.com</t>
  </si>
  <si>
    <t>PORSALUD IPS</t>
  </si>
  <si>
    <t>Dra. CLAUDIA PATRICIA FORERO GOMEZ</t>
  </si>
  <si>
    <t>calle 145A No. 94A - 17</t>
  </si>
  <si>
    <t>ASOCIACION COLOMBIANA DE DIABETES</t>
  </si>
  <si>
    <t>AMADOR ANDRADE MAURICIO HERNANDO</t>
  </si>
  <si>
    <t>DG 39 A BIS # 14 78</t>
  </si>
  <si>
    <t>adiabete@asodiabetes.org</t>
  </si>
  <si>
    <t>MARIA DEL PILAR NUхZ SAAVEDRA</t>
  </si>
  <si>
    <t>DIAGONAL 39 A BIS No. 14-78</t>
  </si>
  <si>
    <t>CLINICA DE MARLY S.A</t>
  </si>
  <si>
    <t>LUIS EDUARDO CAVELIER CASTRO</t>
  </si>
  <si>
    <t>CL 50 # 9 67</t>
  </si>
  <si>
    <t>cmarly@clinicademarly.com.co</t>
  </si>
  <si>
    <t>CLINICA DE MARLY</t>
  </si>
  <si>
    <t>SERVICIO DE RESONANCIA MAGNETICA</t>
  </si>
  <si>
    <t>CL 50 # 9 16 - Local 1</t>
  </si>
  <si>
    <t>CALLE 50 # 7 36, PISO 7-PISO 5</t>
  </si>
  <si>
    <t>UNIMARLY</t>
  </si>
  <si>
    <t>CRA 13 # 48 63</t>
  </si>
  <si>
    <t>3436600 EXT 6121</t>
  </si>
  <si>
    <t>CLINICA DE MARLY - REHABILITACION</t>
  </si>
  <si>
    <t>CARRERA 13 No. 50A-04</t>
  </si>
  <si>
    <t>3436600 EXT 1217</t>
  </si>
  <si>
    <t>CLINICA DE MARLY - SERVICIO PET CT</t>
  </si>
  <si>
    <t>LUIS EDUARDO CAVELIER</t>
  </si>
  <si>
    <t>CALLE 50-9-32 PISO 1</t>
  </si>
  <si>
    <t>LABORATORIO DE ORTESIS Y PROTESIS GILETE Y CIA. LIMITADA</t>
  </si>
  <si>
    <t>ROJAS BERNAL ALBA LUCIA</t>
  </si>
  <si>
    <t>CALLE 33A # 13 55 1ER PISO REA DE REHABILITACIӎ Y CONSULTORIOS</t>
  </si>
  <si>
    <t>7470812-3103049422</t>
  </si>
  <si>
    <t>analista.gerencia@laboratorio-gilete.com</t>
  </si>
  <si>
    <t>www.laboratorio-gilete.com</t>
  </si>
  <si>
    <t>ALBA LUCIA ROJAS BERNAL</t>
  </si>
  <si>
    <t>Calle 33 A # 13 - 55 PRIMER PISO REA REHABILITACIӎ Y CONSULTORIOS</t>
  </si>
  <si>
    <t>7470812 - 3103049422</t>
  </si>
  <si>
    <t>FUNDACION MEDICA MIRA TU SALUD</t>
  </si>
  <si>
    <t>CL 24 A SUR # 68 H 66</t>
  </si>
  <si>
    <t>subadministrativa@miratusalud.com.co</t>
  </si>
  <si>
    <t>HARRISON AUGUSTO BARON AVILA</t>
  </si>
  <si>
    <t>coordinacionconsultaexterna@miratusalud.com.co</t>
  </si>
  <si>
    <t>Resonancia Magn鴩ca San Jos頓.A.</t>
  </si>
  <si>
    <t>LUIS ALBERTO BLACO RUBIO</t>
  </si>
  <si>
    <t>Calle 10 #18-75 entrada 4 parqueadero</t>
  </si>
  <si>
    <t>resonanciasj@rmsanjose.com</t>
  </si>
  <si>
    <t>www.rmsanjose.com</t>
  </si>
  <si>
    <t>RESONANCIA MAGNETICA SAN JOSE</t>
  </si>
  <si>
    <t>Ricardo Alvarez</t>
  </si>
  <si>
    <t>3713402 3713403 3713404</t>
  </si>
  <si>
    <t>HOSPITAL UNIVERSITARIO SAN IGNACIO</t>
  </si>
  <si>
    <t>JIMENEZ ALMANZA HERNAN AMADOR</t>
  </si>
  <si>
    <t>CRA 7 # 40 62</t>
  </si>
  <si>
    <t>calidad@husi.org.co</t>
  </si>
  <si>
    <t>REINALDO GRUESO ANGULO</t>
  </si>
  <si>
    <t>www.husi.org.co</t>
  </si>
  <si>
    <t>CONSULTORES EN PSICOLOGIA HUSI</t>
  </si>
  <si>
    <t>AC 34 # 15-77 1er Piso</t>
  </si>
  <si>
    <t>3208320 EXT. 5405-5407</t>
  </si>
  <si>
    <t>CENTRO DE ATENCIӎ INTEGRAL EN CUIDADOS PALIATIVOS</t>
  </si>
  <si>
    <t>DIAGONAL 40 A No 14 - 92</t>
  </si>
  <si>
    <t>HOSPITAL UNIVERSITARIO SAN IGNACIO LABORATORIO CLINICO DE ERRORES INNATOS DEL METABOLISMO</t>
  </si>
  <si>
    <t>KR 7 # 43 - 82 EDF 53 JESړ EMILIO RAMIREZ LAB 303 A</t>
  </si>
  <si>
    <t>INTELLECTUS CENTRO DE MEMORIA Y COGNICIӎ</t>
  </si>
  <si>
    <t>Kr 16 # 98 - 62</t>
  </si>
  <si>
    <t>OPTICA DERCA-GRANAHORAR</t>
  </si>
  <si>
    <t>CALLE 72 # 10 34 LOCAL 111</t>
  </si>
  <si>
    <t>OPTICA DERCA GALERIAS</t>
  </si>
  <si>
    <t>CALLE 54 # 25 81 LOCAL 2077</t>
  </si>
  <si>
    <t>MEDISHI MEDICINA SEGURIDAD E HIGIENE INDUSTRIAL SAS</t>
  </si>
  <si>
    <t>CARMONA ARANGO OSCAR ALFREDO</t>
  </si>
  <si>
    <t>CL 77 A # 12 35</t>
  </si>
  <si>
    <t>4432320 / 3108085286</t>
  </si>
  <si>
    <t>ocarmona@medishi.com</t>
  </si>
  <si>
    <t>OSCAR ALFREDO CARMONA PORTOCARRERO</t>
  </si>
  <si>
    <t>4432320/3108085286</t>
  </si>
  <si>
    <t>SALUD A SU CASA S.A.S.</t>
  </si>
  <si>
    <t>Carrera 70 G No. 121 - 31</t>
  </si>
  <si>
    <t>saludasucasa@hotmail.com</t>
  </si>
  <si>
    <t>HECTOR FERNANDO OSORIO CIFUENTES</t>
  </si>
  <si>
    <t>VIRREY SOLIS IPS. S.A.</t>
  </si>
  <si>
    <t>SONIA ROCIO GROSSO PUENTES</t>
  </si>
  <si>
    <t>CRA 67 NO 4G 68</t>
  </si>
  <si>
    <t>calidad@virreysolisips.com.co</t>
  </si>
  <si>
    <t>www.virreysolisips.com</t>
  </si>
  <si>
    <t>VIRREY SOLIS I.P.S S.A. OLAYA</t>
  </si>
  <si>
    <t>HENRY ALBERTO RIVEROS QUEVEDO</t>
  </si>
  <si>
    <t>CLL 27 SUR No 21 A 19</t>
  </si>
  <si>
    <t>4473535 EXT 278, 248, 246</t>
  </si>
  <si>
    <t>VIRREY SOLIS IPS S.A- ENSUEя</t>
  </si>
  <si>
    <t>CL 59 SUR N 51 - 21 LOCAL 244 Y 245</t>
  </si>
  <si>
    <t>4473535 EXT 278, 476, 248</t>
  </si>
  <si>
    <t>VIRREY SOLIS IPS S.A-KENNEDY</t>
  </si>
  <si>
    <t>KR 78 F # 41 B 06 SUR</t>
  </si>
  <si>
    <t>VIRREY SOLIS I.P.S S.A SANTA LUCIA</t>
  </si>
  <si>
    <t>AV CARACAS # 48 32 SUR</t>
  </si>
  <si>
    <t>VIRREY SOLIS I.P.S S.A. FONTIBON</t>
  </si>
  <si>
    <t>DG 16 N 104-51 LOC 11</t>
  </si>
  <si>
    <t>VIRREY SOLIS I.P.S S.A. AMERICAS</t>
  </si>
  <si>
    <t>AV LAS AMERICAS # 66 A 27 PISO 1 PISO 2 BLOQUE SUR</t>
  </si>
  <si>
    <t>VIRREY SOLIS IPS. S.A. MINUTO</t>
  </si>
  <si>
    <t>CALLE 79 N 89 A 40 OF 301</t>
  </si>
  <si>
    <t>VIRREY SOLIS IPS S.A CHAPINERO</t>
  </si>
  <si>
    <t>AV CARACAS No 49 83</t>
  </si>
  <si>
    <t>VIRREY SOLIS IPS S.A. AUTOPISTA NORTE CALLE 162</t>
  </si>
  <si>
    <t>AK 45 (AUTOP NORTE) # 162 - 52</t>
  </si>
  <si>
    <t>VIRREY SOLIS IPS S.A - CLINICA SUBA</t>
  </si>
  <si>
    <t>AC 145 # 95 B - 22</t>
  </si>
  <si>
    <t>VIRREY SOLIS IPS.S.A. CALLE 98</t>
  </si>
  <si>
    <t>KR 49 No 98 A 28</t>
  </si>
  <si>
    <t>VIRREY SOLIS IPS.S.A. CASTELLANA</t>
  </si>
  <si>
    <t>AK 45 No. 93-69</t>
  </si>
  <si>
    <t>6014473535 EXT 278, 476, 248</t>
  </si>
  <si>
    <t>VIRREY SOLIS IPS S.A. BOSA</t>
  </si>
  <si>
    <t>HENRY ALBERTO QUEVEDO</t>
  </si>
  <si>
    <t>AK 86 N 43 - 04 SUR LC 35</t>
  </si>
  <si>
    <t>VIRREY SOLIS IPS S.A NORTHWEST</t>
  </si>
  <si>
    <t>AVENIDA CARRERA 45 N 94- 23 PISOS DEL 3 AL 7</t>
  </si>
  <si>
    <t>VIRREY SOLIS IPS SA UMEQ CALLE 100</t>
  </si>
  <si>
    <t>CR 48 N 98-81 PISO 3,4 Y 6</t>
  </si>
  <si>
    <t>VIRREY SOLIS IPS SA TOMA DE MUESTRAS L.C AMERICAS</t>
  </si>
  <si>
    <t>CARRERA 67 NO. 4 G 25</t>
  </si>
  <si>
    <t>VIRREY SOLIS IPS SA COLINA CAMPESTRE</t>
  </si>
  <si>
    <t>CARRERA 59 # 152 - 25 LC 201</t>
  </si>
  <si>
    <t>VIRREY SOLIS IPS S.A GRAN PLAZA BOSA</t>
  </si>
  <si>
    <t>CL 65 SUR # 78 H 51 LC 210</t>
  </si>
  <si>
    <t>VIRREY SOLIS IPS S.A CENTRO COMERCIAL NUESTRO BOGOT|/td&gt;</t>
  </si>
  <si>
    <t>Ak 86 No 55 A - 75 Lc 258 Cc Nuestro Bogota</t>
  </si>
  <si>
    <t>VIRREY SOLIS IPS SA SɐTIMA AVENIDA</t>
  </si>
  <si>
    <t>Henry Alberto Riveros Quevedo</t>
  </si>
  <si>
    <t>Cl 159 #7-74 Lc 3, 4 y 5</t>
  </si>
  <si>
    <t>VIRREY SOLIS IPS SA PASEO VILLA DEL RIO</t>
  </si>
  <si>
    <t>Carrera 63 N 57 G 46 Sur Piso 3 LC 319-320</t>
  </si>
  <si>
    <t>EQUILIBRIO S.A.S</t>
  </si>
  <si>
    <t>GEMPLER RUEDA JUANITA</t>
  </si>
  <si>
    <t>CALLE 118 # 47 A - 12</t>
  </si>
  <si>
    <t>d.admin@programaequilibrio.org</t>
  </si>
  <si>
    <t>CALLE 118 # 47 A -12</t>
  </si>
  <si>
    <t>CORSANEMOS SAS</t>
  </si>
  <si>
    <t>MAX ARTURO HEIDENRECH DIAZ</t>
  </si>
  <si>
    <t>Calle 72 B No. 71 D - 30</t>
  </si>
  <si>
    <t>9260143 - 9260555 - 3108544097</t>
  </si>
  <si>
    <t>gerencia@corsanemos.com</t>
  </si>
  <si>
    <t>www.corsanemos.com</t>
  </si>
  <si>
    <t>CORSANEMOS IPS</t>
  </si>
  <si>
    <t>DANIELA GIRALDO RICO</t>
  </si>
  <si>
    <t>corsanemosltda@yahoo.com</t>
  </si>
  <si>
    <t>ADMINISTRADORA COUNTRY S.A.S</t>
  </si>
  <si>
    <t>BAPTISTE LIEVANO FELIPE</t>
  </si>
  <si>
    <t>KR 16 # 82 57</t>
  </si>
  <si>
    <t>notificacionescdc@clinicadelcountry.com</t>
  </si>
  <si>
    <t>CLINICA DEL COUNTRY IPS</t>
  </si>
  <si>
    <t>JUAN MANUEL OSPINA SANMIGUEL</t>
  </si>
  <si>
    <t>CRA 16 # 82 57</t>
  </si>
  <si>
    <t>SEDE SAN SEBASTIAN</t>
  </si>
  <si>
    <t>Cr 16 No 82 - 74 Cs 313, 314, 315, 512 Y 619</t>
  </si>
  <si>
    <t>CENTRO DE ONCOLOGIA CLINICA DEL COUNTRY</t>
  </si>
  <si>
    <t>Cl 83 No. 16 A 10 P 1 P 2 P 3 Cons 302 Cub 2 Cons 303 Y 306 P 4 P 5 Cons 502 503 505 506 P 6</t>
  </si>
  <si>
    <t>CENTRO DE SERVICIOS AMBULATORIOS DEL COUNTRY</t>
  </si>
  <si>
    <t>CARRERA 16 No 84A - 09 Cons 321 y 322</t>
  </si>
  <si>
    <t>UNIDAD MEDICA NUEVA 1 CLINICA DEL COUNTRY</t>
  </si>
  <si>
    <t>Carrera 16 No. 82-95 Consultorio 103</t>
  </si>
  <si>
    <t>CLINICA DEL COUNTRY - CENTRO DE DIAGNOSTICO</t>
  </si>
  <si>
    <t>CR 18 N 82 - 39 PI 2, 3 EXCEPTO CS 301, 4, 5, 8, 9 Y CS 604 A, 604 B Y 610</t>
  </si>
  <si>
    <t>ASOCIACION CREEMOS EN TI</t>
  </si>
  <si>
    <t>VEJARANO VELANDIA MONICA PATRICIA</t>
  </si>
  <si>
    <t>CRA 8 # 15 49</t>
  </si>
  <si>
    <t>CARDIONET LTDA</t>
  </si>
  <si>
    <t>SALTARIN BILBAO ANTONIO SOLER</t>
  </si>
  <si>
    <t>CALLE 97 No 23-37 consultorio 604</t>
  </si>
  <si>
    <t>cardionet_ltda@hotmail.com</t>
  </si>
  <si>
    <t>REINA MARIA OLARTE RODRIGUEZ</t>
  </si>
  <si>
    <t>FUNDACION PARA LA SALUD LA BIOETICA Y EL MEDIO AMBIENTE - FUNSABIAM</t>
  </si>
  <si>
    <t>Cra 17 No 36 62</t>
  </si>
  <si>
    <t>3737121- 3508131374</t>
  </si>
  <si>
    <t>funsabiam@hotmail.com</t>
  </si>
  <si>
    <t>FUNDACION PARA LA SALUD LA BIOETICA Y EL MEDIO AMBIENTE FUNSABIAM</t>
  </si>
  <si>
    <t>JAHIR PEDREROS VELASQUEZ</t>
  </si>
  <si>
    <t>3737121 -3508131374</t>
  </si>
  <si>
    <t>CLINICA DEL OCCIDENTE S.A.</t>
  </si>
  <si>
    <t>RUIZ LUENGAS EDGAR ALIRIO</t>
  </si>
  <si>
    <t>AV DE LAS AMERICAS # 71 C 29</t>
  </si>
  <si>
    <t>4254620 Ext 671</t>
  </si>
  <si>
    <t>calidad@clinicadeloccidente.com</t>
  </si>
  <si>
    <t>www.clinicadeloccidente.com</t>
  </si>
  <si>
    <t>Edgar Alirio Ruiz Luengas</t>
  </si>
  <si>
    <t>4254620 Ext 150</t>
  </si>
  <si>
    <t>Clinica del Occidente Resonancia Magnetica</t>
  </si>
  <si>
    <t>EDGAR ALIRIO RUIZ LUENGAS</t>
  </si>
  <si>
    <t>Carrera 71 C N 5B 25</t>
  </si>
  <si>
    <t>Instituto de Oncologia y Medicina Especializada del Occidente IOMED</t>
  </si>
  <si>
    <t>Calle 5 C No. 71 C 59</t>
  </si>
  <si>
    <t>EVOLUTION MEDICAL CENTER SAS</t>
  </si>
  <si>
    <t>HOYOS ARIZA ALFREDO ERNESTO</t>
  </si>
  <si>
    <t>CARRERA 11 D N 119-21</t>
  </si>
  <si>
    <t>2139564 - 2136058</t>
  </si>
  <si>
    <t>gerencia@evolution.com.co</t>
  </si>
  <si>
    <t>www.evolution.com.co</t>
  </si>
  <si>
    <t>LILIANA GUZMAN CABALLERO</t>
  </si>
  <si>
    <t>AAAA ACADEMIA ABSCRITA A ASOCIACION DE ESPECIALISTAS S.A.S</t>
  </si>
  <si>
    <t>VIVAS TROCHEZ ALVARO LEON</t>
  </si>
  <si>
    <t>AV CARACAS # 30 51</t>
  </si>
  <si>
    <t>calidad@mascercadeusted.com-Clinicadeespecialistas2005@yahoo.es</t>
  </si>
  <si>
    <t>INSTITUTO MEDICO DE ESPECIALISTAS CLINICA DE ESPECIALISTAS CENTROODONTOLOGICO</t>
  </si>
  <si>
    <t>JORGE BOTERO GARCIA</t>
  </si>
  <si>
    <t>calidad@mascercadeusted.com-clinicadeespecialistas2005@yahoo.es</t>
  </si>
  <si>
    <t>SOMNARUM S.A.S</t>
  </si>
  <si>
    <t>MARIя SUAREZ RITA BEATRIZ</t>
  </si>
  <si>
    <t>CRA 19 # 84 - 17 CONSULTORIO 302</t>
  </si>
  <si>
    <t>6015644867/ 3212048659</t>
  </si>
  <si>
    <t>somnarum@gmail.com</t>
  </si>
  <si>
    <t>MARCO AURELIO VENEGAS MARIя</t>
  </si>
  <si>
    <t>6366514 / 6366515</t>
  </si>
  <si>
    <t>ASOCIADOS UNIDAD NACIONAL ODONTOLOGICA A UNO LTDA</t>
  </si>
  <si>
    <t>ORTIZ RODRIGUEZ LUIS FERNANDO</t>
  </si>
  <si>
    <t>AC 53 # 59 03</t>
  </si>
  <si>
    <t>aunodentalcolor@hotmail.com</t>
  </si>
  <si>
    <t>A UNO DENTAL COLOR</t>
  </si>
  <si>
    <t>LUIS FERNANDO ORTIZ RODRIGUEZ</t>
  </si>
  <si>
    <t>DAVITA COLOMBIA SAS</t>
  </si>
  <si>
    <t>BAENA PALACIOS JAIME ANTONIO</t>
  </si>
  <si>
    <t>AV CARRERA 7 No. 156-10 piso 26</t>
  </si>
  <si>
    <t>calidad@davita.com legaldavita@davita.com</t>
  </si>
  <si>
    <t>https://davita.com.co/</t>
  </si>
  <si>
    <t>DAVITA BOGOTA HOSPITAL SAN JOSE</t>
  </si>
  <si>
    <t>GIDZA LOMBO ROMERO</t>
  </si>
  <si>
    <t>CALLE 10 No. 18 - 75 PISO 3</t>
  </si>
  <si>
    <t>091 2941400</t>
  </si>
  <si>
    <t>DAVITA BOGOTA HORIZONTE</t>
  </si>
  <si>
    <t>HELDER FABIO PASTRANA LOPEZ</t>
  </si>
  <si>
    <t>Calle 134 No. 7 b - 83 Piso 2 Consultorio 218</t>
  </si>
  <si>
    <t>091 6480708</t>
  </si>
  <si>
    <t>DAVITA BOGOT`CLINICA DE OCCIDENTE</t>
  </si>
  <si>
    <t>Luis Felipe Hernandez Beltran</t>
  </si>
  <si>
    <t>CALLE 5C N. 71C - 59 PISO 2</t>
  </si>
  <si>
    <t>DAVITA BOGOTA EL DORADO</t>
  </si>
  <si>
    <t>ALEXANDER VEGA MESA</t>
  </si>
  <si>
    <t>Diagonal 82 BIS No. 85 -90</t>
  </si>
  <si>
    <t>2941400 OPC 1 + OPC 1 EXT 4101</t>
  </si>
  <si>
    <t>DAVITA BOGOTA CRUZ ROJA</t>
  </si>
  <si>
    <t>YOLY ROCIO CERON DIAZ</t>
  </si>
  <si>
    <t>AK 68 Nro 68B-31 BLOQUE 1 PISO 1</t>
  </si>
  <si>
    <t>2941400 OPC 1 + OPC 4 EXT 4201</t>
  </si>
  <si>
    <t>DAVITA BOGOTA CKD</t>
  </si>
  <si>
    <t>ingrid maribell noguera martinez</t>
  </si>
  <si>
    <t>CL 76 Nro 16a-24/28</t>
  </si>
  <si>
    <t>SERVICIOS GRANCOLOMBIANA IPS SAS</t>
  </si>
  <si>
    <t>GRACIA GRANADOS ORLANDO</t>
  </si>
  <si>
    <t>AVENIDA CALLE 134 # 7-83 T2 P4 OF 243-244</t>
  </si>
  <si>
    <t>abogadoctor@gmail.com</t>
  </si>
  <si>
    <t>CALLE 134 # 7-83 TORRE 4 PISO 3 OFICINA 433</t>
  </si>
  <si>
    <t>certificadomedico@hotmail.com</t>
  </si>
  <si>
    <t>SOCIEDAD DE SERVICIOS OCULARES S.A.S-OPTISALUD</t>
  </si>
  <si>
    <t>FELIPE MAURICIO MORENO ZULOAGA</t>
  </si>
  <si>
    <t>KR 50 # 95 94 - Barrio:LA CASTELLANA</t>
  </si>
  <si>
    <t>calidad@optisalud.com</t>
  </si>
  <si>
    <t>OPTISALUD</t>
  </si>
  <si>
    <t>Carrera 16 No. 82 - 51 piso dos</t>
  </si>
  <si>
    <t>311 2194627</t>
  </si>
  <si>
    <t>OPTISALUD BOGOTA CIRUGIA</t>
  </si>
  <si>
    <t>CL 97 # 23 37 CS 703-704-721</t>
  </si>
  <si>
    <t>OPTISALUD BOGOTA SAS</t>
  </si>
  <si>
    <t>KR 50 # 95 94</t>
  </si>
  <si>
    <t>CENTRO DE SALUD JUAN BONAL</t>
  </si>
  <si>
    <t>SABOGAL PRIETO MARTHA FABIOLA</t>
  </si>
  <si>
    <t>KR 5 # 94 71 SUR</t>
  </si>
  <si>
    <t>csjbonal@yahoo.com</t>
  </si>
  <si>
    <t>MARIELA OSORIO OROZCO</t>
  </si>
  <si>
    <t>INSTITUTO LUIS G. PAEZ</t>
  </si>
  <si>
    <t>HERNANDEZ GOMEZ HECTOR ALFONSO</t>
  </si>
  <si>
    <t>CRA 5 # 65 50</t>
  </si>
  <si>
    <t>6013003278 ext 107-113 Cel. 3227668119</t>
  </si>
  <si>
    <t>gerencia@ipsluisgpaez.com</t>
  </si>
  <si>
    <t>BLANCA JULIET RINCON CARREя</t>
  </si>
  <si>
    <t>3452530 - 322 7668119</t>
  </si>
  <si>
    <t>ORALNET E.U.</t>
  </si>
  <si>
    <t>GRIMALDO CALDERON LIGIA IVETTE</t>
  </si>
  <si>
    <t>AVENIDA CALLE 116 NUMERO 16-45 PI 2 MEZZANINE</t>
  </si>
  <si>
    <t>6295977 - 3105695699</t>
  </si>
  <si>
    <t>gerencia@oralnet.co</t>
  </si>
  <si>
    <t>ORALNET EU.</t>
  </si>
  <si>
    <t>IVETTE GRIMALDO</t>
  </si>
  <si>
    <t>KRA 28 a N.51 58</t>
  </si>
  <si>
    <t>(57)(1)3481318</t>
  </si>
  <si>
    <t>BOGOTA LASER OCULAR SURGERY CENTER S.A</t>
  </si>
  <si>
    <t>TAMAYO HERNANDEZ GUSTAVO ENRIQUE</t>
  </si>
  <si>
    <t>CL 113 # 7 45 TO B OF 1410 - 613 - 1418 - 611</t>
  </si>
  <si>
    <t>6294919-3105851582</t>
  </si>
  <si>
    <t>calidad@bogotalaser.com</t>
  </si>
  <si>
    <t>www.bogotalaser.com</t>
  </si>
  <si>
    <t>GINA PAOLA GIRALDO CUBILLOS</t>
  </si>
  <si>
    <t>CL 113 # 7 45 TO B OF 1410-1418-611-613</t>
  </si>
  <si>
    <t>ORAL SALUD CLINICAS ODONTOLOGICAS SAS</t>
  </si>
  <si>
    <t>ORLANDO ALVAREZ GARCIA</t>
  </si>
  <si>
    <t>AC 8 SUR N 35 A 32</t>
  </si>
  <si>
    <t>4082288/3123978525</t>
  </si>
  <si>
    <t>oralsalud@gmail.com</t>
  </si>
  <si>
    <t>ORAL SALUD CLINICA ODONTOLOGICA</t>
  </si>
  <si>
    <t>MARQUEZ GARCIA MAURICIO</t>
  </si>
  <si>
    <t>ASOCIACION SAN BARTOLOME APOSTOL CENTRO MEDICO</t>
  </si>
  <si>
    <t>PABON POLANIA ANTONIO MARIA</t>
  </si>
  <si>
    <t>KR 59 A # 129 B 01</t>
  </si>
  <si>
    <t>2538825 - 3152059917 - 3114988063</t>
  </si>
  <si>
    <t>asociacionsanbartolomeapostol@gmail.com</t>
  </si>
  <si>
    <t>ANTONIO MARIA PABON POLANIA</t>
  </si>
  <si>
    <t>FUNDACION NEUMOLOGICA COLOMBIANA</t>
  </si>
  <si>
    <t>MALDONADO GOMEZ DARIO</t>
  </si>
  <si>
    <t>KR 13 B # 161 85 Torre J Piso 1,2,3 y 4 y Torre H piso 1 Costado Occidental</t>
  </si>
  <si>
    <t>NEUMOLOGICA@NEUMOLOGICA.ORG</t>
  </si>
  <si>
    <t>ALEJANDRO CASAS HERRERA</t>
  </si>
  <si>
    <t>lnieto@neumologica.org</t>
  </si>
  <si>
    <t>Dental Image S.A.S</t>
  </si>
  <si>
    <t>Sandra Franco Diaz</t>
  </si>
  <si>
    <t>KR 13 A # 89 38 OFICINA 705-706-710</t>
  </si>
  <si>
    <t>6018137934 3217529518 3144626755</t>
  </si>
  <si>
    <t>gerencia@dentalimage.co</t>
  </si>
  <si>
    <t>DENTAL IMAGE SAS</t>
  </si>
  <si>
    <t>SANDRA MARGARITA FRANCO DIAZ</t>
  </si>
  <si>
    <t>CARDIOPEDIATRAS LTDA</t>
  </si>
  <si>
    <t>NUхZ CEBALLOS DIANA MARGARITA</t>
  </si>
  <si>
    <t>KR 16 # 82 74 CS 605</t>
  </si>
  <si>
    <t>CARDIOPEDIATRAS@YAHOO.COM</t>
  </si>
  <si>
    <t>DIANA MARGARITA NUхZ CEBALLOS</t>
  </si>
  <si>
    <t>cardiopediatras@yahoo.com</t>
  </si>
  <si>
    <t>SOCIEDAD ENTORNO Y COMPAщA LTDA</t>
  </si>
  <si>
    <t>ROSSI SARMIENTO LEYLA VERONICA</t>
  </si>
  <si>
    <t>Transversal 19a # 98 28 piso 4to</t>
  </si>
  <si>
    <t>7463261 - 3153361884</t>
  </si>
  <si>
    <t>gerente@entornoycia.co, calidad@entornoycia.co</t>
  </si>
  <si>
    <t>www.entornoycia.co</t>
  </si>
  <si>
    <t>ENTORNO &amp; COMPAэA LTDA</t>
  </si>
  <si>
    <t>LEYLA VERONICA ROSSI SARMIENTO</t>
  </si>
  <si>
    <t>Transversal 19a # 98-28 piso 4to</t>
  </si>
  <si>
    <t>calidad@entornoycia.co</t>
  </si>
  <si>
    <t>CLINICA LASER DE PIEL SAS</t>
  </si>
  <si>
    <t>PEREZ GONZALEZ SAZA MARIA</t>
  </si>
  <si>
    <t>Kra 13A # 98-16</t>
  </si>
  <si>
    <t>chico@clinicalaserdepiel.com.co</t>
  </si>
  <si>
    <t>CLINICA LASER DE PIEL S A S</t>
  </si>
  <si>
    <t>KR 13A # 98-16</t>
  </si>
  <si>
    <t>Alexandra Acevedo Holguin</t>
  </si>
  <si>
    <t>Aven. El Dorado # 68 C 61 of 328</t>
  </si>
  <si>
    <t>6018059053/8059386</t>
  </si>
  <si>
    <t>salitre@clinicalaserdepiel.com.co</t>
  </si>
  <si>
    <t>GENETICA MOLECULAR DE COLOMBIA S.A.S.</t>
  </si>
  <si>
    <t>FONSECA MENDOZA DORA JANNETH</t>
  </si>
  <si>
    <t>CARRERA 47 No. 91-51</t>
  </si>
  <si>
    <t>(571) 7551413</t>
  </si>
  <si>
    <t>administracion@geneticamolecular.co</t>
  </si>
  <si>
    <t>www.geneticamolecular.co</t>
  </si>
  <si>
    <t>GENETICA MOLECULAR DE COLOMBIA S.A.S</t>
  </si>
  <si>
    <t>DORA JANETH FONSECA MENDOZA</t>
  </si>
  <si>
    <t>Coomeva Medicina Prepagada S.A</t>
  </si>
  <si>
    <t>MENDEZ CABRERA DIANA DEL PILAR</t>
  </si>
  <si>
    <t>Cl 102 # 14A - 70 P1 - P2 y P3 - Barrio:MOLINOS</t>
  </si>
  <si>
    <t>nelson_infante@coomeva.com.co; dianap_ospina@coomeva.com.co; luze_cala@coomeva.com.co</t>
  </si>
  <si>
    <t>CENTRO MEDICO COOMEVA MEDICINA PREPAGADA</t>
  </si>
  <si>
    <t>Nelson Infante Ria񯠼/td&gt;</t>
  </si>
  <si>
    <t>Cl 102 # 14A - 70 P1 - P2 y P3</t>
  </si>
  <si>
    <t>nelson_infante@coomeva.com.co dianap_ospina@coomeva.com.co lauran_medina@coomeva.com.co</t>
  </si>
  <si>
    <t>ALTA VISION SAS</t>
  </si>
  <si>
    <t>Cr 16 A 80 - 06 Of 701</t>
  </si>
  <si>
    <t>doviedo@altavision.com.co</t>
  </si>
  <si>
    <t>ALTA VISION</t>
  </si>
  <si>
    <t>calidad@hablemosdesalud.com.co</t>
  </si>
  <si>
    <t>EXAMENES DIAGNOSTICOS</t>
  </si>
  <si>
    <t>DIANA MARIA OVIEDO GOMEZ</t>
  </si>
  <si>
    <t>CL 86 A # 13 A 09 OF 301</t>
  </si>
  <si>
    <t>CL͎ICA VASCULAR DE BOGOTA ALBERTO MUяZ HOYOS SAS</t>
  </si>
  <si>
    <t>MUяZ HOYOS ALBERTO</t>
  </si>
  <si>
    <t>CL 35 # 24 32</t>
  </si>
  <si>
    <t>contadora1@clinicavasculardebogota.com</t>
  </si>
  <si>
    <t>CLINICA VASCULAR DE BOGOTA</t>
  </si>
  <si>
    <t>DANIEL MUяZ ARBELAEZ</t>
  </si>
  <si>
    <t>ESTUDIOS ANATOMOPATOLOGICOS LTDA</t>
  </si>
  <si>
    <t>VARGAS LEON LUZ MERY</t>
  </si>
  <si>
    <t>AV carrera 19 # 95-31/55 OF 510-511</t>
  </si>
  <si>
    <t>eapestudios@hotmail.com</t>
  </si>
  <si>
    <t>SOMIDE LTDA SERVICIOS ODONTOLOGICOS MEDICOS E IMAGENES DIAGNOSTICAS EMPRESARIALES</t>
  </si>
  <si>
    <t>Ivan Dario Trivino Paez</t>
  </si>
  <si>
    <t>k 100 n 22a- 12</t>
  </si>
  <si>
    <t>4158017- 4158496</t>
  </si>
  <si>
    <t>info.somide@gmail.com</t>
  </si>
  <si>
    <t>Ivan Dario Tadeo Trivi񯠐aez</t>
  </si>
  <si>
    <t>Cra 100 #22 A - 12</t>
  </si>
  <si>
    <t>4158017 - 4158496</t>
  </si>
  <si>
    <t>itrivinoaltus@gmail.com</t>
  </si>
  <si>
    <t>CONGREGACION DE RELIGIOSOS TERCIARIOS CAPUCHINOS DE NUESTRA SEяRA DE LOS DOLORES</t>
  </si>
  <si>
    <t>MORALES GIRALDO JOSE SALVADOR</t>
  </si>
  <si>
    <t>CRA 30 # 11 85</t>
  </si>
  <si>
    <t>CENTRO ESPECIALIZADO DE RECEPCION</t>
  </si>
  <si>
    <t>HOGAR FEMENINO LUIS AMIGO</t>
  </si>
  <si>
    <t>TV 30 # 57 23 SUR</t>
  </si>
  <si>
    <t>ESCUELA DE TRABAJO EL REDENTOR</t>
  </si>
  <si>
    <t>TV 30 # 57 01 SUR</t>
  </si>
  <si>
    <t>INVERSIONES CREAR RAMA SAS</t>
  </si>
  <si>
    <t>CRA 7 # 17 - 75 LOCAL 13 - Barrio:CENTRO</t>
  </si>
  <si>
    <t>601 7459010 ext 1119-1101-1103</t>
  </si>
  <si>
    <t>servicioalcliente@dentisalud.com.co</t>
  </si>
  <si>
    <t>DENTISALUD</t>
  </si>
  <si>
    <t>LUIS EDUARDO MARTINEZ GUTIERREZ</t>
  </si>
  <si>
    <t>AC 80 NO. 69Q-50 LC 21</t>
  </si>
  <si>
    <t>601 7432066- 320 4494560 - 314 2069058</t>
  </si>
  <si>
    <t>AC 19 # 28-80 LC A-140 CC MALLPLAZA SERVICIOS SAS</t>
  </si>
  <si>
    <t>601 7433301-3222498706-3102014243</t>
  </si>
  <si>
    <t>CR 71 D No. 6-94 SUR LC 3501 - 3501A</t>
  </si>
  <si>
    <t>601 3906295-3132101777-3138281233</t>
  </si>
  <si>
    <t>DENTISALUD COLSUBSIDIO</t>
  </si>
  <si>
    <t>KR 111 C N 86 - 05 Locales 249-250 Centro Comercial Unicentro De</t>
  </si>
  <si>
    <t>601 742 528-312 4338628 - 321 2848363</t>
  </si>
  <si>
    <t>DENTISALUD GRAN ESTACION</t>
  </si>
  <si>
    <t>AVENIDA CARRERA 60 # 24-09 LOCAL 1-31</t>
  </si>
  <si>
    <t>601 7462062- 313 8281230 - 313 4414588</t>
  </si>
  <si>
    <t>DENTISALUD SUBA IMPERIAL</t>
  </si>
  <si>
    <t>AK 104 #148-7 LOCAL 1-134</t>
  </si>
  <si>
    <t>601 7457874- 313 2089401 - 310 8108048</t>
  </si>
  <si>
    <t>DENTISALUD CEDRITOS</t>
  </si>
  <si>
    <t>CALLE 140 # 16 A-59 - LOCAL 3</t>
  </si>
  <si>
    <t>6256243-3132101782-3142069057</t>
  </si>
  <si>
    <t>DENTISALUD ALAMOS</t>
  </si>
  <si>
    <t>CLL 71B No. 99C-32</t>
  </si>
  <si>
    <t>601 7030469-314 2069053 - 313 8801756</t>
  </si>
  <si>
    <t>CALLE 127 # 14 A - 10 LOCAL 2 Y 3</t>
  </si>
  <si>
    <t>601 7438455- 312 3514988 - 310 3046092</t>
  </si>
  <si>
    <t>DENTISALUD CENTRO</t>
  </si>
  <si>
    <t>CRA 7 # 17 - 75 LOCAL 13</t>
  </si>
  <si>
    <t>601 7567097-3204494557-3228411749</t>
  </si>
  <si>
    <t>Calle 24A #69C-80 Lc 5,6,7,8,9 Conjunto Residencial Cumbres del Salitre Ii</t>
  </si>
  <si>
    <t>601 7457874-313 2089399 - 314 2084989</t>
  </si>
  <si>
    <t>DENTISALUD CENTRO MAYOR</t>
  </si>
  <si>
    <t>CL 38 A SUR No. 34D-50 LC 3028, 3029</t>
  </si>
  <si>
    <t>601 7433031- 313 4215443</t>
  </si>
  <si>
    <t>DENTISALUD KENNEDY</t>
  </si>
  <si>
    <t>CR 78 B N 26 - 36 SUR</t>
  </si>
  <si>
    <t>601 7451822- 321 2109455 - 322 8438658 - 322 2487919</t>
  </si>
  <si>
    <t>DENTISALUD ROMA</t>
  </si>
  <si>
    <t>CRA 79 H No 55 SUR 08 LOCAL 1</t>
  </si>
  <si>
    <t>601 7432005 - 3003448-322 2498671</t>
  </si>
  <si>
    <t>DENTISALUD CHAPINERO</t>
  </si>
  <si>
    <t>CL 57 # 13 - 49</t>
  </si>
  <si>
    <t>601 7433297- 314 2852326 - 322 8438527</t>
  </si>
  <si>
    <t>DENTISALUD LAS VILLAS</t>
  </si>
  <si>
    <t>CR 58 NO. 128 B 48 PS 1</t>
  </si>
  <si>
    <t>601 7429423- 321 3648926 - 322 8438582</t>
  </si>
  <si>
    <t>DENTISALUD TUNAL</t>
  </si>
  <si>
    <t>CALLE 47 B S # 24 B 33 LOCALES 1141-1142-1143-1144</t>
  </si>
  <si>
    <t>601 7562050- 322 2498730</t>
  </si>
  <si>
    <t>DENTISALUD MULTIPLAZA</t>
  </si>
  <si>
    <t>CL 19 A No 72 - 57 LC B122</t>
  </si>
  <si>
    <t>601 4431540 312 4853791 - 322 2498634</t>
  </si>
  <si>
    <t>DENTISALUD PORTAL 80</t>
  </si>
  <si>
    <t>CL 80 # 100 - 52 LC 2 N 10 - 2 N 11 CC PORTAL 80</t>
  </si>
  <si>
    <t>601 4432740- 322 2498714</t>
  </si>
  <si>
    <t>DENTISALUD PASEO VILLA DEL RIO</t>
  </si>
  <si>
    <t>CR 63 # 57 G - 46 SUR LC 251 CC PASEO VILLA DEL RIO</t>
  </si>
  <si>
    <t>312 465 1012 // 7459010</t>
  </si>
  <si>
    <t>JGC MEDISERVICIOS LTDA</t>
  </si>
  <si>
    <t>GOMEZ CUSNIR JORGE EUGENIO</t>
  </si>
  <si>
    <t>CARRERA 52 NO 67 A - 71 CONSULTORIO 212</t>
  </si>
  <si>
    <t>jgcmediservicios6@gmail.com</t>
  </si>
  <si>
    <t>CR 52 # 67A 71 CONSULTORIO 212</t>
  </si>
  <si>
    <t>CLINICA LOYOLA SOCIEDAD POR ACCIONES SIMPLIFICADA</t>
  </si>
  <si>
    <t>FARRE RODRIGUEZ RAMON</t>
  </si>
  <si>
    <t>KR 19 A # 84 64</t>
  </si>
  <si>
    <t>6168252 ext 108</t>
  </si>
  <si>
    <t>thcalidad@clinicaloyola.com.co</t>
  </si>
  <si>
    <t>CLINICA LOYOLA</t>
  </si>
  <si>
    <t>JUAN CARLOS FARRE RODRIGUEZ</t>
  </si>
  <si>
    <t>CLINICA LOYOLA S.A.S</t>
  </si>
  <si>
    <t>CALLE 17 SUR No 16-82 PISO 1</t>
  </si>
  <si>
    <t>6168152 EXT 108</t>
  </si>
  <si>
    <t>ORGANIZACIӎ INGENIEŔ CIVIL Y ELECTRӎICA LIMITADA O.I.C.E SIGLA O.I.C.E</t>
  </si>
  <si>
    <t>AK 7 No. 32-29 Piso 26 Oficina 2604</t>
  </si>
  <si>
    <t>gerenciaoiceltda@gmail.com</t>
  </si>
  <si>
    <t>ORGANIZACIӎ INGENIEŔ CIVIL Y ELECTRӎICA LIMITADA O.I.C.E.</t>
  </si>
  <si>
    <t>PAOLA ANDREA ALEGRIA PEсFIEL</t>
  </si>
  <si>
    <t>ORGANIZACION INGENIERIA CIVIL Y ELECTRONICA OICE LTDA SEDE BOSA</t>
  </si>
  <si>
    <t>Calle 68 Sur 78 H 85 Consultorio 1 Y Consultorio 2</t>
  </si>
  <si>
    <t>EMERMEDICA S.A. SERVICIOS DE AMBULANCIA PREPAGADOS</t>
  </si>
  <si>
    <t>MARIA MERCEDES GARCIA HORMAZA</t>
  </si>
  <si>
    <t>Carrera 19B No 168 - 35</t>
  </si>
  <si>
    <t>notificaciones@emermedica.com.co</t>
  </si>
  <si>
    <t>www.emermedica.com.co</t>
  </si>
  <si>
    <t>EMERMEDICA S.A. BOGOT</t>
  </si>
  <si>
    <t>MARIA GARCIA CAMPA</t>
  </si>
  <si>
    <t>KRA. 19 B No. 168 -35</t>
  </si>
  <si>
    <t>EMERMEDICA VILLA ALSACIA</t>
  </si>
  <si>
    <t>calle 12b No 71d-61 LC ST</t>
  </si>
  <si>
    <t>Emermedica Odontologica</t>
  </si>
  <si>
    <t>Calle 97 # 23-10 Consultorio 101</t>
  </si>
  <si>
    <t>DDS LTDA CLINICA DE REHABILITACION DENTAL</t>
  </si>
  <si>
    <t>CL 97 A # 8 41</t>
  </si>
  <si>
    <t>ddsnotificaciones@gmail.com</t>
  </si>
  <si>
    <t>S</t>
  </si>
  <si>
    <t>clinicaddsltda@gmail.com</t>
  </si>
  <si>
    <t>SAN LUIS UNIDAD DE CRONICOS Y PALIATIVOS SAS</t>
  </si>
  <si>
    <t>CL 127B 45 92</t>
  </si>
  <si>
    <t>luiscarlos@ipssanluis.com</t>
  </si>
  <si>
    <t>www.ipssanluis.com</t>
  </si>
  <si>
    <t>FLOR DEISY RODRIGUEZ</t>
  </si>
  <si>
    <t>SAN LUIS UNIDAD DE CRONICOS Y PALIATIVOS SEDE DOS SAS</t>
  </si>
  <si>
    <t>CALLE 127 B No. 45 68</t>
  </si>
  <si>
    <t>2583348 / 2583209</t>
  </si>
  <si>
    <t>ESCUELA COLOMBIANA DE INGENIERIA JULIO GARAVITO</t>
  </si>
  <si>
    <t>SANTOS GRANADOS GERMAN RICARDO</t>
  </si>
  <si>
    <t>AV 13 # 205 39 AUTOP NORTE KM 13</t>
  </si>
  <si>
    <t>AK 45 # 205 59</t>
  </si>
  <si>
    <t>Colegio de Nuestra Se񯲡 de Nazareth Comunidad Dominicas Hijas</t>
  </si>
  <si>
    <t>PULIDO RODRIGUEZ ALICIA</t>
  </si>
  <si>
    <t>CL 65 D SUR # 80 C 94</t>
  </si>
  <si>
    <t>RECTORIA@COLEGIONAZARETH.EDU.CO</t>
  </si>
  <si>
    <t>COLEGIO NUESTRA SEяRA DE NAZARETH COMUNIDAD DOMINICAS HIJAS</t>
  </si>
  <si>
    <t>CENTRO DE DIAGNOSTICO Y TRATAMIENTO CENDIATRA SOCIEDAD POR ACCIONES SIMPLIFICADAS CENDIATRA SAS</t>
  </si>
  <si>
    <t>CASTELLANOS BUENDIA MANUEL ENRIQUE</t>
  </si>
  <si>
    <t>CALLE 19 NO. 3-50 PISO 12</t>
  </si>
  <si>
    <t>6017443001 Ext 1130-1126-1172 /3132330205 - 3108740594</t>
  </si>
  <si>
    <t>habilitacion@cendiatra.com</t>
  </si>
  <si>
    <t>www.cendiatra.com</t>
  </si>
  <si>
    <t>CENDIATRA PRINCIPAL</t>
  </si>
  <si>
    <t>MANUEL ENRIQUE CASTELLANOS BUENDIA</t>
  </si>
  <si>
    <t>Calle 19 # 3 - 50 /16 Piso 12 Local 115</t>
  </si>
  <si>
    <t>CENDIATRA CENTRO</t>
  </si>
  <si>
    <t>CRA 5 No. 19-08</t>
  </si>
  <si>
    <t>6017443001 Ext 1130-1126-1172 / 3132330205 - 3108740594</t>
  </si>
  <si>
    <t>CENDIATRA NORTE</t>
  </si>
  <si>
    <t>AVENIDA CARRERA 45 NO. 106-93</t>
  </si>
  <si>
    <t>habilitacion@cendiatra.com- coordinadorsst@cendiatra.com</t>
  </si>
  <si>
    <t>CENDIATRA OCCIDENTE</t>
  </si>
  <si>
    <t>AV. CRA 68 NO. 17-82</t>
  </si>
  <si>
    <t>CENDIATRA SUR</t>
  </si>
  <si>
    <t>Transversal 35 # 32 B 42 / 40 Sur</t>
  </si>
  <si>
    <t>CENDIATRA OCCIDENTE 2</t>
  </si>
  <si>
    <t>CR 68 NO. 17 96</t>
  </si>
  <si>
    <t>CENDIATRA ZONA FRANCA</t>
  </si>
  <si>
    <t>HISELA MARIA DIAZ RAMIREZ</t>
  </si>
  <si>
    <t>Carrera 106 # 15 A - 25 Mz 24 In 141 Oficina 408/411</t>
  </si>
  <si>
    <t>Cendiatra Norte 86</t>
  </si>
  <si>
    <t>Manuel Enrique Castellanos</t>
  </si>
  <si>
    <t>Carrera 20 N 86 - 65</t>
  </si>
  <si>
    <t>CENDIATRA SUR 2</t>
  </si>
  <si>
    <t>MANUEL ENRIQUE CASTELLANOS</t>
  </si>
  <si>
    <t>Transversal 35 # 36 - 40 / 48 Sur</t>
  </si>
  <si>
    <t>Cendiatra Connecta</t>
  </si>
  <si>
    <t>Manuel Enrique Castellanos Buendia</t>
  </si>
  <si>
    <t>Ac 26 No 92 - 32 Ed Connecta Plaza Lc 4</t>
  </si>
  <si>
    <t>CENDIATRA CONNECTA VIP</t>
  </si>
  <si>
    <t>Francisco Andres Castellanos Pineda</t>
  </si>
  <si>
    <t>AC 26 N.92-32 ED GOLD 12 L 01</t>
  </si>
  <si>
    <t>CENDIATRA CENTRO 2</t>
  </si>
  <si>
    <t>Carrera 5 # 19 04</t>
  </si>
  <si>
    <t>PROSALUD SOCIEDAD POR ACCIONES SIMPLIFICADA PROSALUD SAS</t>
  </si>
  <si>
    <t>LINDE FLOREZ GUSTAVO</t>
  </si>
  <si>
    <t>CRA 13 # 77 A 22</t>
  </si>
  <si>
    <t>linde@prosalud.com.co</t>
  </si>
  <si>
    <t>KR 13 # 77 A 22</t>
  </si>
  <si>
    <t>calidad@prosalud.com.co</t>
  </si>
  <si>
    <t>PROSALUD BULEVAR</t>
  </si>
  <si>
    <t>GUSTAVO LINDE FLOREZ</t>
  </si>
  <si>
    <t>TRANSVERSAL 60 No. 127D 71</t>
  </si>
  <si>
    <t>PROSALUD KENNEDY</t>
  </si>
  <si>
    <t>CALLE 40 SUR No. 78A 31</t>
  </si>
  <si>
    <t>AXA ASISTENCIA IPS SAS</t>
  </si>
  <si>
    <t>RAOCH MICHAELS INGRID VIVIANA</t>
  </si>
  <si>
    <t>Carrera 14 #98-95 Consultorio 303 edificio chico 99</t>
  </si>
  <si>
    <t>AXAIPS@AXA-ASSISTANCE.COM.CO</t>
  </si>
  <si>
    <t>SARA INɓ GONZALEZ VALDERRAMA</t>
  </si>
  <si>
    <t>CARRERA 14 98 - 95 CONSULTORIO 303, EDIFICIO CHICO 99</t>
  </si>
  <si>
    <t>FUNDACION CRESER</t>
  </si>
  <si>
    <t>BETTIN OSORIO MIGUEL ENRIQUE</t>
  </si>
  <si>
    <t>CALLE 112 # 18 A-09</t>
  </si>
  <si>
    <t>direccion.fundacioncreser@hotmail.com</t>
  </si>
  <si>
    <t>MIGUEL ENRIQUE BETTIN OSORIO</t>
  </si>
  <si>
    <t>CALLE 112 # 18 A 09</t>
  </si>
  <si>
    <t>FUNDACIӎ CRESER</t>
  </si>
  <si>
    <t>CL 112 # 15 A - 25</t>
  </si>
  <si>
    <t>SERVICIOS ADOM SAS sigla ADOM Salud Domiciliaria</t>
  </si>
  <si>
    <t>DIAZ RAMIREZ JAIR ROBERTO</t>
  </si>
  <si>
    <t>KR 49 93 17</t>
  </si>
  <si>
    <t>6103520-3138862398</t>
  </si>
  <si>
    <t>notificaciones@adom.com.co</t>
  </si>
  <si>
    <t>www.adom.com.co</t>
  </si>
  <si>
    <t>JAIRO ROBERTO DIAZ RAMIREZ</t>
  </si>
  <si>
    <t>auditoria@adom.com.co</t>
  </si>
  <si>
    <t>ORGANIZACION SANTA LUCIA S.A.</t>
  </si>
  <si>
    <t>AC 26 # 62 - 47 LC 2-31 - Barrio:CIUDAD SALITRE</t>
  </si>
  <si>
    <t>opticasantalucia@osl.com.co</t>
  </si>
  <si>
    <t>www.osl.com.co</t>
  </si>
  <si>
    <t>OPTICA SANTA LUCIA GRAN ESTACION</t>
  </si>
  <si>
    <t>GLORIA MIGNON ESTRADA RESTREPO</t>
  </si>
  <si>
    <t>AC 26 # 62 - 47 LC 2-31</t>
  </si>
  <si>
    <t>gestioncalidad@osl.com.co</t>
  </si>
  <si>
    <t>OPTICA SANTA LUCIA CC ANDINO</t>
  </si>
  <si>
    <t>CARRERA 11 #82 - 71 LC 282</t>
  </si>
  <si>
    <t>ASISTIR SALUD SAS</t>
  </si>
  <si>
    <t>JUAN CARLOS CASTILLO MONROY</t>
  </si>
  <si>
    <t>Calle 64G N 90A-40</t>
  </si>
  <si>
    <t>601 7441483 - 3187116815</t>
  </si>
  <si>
    <t>direcciondecalidad@asistirsalud.com</t>
  </si>
  <si>
    <t>ASISTIR SALUD SAS CANDELARIA</t>
  </si>
  <si>
    <t>Calle 59C Sur No. 51 - 21. Local 120 Centro Comercial Plaza El Ensue񯼯td&gt;</t>
  </si>
  <si>
    <t>ASISTIR SALUD SAS FONTIBON</t>
  </si>
  <si>
    <t>KR 99 # 20 C 61</t>
  </si>
  <si>
    <t>ASISTIR SALUD SAS ENGATIVA</t>
  </si>
  <si>
    <t>CL 64 G # 90 A 40</t>
  </si>
  <si>
    <t>ASISTIR SALUD SAS QUIROGA</t>
  </si>
  <si>
    <t>Avenida Caracas 31-19 Sur</t>
  </si>
  <si>
    <t>Acudir SAS</t>
  </si>
  <si>
    <t>CLARA PATRICIA ACUс RAMOS</t>
  </si>
  <si>
    <t>Carrera 14 No 49-55 local 4</t>
  </si>
  <si>
    <t>acudirltda@gmail.com</t>
  </si>
  <si>
    <t>www.acudirltda.com</t>
  </si>
  <si>
    <t>ACUDIR SAS</t>
  </si>
  <si>
    <t>PAOLA IVETTE MART͎EZ RODR͇UEZ</t>
  </si>
  <si>
    <t>FUNDACION PREVER I.P.S.</t>
  </si>
  <si>
    <t>GLORIA INES DE SALVADOR AHUMADA</t>
  </si>
  <si>
    <t>calle 140 ]No. 11- 45 consultorio 405</t>
  </si>
  <si>
    <t>gloriadesalvador@fundacionprever.org</t>
  </si>
  <si>
    <t>calle 140 11 - 45 consultorio 405</t>
  </si>
  <si>
    <t>6404452-3155860099</t>
  </si>
  <si>
    <t>FUNDACION CASA DE LA COMUNIDAD VEDRUNA</t>
  </si>
  <si>
    <t>ASEGUINOLAZA INZA MARIA DOLORES</t>
  </si>
  <si>
    <t>CALLE 1 B # 11 B 04 ESTE</t>
  </si>
  <si>
    <t>CASACOMUNIDAD@TUTOPIA.COM</t>
  </si>
  <si>
    <t>SIERVAS DE CRISTO SACERDOTE</t>
  </si>
  <si>
    <t>PARDO TELLEZ GLORIA STELLA</t>
  </si>
  <si>
    <t>CRA 8 # 1 F 13</t>
  </si>
  <si>
    <t>HOGARCLARITA_SCS@HOTMAIL.COM</t>
  </si>
  <si>
    <t>HOGAR CLARITA SANTOS</t>
  </si>
  <si>
    <t>CENTRO DE CIRUGIA AMBULATORIA IPS LTDA</t>
  </si>
  <si>
    <t>MOORE PEREA JHON HENRY</t>
  </si>
  <si>
    <t>CL 89 A # 20 57</t>
  </si>
  <si>
    <t>ccaipsltda@gmail.com</t>
  </si>
  <si>
    <t>JOHN HENRY MOORE PEREA</t>
  </si>
  <si>
    <t>CALLE 89 A # 20 57</t>
  </si>
  <si>
    <t>jhmoorep@gmail.com</t>
  </si>
  <si>
    <t>GALINDO DE SANCHEZ MARIA TERESA</t>
  </si>
  <si>
    <t>CL 50 # 8 24 CS 402 403 405 407 408</t>
  </si>
  <si>
    <t>administracion@mtgaliano.com</t>
  </si>
  <si>
    <t>https://mtgaliano.com/</t>
  </si>
  <si>
    <t>GIMNASIO DE EDUCACION ESPECIAL FEDERICO FROEBEL LTDA</t>
  </si>
  <si>
    <t>STELLA MARIA OLIVEROS DE AMADOR</t>
  </si>
  <si>
    <t>CL 169 A # 62-95</t>
  </si>
  <si>
    <t>1 6708300</t>
  </si>
  <si>
    <t>fffroebel@hotmail.com</t>
  </si>
  <si>
    <t>GIMNASIO DE EDUCACION ESPECIAL FEDERICO FROEBEL</t>
  </si>
  <si>
    <t>091 6708300</t>
  </si>
  <si>
    <t>FAMICARE CLINICA DIA S.A.S.</t>
  </si>
  <si>
    <t>JORGUE IVAN BUSTAMANTE GOMEZ</t>
  </si>
  <si>
    <t>Carrera 24 # 86A - 12</t>
  </si>
  <si>
    <t>CALIDAD@FAMICARECLINICADIA.COM</t>
  </si>
  <si>
    <t>WWW.FAMICARECLINICADIA.COM</t>
  </si>
  <si>
    <t>FAMI CARE CLINICA DIA S.A.S.</t>
  </si>
  <si>
    <t>CARRERA 24 86 A 12</t>
  </si>
  <si>
    <t>INFO@FAMICARECLINICADIA.COM</t>
  </si>
  <si>
    <t>LABORATORIO CLINICO BIOLAB SAS</t>
  </si>
  <si>
    <t>LINA ALEJANDRA CRUZ GOMEZ</t>
  </si>
  <si>
    <t>Cra 45a # 95-70 interior 1</t>
  </si>
  <si>
    <t>calidad@laboratorioclinicobiolab.com</t>
  </si>
  <si>
    <t>WWW.LABORATORIOCLINICOBIOLAB.COM</t>
  </si>
  <si>
    <t>MD DIAGNOSTICOS SAS</t>
  </si>
  <si>
    <t>LUIS FERNANDO MARTINEZ GALEANO</t>
  </si>
  <si>
    <t>Avenida Carrera 20 # 85 A 35 / 45 P1, P2, P3, P4 Cs 402, P5</t>
  </si>
  <si>
    <t>3167179748-3203584775- 3176422180</t>
  </si>
  <si>
    <t>mddiagnosticos@yahoo.es</t>
  </si>
  <si>
    <t>3167179748- 3203584775- 3176422180</t>
  </si>
  <si>
    <t>A&amp;G SERVICIOS DE SALUD S.A.S.</t>
  </si>
  <si>
    <t>RICHARD GOMEZ SILVA</t>
  </si>
  <si>
    <t>AC 127 # 71 96</t>
  </si>
  <si>
    <t>7455901-7455902-7455905</t>
  </si>
  <si>
    <t>auditorensalud@aygserviciosdesalud.com</t>
  </si>
  <si>
    <t>A&amp;G SERVICIOS DE SALUD S.A.S</t>
  </si>
  <si>
    <t>SONIA PATRICIA CASTRO ZARATE</t>
  </si>
  <si>
    <t>gerencia@aygserviciosdesalud.com</t>
  </si>
  <si>
    <t>AC 127 71B 52 PISO 1</t>
  </si>
  <si>
    <t>7455901-3153002826</t>
  </si>
  <si>
    <t>AC 127 # 71-34 1ER. PISO</t>
  </si>
  <si>
    <t>RIESGO DE FRACTURA S.A. CAYRE</t>
  </si>
  <si>
    <t>YESID ALBERTO MUяZ URREGO</t>
  </si>
  <si>
    <t>CR 56 NO. 9 - 91 LC 18 - Barrio:SALAZAR GOMEZ</t>
  </si>
  <si>
    <t>calidad2@cayre.co</t>
  </si>
  <si>
    <t>www.cayre.co</t>
  </si>
  <si>
    <t>CAYRE SEDE AMERICAS</t>
  </si>
  <si>
    <t>DANIEL ISIDORO BLANCO SANTAMARIA</t>
  </si>
  <si>
    <t>CR 56 NO. 9 - 91 LOCAL 18</t>
  </si>
  <si>
    <t>CAYRE SEDE PONTEVEDRA</t>
  </si>
  <si>
    <t>CL 116 NO. 70 D - 65</t>
  </si>
  <si>
    <t>CAYRE SEDE CHICO</t>
  </si>
  <si>
    <t>Carrera 12 98 16</t>
  </si>
  <si>
    <t>BIOMERTLAB LTDA</t>
  </si>
  <si>
    <t>ELIANA TURRINI B</t>
  </si>
  <si>
    <t>AV CALLE 127 No 20-78 CONSULTORIO 205</t>
  </si>
  <si>
    <t>biomertlab416@gmail.com</t>
  </si>
  <si>
    <t>MARTHA LILIANA RIAя MOLINA</t>
  </si>
  <si>
    <t>biomertlab416@hotmail.com</t>
  </si>
  <si>
    <t>BIO ALGA SAS</t>
  </si>
  <si>
    <t>KR 11 A # 98 15</t>
  </si>
  <si>
    <t>6107147/3153335550</t>
  </si>
  <si>
    <t>gerencia@adm.com.co</t>
  </si>
  <si>
    <t>GABRIEL MARIA CASTRO DELGADO</t>
  </si>
  <si>
    <t>6019192600 - 6016107147</t>
  </si>
  <si>
    <t>BIO ALGA GALERIAS</t>
  </si>
  <si>
    <t>AVENIDA CARRERA 19 # 120-71 OF 214 A</t>
  </si>
  <si>
    <t>6019192600-6013125049</t>
  </si>
  <si>
    <t>BIO ALGA SUR</t>
  </si>
  <si>
    <t>ALVARO JOSE CASTRO DELGADO</t>
  </si>
  <si>
    <t>KR 71 D # 6 94 SUR LC 4504</t>
  </si>
  <si>
    <t>6019192600 - 3133587324</t>
  </si>
  <si>
    <t>SOSALUD SAS</t>
  </si>
  <si>
    <t>JUAN PABLO RIOS</t>
  </si>
  <si>
    <t>CL 130 #58 20 LC 2 90</t>
  </si>
  <si>
    <t>gerencia@sosalud.com.co</t>
  </si>
  <si>
    <t>ROJANO RODRIGUEZ JUAN ERNESTO</t>
  </si>
  <si>
    <t>CL 130 # 58 20 LC 2 90</t>
  </si>
  <si>
    <t>3209465519-3209464338</t>
  </si>
  <si>
    <t>ENDOCARE SAS</t>
  </si>
  <si>
    <t>ERIC HERNANDEZ TRIANA</t>
  </si>
  <si>
    <t>CL 106 # 54-60 CONSULTORIO 1, 2, 3, 4, 5, 7, 8, 9, 10</t>
  </si>
  <si>
    <t>6132411 - 3182870677</t>
  </si>
  <si>
    <t>endocaree@gmail.com</t>
  </si>
  <si>
    <t>CL 106 # 54-60 CONSULTORIO 1,2,3,4,5,7,8,9,10</t>
  </si>
  <si>
    <t>6132411 -3182870677</t>
  </si>
  <si>
    <t>ENDOTHERAPEUTICS SAS</t>
  </si>
  <si>
    <t>KR 13 # 49 40 CS 525</t>
  </si>
  <si>
    <t>gerencia@venolaser.com</t>
  </si>
  <si>
    <t>ENDO THERAPEUTICS SEDE MARLY</t>
  </si>
  <si>
    <t>CR 13 49-40 CS 525</t>
  </si>
  <si>
    <t>3383864-2451496</t>
  </si>
  <si>
    <t>ENDOTHERAPEUTICS SAS SEDE SANTANA</t>
  </si>
  <si>
    <t>CALLE 119 N 7 14 CONSULTORIO 315</t>
  </si>
  <si>
    <t>SERVISALUD OCUPACIONAL IPS SAS</t>
  </si>
  <si>
    <t>AUDITJ REGINA PASTRANA PENICHE</t>
  </si>
  <si>
    <t>CL 27 SUR # 14 43</t>
  </si>
  <si>
    <t>servisaluddelolaya@gmail.com</t>
  </si>
  <si>
    <t>CLINICA SEQUOIA SAS</t>
  </si>
  <si>
    <t>LINA CLEMENCIA MARIN GOMEZ</t>
  </si>
  <si>
    <t>CL 123 # 7 07 OF 206</t>
  </si>
  <si>
    <t>6197842 - 6194863 - 3123040039</t>
  </si>
  <si>
    <t>info@clinicasequoia.com</t>
  </si>
  <si>
    <t>CL 123 # 7 07 OF 206, 205</t>
  </si>
  <si>
    <t>FISIOSPORT LTDA</t>
  </si>
  <si>
    <t>HERRERA TORRES DORIS YAZMINA</t>
  </si>
  <si>
    <t>CALLE 50 # 8 24 OF 505</t>
  </si>
  <si>
    <t>sandpinz@hotmail.com</t>
  </si>
  <si>
    <t>LABORATORIO MEDICO ECHAVARRIA S.A.S</t>
  </si>
  <si>
    <t>MARTIN EMILIOR ROMERO PRADA</t>
  </si>
  <si>
    <t>CR 44 # 20 A 05</t>
  </si>
  <si>
    <t>gescalidad@labechavarria.com</t>
  </si>
  <si>
    <t>www.laboratorioechavarria.com</t>
  </si>
  <si>
    <t>Simon Echavarria Uribe</t>
  </si>
  <si>
    <t>KR 44 # 20 A 05</t>
  </si>
  <si>
    <t>FUNDACION UNIVERSITARIA INCCA DE COLOMBIA</t>
  </si>
  <si>
    <t>JOSɠENRIQUE CONTI BAUTISTA</t>
  </si>
  <si>
    <t>KR 13 # 24 15</t>
  </si>
  <si>
    <t>4442000/30</t>
  </si>
  <si>
    <t>personal@unincca.edu.co</t>
  </si>
  <si>
    <t>www.unincca.edu.co</t>
  </si>
  <si>
    <t>FUNDACIӎ UNIVERSIDAD INCCA DE COLOMBIA</t>
  </si>
  <si>
    <t>CL 24 # 13 82</t>
  </si>
  <si>
    <t>091 4442000 - 091 4442030</t>
  </si>
  <si>
    <t>admision@unincca.edu.co</t>
  </si>
  <si>
    <t>smile quality clinica odontologica especializada sas, sigla smile quality sas</t>
  </si>
  <si>
    <t>MARGARITA MARIA RAMIREZ GIRALDO</t>
  </si>
  <si>
    <t>CALLE 123 N 7A 17 oficina 201</t>
  </si>
  <si>
    <t>smilequality@outlook.com</t>
  </si>
  <si>
    <t>https://SMILEQUALITYSAS</t>
  </si>
  <si>
    <t>SMILE QUALITY CLINICA ODONTOLOGICA ESPECIALIZADA SAS, SIGLA SMILE QUALITY SAS</t>
  </si>
  <si>
    <t>PAOLA ANDREA GOMEZ VASQUEZ</t>
  </si>
  <si>
    <t>CALLE 123 N 7A 17 OFICINA 201</t>
  </si>
  <si>
    <t>ENLACE LAB S.A.S</t>
  </si>
  <si>
    <t>Cl 120A 7 48</t>
  </si>
  <si>
    <t>7028413-3173313803</t>
  </si>
  <si>
    <t>administrativo@enlacelabcolombia.com</t>
  </si>
  <si>
    <t>LABORATORIO ENLACE LAB</t>
  </si>
  <si>
    <t>LILIA ADRIANA CARDENAS ROJAS</t>
  </si>
  <si>
    <t>CL 120A 7 48</t>
  </si>
  <si>
    <t>laura.fagua@enlacelabcolombia.com</t>
  </si>
  <si>
    <t>PRAXIS DE COLOMBIA LTDA</t>
  </si>
  <si>
    <t>MYRIAM CECILIA VACA MORENO</t>
  </si>
  <si>
    <t>AC 127 NO. 50-21 piso 1</t>
  </si>
  <si>
    <t>praxisdecolombia@hotmail.com</t>
  </si>
  <si>
    <t>www.ipspraxis.com</t>
  </si>
  <si>
    <t>INTEGRAL SALUD LTDA</t>
  </si>
  <si>
    <t>CL 109 # 17 A 35 CS 401</t>
  </si>
  <si>
    <t>integralsaludltda@gmail.com</t>
  </si>
  <si>
    <t>ODONTECH</t>
  </si>
  <si>
    <t>MARTHA FERNANDA CAяN NIETO</t>
  </si>
  <si>
    <t>CL 109# 17A-35 CS 401</t>
  </si>
  <si>
    <t>MEDICINA LABORAL S.A.S</t>
  </si>
  <si>
    <t>MARIA TERESA SALAZAR CH</t>
  </si>
  <si>
    <t>CALLE 27 # 27-21 - Barrio:TEUSAQUILLO</t>
  </si>
  <si>
    <t>7446346 3160275845 3159269693</t>
  </si>
  <si>
    <t>c.santana@medilaboral.com</t>
  </si>
  <si>
    <t>www.medilaboral.com</t>
  </si>
  <si>
    <t>MEDILABORAL IPS - SANTA BARBARA</t>
  </si>
  <si>
    <t>KR 7 BIS A No. 123-86</t>
  </si>
  <si>
    <t>hseq@medilaboral.com</t>
  </si>
  <si>
    <t>MEDILABORAL IPS SANTA MARIA DEL LAGO</t>
  </si>
  <si>
    <t>MARIA TERESA SALAZAR CHARRYS</t>
  </si>
  <si>
    <t>KR 72 BIS # 73 93 Piso 1</t>
  </si>
  <si>
    <t>7032505 - 3155457685</t>
  </si>
  <si>
    <t>MEDILABORAL IPS-CALLE 26</t>
  </si>
  <si>
    <t>CALLE 27 # 27-21 Piso 1 y 2</t>
  </si>
  <si>
    <t>7446346 3232753421</t>
  </si>
  <si>
    <t>Medilaboral IPS - Centro Mayor</t>
  </si>
  <si>
    <t>Maria Teresa Salazar Charrys</t>
  </si>
  <si>
    <t>TV 35 38B 85 SUR</t>
  </si>
  <si>
    <t>FUNDACION UNIVERSITARIA MANUELA BELTRAN - LABORATORIO DE IDENTIFICACION HUMANA</t>
  </si>
  <si>
    <t>CIELO ROCIO PINEDA MONSALVE</t>
  </si>
  <si>
    <t>AV CIRCUNVALAR # 60 00</t>
  </si>
  <si>
    <t>5460625 5460600 EXT 105</t>
  </si>
  <si>
    <t>identificacionhumana@umb.edu.co</t>
  </si>
  <si>
    <t>UNIVERSIDAD MANUELA BELTRAN</t>
  </si>
  <si>
    <t>Carrera 20B No. 75 A-24</t>
  </si>
  <si>
    <t>hugo.segura@umb.edu.co</t>
  </si>
  <si>
    <t>UMI EMERGENCIAS S.A.S</t>
  </si>
  <si>
    <t>RAFAEL ANTONIO SUAREZ MARTINEZ</t>
  </si>
  <si>
    <t>AVENIDA CALLE 127 # 19A 44 CS 517 ACOMEDICA II</t>
  </si>
  <si>
    <t>jduran@umiemergencias.com</t>
  </si>
  <si>
    <t>www.umiemergencias.com</t>
  </si>
  <si>
    <t>Julieta Aidee Duran Lesmes</t>
  </si>
  <si>
    <t>AVENIDA CALLE 127 19 A 44 CONSULTORIO 517 ACOMEDICA II</t>
  </si>
  <si>
    <t>7454542 - 3155731036</t>
  </si>
  <si>
    <t>S.O.S SALUD S.A.S</t>
  </si>
  <si>
    <t>Cra 68G N 75-71</t>
  </si>
  <si>
    <t>601 8000519 - 6014909696</t>
  </si>
  <si>
    <t>gerencia@sossalud.com.co</t>
  </si>
  <si>
    <t>YOHANA LOPEZ GIRALDO</t>
  </si>
  <si>
    <t>6018000519 6014909696</t>
  </si>
  <si>
    <t>CENTRO DE ENFERMEDADES NEOPLASICAS S A S</t>
  </si>
  <si>
    <t>KR 22 #45 B -38 CS 101</t>
  </si>
  <si>
    <t>6183489/2960513</t>
  </si>
  <si>
    <t>centroenf.neoplasicas@hotmail.com</t>
  </si>
  <si>
    <t>KR 22 # 45 B - 38 CS 101</t>
  </si>
  <si>
    <t>CENTRO DE CONTROL DE CNCER SAS</t>
  </si>
  <si>
    <t>JUAN CARLOS ARBELAEZ ECHEVERRY</t>
  </si>
  <si>
    <t>KR 16 A # 84 - 19</t>
  </si>
  <si>
    <t>administracion@centrodecontroldecancer.com</t>
  </si>
  <si>
    <t>www.centrodecontroldecancer.com</t>
  </si>
  <si>
    <t>CRA. 16 A NO. 84 - 19</t>
  </si>
  <si>
    <t>camarino@centrodecontroldecancer.com</t>
  </si>
  <si>
    <t>CENTRO CONTROL DE CANCER COUNTRY</t>
  </si>
  <si>
    <t>ARMANDO GAITAN GAITAN</t>
  </si>
  <si>
    <t>CRA. 16 A No. 83 A -11 SOTANO</t>
  </si>
  <si>
    <t>CENTRO DE CONTROL DE CANCER ANTIGUO COUNTRY</t>
  </si>
  <si>
    <t>CRA 16 A # 85 92</t>
  </si>
  <si>
    <t>Colombiana de Trasplantes SAS</t>
  </si>
  <si>
    <t>AV CARRERA 30 47 A 74</t>
  </si>
  <si>
    <t>presidencia@colombianadetrasplantes.com</t>
  </si>
  <si>
    <t>www.colombianadetrasplantes.com</t>
  </si>
  <si>
    <t>COLOMBIANA DE TRASPLANTES SEDE PRINCIPAL</t>
  </si>
  <si>
    <t>SERGIO DE JESUS SALCEDO HERRERA</t>
  </si>
  <si>
    <t>ptejerina@colombianadetrasplantes.com</t>
  </si>
  <si>
    <t>INMUNOTECH LABORATORIES S.A.S.</t>
  </si>
  <si>
    <t>Mauricio Eduardo D� Mondrag󮼯td&gt;</t>
  </si>
  <si>
    <t>CRA 9 No 48-40 PISO 5</t>
  </si>
  <si>
    <t>gerencia@inmunotechlab.com</t>
  </si>
  <si>
    <t>mauriciodiazmondragon@outlook.com</t>
  </si>
  <si>
    <t>DENTAL ASSISTANCE SAS</t>
  </si>
  <si>
    <t>CARLOS MARIO GRISALES TAMAYO</t>
  </si>
  <si>
    <t>CARRERA 19 NO 120-71 OF 202</t>
  </si>
  <si>
    <t>carlos.grisales@dentalassistance.com.co</t>
  </si>
  <si>
    <t>SANAR REHABILITACION INTEGRAL SAS</t>
  </si>
  <si>
    <t>OLGA LUCIA CARDENAS CASTIBLANCO</t>
  </si>
  <si>
    <t>AC 3 27 45</t>
  </si>
  <si>
    <t>sanarehabilitacionintegral@gmail.com</t>
  </si>
  <si>
    <t>SANAR REHABILITACION INTEGRAL</t>
  </si>
  <si>
    <t>Olga Lucia CᲤenas Castiblanco</t>
  </si>
  <si>
    <t>KALIL &amp; CABALLERO ODONTOLOGOS SAS</t>
  </si>
  <si>
    <t>CARRERA 23 # 124 - 70 COS 602</t>
  </si>
  <si>
    <t>6371909-6298497</t>
  </si>
  <si>
    <t>correo@kycodontologos.com</t>
  </si>
  <si>
    <t>ANA MARIA CABALLERO DURAN</t>
  </si>
  <si>
    <t>JUAN CARLOS ARBELAEZ ECHEVERRY SAS</t>
  </si>
  <si>
    <t>KR 16 A # 82 46 CS 505</t>
  </si>
  <si>
    <t>arbelaezmarino@hotmail.com</t>
  </si>
  <si>
    <t>CORPORACION PARA LA ATENCION Y EL DIAGNOSTICO DE ENFERMEDADES-MILAGROZ</t>
  </si>
  <si>
    <t>TANIA AMERICA GONZALEZ MILLARES</t>
  </si>
  <si>
    <t>CL 39 # 19 39 PI 1</t>
  </si>
  <si>
    <t>dss@corporacionmilagroz.com</t>
  </si>
  <si>
    <t>CORPORACION PARA LA ATENCIӎ Y EL DIAGNOSTICO DE ENFERMEDADES-MILAGROZ</t>
  </si>
  <si>
    <t>CATIA DEL CARMEN CAсTE TUяN</t>
  </si>
  <si>
    <t>3222061-3125869801</t>
  </si>
  <si>
    <t>Emergencias Medicas 911 Ltda.</t>
  </si>
  <si>
    <t>KR 32B 4-59</t>
  </si>
  <si>
    <t>805 11 09 - 321 4023823</t>
  </si>
  <si>
    <t>emergencias911@gmail.com</t>
  </si>
  <si>
    <t>Emergencias M餩cas 911 Ltda.</t>
  </si>
  <si>
    <t>Alejandro Garc�Garrido</t>
  </si>
  <si>
    <t>805 11 09 -3124470634</t>
  </si>
  <si>
    <t>EMERGENCIAS911@GMAIL.COM</t>
  </si>
  <si>
    <t>OBSTETRICIA &amp; GINECOLOGIA S.A.S. PERO PODRA UTILIZAR LA SIGLA O&amp;G S.A.S.</t>
  </si>
  <si>
    <t>DIANA PATRICIA PARRADO VIZCAINO.</t>
  </si>
  <si>
    <t>Ac 9 No. 62 - 84 Lc 2 60 - 68 - 69 - 70 - Barrio:SALAZAR GOMEZ</t>
  </si>
  <si>
    <t>calidad@oyg.com.co</t>
  </si>
  <si>
    <t>www.oyg.com.co</t>
  </si>
  <si>
    <t>O&amp;G S.A.S BULEVAR</t>
  </si>
  <si>
    <t>PEDRO ANTONIO BARRERA CARRILLO</t>
  </si>
  <si>
    <t>AV CR 58 127 59 LC 160 - 160 A</t>
  </si>
  <si>
    <t>O&amp;G S.A.S AMERICAS</t>
  </si>
  <si>
    <t>Ac 9 No. 62 - 84 Lc 2 60 - 68 - 69 - 70</t>
  </si>
  <si>
    <t>Fundaci󮠰ara el Servicio Integral de Atenci󮠍餩ca - Fundaci󮠓IAM</t>
  </si>
  <si>
    <t>SANDRA MONICA BONILLA GONZALEZ</t>
  </si>
  <si>
    <t>CL 58 A # 35 A 12</t>
  </si>
  <si>
    <t>calidad@fundacionsiam.org</t>
  </si>
  <si>
    <t>WWW.FUNDACIONSIAM.ORG</t>
  </si>
  <si>
    <t>Fundaci󮠓IAM - BogotἯtd&gt;</t>
  </si>
  <si>
    <t>CESAR AUGUSTO BUENO SERRANO</t>
  </si>
  <si>
    <t>FUNDACION PARA EL SERVICIO INTEGRAL DE ATENCION MEDICA SEDE B</t>
  </si>
  <si>
    <t>CALLE 54 A BIS No. 16-29</t>
  </si>
  <si>
    <t>Fundacion para el servicio integral de atencion medica- SUBA</t>
  </si>
  <si>
    <t>calle 140C No. 94D-38 Piso 4 consultorio 6</t>
  </si>
  <si>
    <t>Fundacion para el servicio integral de atencion medica- FONTIBON</t>
  </si>
  <si>
    <t>Carrera 78 No. 17-55 centro empresarial Meridiano 13 piso 5 consultorio 1</t>
  </si>
  <si>
    <t>CENTRO DE DESARROLLO INTEGRAL DE SALUD FAMILIAR JUAN PABLO II IPS SAS CON SIGLA CEDI SALUD FAMILIAR JUAN PABLO II IPS SAS</t>
  </si>
  <si>
    <t>CL 27 SUR # 18C- 02</t>
  </si>
  <si>
    <t>administracion@juanpabloiiips.com</t>
  </si>
  <si>
    <t>CENTRO DE DESARROLLO INTEGRAL DE SALUD FAMILIAR JUAN PABLO II IPS SAS</t>
  </si>
  <si>
    <t>PEDRO LEON CIFUENTES RODRIGUEZ</t>
  </si>
  <si>
    <t>CL 27 SUR # 18C 02</t>
  </si>
  <si>
    <t>CERTIFICAR SALUD S.A.S.</t>
  </si>
  <si>
    <t>OSCAR DARIO SASTOQUE SUAREZ</t>
  </si>
  <si>
    <t>Calle 125 # 19-89 oficina 404</t>
  </si>
  <si>
    <t>3203999288- 6017326309</t>
  </si>
  <si>
    <t>certificarsalud@gmail.com</t>
  </si>
  <si>
    <t>calle 125 19-89 oficina 404</t>
  </si>
  <si>
    <t>3203999288-6017326309</t>
  </si>
  <si>
    <t>UNIDAD DE FERTILIDAD FERTIVIDA SAS</t>
  </si>
  <si>
    <t>CECILIA HERNANDEZ LEAL</t>
  </si>
  <si>
    <t>KR 19A No. 82-85 CONSULTORIO 401</t>
  </si>
  <si>
    <t>7953130 EXT 4017</t>
  </si>
  <si>
    <t>administracion@fertivida.co</t>
  </si>
  <si>
    <t>GABRIEL ANTONIO GUZMAN GALVIS</t>
  </si>
  <si>
    <t>KR 19A No. 82 - 85 Consultorio 401</t>
  </si>
  <si>
    <t>7953130 Ext 4017</t>
  </si>
  <si>
    <t>DESPERTAR DE LOS SENTIDOS FUNDACION PARA LA HABILITACION INTEGRAL DEL NIя ESPECIAL</t>
  </si>
  <si>
    <t>EVELINA ROSA ESCAя CAEZ</t>
  </si>
  <si>
    <t>KR 55 C # 174 - 51</t>
  </si>
  <si>
    <t>despertardelossentidos@yahoo.es</t>
  </si>
  <si>
    <t>CENTRO ELECTRO AUDITIVO NACIONAL AL SERVICIO DE LA REHABILITACION SAS</t>
  </si>
  <si>
    <t>CARLOS ARTURO COPETE DOMINGUEZ</t>
  </si>
  <si>
    <t>CR 7 N 41 - 21 AP 202</t>
  </si>
  <si>
    <t>clinicaauditivaescucha@ipsceansas.com</t>
  </si>
  <si>
    <t>WWW.AYUDASAUDITIVAS.COM</t>
  </si>
  <si>
    <t>CLINICA AUDITIVA ESCUCHA</t>
  </si>
  <si>
    <t>FUNDACION CEDHI - CENTRO DE DESARROLLO HUMANO INTEGRAL</t>
  </si>
  <si>
    <t>CALLE 97 # 64 - 19</t>
  </si>
  <si>
    <t>6955994 - 3124522705</t>
  </si>
  <si>
    <t>fundacioncedhi@gmail.com</t>
  </si>
  <si>
    <t>www.cedhi.com</t>
  </si>
  <si>
    <t>SANDRA MILENA BEJARANO MORENO</t>
  </si>
  <si>
    <t>sandrabejarano.0902@gmail.com</t>
  </si>
  <si>
    <t>FUNDACION CEDHI - CENTRO DE DESARROLLO HUMANO INTEGRAL - MANDALAY KENNEDY</t>
  </si>
  <si>
    <t>CALLE 5 B # 78 H 12</t>
  </si>
  <si>
    <t>3124522705 3024062942</t>
  </si>
  <si>
    <t>UNIVER PLUS S.A.</t>
  </si>
  <si>
    <t>ALVARO FRANCISCO RIBERO CADENA</t>
  </si>
  <si>
    <t>Cra 7 B BIS # 132-38 Edificio Forest Medical Center Local 104 - Barrio:Bella Suiza</t>
  </si>
  <si>
    <t>3164195115 - 3138306090</t>
  </si>
  <si>
    <t>coordinadornacionalcalidad@univerplus.com</t>
  </si>
  <si>
    <t>OPTICA UNIVER AMERICAS</t>
  </si>
  <si>
    <t>Carrera 67 N 4 G - 31 Interior 2</t>
  </si>
  <si>
    <t>OPTICA UNIVER TEUSAQUILLO</t>
  </si>
  <si>
    <t>AV CARACAS 49-55 LC5</t>
  </si>
  <si>
    <t>OPTICA UNIVER SUBA</t>
  </si>
  <si>
    <t>AVENIDA CALLE 145 # 95B 28</t>
  </si>
  <si>
    <t>OPTICA UNIVER VENECIA</t>
  </si>
  <si>
    <t>DG 49 A SUR # 53 29 LOCAL 2</t>
  </si>
  <si>
    <t>OFTALMOHELP APOYO DIAGNOSTICO OFTALMOLOGICO</t>
  </si>
  <si>
    <t>CR 7B BIS NO. 132-38 EDIFICIO FOREST MEDICAL CENTER PISO 7</t>
  </si>
  <si>
    <t>OPTICA UNIVER FONTIBON</t>
  </si>
  <si>
    <t>Alvaro Francisco Ribero Cadena</t>
  </si>
  <si>
    <t>DIAGONAL 16 N 104 - 51 LOCAL 111 CENTRO COMERCIAL PORTAL DE LA SABANA</t>
  </si>
  <si>
    <t>OPTICA UNIVER USAQUEN</t>
  </si>
  <si>
    <t>Cra 7 B BIS # 132-38 Edificio Forest Medical Center Local 104</t>
  </si>
  <si>
    <t>OFTALMOHELP APOYO DIAGNOSTICO OFTALMOLOGICO SEDE 3</t>
  </si>
  <si>
    <t>KR 18 # 93 25 OFICINA 103 Y 307</t>
  </si>
  <si>
    <t>Oftalmohelp Qx</t>
  </si>
  <si>
    <t>Cra 48 N 98 - 81 PISO 5</t>
  </si>
  <si>
    <t>7462033 - 3164195115</t>
  </si>
  <si>
    <t>OPTICA UNIVER KENNEDY 2</t>
  </si>
  <si>
    <t>TV 74 F # 40 F 25 SUR PISO 1</t>
  </si>
  <si>
    <t>OPTICA UNIVER 98</t>
  </si>
  <si>
    <t>CARRERA 48 N 98 - 81 LOCAL 3</t>
  </si>
  <si>
    <t>ӐTICA UNIVER ENSUEя</t>
  </si>
  <si>
    <t>lvaro Francisco Ribero Cadena</t>
  </si>
  <si>
    <t>CL 59 SUR NO. 51 21 LC 250 CC GRAN PLAZA EL ENSUEя</t>
  </si>
  <si>
    <t>OPTICA UNIVER GRAN BOSA</t>
  </si>
  <si>
    <t>CL 65 SUR # 78H 51 LC 244</t>
  </si>
  <si>
    <t>3154195115 - 3138306090</t>
  </si>
  <si>
    <t>MESSER COLOMBIA S.A.</t>
  </si>
  <si>
    <t>AK 14 No. 40A-04</t>
  </si>
  <si>
    <t>4254550- 3123511070- 3142314793</t>
  </si>
  <si>
    <t>ximena.pinzon@messer-co.com;bertha.gomez@messer-co.com</t>
  </si>
  <si>
    <t>MESSER COLOMBIA S.A. AGENCIA REMEO CENTER BOGOTA</t>
  </si>
  <si>
    <t>XIMENA PINZON</t>
  </si>
  <si>
    <t>AK 14 No. 40A- 04</t>
  </si>
  <si>
    <t>4254550-3123511070- 3142314793</t>
  </si>
  <si>
    <t>bertha.gomez@messer-co.com</t>
  </si>
  <si>
    <t>MESSER COLOMBIA S.A. AGENCIA SUEя BOGOTA 106</t>
  </si>
  <si>
    <t>PATRICIA CARMENZA OROZCO SANCHEZ</t>
  </si>
  <si>
    <t>AK 45 # 106 -15</t>
  </si>
  <si>
    <t>CENTRO MEDICO DEPORTIVO MET SAS</t>
  </si>
  <si>
    <t>CARLOS ALBERTO ULLOA CASTRO</t>
  </si>
  <si>
    <t>Calle 106 N 23 61 Piso 8</t>
  </si>
  <si>
    <t>6349200-2368230</t>
  </si>
  <si>
    <t>clinicamet@gmail.com</t>
  </si>
  <si>
    <t>CARLOS ALBERTO ULLOA</t>
  </si>
  <si>
    <t>APM SERVICIOS ASISTENCIALES IPS S.A.S.</t>
  </si>
  <si>
    <t>GLORIA YANETH LOPEZ BARRERA</t>
  </si>
  <si>
    <t>CARRERA 16 No. 68-74</t>
  </si>
  <si>
    <t>6017036505 3174250361 3153445007</t>
  </si>
  <si>
    <t>administracion@apmasesores.com</t>
  </si>
  <si>
    <t>APM SERVICIOS ASISTENCIALES IPS S.A.S</t>
  </si>
  <si>
    <t>JHON ALEXANDER BUITRAGO AGUDELO</t>
  </si>
  <si>
    <t>CARRERA 16 No 68-74</t>
  </si>
  <si>
    <t>7528708 - 315 3445007</t>
  </si>
  <si>
    <t>IPS CASTELLANA</t>
  </si>
  <si>
    <t>JOHN ALEXANDER BUITRAGO AGUDELO</t>
  </si>
  <si>
    <t>KR 45 A # 95 90</t>
  </si>
  <si>
    <t>ODONTOLOGIA ESPECIALIZADA COLOMBIANA CLINICAS DENTALES S.A.</t>
  </si>
  <si>
    <t>AC 127 # 20 78 CS 326</t>
  </si>
  <si>
    <t>601 2154848</t>
  </si>
  <si>
    <t>marcelacubillosr@yahoo.es</t>
  </si>
  <si>
    <t>KR 72 C # 8 B 97</t>
  </si>
  <si>
    <t>FERNANDEZ DIAZ Y ASOCIADOS EU - UNIDAD MEDICA AVENIDA</t>
  </si>
  <si>
    <t>OSCAR MAURICIO FERNANDEZ ALDANA</t>
  </si>
  <si>
    <t>TV 94 # 84 25</t>
  </si>
  <si>
    <t>fercholas2@hotmail.com</t>
  </si>
  <si>
    <t>UNIDAD MEDICA RIONEGRO LTDA</t>
  </si>
  <si>
    <t>ONEIDA HERREя QUIROGA</t>
  </si>
  <si>
    <t>CL 76 # 20 C - 42 PISO 1</t>
  </si>
  <si>
    <t>unirionegro@gmail.com</t>
  </si>
  <si>
    <t>CLINICA ODONTOLOGICA CLINISTETIC LTDA</t>
  </si>
  <si>
    <t>OMAR ROMERO BECERRA</t>
  </si>
  <si>
    <t>CALLE 58 No 17-09</t>
  </si>
  <si>
    <t>clinistetic1@hotmail.com</t>
  </si>
  <si>
    <t>CENTRO RADIOLOGICO CALLE 57</t>
  </si>
  <si>
    <t>CALLE 57 No 16 A 03</t>
  </si>
  <si>
    <t>3478514 - 2494920</t>
  </si>
  <si>
    <t>CLINICA ODONTOLOGICA CLINI STETIC DOS</t>
  </si>
  <si>
    <t>SANDRA PATRICIA BARRIENTOS ESPITIA</t>
  </si>
  <si>
    <t>CALLE 57 No. 16-03 CS 1-2-3-4 Primer Piso, 10-11 Segundo Piso, 17-18 Tercer Piso.</t>
  </si>
  <si>
    <t>249 4920 - 210 4868</t>
  </si>
  <si>
    <t>CENTRO RADIOLOGICO CALLE 53</t>
  </si>
  <si>
    <t>AC 53 # 28-40 LC 1</t>
  </si>
  <si>
    <t>clinistetic1@hotmail.con</t>
  </si>
  <si>
    <t>VITAL LIFE SAS</t>
  </si>
  <si>
    <t>CALLE 102 A NO. 70G-19 Y 70G-21</t>
  </si>
  <si>
    <t>2719676 - 7579602-7429502 -2269505 - 2269506</t>
  </si>
  <si>
    <t>calidad@vitallifesas.com.co</t>
  </si>
  <si>
    <t>ALIX ROCIO RUIZ BELLO</t>
  </si>
  <si>
    <t>CALLE 102 A NO. 70G-19 y 70G-21</t>
  </si>
  <si>
    <t>alixrruiz-bello@hotmail.com</t>
  </si>
  <si>
    <t>MEDICINA NUCLEAR PALERMO ORGANIZACION SANITAS INTERNACIONAL SAS</t>
  </si>
  <si>
    <t>KR 23 # 45 C 31 LC 6 LC 7</t>
  </si>
  <si>
    <t>MEDICINA NUCLEAR PALERMO ORGANIZACION SANITAS INTERNACIONAL SAS.</t>
  </si>
  <si>
    <t>GENETICA HUMANA E.U.</t>
  </si>
  <si>
    <t>LUIS ARTURO LIZCANO GIL</t>
  </si>
  <si>
    <t>Avenida Calle 116 # 9-72 consultorio 605</t>
  </si>
  <si>
    <t>genetica.humana@gmail.com</t>
  </si>
  <si>
    <t>GENɔICA HUMANA E.U.</t>
  </si>
  <si>
    <t>Avenida Calle 116 # 9 -72 Cons 605-517-313</t>
  </si>
  <si>
    <t>DENTOLASER S.A.S.</t>
  </si>
  <si>
    <t>LUZ NIEVES WILCHES ROZO</t>
  </si>
  <si>
    <t>KR 21 # 56 03</t>
  </si>
  <si>
    <t>calidadinternodentolaser@gmail.com</t>
  </si>
  <si>
    <t>DENTOLASER GALERIAS</t>
  </si>
  <si>
    <t>HECTOR HUGO ALEJANDRO LOPEZ WILCHES</t>
  </si>
  <si>
    <t>DENTOLASER OLAYA</t>
  </si>
  <si>
    <t>CALLE 27 SUR # 21 A 19 SEGUNDO PISO ALA ORIENTAL AREA ODONTOLOGIA</t>
  </si>
  <si>
    <t>DENTOLASER RESTREPO</t>
  </si>
  <si>
    <t>cra 19#19A-37 sur</t>
  </si>
  <si>
    <t>Calidadinternodentolaser@gmail.com</t>
  </si>
  <si>
    <t>DENTOLASER AMERICAS</t>
  </si>
  <si>
    <t>AV DE LAS AMERICAS NO 68F-43/45</t>
  </si>
  <si>
    <t>CLINICA FERNANDO VANEGAS CANO LTDA.</t>
  </si>
  <si>
    <t>FERNANDO VANEGAS CANO</t>
  </si>
  <si>
    <t>KR 16 No. 96 - 64 CS 314</t>
  </si>
  <si>
    <t>vanegas_cano@yahoo.com</t>
  </si>
  <si>
    <t>KR. 16 # 96-16 CS 314</t>
  </si>
  <si>
    <t>CENTRO DE AVIVAMIENTO PARA LAS NACIONES</t>
  </si>
  <si>
    <t>JUAN PABLO VELANDIA MORENO</t>
  </si>
  <si>
    <t>KR 66 # 14 95</t>
  </si>
  <si>
    <t>5794428 2603079</t>
  </si>
  <si>
    <t>CENTRO_MEDICO@AVIVAMIENTO.COM</t>
  </si>
  <si>
    <t>PATOLOGIA DIAGNOSTICA S.A.S.</t>
  </si>
  <si>
    <t>CALLE 118 No 19 -52 CONSULTORIO 505 - Barrio:SANTA BARBARA OCC.</t>
  </si>
  <si>
    <t>7906867. 3014311893</t>
  </si>
  <si>
    <t>pd.limitada@gmail.com</t>
  </si>
  <si>
    <t>BERNARDA JINNETH ACOSTA FORERO</t>
  </si>
  <si>
    <t>CALLE 118 No 19 -52 CONSULTORIO 505</t>
  </si>
  <si>
    <t>601-7906867/3014311893</t>
  </si>
  <si>
    <t>SANARTERAPIAS LTDA PUDIENDO UTILIZAR LA SIGLA SANARTERAPIAS</t>
  </si>
  <si>
    <t>ADRIANA DIAZ STERLING</t>
  </si>
  <si>
    <t>CL 23 # 66 46 IN 4 CS 414 - 412 - 417 - 401 - 402 - 415</t>
  </si>
  <si>
    <t>3 24 45 01 - 5 73 47 44</t>
  </si>
  <si>
    <t>sanarterapias@gmail.com</t>
  </si>
  <si>
    <t>ODONTOLOGOS COLOMBIANOS ESPECIALIZADOS S.A.S</t>
  </si>
  <si>
    <t>HALIOD ANDREA ORTIZ CORTES</t>
  </si>
  <si>
    <t>CARRERA 58 No 137B-38 piso 3</t>
  </si>
  <si>
    <t>2 71 62 26</t>
  </si>
  <si>
    <t>ocecolina@yahoo.es</t>
  </si>
  <si>
    <t>RED ORAL COLINA</t>
  </si>
  <si>
    <t>CARRERA 58 No 137 B 38 PI 3</t>
  </si>
  <si>
    <t>CENTRO DE SALUD CIRUGIA ESTETICA AMBULATORIA CLINICA DE CHARRY LTDA</t>
  </si>
  <si>
    <t>KR 48 # 122 - 28</t>
  </si>
  <si>
    <t>naso_val@hotmail.com</t>
  </si>
  <si>
    <t>CENTRO DE SALUD CIRUGIA ESTETICA AMBULATORIA</t>
  </si>
  <si>
    <t>ESPLENDENT S A S SIGLA ESPLENDENT</t>
  </si>
  <si>
    <t>JUAN SEBASTIAN GALLEGO CORREA</t>
  </si>
  <si>
    <t>KR 59 A# 136 95 LC 203</t>
  </si>
  <si>
    <t>comercial@esplendent.com</t>
  </si>
  <si>
    <t>ESPLENDENT</t>
  </si>
  <si>
    <t>KR 59 A # 136 95 LC 203</t>
  </si>
  <si>
    <t>B S P CORPOLASER LTDA</t>
  </si>
  <si>
    <t>BEATRIZ STELLA PEREZ DE GARAVITO</t>
  </si>
  <si>
    <t>KR 13 A No 102 86</t>
  </si>
  <si>
    <t>corpolaser98@hotmail.com</t>
  </si>
  <si>
    <t>CLINICA CORPOLASER</t>
  </si>
  <si>
    <t>Fundacion la Casa de Bill</t>
  </si>
  <si>
    <t>GERMAN SICARD SALAZAR</t>
  </si>
  <si>
    <t>KR 36A N 54 - 77</t>
  </si>
  <si>
    <t>lacasadebill@hotmail.com</t>
  </si>
  <si>
    <t>www.lacasadebill.net</t>
  </si>
  <si>
    <t>Fundacion La Casa deBill</t>
  </si>
  <si>
    <t>Pedro German Sicard Salazar</t>
  </si>
  <si>
    <t>AUDIOCOM SAS</t>
  </si>
  <si>
    <t>DIEGO PORTILLA TORO</t>
  </si>
  <si>
    <t>Carrera 19 C 90-59</t>
  </si>
  <si>
    <t>(1) 742 09 04 - 3174374863</t>
  </si>
  <si>
    <t>servicio@audiocom.com.co</t>
  </si>
  <si>
    <t>www.audiocom-ips.com</t>
  </si>
  <si>
    <t>AUDIOCOM BOGOTA</t>
  </si>
  <si>
    <t>JAIRO DIEGO PORTILLA TORO</t>
  </si>
  <si>
    <t>Centro de Dermatologia y Cirugia Pl᳴ica del Country SAS</t>
  </si>
  <si>
    <t>Alexandra Paez Kluge</t>
  </si>
  <si>
    <t>Calle 83 # 19 - 36 Cons 705</t>
  </si>
  <si>
    <t>3134995687-3134994475</t>
  </si>
  <si>
    <t>cmedica@cdc.com.co</t>
  </si>
  <si>
    <t>CENTRO DE DERMATOLOGIA Y CIRUGIA PLASTICA DEL COUNTRY S.A.S.</t>
  </si>
  <si>
    <t>HUMBERTO FERREIRA GUZMAN</t>
  </si>
  <si>
    <t>HORIZONTES ABA TERAPIA INTEGRAL LTDA</t>
  </si>
  <si>
    <t>HERMENCIA DEL CARMEN GARCIA CEPEDA</t>
  </si>
  <si>
    <t>Transversal 28 B No 37 20</t>
  </si>
  <si>
    <t>2222385 - 3103105333</t>
  </si>
  <si>
    <t>administracion@horizontesaba.com</t>
  </si>
  <si>
    <t>HORIZONTES ABA TERAPIA INTEGRAL</t>
  </si>
  <si>
    <t>Transversal 28B No 37 20</t>
  </si>
  <si>
    <t>2222385- 3125009117 - 3103105333</t>
  </si>
  <si>
    <t>Horizontes Country</t>
  </si>
  <si>
    <t>Nelson Gonzᬥz Cepeda</t>
  </si>
  <si>
    <t>Calle 83 # 19 36 Consultorio 204</t>
  </si>
  <si>
    <t>ELECTROFISIATRIA SAS</t>
  </si>
  <si>
    <t>WILLIAM MENESES PARRA</t>
  </si>
  <si>
    <t>CL 112 # 70 B 28</t>
  </si>
  <si>
    <t>6652999 - 3103481510</t>
  </si>
  <si>
    <t>calidad@electrofisiatria.com</t>
  </si>
  <si>
    <t>www.electrofisiatria.com</t>
  </si>
  <si>
    <t>ALVARO MENESES</t>
  </si>
  <si>
    <t>3208146816-6652999-3142978928</t>
  </si>
  <si>
    <t>FUNDACION HOSPITAL INFANTIL UNIVERSITARIO DE SAN JOSE</t>
  </si>
  <si>
    <t>DRA. LAIMA DIDZIULIS GRIGALIUNAS</t>
  </si>
  <si>
    <t>KR. 52 # 67 A 71</t>
  </si>
  <si>
    <t>direccion.general@hospitalinfantildesanjose.org.co</t>
  </si>
  <si>
    <t>www.hospitalinfatildesanjose.org.co</t>
  </si>
  <si>
    <t>Maikel Adolfo Pacheco Trujillo</t>
  </si>
  <si>
    <t>KR 52 # 67 A 71</t>
  </si>
  <si>
    <t>MEDICLINICO SANTA ANA IPS SAS</t>
  </si>
  <si>
    <t>Calle 102 # 70 B 69</t>
  </si>
  <si>
    <t>3209570198 - 7575143</t>
  </si>
  <si>
    <t>mediclinicosantaanaips@gmail.com</t>
  </si>
  <si>
    <t>WILSON HUMBERTO MORENO VARGAS</t>
  </si>
  <si>
    <t>(601)7575143 - 3204789192</t>
  </si>
  <si>
    <t>OPTICA COLSANITAS SAS</t>
  </si>
  <si>
    <t>AC 127 21 -60 LC 102</t>
  </si>
  <si>
    <t>6159432-3153059897</t>
  </si>
  <si>
    <t>oflechas@keralty.com</t>
  </si>
  <si>
    <t>CENTRO OPTICO KERALTY REINA SOFIA</t>
  </si>
  <si>
    <t>ANA PAOLA GARCIA ZULUAGA</t>
  </si>
  <si>
    <t>Centro Optico keralty Cll 95</t>
  </si>
  <si>
    <t>CARRERA 14 # 95 - 69</t>
  </si>
  <si>
    <t>6223722-3153059897</t>
  </si>
  <si>
    <t>Centro Optico keralty Cl�ca Colombia</t>
  </si>
  <si>
    <t>CL 23 66 46 INT 4 LC 103 y CONSULTORIOS 1123 y 1125</t>
  </si>
  <si>
    <t>5948650 EXT 5716165 -3153059897</t>
  </si>
  <si>
    <t>Centro Optico keralty Cll 134 ED Bosque</t>
  </si>
  <si>
    <t>CL 134 # 7B - 83 CONSULTORIOS 518-519-520-521-522</t>
  </si>
  <si>
    <t>6273688 - 3153059897</t>
  </si>
  <si>
    <t>Centro Optico keralty Unicentro Occidente</t>
  </si>
  <si>
    <t>CR 111C # 86-05 LC 2-47 CC UNICENTRO DE OCCIDENTE</t>
  </si>
  <si>
    <t>4919577- 3153059897</t>
  </si>
  <si>
    <t>Centro Optico keralty Suba</t>
  </si>
  <si>
    <t>AV Calle 145 # 103B -65 local 210 -211</t>
  </si>
  <si>
    <t>6922460 - 3153059897</t>
  </si>
  <si>
    <t>Centro Optico keralty Restrepo</t>
  </si>
  <si>
    <t>CARRERA 18 # 16 - 46 SUR PISO 2 CONSULTORIO DE OPTOMETRIA 1</t>
  </si>
  <si>
    <t>6466060 EXT 5719101- 3153059897</t>
  </si>
  <si>
    <t>Centro Optico keralty Villa del Rio</t>
  </si>
  <si>
    <t>Dg 57C Sur # 62-60 CC. Paseo Villa del Rio Local 403</t>
  </si>
  <si>
    <t>6466060 EXT 5710742 - 3153059897</t>
  </si>
  <si>
    <t>Centro Optico keralty Galerias</t>
  </si>
  <si>
    <t>ANA PAOLA GARCIA</t>
  </si>
  <si>
    <t>CALLE 53 NUMERO 25- 55</t>
  </si>
  <si>
    <t>7459203- 7435907</t>
  </si>
  <si>
    <t>Centro Optico Keralty Zona Sur</t>
  </si>
  <si>
    <t>Ana Paola Garcia Zuluaga</t>
  </si>
  <si>
    <t>Avenida Calle 9 # 62-84 Piso 2 Locales 2-30 y 2-31</t>
  </si>
  <si>
    <t>CENTRO OPTICO TORRE KERALTY</t>
  </si>
  <si>
    <t>CALLE 125 21 A -61 PISO 1 INTERIOR 1</t>
  </si>
  <si>
    <t>CENTRO VASCULAR DEL LAGO S.A.S.</t>
  </si>
  <si>
    <t>RAUL JOSE MEJIA HENAO</t>
  </si>
  <si>
    <t>AC 116 # 9 - 72 CONSULTORIOS 602, 603</t>
  </si>
  <si>
    <t>3002568255 - 3052983443</t>
  </si>
  <si>
    <t>info@centrovasculardellago.com</t>
  </si>
  <si>
    <t>57 1 2153382</t>
  </si>
  <si>
    <t>citascentrovascular@gmail.com</t>
  </si>
  <si>
    <t>CENTRO OFTALMOLOGICO GUSTAVO TAMAYO FERNANDEZ SA</t>
  </si>
  <si>
    <t>GUSTAVO ENRIQUE TAMAYO FERNANDEZ</t>
  </si>
  <si>
    <t>CL 113 # 7 - 45 OF 906 TO B</t>
  </si>
  <si>
    <t>consultoriogustavotamayo@gmail.com</t>
  </si>
  <si>
    <t>CENTRO OFTALMOLOGICO GUSTAVO E TAMAYO</t>
  </si>
  <si>
    <t>ASMEDAN S.A.S ASOCIACION DE MEDICOS Y ANESTESIOLOGOS</t>
  </si>
  <si>
    <t>AV 1 MAYO # 34- 41 - Barrio:SAN JORGE</t>
  </si>
  <si>
    <t>calidad@grupoasmedan.com</t>
  </si>
  <si>
    <t>ASMEDAN</t>
  </si>
  <si>
    <t>HERNANDO TORRES ZULUAGA</t>
  </si>
  <si>
    <t>AV 1 MAYO # 34- 41</t>
  </si>
  <si>
    <t>rp.valle@grupoasmedan.com</t>
  </si>
  <si>
    <t>ASMEDAN SUBA</t>
  </si>
  <si>
    <t>Hernando Manuel Torres Zuluaga</t>
  </si>
  <si>
    <t>CALLE 139 N 101C - 06</t>
  </si>
  <si>
    <t>r.valle@grupoasmedan.com</t>
  </si>
  <si>
    <t>CIRU COUNTRY SERVICIOS MEDICOS SAS</t>
  </si>
  <si>
    <t>UMAR JOSE ABELLO RODRIGEZ</t>
  </si>
  <si>
    <t>KR 10 No. 96 - 25 CS 403</t>
  </si>
  <si>
    <t>aestheticmedical1@gmail.com</t>
  </si>
  <si>
    <t>AESTHETIC MEDICAL SPA</t>
  </si>
  <si>
    <t>CENTRO INTEGRAL TERAPEUTICO DE MANO CITMA SAS</t>
  </si>
  <si>
    <t>KR 20 # 45 A 08 CS 202 - 203 - 204</t>
  </si>
  <si>
    <t>monicayad@gmail.com</t>
  </si>
  <si>
    <t>CENTRO INTEGRAL TERAPEUTICO DE MANO CITMA</t>
  </si>
  <si>
    <t>MONICA AMAYA DURAN</t>
  </si>
  <si>
    <t>CARRERA 70A No.5B-61</t>
  </si>
  <si>
    <t>citmaeu@gmail.com</t>
  </si>
  <si>
    <t>LUXOTTICA OF COLOMBIA S.A.S</t>
  </si>
  <si>
    <t>LUIS GUILLERMO SALAZAR ANGEL</t>
  </si>
  <si>
    <t>CARRERA 58D # 146- 51 LOCAL 145 - Barrio:COLINA</t>
  </si>
  <si>
    <t>(57-1)5938860 EXT. 7041</t>
  </si>
  <si>
    <t>nury.herrera@co.luxottica.com</t>
  </si>
  <si>
    <t>www.gmo.com.co</t>
  </si>
  <si>
    <t>OPTICAS GMO COLOMBIA S.A.S.</t>
  </si>
  <si>
    <t>JOSE FERNANDO CANO DIAZ</t>
  </si>
  <si>
    <t>CALLE 20 No. 82-52 Local. 1-123</t>
  </si>
  <si>
    <t>CLL 185 N 45-03 Local 2126 y 2127</t>
  </si>
  <si>
    <t>AV LA ESPERANZA N 62-49 LC 2106</t>
  </si>
  <si>
    <t>AVENIDA 19 N 138 18</t>
  </si>
  <si>
    <t>JOSE FERNANDO CANO DIAZ.</t>
  </si>
  <si>
    <t>CRA 15 # 124 - 30 Local. 1-180</t>
  </si>
  <si>
    <t>CARRERA 52 # 125 A - 59 Local. 1-106</t>
  </si>
  <si>
    <t>CALLE 140 No. 12 B-61 INT 1 Y 2</t>
  </si>
  <si>
    <t>CARRERA 71D No. 6 - 94 SUR Local 1226</t>
  </si>
  <si>
    <t>CALLE 80 No. 110 - 52 Local. 1-100</t>
  </si>
  <si>
    <t>CARRERA 104 No. 146 - 20 Local 1-17</t>
  </si>
  <si>
    <t>CARRERA 11 No 84 - 09 Local. 7</t>
  </si>
  <si>
    <t>Calle 38 A sur No 34 D 50 local 1079</t>
  </si>
  <si>
    <t>CARRERA 15 No 93 - 60 Local. 117</t>
  </si>
  <si>
    <t>CALLE 38 A SUR No 34D - 50 Local. 2092</t>
  </si>
  <si>
    <t>AK 72 # 80-94 Local 2-014 2-014A</t>
  </si>
  <si>
    <t>CARREA 68B No. 24-39 Local 2-60</t>
  </si>
  <si>
    <t>ӐTICAS GMO COLOMBIA S.A.S.</t>
  </si>
  <si>
    <t>CL 185 N 45 03 Lc N1 -188</t>
  </si>
  <si>
    <t>CARRERA 58D # 146- 51 LOCAL 145</t>
  </si>
  <si>
    <t>OPTICAS GMO COLOMBIA S.A.S</t>
  </si>
  <si>
    <t>Calle 134 # 55-30 LOCALES 102-103</t>
  </si>
  <si>
    <t>RAY BAN ANDINO</t>
  </si>
  <si>
    <t>German Venegas Fajardo</t>
  </si>
  <si>
    <t>CR 12 NO. 82 - 02 LC 1 - 464 1 - 47</t>
  </si>
  <si>
    <t>Ӱticas GMO Colombia S.A.S</t>
  </si>
  <si>
    <t>CL 19 A NO. 72 57 LC A - 166</t>
  </si>
  <si>
    <t>CR 7 NO. 138 - 33 LC 111</t>
  </si>
  <si>
    <t>AV CARRERA 15 N. 124 - 30 LOCAL 1 - 018</t>
  </si>
  <si>
    <t>AV LA ESPERANZA NO. 62 - 49 ISLA 2 - 06</t>
  </si>
  <si>
    <t>RAY BAN</t>
  </si>
  <si>
    <t>AK 15 # 124 30 LC 2 272</t>
  </si>
  <si>
    <t>nury.herrera@co.luxottica.co m</t>
  </si>
  <si>
    <t>EMURACENTER LATINOAMERICA EU</t>
  </si>
  <si>
    <t>FABIAN ARTURO EMURA PERLAZA</t>
  </si>
  <si>
    <t>CALLE 134 NO. 7 - 83 TORRE 3 PISO 4 CONSULTORIO 341</t>
  </si>
  <si>
    <t>6334711 - 6271493</t>
  </si>
  <si>
    <t>fabianemura@hotmail.com</t>
  </si>
  <si>
    <t>www.emuracenter.org</t>
  </si>
  <si>
    <t>emuracenter1@gmail.com</t>
  </si>
  <si>
    <t>GNQ MEDICINA ANTIENVEJECIMIENTO S A S SIGLA GNQ</t>
  </si>
  <si>
    <t>ANDRES LUCENA PEREZ</t>
  </si>
  <si>
    <t>CL 102 # 14 A 15 PISO 3</t>
  </si>
  <si>
    <t>gerencia@gnqsas.com</t>
  </si>
  <si>
    <t>GNQ</t>
  </si>
  <si>
    <t>NORMA CAROLINA PEREZ LUCENA</t>
  </si>
  <si>
    <t>CL 102 # 14 A 15 TERCER PISO</t>
  </si>
  <si>
    <t>CENTRO CIENTIFICO INTERNACIONAL DE MEDICINA BIOLOGICA SAS</t>
  </si>
  <si>
    <t>MIGUEL ARTURO ARDILA VELANDIA</t>
  </si>
  <si>
    <t>KR 24 # 45 A 33</t>
  </si>
  <si>
    <t>centrobiologico@yahoo.com</t>
  </si>
  <si>
    <t>VIVEMAX IPS</t>
  </si>
  <si>
    <t>ALEANDES SAS</t>
  </si>
  <si>
    <t>MARIA EUGENIA BELTRAN RODRIGUEZ</t>
  </si>
  <si>
    <t>CARRERA 17 N 33 A 03</t>
  </si>
  <si>
    <t>3380353-3003258202</t>
  </si>
  <si>
    <t>gerencia.aleandes@gmail.com</t>
  </si>
  <si>
    <t>JOSE MANUEL RUIZ ACERO</t>
  </si>
  <si>
    <t>TPF CIRUJANOS Y CIA LTDA- NUEVA CLINICA LOS CEDROS</t>
  </si>
  <si>
    <t>CL 137 # 19 42 PISO 1</t>
  </si>
  <si>
    <t>gerencia@clinicaloscedros.com</t>
  </si>
  <si>
    <t>EXPOMONTURAS E.U.</t>
  </si>
  <si>
    <t>CALLE 19 NO. 13-49</t>
  </si>
  <si>
    <t>EXPOMONTURAS</t>
  </si>
  <si>
    <t>CALLE 19 NO 13-49</t>
  </si>
  <si>
    <t>DERMOSALUD S.A.S</t>
  </si>
  <si>
    <t>Claudia Liliana Morales Ruiz</t>
  </si>
  <si>
    <t>calle 127 bis no 19-25 cons 404,405,406 y 407</t>
  </si>
  <si>
    <t>6145634-3208639403</t>
  </si>
  <si>
    <t>gerencia@dermosaludcolombia.com</t>
  </si>
  <si>
    <t>DIANA MARCELA PINILLOS RUIZ</t>
  </si>
  <si>
    <t>CARRERA 21 NO 24-80 SUR LOCAL 14 TORRE OLAYA PLAZA PH</t>
  </si>
  <si>
    <t>7495199-320 408 6819</t>
  </si>
  <si>
    <t>Sport`s Gym S.A.</t>
  </si>
  <si>
    <t>Diego Mallarino Matiz</t>
  </si>
  <si>
    <t>CL 90 # 8 - 60</t>
  </si>
  <si>
    <t>57-1-6115031</t>
  </si>
  <si>
    <t>sports_gym@yahoo.com</t>
  </si>
  <si>
    <t>SPORT GYM</t>
  </si>
  <si>
    <t>CL 90 # 8- 60</t>
  </si>
  <si>
    <t>ARCANGELES FUNDACION PARA LA REHABILITACION INTEGRAL</t>
  </si>
  <si>
    <t>JUAN PABLO SALAZAR SALAMANCA</t>
  </si>
  <si>
    <t>Cra 7 B bis# 132-38 Piso 9 y 10 Edificio Forest Medical Center</t>
  </si>
  <si>
    <t>direccionejecutiva@arcangeles.org</t>
  </si>
  <si>
    <t>www.arcangeles.org</t>
  </si>
  <si>
    <t>6 29 70 47 ext 115-116</t>
  </si>
  <si>
    <t>jishelmanrique@arcangeles.org</t>
  </si>
  <si>
    <t>OPTICA SCORPIO</t>
  </si>
  <si>
    <t>EDUARDO FRANCISCO ACOSTA CHAVEZ</t>
  </si>
  <si>
    <t>KR 10 # 30B SUR LC 14</t>
  </si>
  <si>
    <t>optica_scorpio@yahoo.es</t>
  </si>
  <si>
    <t>OPTICA OLAYA LTDA</t>
  </si>
  <si>
    <t>ALBERTO ARENAS GUTIERREZ</t>
  </si>
  <si>
    <t>KR 21 # 24 12 SUR BARRIO OLAYA HERRERA</t>
  </si>
  <si>
    <t>361 00 09</t>
  </si>
  <si>
    <t>opticaolaya@yahoo.com</t>
  </si>
  <si>
    <t>CENTRO DE RECONOCIMIENTO DE CONDUCTORES ATENTO IPS LTDA</t>
  </si>
  <si>
    <t>LUIS GABRIEL OSSA ARBELAEZ</t>
  </si>
  <si>
    <t>TV 60 # 124 - 20 LC 6 9 y 10</t>
  </si>
  <si>
    <t>ipsatento@yahoo.es</t>
  </si>
  <si>
    <t>BEATRIZ EUGENIA OSSA ECHEVERRI</t>
  </si>
  <si>
    <t>LANDMARK RADIOLOGIA DENTOFACIAL LTDA.</t>
  </si>
  <si>
    <t>LIGIA MERCEDES JACOME MONTEALEGRE</t>
  </si>
  <si>
    <t>CL 53 B N 24 - 80 CS 714 - 713 - 707</t>
  </si>
  <si>
    <t>3460568/98</t>
  </si>
  <si>
    <t>landmarkradiologia@yahoo.com</t>
  </si>
  <si>
    <t>CL 53B N 24 - 80 CS 714 - 713 - 707</t>
  </si>
  <si>
    <t>SERVICIOS MEDICO TERAPEUTICOS DOMICILIARIOS SANISALUD SAS</t>
  </si>
  <si>
    <t>NUBIA AZUCENA LOPEZ ORTIZ</t>
  </si>
  <si>
    <t>Calle 59 A Bis N 5 - 40 Consultorio 103</t>
  </si>
  <si>
    <t>sanisaludencasa@hotmail.com</t>
  </si>
  <si>
    <t>www.sanisaludencasa.com.co</t>
  </si>
  <si>
    <t>CLL 59 A BIS 5- 40 CONSULTORIO 103</t>
  </si>
  <si>
    <t>COMPAщA DE MEDICINA PREPAGADA COLSANITAS S A</t>
  </si>
  <si>
    <t>MARIA DEL CARMEN JIMENEZ RODRIGUEZ</t>
  </si>
  <si>
    <t>CALLE 24 BIS No 66 - 90 - Barrio:SALITRE</t>
  </si>
  <si>
    <t>dccubillos@colsanitas.com</t>
  </si>
  <si>
    <t>www.colsanitas.com</t>
  </si>
  <si>
    <t>COLSANITAS CONSULTORIO MEDICO CENTRAL DE EFECTIVO</t>
  </si>
  <si>
    <t>MARTHA LILIANA BURGOS</t>
  </si>
  <si>
    <t>CALLE 24 BIS No 66 - 90</t>
  </si>
  <si>
    <t>PREVENCIӎ, ATENCIӎ E INVESTIGACIӎ EN SALUD LTDA, PAIS</t>
  </si>
  <si>
    <t>ANDRES ERNESTO VELSQUEZ GAVILANES</t>
  </si>
  <si>
    <t>CRA 16 N 84A-09 CS 505</t>
  </si>
  <si>
    <t>vacunartePAIS@gmail.com</t>
  </si>
  <si>
    <t>CRA 16 N 84A-09 CS 504</t>
  </si>
  <si>
    <t>claudia.bermudez@vacunarte.com.co</t>
  </si>
  <si>
    <t>FUNDACIӎ MɄICA SANTA MAŔ VIRGEN</t>
  </si>
  <si>
    <t>ANA MERCEDES SALCEDO CRUZ</t>
  </si>
  <si>
    <t>CALLE 70A #110-43 PISO 1 - 2</t>
  </si>
  <si>
    <t>4426547 - 4406532</t>
  </si>
  <si>
    <t>fundamedica@yahoo.com</t>
  </si>
  <si>
    <t>ORALMEDIC CLINICAS ODONTOMEDICAS SAS</t>
  </si>
  <si>
    <t>SANDRA CAMARGO SANCHEZ</t>
  </si>
  <si>
    <t>CALLE 22 SUR No. 26-30 PISO 2</t>
  </si>
  <si>
    <t>gerencia@oralmedic.com.co</t>
  </si>
  <si>
    <t>CALLE 22 SUR No. 26-30, PISO 2</t>
  </si>
  <si>
    <t>ORALMEDIC SEDE TABORA</t>
  </si>
  <si>
    <t>AC 72 No. 83 - 54</t>
  </si>
  <si>
    <t>ORALMEDIC SEDE SANTA LIBRADA</t>
  </si>
  <si>
    <t>CALLE 74 C SUR No. 0-34</t>
  </si>
  <si>
    <t>6017645803 - 3174051184</t>
  </si>
  <si>
    <t>oralmedicgerencia@gmail.com</t>
  </si>
  <si>
    <t>ORALMEDIC SEDE SUBA LISBOA</t>
  </si>
  <si>
    <t>CARRERA 147 A No. 132B - 33</t>
  </si>
  <si>
    <t>6014915851 - 3174051184</t>
  </si>
  <si>
    <t>ORALMEDIC SEDE BOSA LA PAZ</t>
  </si>
  <si>
    <t>Carrera 83 A bis # 59A 12 Sur</t>
  </si>
  <si>
    <t>CENTRO OPTICO OPTIMO LTDA</t>
  </si>
  <si>
    <t>MARIA ADEILA VELASCO DIAZ</t>
  </si>
  <si>
    <t>CALLE 19 13 33</t>
  </si>
  <si>
    <t>centropticoptimo@hotmail.com</t>
  </si>
  <si>
    <t>CENTRO OPTICO OPTIMO B</t>
  </si>
  <si>
    <t>CL 19 No 13 33</t>
  </si>
  <si>
    <t>AV 15 No 119 44</t>
  </si>
  <si>
    <t>SALUD VISUAL EMPRESARIAL OCUPACIONAL EU</t>
  </si>
  <si>
    <t>JUAN MANUEL CHAVEZ RUEDA</t>
  </si>
  <si>
    <t>CALLE 19 No.8-81 oficina 1005</t>
  </si>
  <si>
    <t>601 750 7039 - 310 679 3968</t>
  </si>
  <si>
    <t>saludvisual@saludvisualempresarial.com</t>
  </si>
  <si>
    <t>Calle 19 No 8-81 oficina. 405</t>
  </si>
  <si>
    <t>601 750 7039 -310 679 3968</t>
  </si>
  <si>
    <t>INSTITUTO COLOMBIANO DE GENETICA Y ONCOLOGIA MOLECULAR SAS / INCOGEM</t>
  </si>
  <si>
    <t>GONZALO GUEVARA PARDO</t>
  </si>
  <si>
    <t>Avenida Carrera 70 # 108-49 Morato</t>
  </si>
  <si>
    <t>3106181361- 3176388239</t>
  </si>
  <si>
    <t>incogem@yahoo.com</t>
  </si>
  <si>
    <t>INSTITUTO COLOMBIANO DE GENETICA Y ONCOLOGIA MOLECULAR SAS/INCOGEM</t>
  </si>
  <si>
    <t>AMBULANCIAS PRIMEROS AUXILIOS LTDA</t>
  </si>
  <si>
    <t>JUAN CARLOS MORALES RODRIGUEZ</t>
  </si>
  <si>
    <t>KR 32 B # 2 43</t>
  </si>
  <si>
    <t>operaciones@apa.net.co</t>
  </si>
  <si>
    <t>ODONTOLOGICOS TORRES MANCILLA LTDA-ORTOCID LTDA</t>
  </si>
  <si>
    <t>Cristina Mancilla Gamboa</t>
  </si>
  <si>
    <t>Cra 73 No 5C -27 Piso 1 Entrada Plazoleta</t>
  </si>
  <si>
    <t>ortocidltda@gmail.com</t>
  </si>
  <si>
    <t>https://ortocid.com/</t>
  </si>
  <si>
    <t>Centro Radiologico Maxilofacial Mandalay</t>
  </si>
  <si>
    <t>Daniel AntonioTorres Romero</t>
  </si>
  <si>
    <t>Carrera 73 # 5C 27 Piso 1 entrada Plazoleta</t>
  </si>
  <si>
    <t>BIOMOLECULAR DIAGNOSTICA S.A.S.</t>
  </si>
  <si>
    <t>ZULMA LILIANA MENDEZ</t>
  </si>
  <si>
    <t>CRA 19A NO. 85-11 Piso 1 Of 102, Piso 3, Piso 4 Of 403, 404 Y 405</t>
  </si>
  <si>
    <t>3002664, 3002915</t>
  </si>
  <si>
    <t>gerencia@bio-molecular.com</t>
  </si>
  <si>
    <t>BIOMOLECULAR DIAGNOSTICA S.A.S</t>
  </si>
  <si>
    <t>CARRERA 19 A # 85 - 11 PISO 1 OFICINA 102, PISO 3, PISO 4 OFICINA 403, 404 y 405</t>
  </si>
  <si>
    <t>calidad@bio-molecular.com</t>
  </si>
  <si>
    <t>OPTITECNICA LTDA</t>
  </si>
  <si>
    <t>ROQUE JULIO RUEDA DIAZ</t>
  </si>
  <si>
    <t>Cra 9 A No 18 - 16 C. Ccial Avda 19</t>
  </si>
  <si>
    <t>341 61 42</t>
  </si>
  <si>
    <t>optitecnica_ltda@hotmail.com</t>
  </si>
  <si>
    <t>CRA 9A No 18 - 16 C.CCIAL AVDA 19</t>
  </si>
  <si>
    <t>UNIDAD LASER Y PIEL S.A.S</t>
  </si>
  <si>
    <t>PINZON HURTADO YUDY CLEMENCIA</t>
  </si>
  <si>
    <t>CL 134 # 7 B 83 Cs 412- 413- 414- 415- 416-417</t>
  </si>
  <si>
    <t>ulaserypiel2017@hotmail.com</t>
  </si>
  <si>
    <t>UNIDAD LASER Y PIEL</t>
  </si>
  <si>
    <t>CL 134 # 7 B 83 Cs 412 - 413 - 414- 415- 416- 417</t>
  </si>
  <si>
    <t>CIFEL CENTRO DE INVESTIGACION EN FISIATRIA Y ELECTRODIAGNOSTICO S.A.S. Sigla: CIFEL S.A.S</t>
  </si>
  <si>
    <t>JORGE ARTURO DIAZ RUIZ</t>
  </si>
  <si>
    <t>AC 26 69 C 03 TO B OF 601</t>
  </si>
  <si>
    <t>7447107 - 3175759331</t>
  </si>
  <si>
    <t>claudia.valencia@cifel.co</t>
  </si>
  <si>
    <t>www.cifel.co</t>
  </si>
  <si>
    <t>CIFEL CENTRO DE INVESTIGACION EN FISIATRIA Y ELECTRODIAGNOSTICO S.A.S. sigla CIFEL SAS</t>
  </si>
  <si>
    <t>CLAUDIA LILIANA VALENCIA VIDALES</t>
  </si>
  <si>
    <t>AC 26 69C 03 TO B OF 601</t>
  </si>
  <si>
    <t>601 7328487 - 3175759331</t>
  </si>
  <si>
    <t>CIFEL Centro de Investigaci󮠥n Fisiatria y Electrodiagnostico S.A.S</t>
  </si>
  <si>
    <t>AV 19 #102 53 CONS 612</t>
  </si>
  <si>
    <t>LACORSALUD SAS</t>
  </si>
  <si>
    <t>FERNANDO CASTILLO</t>
  </si>
  <si>
    <t>CALLE 75 No.22-66</t>
  </si>
  <si>
    <t>4873232-2482052</t>
  </si>
  <si>
    <t>uapheroes@gmail.com</t>
  </si>
  <si>
    <t>urilar.ltda@gmail.com</t>
  </si>
  <si>
    <t>UAP LOS HEROES</t>
  </si>
  <si>
    <t>F</t>
  </si>
  <si>
    <t>SPORTSMED COLOMBIA S.A.S</t>
  </si>
  <si>
    <t>ANGEL FERNANDO PASTRANA MOLINA</t>
  </si>
  <si>
    <t>KR 16A 82 16</t>
  </si>
  <si>
    <t>fpastrana@medsport.com.co</t>
  </si>
  <si>
    <t>www.medsport.com.co</t>
  </si>
  <si>
    <t>MEDSPORT COLOMBIA</t>
  </si>
  <si>
    <t>SPORTSMED SEDE AMBULATORIA</t>
  </si>
  <si>
    <t>KR 16A # 82 - 13 2P CS. 205-206 3P OFI 305-306 AREA ADMON ALA SUR CS. 307</t>
  </si>
  <si>
    <t>gerencia@medsport.com.co</t>
  </si>
  <si>
    <t>SALUD OCUPACIONAL SANITAS SAS</t>
  </si>
  <si>
    <t>Rosemarie Eslait de Supelano</t>
  </si>
  <si>
    <t>Tv 60 115 58 Torre B piso 3</t>
  </si>
  <si>
    <t>6466060 ext 5710311 -3173822322</t>
  </si>
  <si>
    <t>saludocupacionalsanitas@colsanitas.com</t>
  </si>
  <si>
    <t>Salud Ocupacional Sede CUC</t>
  </si>
  <si>
    <t>Maria Fernanda Angulo Padilla</t>
  </si>
  <si>
    <t>CL 23 NO. 66 -46 INT 4 CN 1024 -1025 -1026</t>
  </si>
  <si>
    <t>5948650 EXTENSION 5716960</t>
  </si>
  <si>
    <t>Salud Ocupacional Sede Ilarco</t>
  </si>
  <si>
    <t>Tv 60 115 58 Torre B Piso 3</t>
  </si>
  <si>
    <t>6466060 EXT 5710311 - 3173822322</t>
  </si>
  <si>
    <t>ASOCIACION PROMOTORA DE PROYECTOS SERVICIOS ASESORIAS CULTURALES SOCIALES Y ADMINISTRATIVAS - PROACTIVA</t>
  </si>
  <si>
    <t>JOHAN ADRIAN RUIZ</t>
  </si>
  <si>
    <t>KR 52 # 70 18</t>
  </si>
  <si>
    <t>ASOCIACINPROACTIVA@YAHOO.CES</t>
  </si>
  <si>
    <t>CENTRO PARA LA INTEGRACION GRUPO 1</t>
  </si>
  <si>
    <t>CLAUDIA PATRICIA CARRILLO</t>
  </si>
  <si>
    <t>CALLE 71 N 95 -31</t>
  </si>
  <si>
    <t>asociacionproactiva@yahoo.es</t>
  </si>
  <si>
    <t>CENTRO PARA LA INTEGRACION GRUPO 2</t>
  </si>
  <si>
    <t>GLORIA BEATRIZ PIEDRAHITA</t>
  </si>
  <si>
    <t>CRA 23 N 4 - 25 SUR</t>
  </si>
  <si>
    <t>CENTRO PARA LA INTEGRACION GRUPO 3</t>
  </si>
  <si>
    <t>GLENDA KARINA REINOSO</t>
  </si>
  <si>
    <t>CRA 13 N 10 - 20</t>
  </si>
  <si>
    <t>CENTRO PARA LA INTEGRACION GRUPO 4</t>
  </si>
  <si>
    <t>MARCELA PARRA</t>
  </si>
  <si>
    <t>CRA 89 A N 68A -24 SUR</t>
  </si>
  <si>
    <t>CENTRO PARA LA INTEGRACION GRUPO5</t>
  </si>
  <si>
    <t>ELOISA GAITAN OROZCO</t>
  </si>
  <si>
    <t>CLL 70N 55 - 18</t>
  </si>
  <si>
    <t>CENTRO PARA LA INTEGRACION GRUPO 6</t>
  </si>
  <si>
    <t>YANETH PADILLA</t>
  </si>
  <si>
    <t>CL 71 # 54 95</t>
  </si>
  <si>
    <t>CENTRO PARA LA INTEGRACION GRUPO 7</t>
  </si>
  <si>
    <t>CRA 89 A N 68 A - 24 SUR</t>
  </si>
  <si>
    <t>IPS DENTI EXPRESS E U</t>
  </si>
  <si>
    <t>ANDREA DEL PILAR URUEс PRADA</t>
  </si>
  <si>
    <t>Cra 63 No 57 B - 27 SUR</t>
  </si>
  <si>
    <t>7100164 - 3133533818</t>
  </si>
  <si>
    <t>andrea.uruena@yahoo.es</t>
  </si>
  <si>
    <t>I P S DENTI EXPRESS E U</t>
  </si>
  <si>
    <t>ANDREA DEL PILAR URUEAс PRADA</t>
  </si>
  <si>
    <t>ATRYS COLOMBIA S.A.S.</t>
  </si>
  <si>
    <t>FERNANDO LEON MEDINA MONSALVE</t>
  </si>
  <si>
    <t>Av Calle 116 # 9-72 Consultorio 410</t>
  </si>
  <si>
    <t>7444187 / 5806969</t>
  </si>
  <si>
    <t>sistemadecalidad-co@atryshealth.com</t>
  </si>
  <si>
    <t>www.atryscolombia.com</t>
  </si>
  <si>
    <t>JUAN DANIEL SERRANO SANIN</t>
  </si>
  <si>
    <t>ATRYS COLOMBIA SAS</t>
  </si>
  <si>
    <t>Avenida Carrera 15 88 64 Oficina 804 Edificio Zimma P.H.</t>
  </si>
  <si>
    <t>ASISFARMA S.A.S</t>
  </si>
  <si>
    <t>LUZ MARINA VELANDIA MARTINEZ</t>
  </si>
  <si>
    <t>KR 13 48-26 CONSULTORIO 104 - 201 - 203 - 204</t>
  </si>
  <si>
    <t>direccionasistencial@asisfarma.com.co</t>
  </si>
  <si>
    <t>ASISFARMA Instituto Medico Bogota</t>
  </si>
  <si>
    <t>JUAN CARLOS TRUJILLO GARCIA</t>
  </si>
  <si>
    <t>ASISFARMA SEDE IPS CASTELLANA</t>
  </si>
  <si>
    <t>KR 47 # 93 58</t>
  </si>
  <si>
    <t>IPS Asisfarma Teusaquillo</t>
  </si>
  <si>
    <t>Juan Carlos Trujillo Garc�/td&gt;</t>
  </si>
  <si>
    <t>Cr 13 # 37 - 37 Piso 6 Edificio Cavipetrol</t>
  </si>
  <si>
    <t>3157976810 - 2482002</t>
  </si>
  <si>
    <t>OPTICA CALDERON VARGAS LTDA</t>
  </si>
  <si>
    <t>CL 19 # 13 A 35 - Barrio:CENTRO</t>
  </si>
  <si>
    <t>opticascalderonvargas@gmail.com</t>
  </si>
  <si>
    <t>OPTICA OMEGA 19</t>
  </si>
  <si>
    <t>ESTEBAN VARGAS POLANCO</t>
  </si>
  <si>
    <t>CL 19 # 13 A 35</t>
  </si>
  <si>
    <t>CLINISUR IPS 1 LTDA</t>
  </si>
  <si>
    <t>JOSE OMAR NALAGON FIGUEROA</t>
  </si>
  <si>
    <t>Calle 27 Sur No 19-07</t>
  </si>
  <si>
    <t>gerencia@clinisurips.com</t>
  </si>
  <si>
    <t>www.clinisurips.com</t>
  </si>
  <si>
    <t>JOSE OMAR MALAGON FIGUEROA</t>
  </si>
  <si>
    <t>OPTICAS VARGAS SAS</t>
  </si>
  <si>
    <t>CL 19 # 8- 95</t>
  </si>
  <si>
    <t>2849084 - 2436759</t>
  </si>
  <si>
    <t>opticaitaliana895@hotmail.com</t>
  </si>
  <si>
    <t>OPTICA ITALIANA</t>
  </si>
  <si>
    <t>CARLOS ESTEBAN VARGAS CALDERӎ</t>
  </si>
  <si>
    <t>Cl 19 8 95 Lc 7 Piso 1 Y 2</t>
  </si>
  <si>
    <t>OPTICA ITALIANA CENTRO COMERCIAL SALITRE PLAZA</t>
  </si>
  <si>
    <t>VARGAS POLANCO ESTEBAN</t>
  </si>
  <si>
    <t>KR 68 B # 40 - 39 LC 1 - 67</t>
  </si>
  <si>
    <t>4169098 - 4168106</t>
  </si>
  <si>
    <t>OPTICA ITALIANA SUCURSAL CENTRO COMERCIAL SNTAFE</t>
  </si>
  <si>
    <t>CL 183 # 45 - 03 LC 213</t>
  </si>
  <si>
    <t>OPTICA ITALIANA OMNI 19</t>
  </si>
  <si>
    <t>VARGAS CALDERON CARLOS ESTEBAN</t>
  </si>
  <si>
    <t>CL 19 # 8-23 y 8 -25</t>
  </si>
  <si>
    <t>2842639 - 2842358</t>
  </si>
  <si>
    <t>OPTICA ITALIANA SUCURSAL CENTRO COMERCIAL CENTRO MAYOR</t>
  </si>
  <si>
    <t>AK 27 # 38A - 61 SUR LC 1150</t>
  </si>
  <si>
    <t>7340684-7340637</t>
  </si>
  <si>
    <t>optisantaclara@hotmail.com</t>
  </si>
  <si>
    <t>OPTICA ITALIANA PASEO VILLA DEL RIO</t>
  </si>
  <si>
    <t>CALLE 57 D SUR # 78 H - 14 LOCAL 219</t>
  </si>
  <si>
    <t>contabilidad@opticaitaliana.com</t>
  </si>
  <si>
    <t>OPTICA ITALIANA CALLE 125</t>
  </si>
  <si>
    <t>CALLE 125 # 21 A - 34</t>
  </si>
  <si>
    <t>315 3437505</t>
  </si>
  <si>
    <t>OPTICA ITALIANA CARRERA 10</t>
  </si>
  <si>
    <t>CARLOS ESTEBAN VARGAS CALDERON</t>
  </si>
  <si>
    <t>Calle 19 No. 10 - 39 Local 3 Piso 1 Y 2</t>
  </si>
  <si>
    <t>OPTICA ITALIANA CARRERA QUINTA</t>
  </si>
  <si>
    <t>Cl 19 # 4 98 Lc 102 Piso 1 Y 2</t>
  </si>
  <si>
    <t>opticasvargasltda@gmail.com</t>
  </si>
  <si>
    <t>SERVICIOS MEDICOS INTEGRALES SANTA ELENA SAS</t>
  </si>
  <si>
    <t>RICARDO MENDOZA AMAYA</t>
  </si>
  <si>
    <t>CALLE 27 SUR No 19-19</t>
  </si>
  <si>
    <t>601 6264247 - 3115117029 - 3183832985</t>
  </si>
  <si>
    <t>ocupacional.santaelena@gmail.com</t>
  </si>
  <si>
    <t>ALBA LUZ BALAGUERA RODRIGUEZ</t>
  </si>
  <si>
    <t>CALE 27 SUR No 19-19</t>
  </si>
  <si>
    <t>GRUPO OCUPACIONAL LTDA</t>
  </si>
  <si>
    <t>SANDRA CONSTANZA USECHE GARCIA</t>
  </si>
  <si>
    <t>CARRERA 27 A # 52-48</t>
  </si>
  <si>
    <t>7551842 - 7551843 - 7551844</t>
  </si>
  <si>
    <t>grupoocupacional@gmail.com</t>
  </si>
  <si>
    <t>Carrera 27 A # 52-48</t>
  </si>
  <si>
    <t>TAREAS TALLERES TERAPEUTICOS INTEGRADOS EU</t>
  </si>
  <si>
    <t>Irma GuzmᮠMoncada</t>
  </si>
  <si>
    <t>Carrera 47 No.101 B 08</t>
  </si>
  <si>
    <t>5 33 15 72</t>
  </si>
  <si>
    <t>centrotarea@hotmail.com</t>
  </si>
  <si>
    <t>TAREAS TALLERES TERAPEUTICOS INTEGRADOS E U</t>
  </si>
  <si>
    <t>Cra 47 No. 101B 08</t>
  </si>
  <si>
    <t>centrotareas@hotmail.com</t>
  </si>
  <si>
    <t>IMAGEN Y RADIOLOGIA ORAL SAS SIGLA IRO SAS</t>
  </si>
  <si>
    <t>MONICA GRANADOS MORA</t>
  </si>
  <si>
    <t>CL 4 # 56- 04 PI 2</t>
  </si>
  <si>
    <t>3049620-3107773218</t>
  </si>
  <si>
    <t>irodigital@gmail.com</t>
  </si>
  <si>
    <t>www.iroradiologiaoral.com</t>
  </si>
  <si>
    <t>Monica Granados Mora</t>
  </si>
  <si>
    <t>CL 4 # 56 04 PI 2</t>
  </si>
  <si>
    <t>CLINICA COLOMBIANA DE PROTESIS DENTALES EU</t>
  </si>
  <si>
    <t>FAUSTO ALARCON GARCIA</t>
  </si>
  <si>
    <t>AK 58 No 127-34</t>
  </si>
  <si>
    <t>2533159 -5223457</t>
  </si>
  <si>
    <t>clinica.colombianadeprotesisdentales@hotmail.com</t>
  </si>
  <si>
    <t>FRANCY ELENA FIGUEROA MENDOZA</t>
  </si>
  <si>
    <t>3022555911 - 3005515669</t>
  </si>
  <si>
    <t>IPS MUNDO SALUD MEDICAL GROUP LTDA</t>
  </si>
  <si>
    <t>CESAR AUGUSTO RUIZ GALLEGO</t>
  </si>
  <si>
    <t>Cl 27 Sur # 19 - 02 P1</t>
  </si>
  <si>
    <t>coordinacion@vacunacionmundosalud.com</t>
  </si>
  <si>
    <t>PEDRO PINEDA ORTIZ</t>
  </si>
  <si>
    <t>Cl 27 Sur # 19-02 P1</t>
  </si>
  <si>
    <t>RADA CASSAB MEDICINA ESTETICA S.A.S.</t>
  </si>
  <si>
    <t>ALEJANDRO RADA CASSAB</t>
  </si>
  <si>
    <t>CL 79 B # 8 10 PI 2 Y 5</t>
  </si>
  <si>
    <t>atencionusuarios@radacassab.com</t>
  </si>
  <si>
    <t>www.radacassab.com</t>
  </si>
  <si>
    <t>RADA CASSAB MEDICINA ESTETICA S.A.S</t>
  </si>
  <si>
    <t>LEIDY LEON MELGAREJO</t>
  </si>
  <si>
    <t>CL 79 B # 8 10 PI 2 y 5</t>
  </si>
  <si>
    <t>6202081 - 3142748635</t>
  </si>
  <si>
    <t>CENTRO DE ATENCION INTEGRAL DE HERIDAS CRӎICAS COMPLEJAS S.A. "CAIHCRON"</t>
  </si>
  <si>
    <t>GABRIEL ERNESTO RIVEROS DUEсS</t>
  </si>
  <si>
    <t>AK 45 No. 103-19</t>
  </si>
  <si>
    <t>6017369493 - 6013003605- 6017040758</t>
  </si>
  <si>
    <t>caihcron@gmail.com</t>
  </si>
  <si>
    <t>CENTRO DE ATENCIӎ INTEGRAL DE HERIDAS CRӎICAS COMPLEJAS S.A. "CAIHCRON"</t>
  </si>
  <si>
    <t>2364461 2164344</t>
  </si>
  <si>
    <t>FOMACI EU</t>
  </si>
  <si>
    <t>Adriana Isabel Monsalve Ortiz</t>
  </si>
  <si>
    <t>CL 127 A N 7 -19 CS 608 A</t>
  </si>
  <si>
    <t>3162270571 3143549325</t>
  </si>
  <si>
    <t>fomaci@yahoo.com</t>
  </si>
  <si>
    <t>www.fomaci.com</t>
  </si>
  <si>
    <t>ADRIANA ISABEL MONSALVE ORTIZ</t>
  </si>
  <si>
    <t>CENTROS OPTICOS VARCAMYS EU</t>
  </si>
  <si>
    <t>VARGAS CALDERON MYRIAM STELLA</t>
  </si>
  <si>
    <t>CL 19 # 13A - 25</t>
  </si>
  <si>
    <t>varcamys.eu@hotmail.com</t>
  </si>
  <si>
    <t>OPTICA MEDELLIN</t>
  </si>
  <si>
    <t>CL 19 # 13 A 25</t>
  </si>
  <si>
    <t>OPTICA MEDELLIN II</t>
  </si>
  <si>
    <t>CRA 15 # 51 - 83</t>
  </si>
  <si>
    <t>MILAN CENTRO VISUAL</t>
  </si>
  <si>
    <t>CRA 15 # 51 - 85</t>
  </si>
  <si>
    <t>ABC BEBE ECOGRAFIAS MEDICAS LTDA</t>
  </si>
  <si>
    <t>RICARDO MELGAREJO ROMERO</t>
  </si>
  <si>
    <t>CRA 11 n 96-43 CONSULTORIO 103</t>
  </si>
  <si>
    <t>ricardopatricia@hotmail.com</t>
  </si>
  <si>
    <t>CRA 11 N 96-43 CONSULTORIO 103</t>
  </si>
  <si>
    <t>SERVICIOS INTEGRADOS DE SALUD OCUPACIONAL SIS CONSULTORIAS LTDA</t>
  </si>
  <si>
    <t>CALLE 67# 10 A- 40 PISO 3 OFC 301 302 303 304 305 306 307 308 309</t>
  </si>
  <si>
    <t>siscentromedico@yahoo.com</t>
  </si>
  <si>
    <t>ALEX FERNANDO ROMERO ZUBIETA</t>
  </si>
  <si>
    <t>Calle 67 No. 10A -40 PISO 3 OFC 301 302 303 304 305 306 307 308 309</t>
  </si>
  <si>
    <t>INVERSIONES Y REPRESENTACIONES ALFA YA LTDA</t>
  </si>
  <si>
    <t>FREDDY JULIAN TORO ORTIZ</t>
  </si>
  <si>
    <t>AV. 19 #12-45</t>
  </si>
  <si>
    <t>INVERSIONES Y REPRESENTACIONES ALFA YA ALFA</t>
  </si>
  <si>
    <t>AV. 19 # 12-45</t>
  </si>
  <si>
    <t>INVERSIONES Y REPRESENTACIONES ALFA YA LTDA VISION</t>
  </si>
  <si>
    <t>AV 19 N. 12-23</t>
  </si>
  <si>
    <t>vision.alfa@hotmail.com</t>
  </si>
  <si>
    <t>GRUPO DE INVERSIONES EMPRESARIALES SAS GIEM SAS</t>
  </si>
  <si>
    <t>AC 26 N 68 C 61 - LCO 107</t>
  </si>
  <si>
    <t>7461111 - 3107862504 - 4273466 - 3204880062 - 3107865147</t>
  </si>
  <si>
    <t>ODONTOLOGIA DE MARLON BECERRA SEDE SALITRE</t>
  </si>
  <si>
    <t>INVERSIONES B CEBALLOS A E U</t>
  </si>
  <si>
    <t>BERNARDO CEBALLOS ANDRADE</t>
  </si>
  <si>
    <t>CL 128 B No. 58 B 13</t>
  </si>
  <si>
    <t>gerenciavillas@clinicaelitedental.com.co</t>
  </si>
  <si>
    <t>ELITE DENTAL VILLAS.</t>
  </si>
  <si>
    <t>B</t>
  </si>
  <si>
    <t>BIOTECNOLOGIA Y GENETICA S.A.S BIOTECGEN S.A.S</t>
  </si>
  <si>
    <t>MILENA DEL PILAR GOMEZ PARRADO</t>
  </si>
  <si>
    <t>CL 119 49 26 Piso 1</t>
  </si>
  <si>
    <t>gerenciageneral@biotecgen.com.co</t>
  </si>
  <si>
    <t>https://biotecgen.com.co</t>
  </si>
  <si>
    <t>BIOTECGEN LABORATORIO CLINICO</t>
  </si>
  <si>
    <t>Yenny Milena Del Pilar Gomez Parrando</t>
  </si>
  <si>
    <t>Ac 9 62 84 Piso 2 Local - 2-20 Nivel 1 Centro Comercial Outlet Factory</t>
  </si>
  <si>
    <t>BIOTECGEN LABORATORIO CLINICO CALLE 119</t>
  </si>
  <si>
    <t>Yenny Milena Del Pilar Gomez Parrado</t>
  </si>
  <si>
    <t>Calle 119 No 49-26 Piso 1</t>
  </si>
  <si>
    <t>garantiadelacalidad@biotecgen.com.co</t>
  </si>
  <si>
    <t>CENTRO MEDICO ECOMEDICA E.U.</t>
  </si>
  <si>
    <t>CLAUDIA PATRICIA BAHAMON TOVAR</t>
  </si>
  <si>
    <t>CALLE 34 No 14-33</t>
  </si>
  <si>
    <t>CBAHAMON@HOTMAIL.COM</t>
  </si>
  <si>
    <t>GRUPO EMPRESARIAL P&amp;P S.A.S.</t>
  </si>
  <si>
    <t>ILSEN OLIVA PUERTO MORALES</t>
  </si>
  <si>
    <t>AC 26 # 69 D 91 OF 601 TO AVENIDA EL DORADO</t>
  </si>
  <si>
    <t>yelopu24@hotmail.com</t>
  </si>
  <si>
    <t>CITY DENT CLINICAS DENTALES DE COLOMBIA</t>
  </si>
  <si>
    <t>CR 80 No 55-36 SUR</t>
  </si>
  <si>
    <t>KR 100 No 22J-11</t>
  </si>
  <si>
    <t>CL 142 No 103F-79</t>
  </si>
  <si>
    <t>KR 13 No 57-39</t>
  </si>
  <si>
    <t>TV 94A No 80a-87</t>
  </si>
  <si>
    <t>CLINICAS ODONTOLOGICAS ORAL CENTRY</t>
  </si>
  <si>
    <t>CL 141B N 103 F 82</t>
  </si>
  <si>
    <t>TV 21A # 21-08 SUR</t>
  </si>
  <si>
    <t>TRANSV. 74 F No. 40-03 SUR</t>
  </si>
  <si>
    <t>CITYDENT CLINICAS DENTALES DE COLOMBIA</t>
  </si>
  <si>
    <t>CL 38 SUR # 86 07</t>
  </si>
  <si>
    <t>CITY DENT CL͎ICAS DENTALES DE COLOMBIA</t>
  </si>
  <si>
    <t>CALLE 38 SUR No. 86-15</t>
  </si>
  <si>
    <t>LILIANA SANCHEZ</t>
  </si>
  <si>
    <t>AV CRA 19 N 135 05</t>
  </si>
  <si>
    <t>AUTOPISTA SUR 54 B - 11</t>
  </si>
  <si>
    <t>TRANSVERSAL 78L N69 - 29 SUR</t>
  </si>
  <si>
    <t>CARRERA 88 C N56F - 97 SUR</t>
  </si>
  <si>
    <t>ILSEN PUERTO MORALES</t>
  </si>
  <si>
    <t>CALLE 65 N80C - 04 SUR</t>
  </si>
  <si>
    <t>CARRERA 87M #59 - 95 SUR</t>
  </si>
  <si>
    <t>CALLE 142 N103F - 72</t>
  </si>
  <si>
    <t>unidad medica rafha sas</t>
  </si>
  <si>
    <t>JOSE URIEL NIя MENDIVELSO</t>
  </si>
  <si>
    <t>KR 110 # 70 A 46</t>
  </si>
  <si>
    <t>4345234-3124136902</t>
  </si>
  <si>
    <t>rafhamedica@hotmail.com</t>
  </si>
  <si>
    <t>jose uriel ni񯠭endivelso</t>
  </si>
  <si>
    <t>unidadlaboratorios@hotmail.com</t>
  </si>
  <si>
    <t>ORIENTA FAMILIAR IPS EU</t>
  </si>
  <si>
    <t>AK 14 # 33 A 55</t>
  </si>
  <si>
    <t>orientafamiliaripseu@hotmail.com</t>
  </si>
  <si>
    <t>IRMA GOMEZ CARVAJAL</t>
  </si>
  <si>
    <t>CALLE 34 14 57</t>
  </si>
  <si>
    <t>LUIS EDUARDO BUITRAGO AVILA Y / O UNIDAD CLINICA ODONTOLOGICA VENECIA SAS</t>
  </si>
  <si>
    <t>Dr. LUIS EDUARDO BUITRAGO AVILA</t>
  </si>
  <si>
    <t>CL 45A SUR 51D 31</t>
  </si>
  <si>
    <t>lebavenecia@hotmail.com</t>
  </si>
  <si>
    <t>ODONTOLAY VENECIA</t>
  </si>
  <si>
    <t>ODONTOLAY JAVERIANA</t>
  </si>
  <si>
    <t>KR 13 #. 44 - 35 PI 2</t>
  </si>
  <si>
    <t>ZONAMEDICA MR SAS</t>
  </si>
  <si>
    <t>HERNANDO ANDRES MEDINA RODRIGUEZ</t>
  </si>
  <si>
    <t>AK 28 n. 41-36 - Barrio:La Soledad</t>
  </si>
  <si>
    <t>7514626 - 3214256063</t>
  </si>
  <si>
    <t>habilitacion@zonamedicaips.com</t>
  </si>
  <si>
    <t>zonamedica.ips@gmail.com</t>
  </si>
  <si>
    <t>ZONAMEDICA SEDE NORTE</t>
  </si>
  <si>
    <t>HERNANDO ANDRɓ MEDINA RODRIGUEZ</t>
  </si>
  <si>
    <t>Cra 45 No 105 - 21</t>
  </si>
  <si>
    <t>subgerencia@zonamedicaips.com</t>
  </si>
  <si>
    <t>ZONAMEDICA SEDE SOLEDAD</t>
  </si>
  <si>
    <t>AK 28 n. 41-36</t>
  </si>
  <si>
    <t>7514626 -3214256063</t>
  </si>
  <si>
    <t>ZONAMEDICA CRC SAN RAFAEL</t>
  </si>
  <si>
    <t>Avenida Calle 134 55 32 Local S1 - L1</t>
  </si>
  <si>
    <t>ZONAMEDICA SEDE AMERICAS</t>
  </si>
  <si>
    <t>AC 9 # 62 84 LC L2-13 L2-14 L2-15</t>
  </si>
  <si>
    <t>ZONAMEDICA AVENIDA 68</t>
  </si>
  <si>
    <t>Hernando Andres Medina Rodriguez</t>
  </si>
  <si>
    <t>Avenida Calle 17 65 B 90 Local 3</t>
  </si>
  <si>
    <t>RAFAEL EDUARDO ZULUAGA MOGOLLON E.U.</t>
  </si>
  <si>
    <t>RAFAEL EDUARDO ZULUAGA MOGOLLON</t>
  </si>
  <si>
    <t>CALLE 19 No 8-67</t>
  </si>
  <si>
    <t>OPTICA MARCON"Z</t>
  </si>
  <si>
    <t>OPTIPLUS</t>
  </si>
  <si>
    <t>CALLE 19 No 8-59</t>
  </si>
  <si>
    <t>OPTIPUNTO 19</t>
  </si>
  <si>
    <t>CALLE 19 No 8-61</t>
  </si>
  <si>
    <t>CALLE 22 Sur No 19-14</t>
  </si>
  <si>
    <t>CALLE 22 SUR No 20-37</t>
  </si>
  <si>
    <t>POLICLINICO DIAGNOSTICO DEL SUR E. U.</t>
  </si>
  <si>
    <t>JESSIKA MARIETH PRADA BANGUERO</t>
  </si>
  <si>
    <t>CLL 27 SUR 19B -05 / 07</t>
  </si>
  <si>
    <t>polisursalud@gmail.com</t>
  </si>
  <si>
    <t>POLICLINICO DIAGNOSTICO DEL SUR E.U.</t>
  </si>
  <si>
    <t>JAIRO PRADA BAUTISTA</t>
  </si>
  <si>
    <t>CLL 27 SUR 19B-05/07</t>
  </si>
  <si>
    <t>PREVITEST SAS IPS</t>
  </si>
  <si>
    <t>Akira Norio Angarita</t>
  </si>
  <si>
    <t>AVENIDA CARRERA 15 119 86 Consultorio 302</t>
  </si>
  <si>
    <t>7464793 - 3046341981</t>
  </si>
  <si>
    <t>previtest@gmail.com</t>
  </si>
  <si>
    <t>PREVITEST UNICENTRO UNO</t>
  </si>
  <si>
    <t>Nathalia Lopez Bernal</t>
  </si>
  <si>
    <t>AK 15 # 119 - 86 Consultorio 302</t>
  </si>
  <si>
    <t>PREVITEST 197</t>
  </si>
  <si>
    <t>NATHALIA LOPEZ BERNAL</t>
  </si>
  <si>
    <t>AUTOPISTA NORTE # 197 - 75 PISO 2</t>
  </si>
  <si>
    <t>OPTICAS SBC LIMITADA</t>
  </si>
  <si>
    <t>NUBIA STELLA BOHORQUEZ FLOREZ</t>
  </si>
  <si>
    <t>AVENIDA CARRERA 45 No 159-50 P-2</t>
  </si>
  <si>
    <t>auditoriaipsopticassbc@gmail.com</t>
  </si>
  <si>
    <t>OPTICAS SBC LTDA CONSULTORIO</t>
  </si>
  <si>
    <t>AVENIDA CARRERA 45 No 159 -50 P-1</t>
  </si>
  <si>
    <t>OPTICAS SBC LIMITADA CONSULTORIO</t>
  </si>
  <si>
    <t>AVENIDA CALLE 53 #21 - 80</t>
  </si>
  <si>
    <t>KR 58 # 128 B 76</t>
  </si>
  <si>
    <t>CARRERA 51 No. 50-51 SUR</t>
  </si>
  <si>
    <t>CRA 70D No, 127A-20 INT 8 LC 52</t>
  </si>
  <si>
    <t>CALLE 47B No 24B 33 SUR LOCAL 1020</t>
  </si>
  <si>
    <t>CARERA 80 No 45 A -07 SUR</t>
  </si>
  <si>
    <t>NUBIA STELLA BOHOQUEZM FLOREZ</t>
  </si>
  <si>
    <t>CALLE 185 No 45 03 LC 2 123 C.C. SANTAFE</t>
  </si>
  <si>
    <t>CL 47 B SUR No 24 B 33 LC 1145 1146 CC TUNAL</t>
  </si>
  <si>
    <t>CL 20 No 82 52 LC 1 49 C C HAYUELOS</t>
  </si>
  <si>
    <t>UNIDAD MEDICA Y ODONTOLOGICA SANTA PILAR E.U.</t>
  </si>
  <si>
    <t>WILLIAM OTALORA GUTIERREZ</t>
  </si>
  <si>
    <t>AK 14 74 C 03 Sur</t>
  </si>
  <si>
    <t>6017612926 - 3008010381</t>
  </si>
  <si>
    <t>umedicosp@hotmail.com</t>
  </si>
  <si>
    <t>AK 14 74 C 03 SUR</t>
  </si>
  <si>
    <t>CENTRO MEDICO LABORATORIO CLINICO OLAYA SAS</t>
  </si>
  <si>
    <t>ROSALIA MORENO CHAPARRO</t>
  </si>
  <si>
    <t>CR 21 No. 23 - 38 sur PISO 1 2 3 - Barrio:OLAYA</t>
  </si>
  <si>
    <t>6012397687 3025454106</t>
  </si>
  <si>
    <t>centromedicoolaya@gmail.com</t>
  </si>
  <si>
    <t>CENTRO MEDICO LABORATORIO CLINICO OLAYA</t>
  </si>
  <si>
    <t>KR 21 26 52 SUR PISO 1</t>
  </si>
  <si>
    <t>2397687 3025454106</t>
  </si>
  <si>
    <t>CR 21 No. 23 - 38 sur PISO 1 2 3</t>
  </si>
  <si>
    <t>YEBER SAS</t>
  </si>
  <si>
    <t>CL 123 7B 70</t>
  </si>
  <si>
    <t>gerencia@clinicadentalsantabarbara.com</t>
  </si>
  <si>
    <t>www.clinicadentalsantabarbara.com</t>
  </si>
  <si>
    <t>CLINICA DENTAL SANTA BARBARA</t>
  </si>
  <si>
    <t>ADRIANA GOMEZ GELVEZ</t>
  </si>
  <si>
    <t>IMEDICAS DIAGNOSTICAS E.U.</t>
  </si>
  <si>
    <t>PEDRO ELIECER VASQUEZ BELTRAN</t>
  </si>
  <si>
    <t>CARRERA 21 No 22-76 SUR</t>
  </si>
  <si>
    <t>2728420-3112624474</t>
  </si>
  <si>
    <t>imedicas88@hotmail.com</t>
  </si>
  <si>
    <t>IMEDICAS DIAGNOSTICAS E.U</t>
  </si>
  <si>
    <t>CLINICA MARCO MARTINEZ EU SIGLA CLINICA SAN MIGUEL</t>
  </si>
  <si>
    <t>CRA 7 C No. 124 - 52 primer piso</t>
  </si>
  <si>
    <t>7031426 /56/62</t>
  </si>
  <si>
    <t>info@marcomartinezestetica.com</t>
  </si>
  <si>
    <t>CLINICA MARCO MARTINEZ EU CLINICA SAN MIGUEL</t>
  </si>
  <si>
    <t>MARCO ANTONIO MARTINEZ BELLOSO</t>
  </si>
  <si>
    <t>IMAGENES DIAGNOSTICAS TEUSA SAS</t>
  </si>
  <si>
    <t>CARLOS HERNAN OCHOA MARQUEZ</t>
  </si>
  <si>
    <t>KR 18 # 80 - 32 CS 305</t>
  </si>
  <si>
    <t>contacto@ecografiasteusa.com</t>
  </si>
  <si>
    <t>IMAGENES DIAGNOSTICAS TEUSA</t>
  </si>
  <si>
    <t>KARIN PATRICIA RONDON PAYARES</t>
  </si>
  <si>
    <t>GRUPO DEPILAGE LTDA</t>
  </si>
  <si>
    <t>JUAN DIEGO AMAYA ESPINOSA</t>
  </si>
  <si>
    <t>cra 7 no 115-60 Lc B106</t>
  </si>
  <si>
    <t>info@depilee.com</t>
  </si>
  <si>
    <t>depile e</t>
  </si>
  <si>
    <t>cr 7 no 115-60 lc B106</t>
  </si>
  <si>
    <t>GENETIX SAS</t>
  </si>
  <si>
    <t>CLAUDIA JULIANA SERRANO SERRANO</t>
  </si>
  <si>
    <t>CL 77 # 11 19 OF 601-605</t>
  </si>
  <si>
    <t>calidad@genetix.com.co</t>
  </si>
  <si>
    <t>CENTRO DE MEDICINA PREDICTIVA</t>
  </si>
  <si>
    <t>HELGA MILENA RODRIGUEZ HERRERA</t>
  </si>
  <si>
    <t>MEDICINA INTEGRAL SAN SALVADOR EU</t>
  </si>
  <si>
    <t>JOSELIN ARDILA GONZALEZ</t>
  </si>
  <si>
    <t>Cl. 42 F SUR No. 79 -06 IN 1</t>
  </si>
  <si>
    <t>gerencia@ovpsolutions.com</t>
  </si>
  <si>
    <t>MEDICINA INTEGRAL SAN SALVADOR E U</t>
  </si>
  <si>
    <t>ALBA LUCIA SAENZ CHURQUE</t>
  </si>
  <si>
    <t>OPTICAS NOVA LTDA</t>
  </si>
  <si>
    <t>BELTRAN OCHOA ELICET</t>
  </si>
  <si>
    <t>CARRERA 92 No.147 - 61</t>
  </si>
  <si>
    <t>eppnova@hotmail.com</t>
  </si>
  <si>
    <t>AUTOPISTA SUR No.49 - 51</t>
  </si>
  <si>
    <t>DENT HOLDING S.A.S</t>
  </si>
  <si>
    <t>JOSE LUIS PULIDO MARTINEZ</t>
  </si>
  <si>
    <t>Calle 82 No. 10 - 39 Local 201</t>
  </si>
  <si>
    <t>dentholding@gmail.com</t>
  </si>
  <si>
    <t>ANDRES FELIPE PULIDO RAMIREZ</t>
  </si>
  <si>
    <t>INSTITUTO DE FORMACIӎ E INVESTIGACIӎ TɃNICA S.A INFORTEC</t>
  </si>
  <si>
    <t>Jairo Ivan Ramirez Garcia</t>
  </si>
  <si>
    <t>KR 22 BIS # 74 A 19</t>
  </si>
  <si>
    <t>admisiones@infortec.com.co</t>
  </si>
  <si>
    <t>www.infortec.com.co</t>
  </si>
  <si>
    <t>MANTILLA SILVA S.A.S.</t>
  </si>
  <si>
    <t>CL 87 # 15 23 OFICINA 601</t>
  </si>
  <si>
    <t>6362351-3138897117</t>
  </si>
  <si>
    <t>gerencia@lopmanplus.com</t>
  </si>
  <si>
    <t>www.lopmanplus.com</t>
  </si>
  <si>
    <t>LOPMAN PLUS</t>
  </si>
  <si>
    <t>GLOBAL LIFE AMBULANCIAS SAS</t>
  </si>
  <si>
    <t>JAVIER FERNANDO NIETO BELLO</t>
  </si>
  <si>
    <t>CALLE 163 No. 16 C 62</t>
  </si>
  <si>
    <t>calidad@glambulancias.com</t>
  </si>
  <si>
    <t>www.glambulancias.com</t>
  </si>
  <si>
    <t>CALLE 163 # 16 C 62</t>
  </si>
  <si>
    <t>EL MERCADO OPTICO LTDA</t>
  </si>
  <si>
    <t>SANDRA ARTUNDUAGA WALTEROS</t>
  </si>
  <si>
    <t>CALLE 19 12 41 OF 303</t>
  </si>
  <si>
    <t>elmercadooptico@hotmail.com</t>
  </si>
  <si>
    <t>EL MERCADO OPTICO</t>
  </si>
  <si>
    <t>CALLE 19 12 39</t>
  </si>
  <si>
    <t>MERCADO OPTICO COOPERATIVA I S S</t>
  </si>
  <si>
    <t>CALLE 24 26 44/70</t>
  </si>
  <si>
    <t>CENTRO DE ORTOPEDIA Y TRAUMATOLOGIA UNICENTRO LTDA</t>
  </si>
  <si>
    <t>NESTOR ELIAS SANCHEZ DICELIS</t>
  </si>
  <si>
    <t>AK 15 # 124 - 47 OF 201-202-203-204-205-206-301-302-303-304-309-310-412-501-508-602</t>
  </si>
  <si>
    <t>centro-ortopedia@hotmail.com</t>
  </si>
  <si>
    <t>N</t>
  </si>
  <si>
    <t>AK 15 NO. 124 47 OF 201-202-203-204-205-206-302-303-304-309-412-501</t>
  </si>
  <si>
    <t>R Y S VACUNACIONES SAS</t>
  </si>
  <si>
    <t>Ral An�l Pel᥺ Mu񯺼/td&gt;</t>
  </si>
  <si>
    <t>CL 50 # 8 24 CS 204</t>
  </si>
  <si>
    <t>3003072965 - 3107991124</t>
  </si>
  <si>
    <t>gerenciarysvacunaciones@gmail.com</t>
  </si>
  <si>
    <t>INGRID YULIET PINEDA ARIAS</t>
  </si>
  <si>
    <t>3003072965/3015492322</t>
  </si>
  <si>
    <t>vacunaciones@rysvacunaciones.com</t>
  </si>
  <si>
    <t>ALIANZA EXAMENES EMPRESARIALES OCUPACIONALES Y SERVICIOS MEDICOS LTDA</t>
  </si>
  <si>
    <t>CL 63 # 24 44 CS 206 208</t>
  </si>
  <si>
    <t>Gerenciaalianzaexamenes@gmail.com</t>
  </si>
  <si>
    <t>LABORATORIO CLINICO ALIANZA</t>
  </si>
  <si>
    <t>JOHANNA EILEEN TELLEZ SIERRA</t>
  </si>
  <si>
    <t>SOCIEDAD DE CONSULTORIA Y PRESTACION DE SERVICIOS ANDAR S.A.S SIGLA A &amp; P ANDAR S.A.S</t>
  </si>
  <si>
    <t>CESAR AUGUSTO ANDRADE SERRANO</t>
  </si>
  <si>
    <t>AC 80 N 69 K 27</t>
  </si>
  <si>
    <t>coordinacion@ipsandar.com</t>
  </si>
  <si>
    <t>ANDAR CALLE 80</t>
  </si>
  <si>
    <t>VICTOR ALFONSO GARCIA ZACIPA</t>
  </si>
  <si>
    <t>TERAPIAS DEL NORTE ANDAR</t>
  </si>
  <si>
    <t>PAOLA ANDREA MORENO RODRIGUEZ</t>
  </si>
  <si>
    <t>AC 80 NO 69 H 31</t>
  </si>
  <si>
    <t>MARTHA TORRES DE RESTREPO IPS E.U</t>
  </si>
  <si>
    <t>CARRERA 16 No. 84 A 09 CONSULTORIOS 621 Y 622 CENTRO MEDICO ALMIRANTE COLON - Barrio:ANTIGUO COUNTRY</t>
  </si>
  <si>
    <t>7291825-6313247-3102951904</t>
  </si>
  <si>
    <t>martafisio@yahoo.es</t>
  </si>
  <si>
    <t>MARTHA TORRES DE RESTREPO IPS EU</t>
  </si>
  <si>
    <t>MARIA MARTA DE LA CRUZ TORRES DE RESTREPO</t>
  </si>
  <si>
    <t>CARRERA 16 No. 84 A 09 CONSULTORIOS 621 Y 622 CENTRO MEDICO ALMIRANTE COLON</t>
  </si>
  <si>
    <t>7291825-6313247-3105483639</t>
  </si>
  <si>
    <t>LABORATORIO DE CITOLOGIA Y PATOLOGIA EU Dra. Johanna Garavito Mazutier</t>
  </si>
  <si>
    <t>Carrera 18 No. 79-46 Consultorio 403 Piso 4</t>
  </si>
  <si>
    <t>3004129269 - 300 3687674</t>
  </si>
  <si>
    <t>lapacitltda@hotmail.com</t>
  </si>
  <si>
    <t>Johanna Garavito Mazutier</t>
  </si>
  <si>
    <t>Cra 18 No. 79-46 Cosultorio 403 Piso 4</t>
  </si>
  <si>
    <t>300 412 92 69 - 300 368 7674</t>
  </si>
  <si>
    <t>RIE ODONTOLOGIA INTEGRAL SAS</t>
  </si>
  <si>
    <t>CR 55 # 174B 03</t>
  </si>
  <si>
    <t>consultarie@yahoo.com</t>
  </si>
  <si>
    <t>RIE ODONTOLOGIA INTEGRAL</t>
  </si>
  <si>
    <t>DIANA PATRICIA OLARTE LIBREROS</t>
  </si>
  <si>
    <t>TERAPIAS BOGOTA S.A.S</t>
  </si>
  <si>
    <t>Calle 116 # 70 G -74 PRIMER PISO</t>
  </si>
  <si>
    <t>7944008 - 3003004659 - 3124700600</t>
  </si>
  <si>
    <t>marcesabogal@hotmail.com</t>
  </si>
  <si>
    <t>www.terapiasbogota.com</t>
  </si>
  <si>
    <t>LINA MARCELA SABOGAL DELGADO</t>
  </si>
  <si>
    <t>SBF SALUD BUCAL FAMILIAR LTDA.</t>
  </si>
  <si>
    <t>CL 90 # 19A 49 CONSULTORIO 301 OFICINA 503</t>
  </si>
  <si>
    <t>6235501 - 3138707940</t>
  </si>
  <si>
    <t>clinicasbf@gmail.com</t>
  </si>
  <si>
    <t>www.facebook.com/clinicasbf</t>
  </si>
  <si>
    <t>HECTOR FABIO PANTOJA BOHORQUEZ</t>
  </si>
  <si>
    <t>CLINICASBF@GMAIL.COM</t>
  </si>
  <si>
    <t>CLINICA ODONTOLOGICA S.E.A. CONSTRUCTORES DE SONRISAS LTDA.</t>
  </si>
  <si>
    <t>MAURICIO ARTURO BARRAGAN DELGADO</t>
  </si>
  <si>
    <t>KR 24 #. 63 D 70 (CS 201)</t>
  </si>
  <si>
    <t>marcept17@hotmail.com</t>
  </si>
  <si>
    <t>clinicasea@gmail.com</t>
  </si>
  <si>
    <t>CENTRO DE DIAGNOSTICO DERMATOLOGICO SAS</t>
  </si>
  <si>
    <t>EVELYNE HALPERT ZISKIEND</t>
  </si>
  <si>
    <t>AV 9 116 20 CS 718</t>
  </si>
  <si>
    <t>centrodiagnosticodermatologico@gmail.com</t>
  </si>
  <si>
    <t>CORPOALEGRIA</t>
  </si>
  <si>
    <t>JEANNETTE ROSAS</t>
  </si>
  <si>
    <t>CALLE 74A No 23-48 BARRIO:SAN FELIPE</t>
  </si>
  <si>
    <t>6960103-3108039756</t>
  </si>
  <si>
    <t>contacto@corpoalegria.org</t>
  </si>
  <si>
    <t>WWW.CORPOALEGRIA.ORG</t>
  </si>
  <si>
    <t>Av kra 30 # 75-45</t>
  </si>
  <si>
    <t>coordinadortalentohumano@corpoalegria.org</t>
  </si>
  <si>
    <t>JENNY ALEXANDRA PEDRAZA VALENCIA</t>
  </si>
  <si>
    <t>CALLE 74A No 23-48</t>
  </si>
  <si>
    <t>CLINICA CAMPO ABIERTO ORGANIZACION SANITAS INTERNACIONAL S.A.S.</t>
  </si>
  <si>
    <t>Rodrigo C󲤯ba Rojas</t>
  </si>
  <si>
    <t>CRA 69 NRO 170 - 40 / 70</t>
  </si>
  <si>
    <t>CLINICA CAMPO ABIERTO</t>
  </si>
  <si>
    <t>CLINICA CAMPO ABIERTO OCCIDENTE</t>
  </si>
  <si>
    <t>TOMS ESCALLӎ PAEZ</t>
  </si>
  <si>
    <t>Avenida Calle 53 71 A 13</t>
  </si>
  <si>
    <t>LABORATORIO DE CITOPATOLOGIA Y PATOLOGIA LTDA CITOMAP</t>
  </si>
  <si>
    <t>CL 45 C 21 A 33 CS 505</t>
  </si>
  <si>
    <t>citoalex@yahoo.es</t>
  </si>
  <si>
    <t>JORGE ALEXANDER CAMPOS BELLO</t>
  </si>
  <si>
    <t>SOLANO &amp; TERRONT SERVICIOS MEDICOS SAS</t>
  </si>
  <si>
    <t>MONICA ALEXANDRA TERRON LOZANO</t>
  </si>
  <si>
    <t>CRA.19 No 82-32</t>
  </si>
  <si>
    <t>administracion@investigacionuniendo.com</t>
  </si>
  <si>
    <t>www.investigacionuniendo.com</t>
  </si>
  <si>
    <t>UNIDAD INTEGRAL DE ENDOCRINOLOGIA UNIENDO</t>
  </si>
  <si>
    <t>CRA.19 #82-32</t>
  </si>
  <si>
    <t>ORTHODENTALES LTDA.</t>
  </si>
  <si>
    <t>DIANA MARCELA LOPEZ LOPEZ</t>
  </si>
  <si>
    <t>CL 46 SUR # 24 - 52 PI 2</t>
  </si>
  <si>
    <t>esneidergomezarg@hotmail.com</t>
  </si>
  <si>
    <t>clinicaorthodentales@gmail.com</t>
  </si>
  <si>
    <t>DEPIEL SAS</t>
  </si>
  <si>
    <t>Pablo Eduardo Gutierrez Hernandez</t>
  </si>
  <si>
    <t>AV CL 134 # 7 - 83 MODULOS 152 / 351 TORRES 1 Y 3 PISO 5</t>
  </si>
  <si>
    <t>9172090 - 3138932716</t>
  </si>
  <si>
    <t>pablo.gutierrez@depiel.com</t>
  </si>
  <si>
    <t>www.depiel.com</t>
  </si>
  <si>
    <t>UNIDAD QUIRURGICA DEPIEL</t>
  </si>
  <si>
    <t>AV CL 134 # 7 -83 MODULOS 152 / 351 TORRE 1 Y 3 PISO 5</t>
  </si>
  <si>
    <t>consultas@depiel.com</t>
  </si>
  <si>
    <t>CLINICA ORTHOESPECIALISTAS SAS</t>
  </si>
  <si>
    <t>JORGE HERNAN RAMIREZ HERNANDEZ</t>
  </si>
  <si>
    <t>Kr 16 #96-64 CS 307</t>
  </si>
  <si>
    <t>6015838143-3164724106</t>
  </si>
  <si>
    <t>recepcion@orthoespecialistas.com</t>
  </si>
  <si>
    <t>www.orthoespecialistas.com</t>
  </si>
  <si>
    <t>clinica orthoespecialistas chico</t>
  </si>
  <si>
    <t>jorge hernan ramirez</t>
  </si>
  <si>
    <t>KR16 #96-64 CS 307</t>
  </si>
  <si>
    <t>57(1)6369521</t>
  </si>
  <si>
    <t>PROGRAMA MADRE CANGURO INTEGRAL SAS</t>
  </si>
  <si>
    <t>ZITA DEL CARMEN FIGUEROA SANCHEZ</t>
  </si>
  <si>
    <t>CALLE 44B No. 53-50</t>
  </si>
  <si>
    <t>diradmonpmci@programacanguro.org</t>
  </si>
  <si>
    <t>PROGRAMA MADRE CANGURO INTEGRAL</t>
  </si>
  <si>
    <t>NATHALIE CHARPAK</t>
  </si>
  <si>
    <t>CARRERA 7 No. 40-62 PISO 1</t>
  </si>
  <si>
    <t>secretariaadmonpmci@programacanguro.org</t>
  </si>
  <si>
    <t>PROGRAMA MADRE CANGURO INTEGRAL SAN JOSE</t>
  </si>
  <si>
    <t>CARRERA 52 No. 67A - 71 PISO 1 CS 2</t>
  </si>
  <si>
    <t>SALUDVAL SAS</t>
  </si>
  <si>
    <t>CR 7 BIS # 124 56 CONS 608</t>
  </si>
  <si>
    <t>saludvalsas@gmail.com</t>
  </si>
  <si>
    <t>MIGUEL ANGEL PARADA PRIETO</t>
  </si>
  <si>
    <t>CR 7 BIS #124 56 CONS 608</t>
  </si>
  <si>
    <t>instituto llorente medicina preventiva ltda</t>
  </si>
  <si>
    <t>JORGE ENRIQUE LLORENTE PEREZ</t>
  </si>
  <si>
    <t>Diagonal 54 # 16 A 10</t>
  </si>
  <si>
    <t>inst.llorente@gmail.com</t>
  </si>
  <si>
    <t>Instituto llorente medicina preventiva ltda</t>
  </si>
  <si>
    <t>Jorge Enrique Llorente Perez</t>
  </si>
  <si>
    <t>Diagonal 54 # 16 a 10</t>
  </si>
  <si>
    <t>asist.gerencia.llorente@gmail.com</t>
  </si>
  <si>
    <t>FIGURELLA INTERNACIONAL DE COLOMBIA SAS</t>
  </si>
  <si>
    <t>ADRIANA SANABRIA CASTRO</t>
  </si>
  <si>
    <t>CL 78 # 12 A - 16</t>
  </si>
  <si>
    <t>admon@figurella.com.co</t>
  </si>
  <si>
    <t>FIGURELLA INTERNACIONAL DE COLOMBIA SAS 2</t>
  </si>
  <si>
    <t>MASSIMILIANO VALLUNGA</t>
  </si>
  <si>
    <t>CALLE 109 No. 17A - 20 P 2</t>
  </si>
  <si>
    <t>FIGURELLA INTERNACIONAL</t>
  </si>
  <si>
    <t>CALLE 134 No.55-30 LOC 217 SAN RAFAEL</t>
  </si>
  <si>
    <t>SOLUCIONES EN ENFERMERIA CLINICA SAS SIGLA SOLEEC S.A.S.</t>
  </si>
  <si>
    <t>UVA MARGARITA GONZALEZ CALDERON</t>
  </si>
  <si>
    <t>Calle 168 # 14-42 Edificio de Investigaci󮠐iso 4 Consultorio 434</t>
  </si>
  <si>
    <t>3107597925-3005697814</t>
  </si>
  <si>
    <t>gerencia@soleecenfermeria.com</t>
  </si>
  <si>
    <t>www.soleecenfermeria.com</t>
  </si>
  <si>
    <t>INGRID ESPERANZA BAUTISTA MONTAс</t>
  </si>
  <si>
    <t>EVOLUTION DENTAL &amp; ORTHODONTIC CENTER S.A.S</t>
  </si>
  <si>
    <t>ANDREA VERGARA</t>
  </si>
  <si>
    <t>CL 119 # 11 D 18 PS 2 CONSULTORIO 201 202 203</t>
  </si>
  <si>
    <t>anverag@yahoo.com</t>
  </si>
  <si>
    <t>www.evolutionk.com</t>
  </si>
  <si>
    <t>Andrea Vergara Ramirez</t>
  </si>
  <si>
    <t>CALLE 119 # 11D - 18 SEGUNDO PISO CONSULTORIO 201, 202, 203</t>
  </si>
  <si>
    <t>CLINICA ORAL DENT LTDA</t>
  </si>
  <si>
    <t>OLGA YANIRA ARIZA CALA</t>
  </si>
  <si>
    <t>KR 104A # 71D-51</t>
  </si>
  <si>
    <t>4315906 - 4333863 - 3106497524</t>
  </si>
  <si>
    <t>clinioraldentltda@hotmail.com</t>
  </si>
  <si>
    <t>ODONTOCLINICS QUIROGA S A S</t>
  </si>
  <si>
    <t>Dr. RICARDO MEJIA GONZALEZ</t>
  </si>
  <si>
    <t>KR 24 SUR No. 31 C- 83 PISO 2</t>
  </si>
  <si>
    <t>2021987/3005163829</t>
  </si>
  <si>
    <t>odontoclinics@hotmail.com</t>
  </si>
  <si>
    <t>ODONTOCLINICS QUIROGA</t>
  </si>
  <si>
    <t>KR 24 SUR No. 31 C - 83 PISO 2</t>
  </si>
  <si>
    <t>IPS JAH RAFA S.A.S.</t>
  </si>
  <si>
    <t>LILIAN PATRICIA SARRIA RIOS</t>
  </si>
  <si>
    <t>Diagonal 45 No. 84-14 Local A121</t>
  </si>
  <si>
    <t>6958360 4048985 6908360 4871413 6052721</t>
  </si>
  <si>
    <t>CONTRATACIONJAHRAFA@GMAIL.COMATENCIONYCALIDADIPSJAHRAFA@GMAIL.COM</t>
  </si>
  <si>
    <t>ANA ALICIA MORENO NAVARRO</t>
  </si>
  <si>
    <t>4048985 - 3164940238 - 3108534124</t>
  </si>
  <si>
    <t>atencionycalidadipsjahrafa@gmail.com- contratacionjahrafa@gmail.com</t>
  </si>
  <si>
    <t>OXIACED LTDA. OXIGENO ACETILENO DISTRIBUCIONES LTDA.</t>
  </si>
  <si>
    <t>LUIS ARIEL VILLANUEVA</t>
  </si>
  <si>
    <t>CALLE 17 A N 62 -45/43</t>
  </si>
  <si>
    <t>oxiaced@etb.net.co</t>
  </si>
  <si>
    <t>OXIGENO ACETILENO DISTRIBUCIONES LTDA. OXIACED LTDA.</t>
  </si>
  <si>
    <t>CALLE 17 B N 62 -43</t>
  </si>
  <si>
    <t>ASISTENCIA CIENTIFICA DE ALTA COMPLEJIDAD SAS</t>
  </si>
  <si>
    <t>BERNARDO PACHECO MALDONADO</t>
  </si>
  <si>
    <t>Calle 45B No. 24 - 25 Primer y Segundo piso</t>
  </si>
  <si>
    <t>7444497 - 3004204477</t>
  </si>
  <si>
    <t>coord.gerencia@asistenciacientifica.com</t>
  </si>
  <si>
    <t>Calle 45 B No. 24 - 25 Primer y Segundo piso</t>
  </si>
  <si>
    <t>ASISTENCIA CIENTIFICA DE ALTA COMPLEJIDAD S.A.S.</t>
  </si>
  <si>
    <t>Carrera 22 # 45C 36 cons 207</t>
  </si>
  <si>
    <t>COLTRAUMA SOCIEDAD POR ACCIONES SIMPLIFICADA COLTRAUMA S.A.S</t>
  </si>
  <si>
    <t>ARTURO ENRIQUE SARMIENTO PIхROS</t>
  </si>
  <si>
    <t>Calle 23 No 66-46 IN 4 CN 411</t>
  </si>
  <si>
    <t>601 9272898 - 3142545198</t>
  </si>
  <si>
    <t>coltrauma@hotmail.com</t>
  </si>
  <si>
    <t>COLTRAUMA S.A.S</t>
  </si>
  <si>
    <t>JOSE FRANCISCO REYES COPELLO</t>
  </si>
  <si>
    <t>Calle 23 No. 66- 46 IN 4 CN 411</t>
  </si>
  <si>
    <t>601 9272898- 3142545198</t>
  </si>
  <si>
    <t>CONSULTORIO MEDICINA DE LA ENERGIA SAS MEDINER SAS</t>
  </si>
  <si>
    <t>LUIS ALBERTO JIMENEZ GUZMAN</t>
  </si>
  <si>
    <t>KR 28 C # 84-34</t>
  </si>
  <si>
    <t>(57 1) 6231122</t>
  </si>
  <si>
    <t>medinerltda@gmail.com</t>
  </si>
  <si>
    <t>GRUPO MEDICAS SAS</t>
  </si>
  <si>
    <t>liliana adame erazo</t>
  </si>
  <si>
    <t>CL 68 NO. 23-48, PISO 1</t>
  </si>
  <si>
    <t>310 6099878</t>
  </si>
  <si>
    <t>adame.liliana@yahoo.com</t>
  </si>
  <si>
    <t>GRUPO MEDICAS SAS SEDE 1</t>
  </si>
  <si>
    <t>LILIANA MARGARITA ADAME ERAZO</t>
  </si>
  <si>
    <t>CL 68 NO. 23-48 PISO 1</t>
  </si>
  <si>
    <t>GRUPO MEDICAS GRAN PLAZA BOSA</t>
  </si>
  <si>
    <t>CL 65 SUR # 78 H 51 LC 302</t>
  </si>
  <si>
    <t>ESTACION DENTAL S.A.S.</t>
  </si>
  <si>
    <t>EDGAR CARVAJAL HERMIDA</t>
  </si>
  <si>
    <t>KR 47 A #114-19 Piso 1</t>
  </si>
  <si>
    <t>601 6129930 - 3112151875</t>
  </si>
  <si>
    <t>dentistacolombia@yahoo.com</t>
  </si>
  <si>
    <t>KR 47 A # 114-19 Piso1</t>
  </si>
  <si>
    <t>601 6129930 -3112151875</t>
  </si>
  <si>
    <t>CENTRO DE ATENCIӎ E INVESTIGACIӎ MɄICA S.A.S. - CAIMED S.A.S</t>
  </si>
  <si>
    <t>GUISSELLE TATIANA SIERRA VILLALBA</t>
  </si>
  <si>
    <t>KR 42 A No. 17-50</t>
  </si>
  <si>
    <t>(57-1) 2441444</t>
  </si>
  <si>
    <t>gerencia@caimed.com</t>
  </si>
  <si>
    <t>www.caimed.com</t>
  </si>
  <si>
    <t>CENTRO DE ATENCIӎ E INVESTIGACIӎ MɄICA S.A.S. - CAIMED S.A.S.</t>
  </si>
  <si>
    <t>HUMBERTO REYNALES LONDOя</t>
  </si>
  <si>
    <t>CORPORACIӎ HOSPITALARIA JUAN CIUDAD</t>
  </si>
  <si>
    <t>Guillermo Villamil</t>
  </si>
  <si>
    <t>CL 24 # 29 45</t>
  </si>
  <si>
    <t>ana.ulloa@mederi.com.co</t>
  </si>
  <si>
    <t>HOSPITAL UNIVERSITARIO MAYOR-MEDERI</t>
  </si>
  <si>
    <t>NELSON SIERRA FORERO</t>
  </si>
  <si>
    <t>7055999 Ext 4140</t>
  </si>
  <si>
    <t>HOSPITAL UNIVERSITARIO BARRIOS UNIDOS-MEDERI</t>
  </si>
  <si>
    <t>CL 66 A # 52 25</t>
  </si>
  <si>
    <t>4855970 ext 6214</t>
  </si>
  <si>
    <t>Fundacion fundem Fundacion para la esclerosis multiple y otras enfermedades</t>
  </si>
  <si>
    <t>HERNEY ALONSO CUARTAS MARTINEZ</t>
  </si>
  <si>
    <t>AK 9#127 B 16 CS 208</t>
  </si>
  <si>
    <t>xbermudez@fundem-co.org</t>
  </si>
  <si>
    <t>https://fundem-co.org/</t>
  </si>
  <si>
    <t>FUNDACION FUNDEM FUNDACION PARA LA ESCLEROSIS MULTIPLE Y OTRAS ENFERMEDADES</t>
  </si>
  <si>
    <t>XIOMARY BERMUDEZ NUхZ</t>
  </si>
  <si>
    <t>AK 9 # 127B 16 CS 208</t>
  </si>
  <si>
    <t>PRERESALUD S.A.S</t>
  </si>
  <si>
    <t>JAZMINE DEL ROSARIO BOADA MOJICA</t>
  </si>
  <si>
    <t>Kr 27 A # 40 A - 94 P1</t>
  </si>
  <si>
    <t>preresalud@yahoo.es</t>
  </si>
  <si>
    <t>RICARDO ANDRES CAVIEDES CORTES</t>
  </si>
  <si>
    <t>Kr 27 A # 40- A 94 P1</t>
  </si>
  <si>
    <t>6054140- 3203976595</t>
  </si>
  <si>
    <t>FAREIK S.A.S.</t>
  </si>
  <si>
    <t>MARIA ESPERANZA LOZANO LOZANO</t>
  </si>
  <si>
    <t>Calle 134 No 7 - 83 TORRE 3 CONSULTORIO 331 EDIF. ALTOS DEL BOSQUE</t>
  </si>
  <si>
    <t>fareiksas@telmex.net.co</t>
  </si>
  <si>
    <t>CENTRO DERMATOLOGICO GIOVANNI BOJANINI S.A.S.</t>
  </si>
  <si>
    <t>GIOVANNI JOSE BOJANINI MORRON</t>
  </si>
  <si>
    <t>CR 11 No. 94 A-34 Local 6,7,8,9</t>
  </si>
  <si>
    <t>6157820 - 3112032860</t>
  </si>
  <si>
    <t>calidad@giovannibojanini.co</t>
  </si>
  <si>
    <t>http://giovannibojanini.co/</t>
  </si>
  <si>
    <t>CENTRO DERMATOLOGICO GIOVANNI BOJANINI S.A.S</t>
  </si>
  <si>
    <t>E F G FRESNEDA ODONTOLOGIA ESPECIALIZADA SAS</t>
  </si>
  <si>
    <t>EDGAR RICARDO FRESNEDA ARIZA</t>
  </si>
  <si>
    <t>CL 140D 103F 83</t>
  </si>
  <si>
    <t>subaserviodonto@gmail.com</t>
  </si>
  <si>
    <t>CLINICA ODONTOLOGICA SERVIODONT ESPECIALIZADA SUBA</t>
  </si>
  <si>
    <t>MARIAM KIMBERLLY GUTIERREZ RUBIO</t>
  </si>
  <si>
    <t>kimberlly1688@hotmail.com</t>
  </si>
  <si>
    <t>CAPELLA ODONTOLOGIA ESPECIALIZADA LTDA.</t>
  </si>
  <si>
    <t>julio cesar capella cobos</t>
  </si>
  <si>
    <t>AV 15 No. 104-76 OF 308</t>
  </si>
  <si>
    <t>juliocapella@hotmail.com</t>
  </si>
  <si>
    <t>CAPELLA ODONTOLOGIA ESPECIALIZADA</t>
  </si>
  <si>
    <t>EMPRESALUD OCUPACIONAL EU</t>
  </si>
  <si>
    <t>Naydu Pe񡼯td&gt;</t>
  </si>
  <si>
    <t>CALLE 35 NO 15 - 56</t>
  </si>
  <si>
    <t>empresaludocupacional@hotmail.com</t>
  </si>
  <si>
    <t>empresalud.com.co</t>
  </si>
  <si>
    <t>Empresalud Ocupacional E.U.</t>
  </si>
  <si>
    <t>NAYDU PEс</t>
  </si>
  <si>
    <t>E F FRESNEDA ODONTOLOGIA ESPECIALIZADA LTDA</t>
  </si>
  <si>
    <t>CL 20 SUR 18 04</t>
  </si>
  <si>
    <t>luisalberto10_811@hotmail.com</t>
  </si>
  <si>
    <t>SERVIODONTO SERVICIOS ESPECIALIZADOS LTDA</t>
  </si>
  <si>
    <t>LUIS ALBERTO VARGAS AYALA</t>
  </si>
  <si>
    <t>serviodonto_restrepo@hotmail.com</t>
  </si>
  <si>
    <t>VASCULAB COLOMBIA LTDA</t>
  </si>
  <si>
    <t>PEDRO LEON REY SAEQUEZ</t>
  </si>
  <si>
    <t>CL 23 # 66 46 CS 1010</t>
  </si>
  <si>
    <t>vasculabcol@gmail.com</t>
  </si>
  <si>
    <t>5740940 - 2202700 EXT 71203</t>
  </si>
  <si>
    <t>CLINICA DA VINCI SAS</t>
  </si>
  <si>
    <t>KR 7 C # 127 07</t>
  </si>
  <si>
    <t>mfilauri@gmail.com</t>
  </si>
  <si>
    <t>IRENE MARIA VICTORIA FILAURI POSTARINI</t>
  </si>
  <si>
    <t>INSTITUTO MEDICO LA 34 E.U</t>
  </si>
  <si>
    <t>RAIMUNDO DE JESUS FRANCO GUERRERO</t>
  </si>
  <si>
    <t>AV CARACAS No. 34 36 PISO 2</t>
  </si>
  <si>
    <t>INSTMEDICO@HOTMAIL.COM</t>
  </si>
  <si>
    <t>AV CARACAS No 34-36 PISO 2</t>
  </si>
  <si>
    <t>VISUAL CARE E.U.</t>
  </si>
  <si>
    <t>CALLE 17 N 8-49 OFC. 803</t>
  </si>
  <si>
    <t>visualcare.eu@hotmail.com</t>
  </si>
  <si>
    <t>CITY OPTICA NIZA</t>
  </si>
  <si>
    <t>FAIBER IVAN LOPEZ RETES</t>
  </si>
  <si>
    <t>AV SUBA # 120 49 LC 2</t>
  </si>
  <si>
    <t>CITY OPTICA MILENIO</t>
  </si>
  <si>
    <t>FAIBER LOPEZ</t>
  </si>
  <si>
    <t>CC MILENIO PLAZA LC 1-17</t>
  </si>
  <si>
    <t>IPS RADIOLOGIA ESPECIALIZADA S.A.S</t>
  </si>
  <si>
    <t>AV CALLE 68 # 54 43</t>
  </si>
  <si>
    <t>2319208-3054089293</t>
  </si>
  <si>
    <t>rxespecializada@yahoo.es</t>
  </si>
  <si>
    <t>IPS RADIOLOGIA ESPECIALIZADA SAS</t>
  </si>
  <si>
    <t>MAURICIO GONZALEZ RODRIGUEZ</t>
  </si>
  <si>
    <t>MEDICINA PARA LA ESTɔICA S.A.S.</t>
  </si>
  <si>
    <t>MARIA BERNARDA VERGARA ACOSTA</t>
  </si>
  <si>
    <t>KR 47 No. 104- 14</t>
  </si>
  <si>
    <t>admonmedicinaparalaestetica@gmail.com</t>
  </si>
  <si>
    <t>medicinaparalaestetica@hotmail.com</t>
  </si>
  <si>
    <t>Viva 1A IPS SA</t>
  </si>
  <si>
    <t>CATERIN MUяZ DAZA</t>
  </si>
  <si>
    <t>CL 145 # 103B-69 PISO4</t>
  </si>
  <si>
    <t>mgeorge@viva1a.com.co</t>
  </si>
  <si>
    <t>www.viva1a.com.co</t>
  </si>
  <si>
    <t>VIVA 1A IPS SUBA</t>
  </si>
  <si>
    <t>Sandra Rozo Mateus</t>
  </si>
  <si>
    <t>CALLE 145 # 103B-69 PISO4</t>
  </si>
  <si>
    <t>srozo@viva1a.com.co</t>
  </si>
  <si>
    <t>VIVA 1A IPS LAS AMERICAS</t>
  </si>
  <si>
    <t>AVENIDA LAS AMERICAS No 61-43</t>
  </si>
  <si>
    <t>VIVA 1A IPS MARLY</t>
  </si>
  <si>
    <t>calle 49 N 13 -61</t>
  </si>
  <si>
    <t>VIVA 1A IPS TOBERIN</t>
  </si>
  <si>
    <t>AC 161 No.20-76</t>
  </si>
  <si>
    <t>VIVA 1A LABORATORIO</t>
  </si>
  <si>
    <t>SIMӎ DIAZ RENGIFO</t>
  </si>
  <si>
    <t>CRA 21 # 166 - 42</t>
  </si>
  <si>
    <t>sdiaz@viva1a.com.co</t>
  </si>
  <si>
    <t>VIVA 1A IPS AVENIDA EL DORADO</t>
  </si>
  <si>
    <t>Javier Leonardo Delgadillo Acevedo</t>
  </si>
  <si>
    <t>AV Calle 26 No. 31 A - 35 PISOS 1,2,3,4,7</t>
  </si>
  <si>
    <t>jdelgadillo@viva1a.com.co</t>
  </si>
  <si>
    <t>VIVA 1 A IPS CALLE 118</t>
  </si>
  <si>
    <t>CR 45 N 118 - 59 PISOS 1,2,3,4,5,6</t>
  </si>
  <si>
    <t>jbarrantes@viva1a.com.co</t>
  </si>
  <si>
    <t>VIVA 1 A IPS SANTA MARIA DEL LAGO</t>
  </si>
  <si>
    <t>Calle 73 A N 76 - 06</t>
  </si>
  <si>
    <t>VIVA 1A IPS ALQUERIA</t>
  </si>
  <si>
    <t>Avenida Carrera 68 N 39 - 11 Sur</t>
  </si>
  <si>
    <t>VIVA 1A IPS KENNEDY</t>
  </si>
  <si>
    <t>Carrera 78 D N 40 - 25 Sur</t>
  </si>
  <si>
    <t>VIVA 1A IPS RESTREPO</t>
  </si>
  <si>
    <t>Cra 22 # 14-43 SUR</t>
  </si>
  <si>
    <t>VIVA 1A IPS BARRIOS UNIDOS</t>
  </si>
  <si>
    <t>Carrera 30 N 63 F - 29</t>
  </si>
  <si>
    <t>VIVA 1A IPS PRIMAVERA</t>
  </si>
  <si>
    <t>CALLE 80 N 89 A 40 P 3</t>
  </si>
  <si>
    <t>VIVA 1 A IPS CHAPINERO</t>
  </si>
  <si>
    <t>CR 7 NO. 55 37</t>
  </si>
  <si>
    <t>VIVA 1 A IPS VENECIA</t>
  </si>
  <si>
    <t>CL 44 BIS A SUR NO. 68 B 24</t>
  </si>
  <si>
    <t>VIVA 1A IPS IBERIA</t>
  </si>
  <si>
    <t>CR 58 NO. 129 B 34</t>
  </si>
  <si>
    <t>VIVA 1A IPS CHAPINERO CALLE 52</t>
  </si>
  <si>
    <t>CR 14 NO. 52 31</t>
  </si>
  <si>
    <t>VIVA 1A IPS PUENTE ARANDA</t>
  </si>
  <si>
    <t>AK 50 15 15</t>
  </si>
  <si>
    <t>VIVA 1A IPS OLAYA AVENIDA CARACAS</t>
  </si>
  <si>
    <t>JEAN PIERRE BARRANTES MOGOLLON</t>
  </si>
  <si>
    <t>Cra 14 # 22 - 41 SUR</t>
  </si>
  <si>
    <t>I.P.S GOLEMAN SERVICIO INTEGRAL S.A.S.</t>
  </si>
  <si>
    <t>YENNY ZORAYA SALAZAR M.</t>
  </si>
  <si>
    <t>CAR 72 I Sur # 37C - 04 PISO 1, 2, 3 - Barrio:KENNEDY CARVAJAL</t>
  </si>
  <si>
    <t>601-7944011</t>
  </si>
  <si>
    <t>direccion.calidad@ipsgoleman.com.co gerencia@ipsgoleman.com.co</t>
  </si>
  <si>
    <t>www.goleman.com.co</t>
  </si>
  <si>
    <t>GOLEMAN SEDE KENNEDY</t>
  </si>
  <si>
    <t>CAROL YISEL GUEVARA CARDENAS</t>
  </si>
  <si>
    <t>CAR 72 I Sur # 37C - 04 PISO 1, 2, 3</t>
  </si>
  <si>
    <t>GOLEMAN SEDE LA CASTELLANA</t>
  </si>
  <si>
    <t>CAROL GUEVARA</t>
  </si>
  <si>
    <t>KR 49 B 94 40</t>
  </si>
  <si>
    <t>FUNDACION SUEя VIGILIA COLOMBIANA FUNDASUVICOL</t>
  </si>
  <si>
    <t>CRA 46 # 94-17 - Barrio:LA CASTELLANA</t>
  </si>
  <si>
    <t>4431360 3508063029</t>
  </si>
  <si>
    <t>fundasuvicol@gmail.com - notificacionesfundasuvicol@gmail.com</t>
  </si>
  <si>
    <t>CLAUDIA MARIA SARMIENTO BURGOS</t>
  </si>
  <si>
    <t>CL 33 # 15 14</t>
  </si>
  <si>
    <t>4431360 / 3508063029</t>
  </si>
  <si>
    <t>ymherrerar@fundasuvicol.org</t>
  </si>
  <si>
    <t>CLL 134 N 7 - 83 OFICINA 222 EDIFICIO ALTOS DEL BOSQUE</t>
  </si>
  <si>
    <t>fundasuvicol@gmail.com</t>
  </si>
  <si>
    <t>SEDE COUNTRY</t>
  </si>
  <si>
    <t>CR 16 # 80 -25</t>
  </si>
  <si>
    <t>LA CASTELLANA</t>
  </si>
  <si>
    <t>CRA 46 # 94-17</t>
  </si>
  <si>
    <t>SEDE CALLE 101</t>
  </si>
  <si>
    <t>CALLE 101 #45 A- 42</t>
  </si>
  <si>
    <t>CALLE 106</t>
  </si>
  <si>
    <t>JAMES TROY VALENCIA VARGAS</t>
  </si>
  <si>
    <t>CALLE 106 # 58-41</t>
  </si>
  <si>
    <t>3106692692 /3508063029</t>
  </si>
  <si>
    <t>fundasuvicol@gmail.com notificacionesfundasuvicol@gmail.com</t>
  </si>
  <si>
    <t>AUDIOSALUD INTEGRAL SAS</t>
  </si>
  <si>
    <t>CESAR JOVANY MONTAя GOMEZ</t>
  </si>
  <si>
    <t>TV 21 47 76</t>
  </si>
  <si>
    <t>calidad@audiosaludintegral.com</t>
  </si>
  <si>
    <t>WWW.AUDIOSALUDINTEGRAL.COM</t>
  </si>
  <si>
    <t>DIAGONAL 48 19 93 PISO 1</t>
  </si>
  <si>
    <t>2263713 - 2539774</t>
  </si>
  <si>
    <t>audiosaludintegral@gmail.com</t>
  </si>
  <si>
    <t>TRANSVERSAL 74F 40 G 03 SUR PISO 1</t>
  </si>
  <si>
    <t>Cesar Jovany Monta񯠇󭥺</t>
  </si>
  <si>
    <t>Calle 63 No 21 - 46</t>
  </si>
  <si>
    <t>4784901 - 3173671376</t>
  </si>
  <si>
    <t>calidadaudiosaludintegral@gmail.com</t>
  </si>
  <si>
    <t>UNIDAD DE DIAGNOSTICO S.A.S</t>
  </si>
  <si>
    <t>SONIA MARIA MOLANO CARO</t>
  </si>
  <si>
    <t>CRA 19A N. 82-85 CONSULTORIO 209 EDIF COUNTRY MEDICAL CENTER</t>
  </si>
  <si>
    <t>7953780 - 3124817662</t>
  </si>
  <si>
    <t>gerencia@udd.com.co</t>
  </si>
  <si>
    <t>7953780- 3124817662</t>
  </si>
  <si>
    <t>bogota@udd.com.co</t>
  </si>
  <si>
    <t>VOILA IPS SAS</t>
  </si>
  <si>
    <t>HUMBERTO DE JESUS GOMEZ ROMERO</t>
  </si>
  <si>
    <t>AV CARRERA 60 N 44 - B 38 PISO 1</t>
  </si>
  <si>
    <t>coormedellin@voilaips.com</t>
  </si>
  <si>
    <t>coordinacioncalidad@voilaips.com</t>
  </si>
  <si>
    <t>AV CARRERA 60 N 44 B 38 PISO 1</t>
  </si>
  <si>
    <t>CLINICAS ODONTOLOGICAS ESPECIALIZADAS ORTHOCLINIC SAS</t>
  </si>
  <si>
    <t>LAURA CATALINA VELASQUEZ ARANGO</t>
  </si>
  <si>
    <t>CRA 19 A No. 162 - 51</t>
  </si>
  <si>
    <t>5749288 - 3209138550</t>
  </si>
  <si>
    <t>sonrisasorthoclinic@yahoo.com</t>
  </si>
  <si>
    <t>JAIME OSORIO MARTINEZ</t>
  </si>
  <si>
    <t>CR 19 A No. 162 - 51</t>
  </si>
  <si>
    <t>SONRISAS BRILLANTES S.A.S.</t>
  </si>
  <si>
    <t>CAROL SANCHEZ SEGURA</t>
  </si>
  <si>
    <t>CLL 12 B # 9 - 22 C.C.SAVILLE PISO 2</t>
  </si>
  <si>
    <t>2815207/3103490132</t>
  </si>
  <si>
    <t>carolsanchez123@hotmail.com</t>
  </si>
  <si>
    <t>SONRISAS BRILLANTES SAS</t>
  </si>
  <si>
    <t>Centro Odontologico y Pediatrico Sante S.A.S.</t>
  </si>
  <si>
    <t>Angela Patricia Davila Calle</t>
  </si>
  <si>
    <t>calle 128 N 172- 80 loc 1.</t>
  </si>
  <si>
    <t>6240909 - 3188270553</t>
  </si>
  <si>
    <t>administracion@soskids.net</t>
  </si>
  <si>
    <t>www.soskids.net</t>
  </si>
  <si>
    <t>Centro odontologico y pediatrico sante S.A.S</t>
  </si>
  <si>
    <t>Stefany Lisethe Morales Bernal</t>
  </si>
  <si>
    <t>calle 128 N 72-80 loc.1</t>
  </si>
  <si>
    <t>EMPRESA DE MEDICINA INTEGRAL EMI S.A.S. SERVICIO DE AMBULANCIA PREPAGADA</t>
  </si>
  <si>
    <t>YANN FRANCIS JEAN HEDOUX</t>
  </si>
  <si>
    <t>KR 68 D # 18 30</t>
  </si>
  <si>
    <t>6013077364 - 3133834358</t>
  </si>
  <si>
    <t>juan.alfonso@grupoemi.com</t>
  </si>
  <si>
    <t>EMPRESA DE MEDICINA INTEGRAL EMI SAS SERVICIO DE AMBULANCIA PREPAGADA- GRUPO EMI S.A.S</t>
  </si>
  <si>
    <t>JUAN JOSE ALFONSO MORENO</t>
  </si>
  <si>
    <t>SALAZAR Y TAVERA LTDA.</t>
  </si>
  <si>
    <t>ROSA MARIA SALAZAR ARANDIA</t>
  </si>
  <si>
    <t>CARRERA 72 B N. 23 F 58</t>
  </si>
  <si>
    <t>centrosirp@gmail.com</t>
  </si>
  <si>
    <t>INSTITUTO DE RECONOCIMIENTO DE PERSONAS IRP SEVILLANA 1</t>
  </si>
  <si>
    <t>CARRERA 57 N 45 A 08 SUR local 12 y Oficina 201</t>
  </si>
  <si>
    <t>INSTITUTO DE RECONOCIMIENTO DE PERSONAS IRP GALERIAS</t>
  </si>
  <si>
    <t>CL 52 NO. 25 44</t>
  </si>
  <si>
    <t>INSTITUTO DE RECONOCIMIENTO DE PERSONAS IRP RESTREPO</t>
  </si>
  <si>
    <t>CR 17 NO. 19 A 40 SUR</t>
  </si>
  <si>
    <t>FUNDACION NEIJING BOGOTA PARA LA INVESTIGACION Y DESARROLLO DE LAS TRADICIONES ORIENTALES</t>
  </si>
  <si>
    <t>KR 16 # 33 20</t>
  </si>
  <si>
    <t>fundacionneijingbogota@gmail.com</t>
  </si>
  <si>
    <t>CLINICA DE CIRUGIA PLASTICA DR YESID MARTINEZ LTDA</t>
  </si>
  <si>
    <t>KR 58 # 128 04</t>
  </si>
  <si>
    <t>clinicadoctoryesidmartinez@hotmail.com</t>
  </si>
  <si>
    <t>YESID MARTINEZ DIAZ</t>
  </si>
  <si>
    <t>Ultima Generaci󮠓as Sigla Ultigen Sas</t>
  </si>
  <si>
    <t>JOSE MARIA FUENTES OJEDA</t>
  </si>
  <si>
    <t>Carrera 28B No 71C-20 Piso 1</t>
  </si>
  <si>
    <t>cesar.borda@ultigen.com.co</t>
  </si>
  <si>
    <t>https://ultigen.com.co</t>
  </si>
  <si>
    <t>Cesar Andr鳠Borda Aldana</t>
  </si>
  <si>
    <t>FUNDACION PARA EL AUTISMO Y OTROS TRANSTORNOS DEL DESARROLLO INFANTIL SEXTO SENTIDO</t>
  </si>
  <si>
    <t>MARTHA LUZ MENDOZA MENDOZA</t>
  </si>
  <si>
    <t>CARRERA 47 # 95 - 36</t>
  </si>
  <si>
    <t>7024784 76024835</t>
  </si>
  <si>
    <t>fundacionsextosentido@hotmail.com</t>
  </si>
  <si>
    <t>www.fundacionsextosentido.org</t>
  </si>
  <si>
    <t>7024784 7024835</t>
  </si>
  <si>
    <t>ALIANZA BLESSED S.A.S.</t>
  </si>
  <si>
    <t>LESLY PATRICIA LINARES MARTINEZ</t>
  </si>
  <si>
    <t>DIAGONAL 115A No 70C-75 LOCAL 1</t>
  </si>
  <si>
    <t>6012262906- 3013057933</t>
  </si>
  <si>
    <t>alianzablessed@gmail.com</t>
  </si>
  <si>
    <t>BLESSEDENT CLINICAS ODONTOLOGICAS</t>
  </si>
  <si>
    <t>CLAUDIA PATRICIA SANCHEZ ORDOхZ</t>
  </si>
  <si>
    <t>5337725 5331248</t>
  </si>
  <si>
    <t>BLESSEDENT SEDE SHAIO</t>
  </si>
  <si>
    <t>DG 115A NO 70C-75 CS 21</t>
  </si>
  <si>
    <t>CUIDARTE TU SALUD S.A.S.</t>
  </si>
  <si>
    <t>JORGE BARBOSA SANTIBAхZ</t>
  </si>
  <si>
    <t>AVENIDA CALLE 63 # 69F-26</t>
  </si>
  <si>
    <t>notificacionescuidarte@cuidartetusalud.com</t>
  </si>
  <si>
    <t>CUIDARTE TU SALUD S.A.S</t>
  </si>
  <si>
    <t>CAROLINA COLMENARES TOVAR</t>
  </si>
  <si>
    <t>CENTRO DE EXCELENCIA EN REHABILITACION Y MEDICINA DEL TRABAJO</t>
  </si>
  <si>
    <t>KRA. 45 No. 94-83 AUT NORTE</t>
  </si>
  <si>
    <t>CIRUGIA PLASTICA LA CASTELLANA S.A.S</t>
  </si>
  <si>
    <t>EDGAR HERNAN PORTELA GUZMAN</t>
  </si>
  <si>
    <t>CARRERA 45 A N 95 - 57</t>
  </si>
  <si>
    <t>mariacarrillo9802@hotmail.com</t>
  </si>
  <si>
    <t>CIRUǴ PLSTICA LA CASTELLANA S.A.S.</t>
  </si>
  <si>
    <t>RICARDO ENRIQUE URAZAN ARAMENDIZ</t>
  </si>
  <si>
    <t>7552894 - 3117720477</t>
  </si>
  <si>
    <t>FORJA EMPRESAS SAS</t>
  </si>
  <si>
    <t>Calle 99 No. 49-38 Oficina 501</t>
  </si>
  <si>
    <t>7447050 - 3002083932</t>
  </si>
  <si>
    <t>gerencia@forjaempresas.com</t>
  </si>
  <si>
    <t>www.forjaempresas.com</t>
  </si>
  <si>
    <t>FORJA EMPRESAS</t>
  </si>
  <si>
    <t>ADRIANA MARIA ORTEGON ACUс</t>
  </si>
  <si>
    <t>Calle 99 No. 49 -38 Oficina 501</t>
  </si>
  <si>
    <t>PHYSICAL CARE LTDA</t>
  </si>
  <si>
    <t>DUVAN ALEXANDER MARTINEZ PARRA</t>
  </si>
  <si>
    <t>AV CL 127 20 16 CS 204-205</t>
  </si>
  <si>
    <t>8059065 - 3188276490 - 3182527281</t>
  </si>
  <si>
    <t>physicalcare.ltda@gmail.com</t>
  </si>
  <si>
    <t>COLCHARTER IPS SAS</t>
  </si>
  <si>
    <t>Autopista Norte Km 16, Via Guaymaral Lote 9 , Manzana A / Aeropuerto Guaymaral</t>
  </si>
  <si>
    <t>direccionmedica@colcharter.com contabilidad@colcharter.com</t>
  </si>
  <si>
    <t>www.colcharter.com</t>
  </si>
  <si>
    <t>SEBASTIAN PEREZ RESTREPO</t>
  </si>
  <si>
    <t>GRUPO CIMCO SAS.</t>
  </si>
  <si>
    <t>Esmeralda Prieto Rojas</t>
  </si>
  <si>
    <t>AV CARRERA 68 # 45-62 piso 1 local 101</t>
  </si>
  <si>
    <t>6013150906 - 3142973838</t>
  </si>
  <si>
    <t>certificar.adm@gmail.com</t>
  </si>
  <si>
    <t>CERTIFICAR ORG SALITRE</t>
  </si>
  <si>
    <t>CARLOS ADELMO GUTIERREZ PASTOR</t>
  </si>
  <si>
    <t>Av carrera 68 # 45-62 piso 1 local 101</t>
  </si>
  <si>
    <t>CLINICA NEUROREHABILITAR LTDA</t>
  </si>
  <si>
    <t>ANGELA LUCIA SANCHEZ BECERRA</t>
  </si>
  <si>
    <t>CALLE 79 N 29C - 25</t>
  </si>
  <si>
    <t>6017441121 - 6017462085 - 3174407919 - 3204529163 - 3106664595</t>
  </si>
  <si>
    <t>gestioncalidad@neurorehabilitar.com - gerencia@neurorehabilitar.com</t>
  </si>
  <si>
    <t>www.neurorehabilitar.com</t>
  </si>
  <si>
    <t>CLINICA NEUROREHABILITAR</t>
  </si>
  <si>
    <t>gestioncalidad@neurorehabilitar.com</t>
  </si>
  <si>
    <t>CLINICA NEUROREHABILITAR AGENCIA CALLE 76</t>
  </si>
  <si>
    <t>CECILIA EUGENIA SANCHEZ</t>
  </si>
  <si>
    <t>Cra 28 A No. 76-36</t>
  </si>
  <si>
    <t>CLINICA NEUROREHABILITAR SEDE CORONA</t>
  </si>
  <si>
    <t>CECILIA EUGENIA SANCHEZ BECERRA</t>
  </si>
  <si>
    <t>Carrera 28A #79-34</t>
  </si>
  <si>
    <t>SANTA BARBARA SURGICAL CENTER S.A.S.</t>
  </si>
  <si>
    <t>Freddy Alberto Pinto Borda</t>
  </si>
  <si>
    <t>KR 22 # 100 24 piso1 piso3 consultorios 1 2 3 y 7</t>
  </si>
  <si>
    <t>2571399 - 2577588</t>
  </si>
  <si>
    <t>santabarbara.clinica@gmail.com</t>
  </si>
  <si>
    <t>SANTA BARBARA SURGICAL CENTER S.A.S</t>
  </si>
  <si>
    <t>Cra. 22 N 100-24 piso 1,piso 3 consultorios 1,2,3 y 7</t>
  </si>
  <si>
    <t>administracion@santabarbarasurgical.com.co</t>
  </si>
  <si>
    <t>ADRIANA CEBALLOS PORRAS E.U.</t>
  </si>
  <si>
    <t>ADRIANA CEBALLOS PORRAS</t>
  </si>
  <si>
    <t>DG 53 C N 23 - 44 LC 2</t>
  </si>
  <si>
    <t>elitedentalgalerias2008@hotmail.com</t>
  </si>
  <si>
    <t>ELITE DENTAL SUCURSAL GALERIAS</t>
  </si>
  <si>
    <t>SALUD &amp; ACOMPAсMIENTO INTEGRAL AMBULATORIO Y DOMICILIARIO SAS. SIGLA SAIAD SAS</t>
  </si>
  <si>
    <t>CALLE 119A No 70-15</t>
  </si>
  <si>
    <t>henry.alarcon@saiadltda.com/esperanza.silva@saiadltda.com</t>
  </si>
  <si>
    <t>www.saiadltda.com</t>
  </si>
  <si>
    <t>&amp; ACOMPAсMIENTO INTEGRAL AMBULATORIO Y DOMICILIARIO</t>
  </si>
  <si>
    <t>HENRY ALARCON LOPEZ</t>
  </si>
  <si>
    <t>CALLE 119A NO 70-15</t>
  </si>
  <si>
    <t>henry.alarcon@saiadltda.com</t>
  </si>
  <si>
    <t>INMUGEN CORPORATION S.A.S.</t>
  </si>
  <si>
    <t>JHANN ANDRES ARTURO</t>
  </si>
  <si>
    <t>CR 45 A 103 B-52 PISO 1</t>
  </si>
  <si>
    <t>7049861/ 7049872</t>
  </si>
  <si>
    <t>inmugen@gmail.com</t>
  </si>
  <si>
    <t>www.inmugencorp.com</t>
  </si>
  <si>
    <t>5202074/ 6049861</t>
  </si>
  <si>
    <t>coordinacioninmugen@gmail.com</t>
  </si>
  <si>
    <t>REHABILITACION INTEGRAL INFANTIL ESPECIALIZADA SAS CON SIGLA RIIE SAS</t>
  </si>
  <si>
    <t>Edna Yucely D� Pach󮼯td&gt;</t>
  </si>
  <si>
    <t>CL 119 # 11 B 67</t>
  </si>
  <si>
    <t>313 4994151 - 031 6 708078</t>
  </si>
  <si>
    <t>gerencia@riie.com.co</t>
  </si>
  <si>
    <t>REHABILITACIӎ INTEGRAL INFANTIL ESPECIALIZADA SAS CON SIGLA RIIE SAS</t>
  </si>
  <si>
    <t>CL 119 #11 B 67</t>
  </si>
  <si>
    <t>313 499 41 51 - 3561023</t>
  </si>
  <si>
    <t>calidad@riie.com.co</t>
  </si>
  <si>
    <t>REHABILITACION INTEGRAL INFANTIL ESPECIALIZADA SAS</t>
  </si>
  <si>
    <t>Calle 119 # 13 -51 Oficina 201</t>
  </si>
  <si>
    <t>(601) 7393639</t>
  </si>
  <si>
    <t>SIGANDINI S.A.S</t>
  </si>
  <si>
    <t>CARLOS BERNARDINO SILVA GANDUR</t>
  </si>
  <si>
    <t>KR 16 A # 82 46 CS 411</t>
  </si>
  <si>
    <t>administracion@sigandini.net</t>
  </si>
  <si>
    <t>ORGANIZACION VIHONCO IPS SOCIEDAD POR ACCIONES SIMPLIFICADA</t>
  </si>
  <si>
    <t>JUAN CARLOS CORREDOR OCHOA</t>
  </si>
  <si>
    <t>DIAGONAL 115 A # 70 D 68 P1</t>
  </si>
  <si>
    <t>juridico@vihonco.com</t>
  </si>
  <si>
    <t>https://www.vihonco.com</t>
  </si>
  <si>
    <t>KEVIN FELIPE TORRES LOPEZ</t>
  </si>
  <si>
    <t>DIAGONAL 115A # 70 D - 68 P1</t>
  </si>
  <si>
    <t>INSTITUTO DEL CORAZON DE BUCARAMANGA S.A.</t>
  </si>
  <si>
    <t>CUSTODIO ELIAS RUIZ BALLESTEROS</t>
  </si>
  <si>
    <t>AV CARACAS # 34 47</t>
  </si>
  <si>
    <t>3177189863-3184327214</t>
  </si>
  <si>
    <t>calidad@institutodelcorazon.com</t>
  </si>
  <si>
    <t>www.institutodelcorazon.com</t>
  </si>
  <si>
    <t>INSTITUTO DEL CORAZON DE BOGOTA</t>
  </si>
  <si>
    <t>RAFAEL ALONSO GONZALEZ OTERO</t>
  </si>
  <si>
    <t>3184327214-3177189863</t>
  </si>
  <si>
    <t>Sede Ambulatoria Coraz󮠓ano</t>
  </si>
  <si>
    <t>Calle 35 # 14-58</t>
  </si>
  <si>
    <t>ULTRASONIDO VASCULAR S.A.S. CON SIGLA ULVASC S.A.S.</t>
  </si>
  <si>
    <t>GIRALDO NEIRA OSCAR</t>
  </si>
  <si>
    <t>AV CALLE 127 NO. 19A-28 CS 401 - Barrio:LA CALLEJA</t>
  </si>
  <si>
    <t>7317200 - 3174270527</t>
  </si>
  <si>
    <t>ultrasonidovascularsas@gmail.com</t>
  </si>
  <si>
    <t>ULTRASONIDO VASCULAR S.A.S.</t>
  </si>
  <si>
    <t>OSCAR GIRALDO NEIRA</t>
  </si>
  <si>
    <t>AV CALLE 127 NO. 19A-28 CS 401</t>
  </si>
  <si>
    <t>COLOMBIANEST SAS</t>
  </si>
  <si>
    <t>BETANCUR FRANCO LUIS ANGEL</t>
  </si>
  <si>
    <t>CALLE 23 66-46 CS 403 - 404</t>
  </si>
  <si>
    <t>6940772 - 6945312</t>
  </si>
  <si>
    <t>acolombianest@yahoo.com.co</t>
  </si>
  <si>
    <t>CARLOS ARTURO SANCHEZ MONTOYA</t>
  </si>
  <si>
    <t>GRUPO MEGACENTRO INTERNACIONAL DE LA VISION SAS</t>
  </si>
  <si>
    <t>MARIA EFIGENIA ARISTIZABAL JIMENEZ</t>
  </si>
  <si>
    <t>CALLE 19 12-85 LOCAL 01</t>
  </si>
  <si>
    <t>742 72 84</t>
  </si>
  <si>
    <t>compras@megacentrovision.com</t>
  </si>
  <si>
    <t>TECHNO VISION OPTICS</t>
  </si>
  <si>
    <t>MARIA JUDITH ARISTIZABAL JIMENEZ</t>
  </si>
  <si>
    <t>CALLE 19 12 - 85 LOCAL 01</t>
  </si>
  <si>
    <t>VISION HOUSE</t>
  </si>
  <si>
    <t>CALLE 19 12 - 85 LOCAL 2</t>
  </si>
  <si>
    <t>742 72 86</t>
  </si>
  <si>
    <t>megacentrodelavision@hotmail.com</t>
  </si>
  <si>
    <t>GROUP CITY VISION</t>
  </si>
  <si>
    <t>CALLE 19 12 - 85 LOCAL 03</t>
  </si>
  <si>
    <t>EXPOVISION MAPAGO</t>
  </si>
  <si>
    <t>CL 19 # 12 57 PISO 1</t>
  </si>
  <si>
    <t>EXPOVISION MAPAGO 2</t>
  </si>
  <si>
    <t>CL 19 # 13 - 21</t>
  </si>
  <si>
    <t>CFZ MEDICINA ESTETICA SAS</t>
  </si>
  <si>
    <t>ANA CAROLINA FELIZZOLA ZALABATA</t>
  </si>
  <si>
    <t>CARRERA 16 # 88 - 81 Ofi 706</t>
  </si>
  <si>
    <t>bogota@carolinafelizzola.com</t>
  </si>
  <si>
    <t>ANA CAROLINA FILIZZOLA ZALABATA</t>
  </si>
  <si>
    <t>CARRERA 16 # 88 - 81 Cons 310 311</t>
  </si>
  <si>
    <t>administrador@carolinafelizzola.com</t>
  </si>
  <si>
    <t>BOTELLO ALHIPPIO SAS</t>
  </si>
  <si>
    <t>OLGA TERESA ALHIPPIO CHAVARRO</t>
  </si>
  <si>
    <t>CR 19 C NO. 86 30 OF 305</t>
  </si>
  <si>
    <t>botedent@hotmail.com</t>
  </si>
  <si>
    <t>BOTELLDENT ODONTOLOGIA ESPECIALIZADA</t>
  </si>
  <si>
    <t>JORGE ELIECER BOTELLO OCAMPO</t>
  </si>
  <si>
    <t>DENTAL LINE E.U.</t>
  </si>
  <si>
    <t>WILSON FERNANDEZ ACERO</t>
  </si>
  <si>
    <t>TRANV 34 A BIS # 40 67SUR</t>
  </si>
  <si>
    <t>dental.linewf@gmail.com</t>
  </si>
  <si>
    <t>DENTAL LINE</t>
  </si>
  <si>
    <t>TRANV 34A BIS NO. 40-67 SUR</t>
  </si>
  <si>
    <t>CL 93 B # 17 42 OF 401</t>
  </si>
  <si>
    <t>OPTIRED SAS</t>
  </si>
  <si>
    <t>ALEJANDRO NOCUA SALAZAR</t>
  </si>
  <si>
    <t>CALLE 51 No 14 - 88</t>
  </si>
  <si>
    <t>alejonocua@hotmail.com</t>
  </si>
  <si>
    <t>3102002220/2102939</t>
  </si>
  <si>
    <t>Oxiayuda SAS</t>
  </si>
  <si>
    <t>CENDALES ROA GUILLERMO</t>
  </si>
  <si>
    <t>Calle 70BIS 107 05/ 11</t>
  </si>
  <si>
    <t>5444852 / 3144423662</t>
  </si>
  <si>
    <t>oxiayuda@oxiayuda.net</t>
  </si>
  <si>
    <t>www.oxiayuda.net</t>
  </si>
  <si>
    <t>Guillermo Cendales Roa</t>
  </si>
  <si>
    <t>Calle 70 BIS 107 05/ 11</t>
  </si>
  <si>
    <t>544 4852/ 3144423662</t>
  </si>
  <si>
    <t>ESPECIALISTAS EN SALUD OCUPACIONAL GENESLAB LTDA</t>
  </si>
  <si>
    <t>BIANETH RODRIGUEZ HERNANDEZ</t>
  </si>
  <si>
    <t>CL 98 No 15 - 17 CS 201</t>
  </si>
  <si>
    <t>6213745-3028440955</t>
  </si>
  <si>
    <t>geneslab2001@yahoo.es</t>
  </si>
  <si>
    <t>NATURAL BODY CENTER LTDA</t>
  </si>
  <si>
    <t>RICARDO ERNESTO VILLORIA DELGADO</t>
  </si>
  <si>
    <t>CL 53 B # 24 80 CS 413</t>
  </si>
  <si>
    <t>3125241052 3112117209</t>
  </si>
  <si>
    <t>contactenos@naturalbodycenter.com</t>
  </si>
  <si>
    <t>www.naturalbodycenter.com</t>
  </si>
  <si>
    <t>CL 53 B 24 80 CS 413-414</t>
  </si>
  <si>
    <t>3125241052-3112117209</t>
  </si>
  <si>
    <t>NATURAL BODY CENTER LTDA.</t>
  </si>
  <si>
    <t>AK 15 124 17 CS 411-CS 419</t>
  </si>
  <si>
    <t>Ricardo Ernesto Villoria Delgado</t>
  </si>
  <si>
    <t>CL 47 B SUR 24 B 33 CS 303</t>
  </si>
  <si>
    <t>AC 127 19 A 28 CS 205</t>
  </si>
  <si>
    <t>CALLE 53 B 24 80 CS 513</t>
  </si>
  <si>
    <t>NATURAL BODY CENTER LTDA NOGAL</t>
  </si>
  <si>
    <t>CALLE 73 N. 7-50 CS 301</t>
  </si>
  <si>
    <t>NATURAL BODY CENTER LTDA SUBA</t>
  </si>
  <si>
    <t>AC 145 N 91-19 LC 11-205</t>
  </si>
  <si>
    <t>NATURAL BODY CENTER PASADENA</t>
  </si>
  <si>
    <t>AVENIDA CARRERA 45 106 71 CS 404</t>
  </si>
  <si>
    <t>CONTACTENOS@NATURALBODYCENTER.COM</t>
  </si>
  <si>
    <t>CENTRO AUDIOLOGICO ESPECIALIZADO C.A.E S.A.S</t>
  </si>
  <si>
    <t>LUIS JESUS AMARILLO CENTENO</t>
  </si>
  <si>
    <t>CRA 19C # 86 - 30 OFC 206 -207 - 208 -401</t>
  </si>
  <si>
    <t>7457055 - 3214686825</t>
  </si>
  <si>
    <t>cae@daudio.co</t>
  </si>
  <si>
    <t>DAVID SANTIAGO AMARILLO TRIVIя</t>
  </si>
  <si>
    <t>CENTRO AUDIOLOGICO ESPECIALIZADO CAE - PHILIPS</t>
  </si>
  <si>
    <t>AK 15 #124 - 30 LC 2-092</t>
  </si>
  <si>
    <t>LEGAL@DAUDIO.CO</t>
  </si>
  <si>
    <t>MEDICINA PODOLOGICA Y REPRESENTACIONES S.A.S SIGLA MEDIPOR S.A.S</t>
  </si>
  <si>
    <t>MARIO JOSE PEREZ TRIANA</t>
  </si>
  <si>
    <t>AV CRA 58 # 128 B 17 Casa P1</t>
  </si>
  <si>
    <t>3000999-3107883744</t>
  </si>
  <si>
    <t>piesalud@piesalud.com</t>
  </si>
  <si>
    <t>www.piesalud.net</t>
  </si>
  <si>
    <t>MEDICINA PODOLOGICA Y REPRESENTACIONES S.A.S. SIGLA MEDIPOR S.A.S.</t>
  </si>
  <si>
    <t>subdirector@piesalud.com</t>
  </si>
  <si>
    <t>L I SPA VIVIR NEW STETIC I P S LTDA</t>
  </si>
  <si>
    <t>IRIS MARGOTH ALARCON MENJURA</t>
  </si>
  <si>
    <t>CL 53 # 73 62 PI 2</t>
  </si>
  <si>
    <t>iris_alarcon@hotmail.com</t>
  </si>
  <si>
    <t>CENTRO DE EXCELENCIA PARA EL MANEJO DE LA DIABETES S.A.S. SIGLA CEMDI SAS</t>
  </si>
  <si>
    <t>ANA ISABEL ECHEVERRI VIVARES</t>
  </si>
  <si>
    <t>AV CALLE 100 No. 61 - 18</t>
  </si>
  <si>
    <t>gerencia@cemdi.net.co</t>
  </si>
  <si>
    <t>www.cemdi.net.co</t>
  </si>
  <si>
    <t>CENTRO DE EXCELENCIA PARA EL MANEJO DE LA DIABETES S.A.S</t>
  </si>
  <si>
    <t>OSCAR RINCON COVELLI</t>
  </si>
  <si>
    <t>CALLE 100 NO. 61 - 18</t>
  </si>
  <si>
    <t>CENTRO DE EXCELENCIA PARA EL MANEJO DE LA DIABETES S.A.S SEDE SUBA</t>
  </si>
  <si>
    <t>Nestor Raimundo Chavez Martinez</t>
  </si>
  <si>
    <t>Transversal 60 No. 127 D 39</t>
  </si>
  <si>
    <t>CENTRO DE EXCELENCIA PARA EL MANEJO DE LA DIABETES S.A.S SEDE SUR</t>
  </si>
  <si>
    <t>CARRERA 83 A BIS No. 59 A 12 SUR</t>
  </si>
  <si>
    <t>TEMPO INVERSIONES SAS</t>
  </si>
  <si>
    <t>Diego Rojas Galeano</t>
  </si>
  <si>
    <t>Calle 15 Sur # 22-04</t>
  </si>
  <si>
    <t>tempodr@hotmail.com</t>
  </si>
  <si>
    <t>TEMPO SPA</t>
  </si>
  <si>
    <t>Calle 15 Sur N 22-04</t>
  </si>
  <si>
    <t>STEM MEDICINA REGENERATIVA S.A.</t>
  </si>
  <si>
    <t>CAUDIA GOMEZ GOMEZ</t>
  </si>
  <si>
    <t>CALLE 113 # 7-45 TORRE B OF 702/703 Y 1004 EDIFICIO TELEPORT</t>
  </si>
  <si>
    <t>coordinacionlab@bancodecelulas.com</t>
  </si>
  <si>
    <t>www.bancodecelulas.com</t>
  </si>
  <si>
    <t>STEM MEDICINA REGENERATIVA S.A.S.</t>
  </si>
  <si>
    <t>MARIA CRISTINA FONTALVO ARJONA</t>
  </si>
  <si>
    <t>CALLE 113 # 7 - 45 TORRE B OF 702/703 Y 1004 EDIFICIO TELEPORT</t>
  </si>
  <si>
    <t>HISTOLAD EU</t>
  </si>
  <si>
    <t>LADYS ESTHER SARMIENTO LACERA</t>
  </si>
  <si>
    <t>AK45 No 118-86 of 203</t>
  </si>
  <si>
    <t>sarmiento62@yahoo.com</t>
  </si>
  <si>
    <t>AK 45 #118-86 OF 203</t>
  </si>
  <si>
    <t>UNIDAD CLINICA ODONTOLOGICA SANTA LIBRADA SAS</t>
  </si>
  <si>
    <t>Dr. GUILLERMO BUITRAGO AVILA</t>
  </si>
  <si>
    <t>AK 1 NO. 75 A 38 SUR</t>
  </si>
  <si>
    <t>ODONTOLAY SANTA LIBRADA</t>
  </si>
  <si>
    <t>MAXDENT CLINICAS ODONTOLOGICAS S.A.S</t>
  </si>
  <si>
    <t>JOHN HENRY NOVOA BUITRAGO</t>
  </si>
  <si>
    <t>DG 40 SUR 27 35 - Barrio:INGLES</t>
  </si>
  <si>
    <t>3025454511 - 3016884606</t>
  </si>
  <si>
    <t>maxdentsas3000@hotmail.com</t>
  </si>
  <si>
    <t>MAXDENT INGLES</t>
  </si>
  <si>
    <t>DG 40 SUR 27 35</t>
  </si>
  <si>
    <t>DENTAL DIAGNOSTIC RX EL BOSQUE E.U.</t>
  </si>
  <si>
    <t>JUAN CARLOS PACHECO TORRES</t>
  </si>
  <si>
    <t>CL 134 No 7B 83 OF 602</t>
  </si>
  <si>
    <t>dentaldxrxelbosque@gmail.com</t>
  </si>
  <si>
    <t>DENTAL DIAGNOSTIC RX EL BOSQUE</t>
  </si>
  <si>
    <t>pachecos@cable.net.co</t>
  </si>
  <si>
    <t>GRUPO MEDICO INCOLGER SAS</t>
  </si>
  <si>
    <t>JONATHAN LOPEZ LOPEZ</t>
  </si>
  <si>
    <t>AK 70 (AV ROJAS ) # 66-14</t>
  </si>
  <si>
    <t>gerente@incolger.com.co</t>
  </si>
  <si>
    <t>INSTITUTO COLOMBIANO DE GERONTOLOGIA Y GERIATRIA SAS SIGLA INCOLGER IPS SAS</t>
  </si>
  <si>
    <t>KR 73 BIS N 55-74</t>
  </si>
  <si>
    <t>incolger@gmail.com</t>
  </si>
  <si>
    <t>COMPLEJO MEDICO LA ESTRADA</t>
  </si>
  <si>
    <t>AK 70 (AV ROJAS) # 66-14</t>
  </si>
  <si>
    <t>DENTAL EVIDENCE ODONTOLOGIA ESPECIALIZADA S.A.S.</t>
  </si>
  <si>
    <t>NELSON ERASMO YANEZ GUTIERREZ</t>
  </si>
  <si>
    <t>CARRERA 58 No 130 56</t>
  </si>
  <si>
    <t>dentalevidence@yahoo.com</t>
  </si>
  <si>
    <t>DENTAL EVIDENCE FLORESTA</t>
  </si>
  <si>
    <t>CALLE 95 No 69A -36</t>
  </si>
  <si>
    <t>6001197 - 3143313189</t>
  </si>
  <si>
    <t>SERVICIOS MEDICOS VITAL HEALTH SAS</t>
  </si>
  <si>
    <t>NIDIA JUDITH LEMUS</t>
  </si>
  <si>
    <t>CALLE 31 # 13 A 51 TORRE 2 OFICINA 228</t>
  </si>
  <si>
    <t>njlemus@gmail.com</t>
  </si>
  <si>
    <t>https://www.smvital-health.com.co/</t>
  </si>
  <si>
    <t>Nidia Judith Lemus Molina</t>
  </si>
  <si>
    <t>DIANTHE S.A.S.</t>
  </si>
  <si>
    <t>IVONNE LUCIA OSPINA MARTINEZ</t>
  </si>
  <si>
    <t>CARRERA 71B 54 11</t>
  </si>
  <si>
    <t>(571) 2955960</t>
  </si>
  <si>
    <t>luis.jaramillo@clinicasdianthe.com</t>
  </si>
  <si>
    <t>www.clinicasdianthe.com</t>
  </si>
  <si>
    <t>DIANTHE SAS</t>
  </si>
  <si>
    <t>LUIS FERNANDO JARAMILLO DAVILA</t>
  </si>
  <si>
    <t>GRUPO EMPRESARIAL EN CASA SAS</t>
  </si>
  <si>
    <t>DIANA MARIA VARGAS</t>
  </si>
  <si>
    <t>CARRERA 13 59 24 LOCAL 133 CENTRO COMERCIAL AQUARIUM</t>
  </si>
  <si>
    <t>2554438-2487695</t>
  </si>
  <si>
    <t>diana.vargas@encasasalud.com</t>
  </si>
  <si>
    <t>www.encasasalud.com</t>
  </si>
  <si>
    <t>En Casa Terapias y Salud</t>
  </si>
  <si>
    <t>ORTOPEDICA CHAPINERO E.U.</t>
  </si>
  <si>
    <t>DORIS VALENCIA VALENCIA</t>
  </si>
  <si>
    <t>CRA 15 # 54 - 47</t>
  </si>
  <si>
    <t>ortopedicachapinero@gmail.com</t>
  </si>
  <si>
    <t>SERVICIOS OFTALMOLOGICOS OFTALMOCENTER LTDA SIGLA OFTALMOCENTER LTDA</t>
  </si>
  <si>
    <t>DORA CAROLINA ORDUY REY</t>
  </si>
  <si>
    <t>Calle 97 No 23-37 Consultorio 306 - 307</t>
  </si>
  <si>
    <t>7513449-3558700</t>
  </si>
  <si>
    <t>carolina.orduy@hotmail.com -gerencia@oftalmocenter.com.co</t>
  </si>
  <si>
    <t>CL 97 No. 23 37 CONS 306 - 307</t>
  </si>
  <si>
    <t>7513449-6217273</t>
  </si>
  <si>
    <t>gerencia@oftalmocenter.com.co</t>
  </si>
  <si>
    <t>INTEGRAL ODONTOLOGIA AVANZADA LTDA</t>
  </si>
  <si>
    <t>GARCIA QUINTERO HORTENCIA LUCIA</t>
  </si>
  <si>
    <t>KR 17#106 16</t>
  </si>
  <si>
    <t>3188269504-3164823788</t>
  </si>
  <si>
    <t>recepfacturasodontoavanzada@gmail.com</t>
  </si>
  <si>
    <t>www.odontoavanzada.com</t>
  </si>
  <si>
    <t>6014858/6298157</t>
  </si>
  <si>
    <t>juancarlosjaramillo@odontoavanzada.com</t>
  </si>
  <si>
    <t>IPS ESPECIALIZADA S.A.</t>
  </si>
  <si>
    <t>CR 68 A # 24B 10 CC Plaza Claro TO 3 P 6 OF 4 - Barrio:</t>
  </si>
  <si>
    <t>3113053278 - 3202753222 - 3209268515</t>
  </si>
  <si>
    <t>calidad@ipsespecializada.com.co</t>
  </si>
  <si>
    <t>IPS Plaza Claro BogotἯtd&gt;</t>
  </si>
  <si>
    <t>DIEGO FERNANDO DIAZ GOMEZ</t>
  </si>
  <si>
    <t>Cr 68 A No. 24 B 10 Cc Plaza Claro To 3 P 6 Of 4</t>
  </si>
  <si>
    <t>CENTRO DE INVESTIGACIONES EN EPILEPSIA LTDA.</t>
  </si>
  <si>
    <t>JUAN GABRIEL VERGARA PALMA</t>
  </si>
  <si>
    <t>AV. CRA.9 No.103A-36 CONS 304 - 1</t>
  </si>
  <si>
    <t>6290900 - 3125219117</t>
  </si>
  <si>
    <t>juanverpal@gmail.com</t>
  </si>
  <si>
    <t>CENTRO DE INVESTIGACIONES EN EPILEPSIA.</t>
  </si>
  <si>
    <t>AV CRA.9 No. 103A-36 CONS 304 - 1</t>
  </si>
  <si>
    <t>CENTRO DE INVESTIGACIONES EN EPILEPSIA</t>
  </si>
  <si>
    <t>TV 74 F No 40 B -54 SUR CS 610</t>
  </si>
  <si>
    <t>MEGA ASISTENCIA COMPAэA DE ASISTENCIA SERVICIOS Y ASESORIA LIMITADA</t>
  </si>
  <si>
    <t>FERNANDO ANTONIO RODRIGUEZ DUARTE</t>
  </si>
  <si>
    <t>AC 127 # 20 78 CS 628 - 606</t>
  </si>
  <si>
    <t>TEL. 2595500</t>
  </si>
  <si>
    <t>rodrifermedic@hotmail.com</t>
  </si>
  <si>
    <t>AC 127 # 20 78 OF 628 - 606</t>
  </si>
  <si>
    <t>fernando.rodriguez@megasistencia.com</t>
  </si>
  <si>
    <t>SOLUCIONES MEDICAS EMPRESARIALES LIMITADA SOMEDE LTDA</t>
  </si>
  <si>
    <t>LORENA POLO TORRES</t>
  </si>
  <si>
    <t>calle 41 N 21 -29</t>
  </si>
  <si>
    <t>gerencia@somedelimitada.com</t>
  </si>
  <si>
    <t>calle 41 n 21-29</t>
  </si>
  <si>
    <t>CLINICA MEISEL SAS</t>
  </si>
  <si>
    <t>CIRO ALFONSO GOMEZ MEISEL</t>
  </si>
  <si>
    <t>Calle 94 ANo.13-59 Oficina 402</t>
  </si>
  <si>
    <t>CARDIOLLANOS@GMAIL.COM</t>
  </si>
  <si>
    <t>CLINICA MEISEL SAS- SEDE BOGOTA</t>
  </si>
  <si>
    <t>321 4909664</t>
  </si>
  <si>
    <t>coordinacioncreferenciatel@gmail.com</t>
  </si>
  <si>
    <t>MEDICAL PROTECTION SAS SALUD OCUPACIONAL</t>
  </si>
  <si>
    <t>JOSE LUIS BUITRAGO REDONDO</t>
  </si>
  <si>
    <t>KR 12 # 71 19</t>
  </si>
  <si>
    <t>gerencia@medicalprotection.com.co</t>
  </si>
  <si>
    <t>gerenciaadministrativa@medicalprotection.com.co</t>
  </si>
  <si>
    <t>CALLE 71 # 13-63</t>
  </si>
  <si>
    <t>Carrera 60 No. 5C 21</t>
  </si>
  <si>
    <t>PROSERVANDA SG-SST S.A.S</t>
  </si>
  <si>
    <t>BETTY MANZANO TORRADO</t>
  </si>
  <si>
    <t>DIAGONAL 45D N. 20 - 22 PISO 2</t>
  </si>
  <si>
    <t>calidad@proservanda-sgsst.com</t>
  </si>
  <si>
    <t>https://proservanda.co/inicio-pro</t>
  </si>
  <si>
    <t>XIMENA JUANA FRANCISCA LOZANO BELTRAN</t>
  </si>
  <si>
    <t>DIAGONAL 45D N. 20 - 22 PISO 1</t>
  </si>
  <si>
    <t>calidadproservandasgssts.a.s@gmail.com</t>
  </si>
  <si>
    <t>CENTRO OPTICO MAVER E U</t>
  </si>
  <si>
    <t>MAGDALENA BONILLA USECHE</t>
  </si>
  <si>
    <t>AV CARACAS # 1 13 consultorio 115</t>
  </si>
  <si>
    <t>sammaver11@hotmail.com</t>
  </si>
  <si>
    <t>CENTRO OPTICO MAVER</t>
  </si>
  <si>
    <t>ERIKA JACQUELINE CASTILLO DIAZ</t>
  </si>
  <si>
    <t>BOSTON MEDICAL CARE SAS IPS</t>
  </si>
  <si>
    <t>CL 127 No. 19 A - 28 CS 602 y 603</t>
  </si>
  <si>
    <t>3330333099 018000112433</t>
  </si>
  <si>
    <t>constanza.cabrera@convatec.com</t>
  </si>
  <si>
    <t>CONVACARE CLINICS BOGOTA -COUNTRY</t>
  </si>
  <si>
    <t>SONIA CIFUENTES LUGO</t>
  </si>
  <si>
    <t>Calle 82 No 18 - 27 y 31</t>
  </si>
  <si>
    <t>sonia.cifuentes@convatec.com</t>
  </si>
  <si>
    <t>CONVACARE CLINICS BOGOTA - HOMECARE</t>
  </si>
  <si>
    <t>ANGELICA ROZO</t>
  </si>
  <si>
    <t>CARRERA 29 B 79 30</t>
  </si>
  <si>
    <t>angelica.rozo@convatec.com</t>
  </si>
  <si>
    <t>FUNDACION SALUD DE LOS ANDES</t>
  </si>
  <si>
    <t>FABIO ENRIQUE MENDEZ FERNANDEZ</t>
  </si>
  <si>
    <t>Cll 44 No.58-05</t>
  </si>
  <si>
    <t>gerencia@saluddelosandes.com</t>
  </si>
  <si>
    <t>https://www.fundacionsaluddelosandes.org/</t>
  </si>
  <si>
    <t>FABIO ENRIQUE MENDEZ RIVERA</t>
  </si>
  <si>
    <t>CLL 44 No.58-05</t>
  </si>
  <si>
    <t>FUNDACION APRENDER A VIVIR</t>
  </si>
  <si>
    <t>CRA. 71 No. 53-52</t>
  </si>
  <si>
    <t>3103330027-3103884990</t>
  </si>
  <si>
    <t>johnpava_27@hotmail.com</t>
  </si>
  <si>
    <t>JOHN ALEXANDER PAEZ VALENCIA</t>
  </si>
  <si>
    <t>4446600 - 3103330027</t>
  </si>
  <si>
    <t>direccionclaritza@fundacionaprenderavivir.com</t>
  </si>
  <si>
    <t>CLINICA SANTA TERESITA DEL NIя JESUS S.A.</t>
  </si>
  <si>
    <t>KR 96 C # 21 A 43</t>
  </si>
  <si>
    <t>6017436572 - 6017436570 - 6017436571</t>
  </si>
  <si>
    <t>clinicastateresitadelninojesus@gmail.com</t>
  </si>
  <si>
    <t>JUAN CARLOS CASTRO PARDO</t>
  </si>
  <si>
    <t>6017436570 - 6017436571 - 6017436572</t>
  </si>
  <si>
    <t>PASSUS IPS TALLER PSICOMOTRIZ S.A.S.</t>
  </si>
  <si>
    <t>CALLE 142 No 16A 52</t>
  </si>
  <si>
    <t>notificacionesips@passusips.com</t>
  </si>
  <si>
    <t>PASSUS IPS BOGOTA NORTE</t>
  </si>
  <si>
    <t>ANAMARIA CABAL GALINDO</t>
  </si>
  <si>
    <t>PASSUS HIDROTERAPIA BOGOTA - SUR OCCIDENTE</t>
  </si>
  <si>
    <t>ANAMAŔ CABAL GALINDO</t>
  </si>
  <si>
    <t>CL 5A No 71B - 27 Piso UNO (1)</t>
  </si>
  <si>
    <t>PASSUS IPS BOGOTA SUROCCIDENTE 1</t>
  </si>
  <si>
    <t>AC 6 # 71 A 31</t>
  </si>
  <si>
    <t>PASSUS HIDROTERAPIA BOGOTA - CENTRO</t>
  </si>
  <si>
    <t>ANA MARIA CABAL GALINDO</t>
  </si>
  <si>
    <t>CR 32b No 4 - 27</t>
  </si>
  <si>
    <t>AVAMED DIAGNOSTICO MEDICO S.A.S / SIGLA: AVAMED S.A.S</t>
  </si>
  <si>
    <t>AVENIDA CARRERA 72 No. 50 -37</t>
  </si>
  <si>
    <t>3202780872-3208705323-3136864136</t>
  </si>
  <si>
    <t>gerencia@diagnosticomedico.co</t>
  </si>
  <si>
    <t>CAROL MELISA OLEJUA OLARTE</t>
  </si>
  <si>
    <t>AVENIDA CARRERA 72 NO. 50 - 37</t>
  </si>
  <si>
    <t>BIOGENETICA DIAGNOSTICA SAS</t>
  </si>
  <si>
    <t>CARRERA 19A#85-11, EDIFICIO IBERIA, PISO 2, INTERIOR 1</t>
  </si>
  <si>
    <t>biogeneticasas@yahoo.es</t>
  </si>
  <si>
    <t>Z</t>
  </si>
  <si>
    <t>LEONARDO PINZӎ S.A.S.</t>
  </si>
  <si>
    <t>Ak 19 N. 114 65 C 602 - Barrio:SAN PATRICIO</t>
  </si>
  <si>
    <t>6017022466 / 3102476779</t>
  </si>
  <si>
    <t>gerencia@leonardopinzon.com</t>
  </si>
  <si>
    <t>Humberto Garcia Pineda</t>
  </si>
  <si>
    <t>Ak 19 N. 114 65 C 602</t>
  </si>
  <si>
    <t>SUPLIMED HOSPITALARIO S.A.S Sigla SUPLIMED S.A.S.</t>
  </si>
  <si>
    <t>KR 63 # 100 27</t>
  </si>
  <si>
    <t>alvarosanchez@suplimed.com.co</t>
  </si>
  <si>
    <t>SUPLIMED HOSPITALARIO BOGOTA</t>
  </si>
  <si>
    <t>ADRIANA SANCHEZ QUIROZ</t>
  </si>
  <si>
    <t>BOSTON MEDICAL GROUP DE COLOMBIA S.A.S.</t>
  </si>
  <si>
    <t>KR 10 # 97 A 13 OF 303 TO A</t>
  </si>
  <si>
    <t>notificaciones@bostonmedical.com.co</t>
  </si>
  <si>
    <t>WWW.BOSTONMEDICAL.COM.CO</t>
  </si>
  <si>
    <t>BMGC BOGOTA</t>
  </si>
  <si>
    <t>LUIS ALBERTO BARON MOGOLLON</t>
  </si>
  <si>
    <t>BMGC EL DORADO</t>
  </si>
  <si>
    <t>AC 26 No. 69 63 of 314</t>
  </si>
  <si>
    <t>CENTRO OFTALMOLOGICO MICROCIRUGIA DEL OJO SAS</t>
  </si>
  <si>
    <t>CL 93 B #16 66</t>
  </si>
  <si>
    <t>centrooftalmologicomicrocirugiadelojo@hotmail.com</t>
  </si>
  <si>
    <t>JAIRO ARENAS RODRIGUEZ</t>
  </si>
  <si>
    <t>CL 93 B #16 66 CS 102,103,106,108</t>
  </si>
  <si>
    <t>RIO SUR SAS</t>
  </si>
  <si>
    <t>AC 26 # 103 08 EN 1 IN 20 A</t>
  </si>
  <si>
    <t>4139857-3138084059</t>
  </si>
  <si>
    <t>subgerencia@gruporiosur.com</t>
  </si>
  <si>
    <t>CARLOS RODRIGO IBAхZ LOZANO</t>
  </si>
  <si>
    <t>AC 26 #103 08 EN 1 IN 20 A</t>
  </si>
  <si>
    <t>AVENIR SALUD SAS</t>
  </si>
  <si>
    <t>Marta Luz Bernal Camacho</t>
  </si>
  <si>
    <t>Cl 50 N 8-24 CS 305</t>
  </si>
  <si>
    <t>7026887-3103183025- 7027086</t>
  </si>
  <si>
    <t>martaluz@avenirsalud.com</t>
  </si>
  <si>
    <t>WWW.avenirsalud.com</t>
  </si>
  <si>
    <t>diroperativa@avenirsalud.com</t>
  </si>
  <si>
    <t>CARDIO COLOMBIA S.A.S</t>
  </si>
  <si>
    <t>MANUEL JHON DEL FRANCISCO LIEVANO TRIANA</t>
  </si>
  <si>
    <t>Carrera 46 No. 95-56, CONSULTORIOS: 102,301,302,305,307,401,402,403,404,406 Y 407</t>
  </si>
  <si>
    <t>cardiocolombia@cardiocolombia.com.co</t>
  </si>
  <si>
    <t>www.cardiocolombia.com.co</t>
  </si>
  <si>
    <t>CARDIO COLOMBIA SEDE PRINCIPAL</t>
  </si>
  <si>
    <t>FISIOPLUS SAS</t>
  </si>
  <si>
    <t>CL 23 66 46 IN 4 CN 419</t>
  </si>
  <si>
    <t>4897333 - 315 3529173</t>
  </si>
  <si>
    <t>gerencia@fisioplus.co</t>
  </si>
  <si>
    <t>www.fisioplus.co</t>
  </si>
  <si>
    <t>LUZ MARIA GONZALEZ ALVAREZ</t>
  </si>
  <si>
    <t>4897333 - 3153529173</t>
  </si>
  <si>
    <t>FISIOPLUS CALLE 13</t>
  </si>
  <si>
    <t>AC 13 65 21 LOCALES 21-24A-27-28-29</t>
  </si>
  <si>
    <t>Instituto piel Renaissence SAS</t>
  </si>
  <si>
    <t>CL 93 B # 11 A 84 PI 4 LC 403</t>
  </si>
  <si>
    <t>3378912 - 3133499734 - 3108562016</t>
  </si>
  <si>
    <t>claudiacp16@hotmail.com</t>
  </si>
  <si>
    <t>www.institutopiel.com</t>
  </si>
  <si>
    <t>Intituto Piel Renaissence</t>
  </si>
  <si>
    <t>Claudia Constanza Camacho Perez</t>
  </si>
  <si>
    <t>3378912 -3133499734 - 3108562016</t>
  </si>
  <si>
    <t>instituto-piel@hotmail.com</t>
  </si>
  <si>
    <t>SMILE EXPRESS DENTAL SPA S.A.S.</t>
  </si>
  <si>
    <t>Cra 18# 80-32 cons 207</t>
  </si>
  <si>
    <t>linajoha1@hotmail.com</t>
  </si>
  <si>
    <t>JAVIER OLMEDO BEDOYA OSORIO</t>
  </si>
  <si>
    <t>Cra 18#80-32 cons 207</t>
  </si>
  <si>
    <t>8051060-3186437326</t>
  </si>
  <si>
    <t>CENTRO DE ESTETICA SALUD CUERPO Y BELLEZA LTDA</t>
  </si>
  <si>
    <t>ARAGON</t>
  </si>
  <si>
    <t>CARRERA 78 G No. 37-21 SUR</t>
  </si>
  <si>
    <t>jenny042@hotmail.com</t>
  </si>
  <si>
    <t>SALUD CUERPO YBELLEZA I</t>
  </si>
  <si>
    <t>SALUD CUERPO Y BELLEZA II</t>
  </si>
  <si>
    <t>ARAGON BERNAL JENNY VIVIANA</t>
  </si>
  <si>
    <t>AVENIDA PRIMERO DE MAYO No. 72A-74</t>
  </si>
  <si>
    <t>SALUD CUERPO Y BELLEZA III</t>
  </si>
  <si>
    <t>CALLE 86 No 24-27</t>
  </si>
  <si>
    <t>BELLEZAINTEGRALMERCADEO@HOTMAIL.COM</t>
  </si>
  <si>
    <t>SALUD CUERPO Y BELLEZA IV</t>
  </si>
  <si>
    <t>CL 127 D #.58 18</t>
  </si>
  <si>
    <t>SALUD CUERPO Y BELLEZA V</t>
  </si>
  <si>
    <t>JENNY VIVIANA ARAGON BERNAL</t>
  </si>
  <si>
    <t>AV LA ESPERANZA # 74 35</t>
  </si>
  <si>
    <t>saludcuerpoybelleza_ltda@hotmail.com</t>
  </si>
  <si>
    <t>SALUD CUERPO Y BELLEZA VI</t>
  </si>
  <si>
    <t>CARRERA 16 N 140 -60</t>
  </si>
  <si>
    <t>saludcuerpoybelleza_ltda@4hotmail.com</t>
  </si>
  <si>
    <t>SALUD CUERPO Y BELLEZA VII</t>
  </si>
  <si>
    <t>CL 63 # 16A 25</t>
  </si>
  <si>
    <t>SALUD CUERPO Y BELLEZA VIII</t>
  </si>
  <si>
    <t>CRA 20 No 14-18 SUR</t>
  </si>
  <si>
    <t>bellezaintegralmercadeo@hotmail.com</t>
  </si>
  <si>
    <t>CORPORACION CENTRO HOLISTICO CCH</t>
  </si>
  <si>
    <t>Calle 118 No 20-13</t>
  </si>
  <si>
    <t>info@centro-holistico.com</t>
  </si>
  <si>
    <t>MAURICIO PORRAS LAVERDE</t>
  </si>
  <si>
    <t>carrera 39 # 25 a -58 Barrio El Recuerdo</t>
  </si>
  <si>
    <t>HACES INVERSIONES Y SERVICIOS SAS</t>
  </si>
  <si>
    <t>Calle 100 #19 A - 30 Oficina 801</t>
  </si>
  <si>
    <t>6017452026-3015997382</t>
  </si>
  <si>
    <t>falckhomecare@falck.co</t>
  </si>
  <si>
    <t>FALCK HOMECARE</t>
  </si>
  <si>
    <t>MONICA JOHANNA GONZALEZ PEѕELA</t>
  </si>
  <si>
    <t>AK 68 D #18 - 30 Interior 3</t>
  </si>
  <si>
    <t>ARCHILA Y RICAURTE SAS</t>
  </si>
  <si>
    <t>AK 7 N 119-14 CS 302 P3</t>
  </si>
  <si>
    <t>archilayricaurte@gmail.com</t>
  </si>
  <si>
    <t>MARIA DEL PILAR ARCHILA GOMEZ</t>
  </si>
  <si>
    <t>GASTROMEDICALL LTDA</t>
  </si>
  <si>
    <t>AC 127 No. 19A-44 CS 512- 513- 514-305</t>
  </si>
  <si>
    <t>5185118-3183438113-3155201011</t>
  </si>
  <si>
    <t>contacto@gastromedicall.com</t>
  </si>
  <si>
    <t>www.gastromedicall.com</t>
  </si>
  <si>
    <t>Benedicto Velasco Sepulveda</t>
  </si>
  <si>
    <t>AC 127 No. 19A-44 CS 512-513-514-305</t>
  </si>
  <si>
    <t>5185118-3152891778</t>
  </si>
  <si>
    <t>cvivas@gastromedicall.com.co</t>
  </si>
  <si>
    <t>HEALTHY RENT SAS</t>
  </si>
  <si>
    <t>CALLE 93 B#18-12 OFC 302</t>
  </si>
  <si>
    <t>administrativo@healthyrent.co</t>
  </si>
  <si>
    <t>https://www.healthyrent.co</t>
  </si>
  <si>
    <t>ADRIANA MARIA ARARAT ORJUELA</t>
  </si>
  <si>
    <t>CALLE 93 B # 18-12 OFC 302</t>
  </si>
  <si>
    <t>GRUPO FILODERM SAS</t>
  </si>
  <si>
    <t>Cll 8 B No 78-22</t>
  </si>
  <si>
    <t>2711414 - 3102157304</t>
  </si>
  <si>
    <t>elpip82@hotmail.com</t>
  </si>
  <si>
    <t>Svelthus Clinica De Rejuvenecimiento Facial Y Corporal</t>
  </si>
  <si>
    <t>LUIS FELIPE ALZATE GIRALDO</t>
  </si>
  <si>
    <t>CALLE 116 No 71 a- 78</t>
  </si>
  <si>
    <t>2711414- 3102157304</t>
  </si>
  <si>
    <t>CLINICA LASER DE ACNE</t>
  </si>
  <si>
    <t>FELIPE ALZATE</t>
  </si>
  <si>
    <t>CARRERA 23 124 87 TORRE 2 CONSULTORIO 601</t>
  </si>
  <si>
    <t>administracion@grupofiloderm.com</t>
  </si>
  <si>
    <t>ORL AUDIO SAS</t>
  </si>
  <si>
    <t>CL 23 No 66-46 INT 4 CS 1208</t>
  </si>
  <si>
    <t>5744314 - 3214866929 - 3124363482</t>
  </si>
  <si>
    <t>gerencia@orlaudio.co</t>
  </si>
  <si>
    <t>orlaudio.co</t>
  </si>
  <si>
    <t>LORENA CECILIA PINZON AVILA</t>
  </si>
  <si>
    <t>CL 23 No. 66-46 INT 4 CS 1208</t>
  </si>
  <si>
    <t>5-74-43-14 - 3214866929 - 3124363482</t>
  </si>
  <si>
    <t>Unidad Especializada en Ortopedia y Traumatolog�S.A.S</t>
  </si>
  <si>
    <t>Calle 145 No. 91-19 L 10-104 2P CENTRO SUBA</t>
  </si>
  <si>
    <t>pasm@clubcaderayrodilla.com</t>
  </si>
  <si>
    <t>Dr. Pedro Antonio Sᮣhez Mesa, MD</t>
  </si>
  <si>
    <t>Calle 145 No. 91-19, L 10-104 2P CENTRO SUBA</t>
  </si>
  <si>
    <t>6009349 -6836020</t>
  </si>
  <si>
    <t>pedroantonio.sanchezmesa@gmail.com</t>
  </si>
  <si>
    <t>DIAGNOSTICO ESPECIALIZADO POR CITOMETRIA DE FLUJO S.A.S.</t>
  </si>
  <si>
    <t>CL 71 # 11 10 OF 201</t>
  </si>
  <si>
    <t>citometriamlb@outlook.com</t>
  </si>
  <si>
    <t>MIGUEL ANTONIO GOMEZ</t>
  </si>
  <si>
    <t>Esthetics and Bussines Holding International SAS</t>
  </si>
  <si>
    <t>CL 98 # 9 A 46 PI 2 OF 201</t>
  </si>
  <si>
    <t>orcamoni11@hotmail.com</t>
  </si>
  <si>
    <t>WORLD MEDICAL CENTER</t>
  </si>
  <si>
    <t>Oscar Eduardo Cordoba Arce</t>
  </si>
  <si>
    <t>CL 98 # 9A 46 PI 2 OF 201</t>
  </si>
  <si>
    <t>Cirurobotica Marly Litomedica S.A.</t>
  </si>
  <si>
    <t>Cra 13 No 49 - 40 Consultorio 624-2 oficina administrativa y consultorio 212 consulta externa</t>
  </si>
  <si>
    <t>cirugiarobotica@clinicademarly.com.co</t>
  </si>
  <si>
    <t>www.cirurobotica.com</t>
  </si>
  <si>
    <t>Manuel Marcelo Rueda Salazar</t>
  </si>
  <si>
    <t>tatianabedoya@cirurobotica.com</t>
  </si>
  <si>
    <t>IDEARG S.A.S.</t>
  </si>
  <si>
    <t>AK 20 # 83 67</t>
  </si>
  <si>
    <t>3102210924-8059697</t>
  </si>
  <si>
    <t>idearg.sas@gmail.com</t>
  </si>
  <si>
    <t>RENATO GUZMAN</t>
  </si>
  <si>
    <t>H &amp; H LAB LABORATORIO DE REFERENCIA EN HEMOSTASIA Y HEMATOLOGIA SAS</t>
  </si>
  <si>
    <t>CRA 16 # 80-77 CONSULTORIO 208-209</t>
  </si>
  <si>
    <t>2960563-64</t>
  </si>
  <si>
    <t>direccioncientificahyh@gmail.com</t>
  </si>
  <si>
    <t>H &amp;H LAB LABORATORIO DE REFERENCIA EN HEMOSTASIA Y HEMATOLOGIA SAS</t>
  </si>
  <si>
    <t>JOHN RICHARD BENAVIDES MUяZ</t>
  </si>
  <si>
    <t>CRA 16 N 80- 77 CONSULTORIO 208-209</t>
  </si>
  <si>
    <t>2960563/64</t>
  </si>
  <si>
    <t>REHABILITARTE PLUS SAS</t>
  </si>
  <si>
    <t>CRA 47 # 91-50</t>
  </si>
  <si>
    <t>rehabilitacion@rhbtplus.com</t>
  </si>
  <si>
    <t>PAOLA ANDREA FORERO NIETO</t>
  </si>
  <si>
    <t>Cl 86B #49D-28 Of 201</t>
  </si>
  <si>
    <t>6139952 - 3212484879</t>
  </si>
  <si>
    <t>REHABILITARTE PLUS S.A.S</t>
  </si>
  <si>
    <t>Paola Andrea Forero Nieto</t>
  </si>
  <si>
    <t>LIGA COLOMBIANA CONTRA EL CNCER</t>
  </si>
  <si>
    <t>Carrera 12 A N 77- 34</t>
  </si>
  <si>
    <t>7441780 - 3133954584</t>
  </si>
  <si>
    <t>presidencia@ligacancercolombia.org</t>
  </si>
  <si>
    <t>www.ligacancercolombia.org</t>
  </si>
  <si>
    <t>LIGA COLOMBIANA CONTRA EL CANCER</t>
  </si>
  <si>
    <t>MARIA VILMA GARCIA DE SOTO</t>
  </si>
  <si>
    <t>Carrera 12 A N 77 - 34</t>
  </si>
  <si>
    <t>7441780 - 313954584</t>
  </si>
  <si>
    <t>ladent ips sas</t>
  </si>
  <si>
    <t>CARRERA 50 No 22-41 LC 206 primer nivel</t>
  </si>
  <si>
    <t>4-28-41-62 7-04-44-10</t>
  </si>
  <si>
    <t>ladentgerencia@hotmail.com</t>
  </si>
  <si>
    <t>LADENT I.P.S S.A.S</t>
  </si>
  <si>
    <t>PAUL ANDRE VELASQUEZ LADINO</t>
  </si>
  <si>
    <t>CARRERA 50 NO 22- 41 LC 206 primer nivel</t>
  </si>
  <si>
    <t>5-74-47-92 7-04-44-10</t>
  </si>
  <si>
    <t>LADENTGERENCIA@HOTMAIL.COM</t>
  </si>
  <si>
    <t>SALUD AUDITORIAS Y CONSULTORIAS LTDA SIGLA SAC SALUD LTDA</t>
  </si>
  <si>
    <t>KR 25 N 45 -05 CS 101</t>
  </si>
  <si>
    <t>3134188274/2440572</t>
  </si>
  <si>
    <t>sacsaludltda@hotmail.com</t>
  </si>
  <si>
    <t>SAC SALUD LTDA</t>
  </si>
  <si>
    <t>HECTOR HERNAN GUTIERREZ BERNAL</t>
  </si>
  <si>
    <t>ARTRO CENTRO IPS SAS</t>
  </si>
  <si>
    <t>CRA 27B # 73-59 PISO 1</t>
  </si>
  <si>
    <t>5405106 3115219789</t>
  </si>
  <si>
    <t>pauloalban@artrocentro.com</t>
  </si>
  <si>
    <t>PAULO ANTONIO ALBAN PULGARIN</t>
  </si>
  <si>
    <t>CLINICA MICHEL BELTRAN LTDA.</t>
  </si>
  <si>
    <t>CALLE 8 B #77-32 PI 1 LC 101</t>
  </si>
  <si>
    <t>clinicamichelbeltran@hotmail.com</t>
  </si>
  <si>
    <t>CLINICA MICHEL BELTRAN</t>
  </si>
  <si>
    <t>MICHEL HENRY BELTRAN RAMIREZ</t>
  </si>
  <si>
    <t>NACANISAJE SAS</t>
  </si>
  <si>
    <t>CALLE 141C N 103 F 83 - Barrio:SUBA</t>
  </si>
  <si>
    <t>RADIOLOGICO IMAGEN DIGITAL RP</t>
  </si>
  <si>
    <t>CONSUELO LILIANA SANCHEZ GALINDO</t>
  </si>
  <si>
    <t>CALLE 141C N 103 F 83</t>
  </si>
  <si>
    <t>SERVICIOS MEDICOS M S LTDA</t>
  </si>
  <si>
    <t>CALLE 50 N 8-27 OFICINA 204</t>
  </si>
  <si>
    <t>2326120 - 3436600 EXT 1529</t>
  </si>
  <si>
    <t>mmunoz@neuromarly.org</t>
  </si>
  <si>
    <t>MARIO MUяZ COLLAZOS</t>
  </si>
  <si>
    <t>CR 13 N 49-40 OF 532</t>
  </si>
  <si>
    <t>2326120 - 3205175 - 3436600 EXT 1529</t>
  </si>
  <si>
    <t>UNIDAD DE DIAGNOSTICO ECOGRAFICO FONTIBON I P S SOCIEDAD LIMITADA SU SIGLA ES UDEF I P S LTDA</t>
  </si>
  <si>
    <t>Calle 18 A # 98 - 34</t>
  </si>
  <si>
    <t>608 34 49</t>
  </si>
  <si>
    <t>unidaddediagnostico2@hotmail.com</t>
  </si>
  <si>
    <t>Marco Edgar Ariza Benitez</t>
  </si>
  <si>
    <t>BIENESTAR IPS S.A.S.</t>
  </si>
  <si>
    <t>Carrera 14 A No. 68 - 31</t>
  </si>
  <si>
    <t>6053854379 Ext. 1219</t>
  </si>
  <si>
    <t>notificacionesjudiciales@zentria.com.co</t>
  </si>
  <si>
    <t>https://bienestarips.com/</t>
  </si>
  <si>
    <t>BIENESTAR IPS S.A.S. CHAPINERO</t>
  </si>
  <si>
    <t>ALBERTO JOSE MARQUEZ ACOSTA</t>
  </si>
  <si>
    <t>BIENESTAR IPS S.A.S. SEDE COLINAS</t>
  </si>
  <si>
    <t>ESTEPHANIA PINZON LOPEZ</t>
  </si>
  <si>
    <t>Carrera 59 A No. 136-95 Pisos 2 ,3 Y SOTANO</t>
  </si>
  <si>
    <t>BIENESTAR IPS LABORATORIOS</t>
  </si>
  <si>
    <t>ROCIO SARA VERGARA SUCERQUIA</t>
  </si>
  <si>
    <t>Av carrera 40#20-73</t>
  </si>
  <si>
    <t>BIENESTAR IPS SEDE ESPECIALISTAS</t>
  </si>
  <si>
    <t>Anderson Cuellar Solano</t>
  </si>
  <si>
    <t>Calle 69 # 14 A- 31</t>
  </si>
  <si>
    <t>BIENESTAR IPS SEDE FONTIBON</t>
  </si>
  <si>
    <t>CALLE 25 G No 99 - 42</t>
  </si>
  <si>
    <t>BIENESTAR SEDE CENTENARIO</t>
  </si>
  <si>
    <t>CALLE 26 SUR No 26C - 50</t>
  </si>
  <si>
    <t>BIENESTAR IPS SEDE EL ENSUEя</t>
  </si>
  <si>
    <t>CALLE 59 SUR # 51-21 LOCAL 121 - 122</t>
  </si>
  <si>
    <t>BIENESTAR IPS SEDE GRAN PLAZA EL ENSUEя</t>
  </si>
  <si>
    <t>CALLE 59 SUR # 51-21 LOCAL 265-266</t>
  </si>
  <si>
    <t>BIENESTAR IPS GRAN PLAZA BOSA</t>
  </si>
  <si>
    <t>Calle 65 Sur # 78 H - 51 Local 347</t>
  </si>
  <si>
    <t>BIENESTAR IPS SEDE GRAN PLAZA BOSA</t>
  </si>
  <si>
    <t>CL 65 Sur # 78 H 51 LC 260</t>
  </si>
  <si>
    <t>BIENESTAR IPS CENTRO DE DIAGNOSTICO BOGOTA</t>
  </si>
  <si>
    <t>Cr 15 # 68 -31 Lc 2 Ed To De La 52</t>
  </si>
  <si>
    <t>BIENESTAR IPS SEDE CENTRO DE ESPECIALISTAS CORFERIAS</t>
  </si>
  <si>
    <t>Cl 24 D # 40-13</t>
  </si>
  <si>
    <t>AYUDA MEDICA TERRITORIAL EN AMBULANCIAS AYMEDT AMBULANCIAS LTDA</t>
  </si>
  <si>
    <t>KR 20#20 41 SUR PISO 1</t>
  </si>
  <si>
    <t>aymedtambulancias@hotmail.com</t>
  </si>
  <si>
    <t>https://no tiene</t>
  </si>
  <si>
    <t>LEIDY ALEJANDRA FRESNEDA ROJAS</t>
  </si>
  <si>
    <t>KR 20 # 20 41 SUR PISO 1</t>
  </si>
  <si>
    <t>ASISTIRTE SAS</t>
  </si>
  <si>
    <t>CRA 22 N 45B-38 CONSULTORIO 508 CENTRO MEDICO PALERMO</t>
  </si>
  <si>
    <t>gerencia@asistirteips.com</t>
  </si>
  <si>
    <t>asistirte.recursohumano@gmail.com</t>
  </si>
  <si>
    <t>RYAN MURILLO SANDOVAL</t>
  </si>
  <si>
    <t>jefe.enfermeria@asistirteips.com</t>
  </si>
  <si>
    <t>NOVAFEM SAS</t>
  </si>
  <si>
    <t>Carrera 15 88-64 Torre Zimma oficina 517</t>
  </si>
  <si>
    <t>2884024 - 3212296710</t>
  </si>
  <si>
    <t>shernandez@novafem.com.co</t>
  </si>
  <si>
    <t>BABYNOVA</t>
  </si>
  <si>
    <t>SIMON HERNANDEZ SERRANO</t>
  </si>
  <si>
    <t>Carrera 16 No 88-81/93 edificio de oficinas 90-16 oficinas 604, 605, 606, 607, 608 y 609</t>
  </si>
  <si>
    <t>gmolinares@novafem.com.co</t>
  </si>
  <si>
    <t>AMBULANCIAS AEREAS DE COLOMBIA S.A.S.</t>
  </si>
  <si>
    <t>Carrera 103 # 26-92 Interior 09 hangar 182</t>
  </si>
  <si>
    <t>3125488322 3108814575</t>
  </si>
  <si>
    <t>direccionmedica@ambulanciasaereasdecolombia.com administracion@ambulanciasaereasdecolombia.com</t>
  </si>
  <si>
    <t>www.ambulanciasaereasdecolombia.com</t>
  </si>
  <si>
    <t>Carrera 103 # 26-92 Int 09 hangar 182</t>
  </si>
  <si>
    <t>MEDICINA INTEGRAL DE ESPECIALIDADES MEIDE S.A.S.</t>
  </si>
  <si>
    <t>CALLE 63 No. 13-12 PISO 5 Consultorio 104 105 106 y 107</t>
  </si>
  <si>
    <t>calidad@meide.com.co</t>
  </si>
  <si>
    <t>MEIDE.COM.CO</t>
  </si>
  <si>
    <t>JENNY DEL PILAR MARROQUIN PALACIO</t>
  </si>
  <si>
    <t>CALLE 63 No. 13-12 PISO 5 Consultorio 104 105 106 Y 107</t>
  </si>
  <si>
    <t>gerencia@meide.com.co</t>
  </si>
  <si>
    <t>Te Aliviamos SAS</t>
  </si>
  <si>
    <t>Cra.48 #101A-09 Piso 1</t>
  </si>
  <si>
    <t>info@aliviamos.com</t>
  </si>
  <si>
    <t>www.aliviamos.com</t>
  </si>
  <si>
    <t>Paola Filauri</t>
  </si>
  <si>
    <t>mercadeo@aliviamos.com</t>
  </si>
  <si>
    <t>MEDICARTE S.A.S</t>
  </si>
  <si>
    <t>CL 83 # 16 A 44 LC 401 402</t>
  </si>
  <si>
    <t>notificaciones@medicarte.com.co</t>
  </si>
  <si>
    <t>www.medicarte.net</t>
  </si>
  <si>
    <t>MEDICARTE AGENCIA BOGOT|/td&gt;</t>
  </si>
  <si>
    <t>Juan Carlos Rodriguez Jaillier</t>
  </si>
  <si>
    <t>chernandez@medicarte.com.co</t>
  </si>
  <si>
    <t>MEDICARTE AGENCIA CHAPINERO</t>
  </si>
  <si>
    <t>Cr 15 # 93-60 Locales 130-132-134 Edificio Centro 93</t>
  </si>
  <si>
    <t>IPS CENTUM</t>
  </si>
  <si>
    <t>JUAN CARLOS RODRIGUEZ JAILLIER</t>
  </si>
  <si>
    <t>CLL 99 # 49-38 ED CENTUM PH OF 1602 1603 1604 1605</t>
  </si>
  <si>
    <t>IPS SUR</t>
  </si>
  <si>
    <t>AV CL 9 62 84 CC OUTLET FACTORY LC L 2 23 L 2 24 L 2 25</t>
  </si>
  <si>
    <t>AUDIFONOS ALCIRA RAMIREZ S A S</t>
  </si>
  <si>
    <t>CL 63 No. 11 - 45 OF. 209 y 213</t>
  </si>
  <si>
    <t>2550054 - 2550234</t>
  </si>
  <si>
    <t>ventas@audifonosalcira.com</t>
  </si>
  <si>
    <t>www.audifonosalcira.com</t>
  </si>
  <si>
    <t>AUDIFONOS ALCIRA RAMIREZ SAS</t>
  </si>
  <si>
    <t>CARMEN ALCIRA RAMIREZ GALLO</t>
  </si>
  <si>
    <t>CL. 63 # 11-45 OF. 209 y 213</t>
  </si>
  <si>
    <t>FUNDACION PARA LA INVESTIGACION CLINICA Y MOLECULAR APLICADA DEL CANCER FICMAC</t>
  </si>
  <si>
    <t>CL 116 No. 9 - 72 CS. 516 - 718 - 719</t>
  </si>
  <si>
    <t>8051809 - 3125425688</t>
  </si>
  <si>
    <t>administracion@ficmac.org</t>
  </si>
  <si>
    <t>FUNDACION PARA LA INVESTIGACION CLINICA Y MOLECULAR APLICADA DEL CANCER - FICMAC</t>
  </si>
  <si>
    <t>ANDRES FELIPE CARDONA ZORRILLA</t>
  </si>
  <si>
    <t>SOMHER S.A.S IPS</t>
  </si>
  <si>
    <t>CALLE 91 # 19 C 55 consultorio 208</t>
  </si>
  <si>
    <t>691 05 00 - 473 99 43</t>
  </si>
  <si>
    <t>somherips@yahoo.com.co</t>
  </si>
  <si>
    <t>JULIO ARMANDO HERNANDEZ DIAZ</t>
  </si>
  <si>
    <t>CALLE 91 # 19 C 55 consultorio 208-203-209.</t>
  </si>
  <si>
    <t>691 05 00- 473 99 43</t>
  </si>
  <si>
    <t>ipssomherips@yahoo.com.co</t>
  </si>
  <si>
    <t>Helpharma SAS</t>
  </si>
  <si>
    <t>Calle 31 No. 13 A 51 OF 318</t>
  </si>
  <si>
    <t>notificaciones@helpharma.com</t>
  </si>
  <si>
    <t>www.helpharma.com.co</t>
  </si>
  <si>
    <t>Helpharma Bavaria</t>
  </si>
  <si>
    <t>LUIS FELIPE CARDONA PARRA</t>
  </si>
  <si>
    <t>Calle 31 No. 13A 51 Of 318</t>
  </si>
  <si>
    <t>Hemato Oncologos Asociados S.A.</t>
  </si>
  <si>
    <t>AC 134 # 7 83 TORRE 2 PISO 2 CONS 224-225, PISO 5 CONS 251</t>
  </si>
  <si>
    <t>3330333423-3598086</t>
  </si>
  <si>
    <t>administracion@hemato-oncologos.com direcciondecalidad@hemato-onco</t>
  </si>
  <si>
    <t>www.hemato-oncologos.com</t>
  </si>
  <si>
    <t>Joaquin Hernando Guerra Villamizar</t>
  </si>
  <si>
    <t>AC 134 # 7 83 TO 2 PI 2 CS 224-225, PI 5 CS 251</t>
  </si>
  <si>
    <t>direcciondecalidad@hemato-oncologos.com</t>
  </si>
  <si>
    <t>MEDICINA ESTETICA Y ANTIEDAD MB S A S</t>
  </si>
  <si>
    <t>CARRERA 11 A No 93 - 52 CS 301</t>
  </si>
  <si>
    <t>administrativo@mariabahamon.com</t>
  </si>
  <si>
    <t>WWW.MARIABAHAMON.COM</t>
  </si>
  <si>
    <t>MARIA MAGDALENA BAHAMON FALLA</t>
  </si>
  <si>
    <t>UNIDAD MɄICA ONCOLӇICA S.A.S.</t>
  </si>
  <si>
    <t>AK 45 #106 30 CONS 610</t>
  </si>
  <si>
    <t>315 894 4271 - 315 894 4673 - 801 1857</t>
  </si>
  <si>
    <t>unidadmedicaoncologica@gmail.com</t>
  </si>
  <si>
    <t>JUAN SALVADOR CELIS ARMBULA</t>
  </si>
  <si>
    <t>AK 45 NO. 106 30 CONS 610, 611, 612, 617, 620</t>
  </si>
  <si>
    <t>INSTITUTO DE CIRUǴ PLSTICA, RECONSTRUCTIVA Y SALUD ESTETICA VITALUM I.P.S. S.A.S.</t>
  </si>
  <si>
    <t>Carrera 7 BIS No. 124 - 26 Oficina 701-702</t>
  </si>
  <si>
    <t>dfinanciera@alangonzalez.com</t>
  </si>
  <si>
    <t>www.alangonzalez.com</t>
  </si>
  <si>
    <t>AG INSTITUTE CIRUǴ PLSTICA, RECONSTRUCTIVA Y SALUD ESTETICA I.P.S. S.A.S</t>
  </si>
  <si>
    <t>JAMES ALEXIS ZAMBRANO HERNNDEZ</t>
  </si>
  <si>
    <t>Carrera 7 BIS No 124 - 26 Oficina 201</t>
  </si>
  <si>
    <t>contacto@alangonzalez.com</t>
  </si>
  <si>
    <t>MULTIHEALTH SAS MULTISONRISAS SAS</t>
  </si>
  <si>
    <t>CRA 9 # 127C-60 CONSULTORIO 506A</t>
  </si>
  <si>
    <t>multihealthsas@gmail.com</t>
  </si>
  <si>
    <t>https://multihealthsas.com</t>
  </si>
  <si>
    <t>MULTIHEALTH</t>
  </si>
  <si>
    <t>LUIS FERNANDO NAVARRO DIAZ</t>
  </si>
  <si>
    <t>CRA 9 # 127C- 60 CONSULTORIO 506A</t>
  </si>
  <si>
    <t>SEDE MULTIHEALTH MARSELLA</t>
  </si>
  <si>
    <t>KR 71F 6B 22</t>
  </si>
  <si>
    <t>U.E.DENT S.A.S.</t>
  </si>
  <si>
    <t>KR 58 (AV VILLAS) # 128 A 71</t>
  </si>
  <si>
    <t>2535853 - 3135254543</t>
  </si>
  <si>
    <t>marlonbecerraniza@gmail.com</t>
  </si>
  <si>
    <t>ODONTOLOGIA DE MARLON BECERRA COLINA</t>
  </si>
  <si>
    <t>ALEX EDUARDO BAYONA MARIN</t>
  </si>
  <si>
    <t>uedcolina@hotmail.com</t>
  </si>
  <si>
    <t>RENE RODRIGUEZ MEDICAL SAS</t>
  </si>
  <si>
    <t>CL 110 # 9 25 CS 704 y 705</t>
  </si>
  <si>
    <t>contacto@2rmd.com</t>
  </si>
  <si>
    <t>www.renerodriguezmd.com</t>
  </si>
  <si>
    <t>Rene Rodriguez</t>
  </si>
  <si>
    <t>NEXUS GROUP SAS</t>
  </si>
  <si>
    <t>KR 14 A # 112 79 PI 1</t>
  </si>
  <si>
    <t>7427358-3204084296 - 3182817653</t>
  </si>
  <si>
    <t>viviana.valderrama@camiloprieto.com</t>
  </si>
  <si>
    <t>www.camiloprieto.com</t>
  </si>
  <si>
    <t>GRACIELA VALDERRAMA L.</t>
  </si>
  <si>
    <t>ASISTENCIA MEDICA INTEGRAL S.A.S. INSTITUCION PRESTADORA DE SERVICIO DE SALUD IPS</t>
  </si>
  <si>
    <t>Cra 7B N 146- 90</t>
  </si>
  <si>
    <t>6332009 - 6332015</t>
  </si>
  <si>
    <t>jefe.calidad@clinicaodontologicaami.com</t>
  </si>
  <si>
    <t>www.clinicaodontologicaami.com</t>
  </si>
  <si>
    <t>EDUARDO GONZALEZ MARIN</t>
  </si>
  <si>
    <t>Cra 7B N 146 - 90</t>
  </si>
  <si>
    <t>UNIDAD MEDICA ONCOLOGICA ONCOLIFE IPS SAS</t>
  </si>
  <si>
    <t>AV Carrera 45 # 104A 87/91</t>
  </si>
  <si>
    <t>5803973- 3178061653</t>
  </si>
  <si>
    <t>calidad1@oncolife.com.co</t>
  </si>
  <si>
    <t>www.oncolife.com.co</t>
  </si>
  <si>
    <t>SANDRA YIGIOLA CARREя BLANCO</t>
  </si>
  <si>
    <t>5803973-3178061653</t>
  </si>
  <si>
    <t>CLINICA ONCOLIFE SEDE NORTE</t>
  </si>
  <si>
    <t>Av Cra 45 # 103 59/65</t>
  </si>
  <si>
    <t>ONCOLIFE IPS SEDE FLORESTA</t>
  </si>
  <si>
    <t>Carrera 69 98 A 11 Local 111</t>
  </si>
  <si>
    <t>3186127074- 3178061653</t>
  </si>
  <si>
    <t>Insight Psicologia IPS SAS</t>
  </si>
  <si>
    <t>CRA 13 A 78 38 OF. 201</t>
  </si>
  <si>
    <t>insightpsicologiaips@gmail.com</t>
  </si>
  <si>
    <t>www.insightpsicologia.net</t>
  </si>
  <si>
    <t>CAMILO ANDRES GOMEZ SERNA</t>
  </si>
  <si>
    <t>CRA 13A NO. 78 38 OF. 201</t>
  </si>
  <si>
    <t>DENTO ANALISIS 3D SAS</t>
  </si>
  <si>
    <t>calle 97 # 23 - 37 cs 519</t>
  </si>
  <si>
    <t>7046064-3134021857</t>
  </si>
  <si>
    <t>gerencia@dentoanalisis3d.com</t>
  </si>
  <si>
    <t>www.dentoanalisis3d.com</t>
  </si>
  <si>
    <t>Julio Daniel Alarcon Sosa</t>
  </si>
  <si>
    <t>Calle 97 # 23 - 37 cs 519</t>
  </si>
  <si>
    <t>CARLOS EDUARDO RANGEL GALVIS S.A.S</t>
  </si>
  <si>
    <t>CL 134 # 7 83 TORRE 1 PISO 2 Y PISO 3</t>
  </si>
  <si>
    <t>7456047-3102799676</t>
  </si>
  <si>
    <t>notificaciones@rangelrehabilitacion.com.co</t>
  </si>
  <si>
    <t>PATRICIA QUESSEP</t>
  </si>
  <si>
    <t>Calle 134 No 7-83 Torre 1 Piso 2 y piso 3</t>
  </si>
  <si>
    <t>edugalvis@yahoo.es</t>
  </si>
  <si>
    <t>RANGEL REHABILITACION</t>
  </si>
  <si>
    <t>PATRICIA ELENA QUESSEP FERIA</t>
  </si>
  <si>
    <t>Carrera 7B BIS #132-38 PISO 5 Y CS 603 Y 607</t>
  </si>
  <si>
    <t>PATRICIA QUESSEP FERIA</t>
  </si>
  <si>
    <t>AC 26 #69-76 TO 4 CS 1101 Y 1103</t>
  </si>
  <si>
    <t>RANGEL REHABILITACION 2</t>
  </si>
  <si>
    <t>AC 20 # 43A 32</t>
  </si>
  <si>
    <t>Instituto Nacional de Demencias Emanuel SAS</t>
  </si>
  <si>
    <t>carrera 22 # 142 - 63</t>
  </si>
  <si>
    <t>inde.emanuel@gmail.com</t>
  </si>
  <si>
    <t>http://www.demenciasemanuel.com/</t>
  </si>
  <si>
    <t>Instituto Nacional de Demencias Emanuel C.E.</t>
  </si>
  <si>
    <t>carlos andres perez medellin</t>
  </si>
  <si>
    <t>Cll 136 N 52A 46</t>
  </si>
  <si>
    <t>3022279061-3173650084</t>
  </si>
  <si>
    <t>direcciondecalidad@emmanuelips.co</t>
  </si>
  <si>
    <t>Carlos Andr鳠P鲥z Medell�/td&gt;</t>
  </si>
  <si>
    <t>carrera 17 N 16 - 31 Sur</t>
  </si>
  <si>
    <t>CARRERA 22 N 142 - 63</t>
  </si>
  <si>
    <t>PEDRO ARTURO AGUILERA BUSTOS</t>
  </si>
  <si>
    <t>Cl 126 A # 7 - 49</t>
  </si>
  <si>
    <t>DR ALVARO ACOSTA DE HART IPS SAS</t>
  </si>
  <si>
    <t>CARRERA 19C No. 90-14 401</t>
  </si>
  <si>
    <t>earanzalezr@unal.edu.co</t>
  </si>
  <si>
    <t>ALVARO ENRIQUE ACOSTA MADIEDO DE HART</t>
  </si>
  <si>
    <t>acostadehart@hotmail.com</t>
  </si>
  <si>
    <t>OPHTHALMOS COLOMBIA LTDA</t>
  </si>
  <si>
    <t>CL 71 C # 30 53</t>
  </si>
  <si>
    <t>diego.cortes@ophthalmos-ltda.com</t>
  </si>
  <si>
    <t>www.ophthalmos-ltda.com</t>
  </si>
  <si>
    <t>OPTICAS OPHTHALMOS PLAZA IMPERIAL</t>
  </si>
  <si>
    <t>DIEGO ANDRES CORTES CASTILLO</t>
  </si>
  <si>
    <t>AK 104 # 148 07 LC 2-41</t>
  </si>
  <si>
    <t>diana.ramirez@ophthalmos-ltda.com</t>
  </si>
  <si>
    <t>LASER SURGICAL CLINIC SAS</t>
  </si>
  <si>
    <t>CALLE 94 A No. 21-23</t>
  </si>
  <si>
    <t>3103235214-3102167641 -3173787944 - 3005286050-3237961466</t>
  </si>
  <si>
    <t>aestheticlinical@hotmail.com</t>
  </si>
  <si>
    <t>www.aesthetic.com</t>
  </si>
  <si>
    <t>LASER SURGICAL CLINIC</t>
  </si>
  <si>
    <t>ROBERTO RAMIREZ QUINTANA</t>
  </si>
  <si>
    <t>clinicalasersurgical@gmail.com</t>
  </si>
  <si>
    <t>MM SALUD OCUPACIONAL LTDA</t>
  </si>
  <si>
    <t>Cra 72 # 64C - 82 PISOS 1, 2 Y 3</t>
  </si>
  <si>
    <t>8053282 - 3163881828</t>
  </si>
  <si>
    <t>gerencia@mmsaludocupacional.com</t>
  </si>
  <si>
    <t>www.mmsaludocupacional.com</t>
  </si>
  <si>
    <t>RAQUEL MERCEDES MARTINEZ PLATA</t>
  </si>
  <si>
    <t>8053282 3163881828</t>
  </si>
  <si>
    <t>Medicentro Familiar IPS SAS</t>
  </si>
  <si>
    <t>CALLE 20 No. 98 62</t>
  </si>
  <si>
    <t>3108062745 - 3118895118</t>
  </si>
  <si>
    <t>lidercalidad@clinicamedicentrofamiliar.com</t>
  </si>
  <si>
    <t>https://medicentrofamiliarips.com/</t>
  </si>
  <si>
    <t>Liliana Angel Alvarez</t>
  </si>
  <si>
    <t>Calle 20 No. 98-62</t>
  </si>
  <si>
    <t>3108062745-3118895118</t>
  </si>
  <si>
    <t>MEDICENTRO FAMILIAR IPS FISIOTERAPIA Y REHABILITACION</t>
  </si>
  <si>
    <t>ALVARO IGNACIO ROMERO VELANDIA</t>
  </si>
  <si>
    <t>KR 97 #20 B 69</t>
  </si>
  <si>
    <t>AMBULANCIAS ALPHA</t>
  </si>
  <si>
    <t>LILIANA ANGEL ALVAREZ</t>
  </si>
  <si>
    <t>KR 99 # 20 38</t>
  </si>
  <si>
    <t>3136702437 3016810008</t>
  </si>
  <si>
    <t>lidercalidad@medicentrofamiliarips.com</t>
  </si>
  <si>
    <t>Clinica Medicentro Familiar sede Suba</t>
  </si>
  <si>
    <t>Carrera 94B No 132A-65</t>
  </si>
  <si>
    <t>IPS CENTRO INTERNACIONAL DE ESPECIALISTAS CINɓ Y CL͎ICA INTEGRAL DE APOYO ONCOLӇICO CIAO- ODONTOFOCAL S.A.S</t>
  </si>
  <si>
    <t>CRA 49 NO 91-25</t>
  </si>
  <si>
    <t>6014437010-3112860828</t>
  </si>
  <si>
    <t>gerencia@ipscines.com</t>
  </si>
  <si>
    <t>www.centrointernacionaldeespecialistas.com</t>
  </si>
  <si>
    <t>HUBER ANTONIO HOYOS MEDINA</t>
  </si>
  <si>
    <t>CORPORACION SIGUE MIS HUELLAS</t>
  </si>
  <si>
    <t>Carrera 19 C No. 22 - 20 Sur</t>
  </si>
  <si>
    <t>corpo_siguemishuellas@hotmail.com</t>
  </si>
  <si>
    <t>SANDRA LOSSA RODRIGUEZ</t>
  </si>
  <si>
    <t>BIOMAB I P S SAS SIGLA BIOMAB I P S</t>
  </si>
  <si>
    <t>CALLE 48 N13-86</t>
  </si>
  <si>
    <t>administrativa@biomab.co</t>
  </si>
  <si>
    <t>www.biomab.co</t>
  </si>
  <si>
    <t>Hugo Alejandro Jaimes Trespalacios</t>
  </si>
  <si>
    <t>notificaciones@biomab.co</t>
  </si>
  <si>
    <t>HAIR DOCTORS AND HAIR HEALTH S.A.S</t>
  </si>
  <si>
    <t>calle 108 # 17 a 68</t>
  </si>
  <si>
    <t>drcamacho@hairdoctors.com.co</t>
  </si>
  <si>
    <t>www.hairdoctors.com.co</t>
  </si>
  <si>
    <t>hair doctors &amp; hair health S.A.S</t>
  </si>
  <si>
    <t>Sergio Gabriel Camacho Ospina</t>
  </si>
  <si>
    <t>Fundaci󮠰ara la atenci󮠩ntegral de ni񯳠y ni񡳠con habilidades y necesidades especiales. SURCOS</t>
  </si>
  <si>
    <t>CALLE 39 # 29-50</t>
  </si>
  <si>
    <t>angeoscas@fundacionsurcos.org</t>
  </si>
  <si>
    <t>www.fundacionsurcos.org</t>
  </si>
  <si>
    <t>Angelica Ospina Castro</t>
  </si>
  <si>
    <t>aospina@fundacionsurcos.net</t>
  </si>
  <si>
    <t>fundacion para la atenci󮠩ntegral de ni񯳠y ni񡳠con habilidades y necesidades especiales.SURCOS</t>
  </si>
  <si>
    <t>ANGELICA OSPINA CASTRO</t>
  </si>
  <si>
    <t>Calle 62 # 45-35 piso 1</t>
  </si>
  <si>
    <t>FUNDACION SURCOS</t>
  </si>
  <si>
    <t>Carrera 77 M # 65 A - 35 SUR</t>
  </si>
  <si>
    <t>fsurcos@fundacionsurcos.org</t>
  </si>
  <si>
    <t>BIODENT LA VICTORIA S.A.S.</t>
  </si>
  <si>
    <t>AVENIDA CIUDAD DE VILLAVICENCIO CALLE 37 SUR # 4-05 ESTE LOCAL 201</t>
  </si>
  <si>
    <t>2075829, 3115021550</t>
  </si>
  <si>
    <t>calidadbiodent@gmail.com</t>
  </si>
  <si>
    <t>BIODENT LA VICTORIA S.A.S</t>
  </si>
  <si>
    <t>alba lucia castillo cruz</t>
  </si>
  <si>
    <t>ENDOGER S.A.S</t>
  </si>
  <si>
    <t>AC 127 14 54 Of 414B 415A 415B 416 417</t>
  </si>
  <si>
    <t>endoger@yahoo.com</t>
  </si>
  <si>
    <t>www.endoger.com</t>
  </si>
  <si>
    <t>ENDOGER SAS</t>
  </si>
  <si>
    <t>GERMAN PIхRES SILVA</t>
  </si>
  <si>
    <t>AC 127 14 54 OF 414B 415A 415B 416 417</t>
  </si>
  <si>
    <t>7561601- 3204948707</t>
  </si>
  <si>
    <t>ENDOGER@YAHOO.COM</t>
  </si>
  <si>
    <t>EVALUA SALUD IPS SAS</t>
  </si>
  <si>
    <t>CRA 45 A No. 93-56</t>
  </si>
  <si>
    <t>gerencia@evaluasalud.com</t>
  </si>
  <si>
    <t>EVALUA SALUD OCUPACIONAL</t>
  </si>
  <si>
    <t>DIAMA ROJAS JARAMILLO</t>
  </si>
  <si>
    <t>Cra 45A N 93-56</t>
  </si>
  <si>
    <t>8012047 CEL: 3174389390</t>
  </si>
  <si>
    <t>EVALUA SALUD IPS</t>
  </si>
  <si>
    <t>WILLIAM JAVIER MORALES NARANJO</t>
  </si>
  <si>
    <t>CARRERA 65 A No. 5A - 35 CASA PISO 1</t>
  </si>
  <si>
    <t>EVALUA SALUD DORADO PLAZA 3</t>
  </si>
  <si>
    <t>Avenida Calle 26 85 D 55 Local Exterior 20A,21 Y 22</t>
  </si>
  <si>
    <t>EVALUA IPS TOBERIN 1</t>
  </si>
  <si>
    <t>Carrera 21 166 34 Piso 1</t>
  </si>
  <si>
    <t>SALUD ACTIVA MEDICINA BIOLOGICA Y FUNCIONAL SAS</t>
  </si>
  <si>
    <t>AC 127 # 19 A 62 OF 507</t>
  </si>
  <si>
    <t>coordinacion.calidad@saludactivaips.com</t>
  </si>
  <si>
    <t>SALUD ACTIVA MEDICINA BIOLOGICA Y FUNCIONAL 127</t>
  </si>
  <si>
    <t>MARIA CONSUELO PAVA CAMELO</t>
  </si>
  <si>
    <t>Avenida Calle 127 19 A 62 Consultorio 404-408-413-414-502-510</t>
  </si>
  <si>
    <t>SALUD ACTIVA MEDICINA BIOLOGICA Y FUNCIONAL PRADERA</t>
  </si>
  <si>
    <t>KR 65 5 a 94 piso 2</t>
  </si>
  <si>
    <t>CLINICA COLOMBIANA DE ORTODONCIA - YABA S.A.S</t>
  </si>
  <si>
    <t>Avenida. Carrera 45 No. 168-67</t>
  </si>
  <si>
    <t>6743737- 3124965493</t>
  </si>
  <si>
    <t>gerenciayaba@gmail.com</t>
  </si>
  <si>
    <t>CLINICA COLOMBIANA DE ORTODONCIA YABA S.A.S N.1</t>
  </si>
  <si>
    <t>YANINO ALFONSO BUITRAGO AVILA</t>
  </si>
  <si>
    <t>AK 45 # 168-67 PI 1 PI 2 CS203 CS204 CS205 CS206 PI 3 CS301 CS302 CS303 CS304 CS305 CS306 PI 4 CS401 CS402 CS403</t>
  </si>
  <si>
    <t>CLINICA COLOMBIANA DE ORTODONCIA - YABA SEDE RESTREPO</t>
  </si>
  <si>
    <t>AV 1 DE MAYO No. 19-09 SUR PISO 2 local 204</t>
  </si>
  <si>
    <t>www.ortodonciayaba.com</t>
  </si>
  <si>
    <t>ODONTOLAY RESTREPO</t>
  </si>
  <si>
    <t>TV 21A No 21-26 sur Piso 1</t>
  </si>
  <si>
    <t>5601727-3124965493- 3138208818</t>
  </si>
  <si>
    <t>DENTAL BANK DE COLOMBIA SAS</t>
  </si>
  <si>
    <t>CRA 22 No 45B-38 CS 601-602</t>
  </si>
  <si>
    <t>dentalbancolombia@hotmail.com</t>
  </si>
  <si>
    <t>MONICA PATRICIA ERASO PAZ</t>
  </si>
  <si>
    <t>CENTRO MEDICO ARIZALUD S A S</t>
  </si>
  <si>
    <t>TV 87C # 59 A 23 SUR LC 1</t>
  </si>
  <si>
    <t>9231505- CEL 3228493476</t>
  </si>
  <si>
    <t>arizalud@gmail.com</t>
  </si>
  <si>
    <t>ARIZALUD</t>
  </si>
  <si>
    <t>LUIS FERNANDO ARIZA HERNANDEZ</t>
  </si>
  <si>
    <t>TV 87 C # 59 A 23 SUR LC 1</t>
  </si>
  <si>
    <t>9231505-3228493476</t>
  </si>
  <si>
    <t>IPS VACUNAR COLOMBIA SAS</t>
  </si>
  <si>
    <t>CRA 18C No 26 A - 08 Sur Piso 1</t>
  </si>
  <si>
    <t>vacunarcolombia2014@gmail.com</t>
  </si>
  <si>
    <t>EDGAR PINEDA ORTIZ</t>
  </si>
  <si>
    <t>CRA 18C No 26 A- 08 Sur Piso 1</t>
  </si>
  <si>
    <t>8041005 - 3106748224</t>
  </si>
  <si>
    <t>RehaSer S.A.S</t>
  </si>
  <si>
    <t>Carrera 20# 125 - 38 CONSULTORIOS 105 Y 106</t>
  </si>
  <si>
    <t>2159912 3118803493</t>
  </si>
  <si>
    <t>gerencia@rehaser.com.co</t>
  </si>
  <si>
    <t>RehaSer S.A.S.</t>
  </si>
  <si>
    <t>JAVIER SUAREZ CASALLAS</t>
  </si>
  <si>
    <t>CARRERA 20 # 125 - 38 CONSULTORIOS 105 Y 106</t>
  </si>
  <si>
    <t>SOCIEDAD INTEGRAL DE ESPECIALISTAS EN SALUD S.A.S Sigla SIES SALUD S.A.S</t>
  </si>
  <si>
    <t>Ac 26 N 85 D-55 Lc A149 - Barrio:Modelia</t>
  </si>
  <si>
    <t>601-7451415-3153325961-3103278789</t>
  </si>
  <si>
    <t>garantia_delacalidad@sies.com.co</t>
  </si>
  <si>
    <t>www.sies.com.co</t>
  </si>
  <si>
    <t>SIES SALUD DORADO</t>
  </si>
  <si>
    <t>Alvaro Puerto Valencia</t>
  </si>
  <si>
    <t>Ac 26 N 85 D-55 Lc A149</t>
  </si>
  <si>
    <t>LABORATORIO CLINICO SIES SALUD</t>
  </si>
  <si>
    <t>lvaro Puerto Valencia</t>
  </si>
  <si>
    <t>Calle 25 G N 96 B-60 P 5</t>
  </si>
  <si>
    <t>6017435288-3153325961-3103278789</t>
  </si>
  <si>
    <t>SIMETRIC S.A.</t>
  </si>
  <si>
    <t>Cra 7 No 77-07 of 402</t>
  </si>
  <si>
    <t>restrepo@simetric.com.co</t>
  </si>
  <si>
    <t>SIMETRIC CEDRITOS</t>
  </si>
  <si>
    <t>ROQUE JOSE FADUL MEYER</t>
  </si>
  <si>
    <t>Ac 147 19 -50 Lc 27</t>
  </si>
  <si>
    <t>cedritos@simetric.com.co</t>
  </si>
  <si>
    <t>SIMETRIC RESTREPO INSTITUCION PRESTADORA DE SALUD IPS</t>
  </si>
  <si>
    <t>CALLE 21 SUR No 16-73 LOCAL 1 Y PISO 2</t>
  </si>
  <si>
    <t>SIMETRIC TEQUENDAMA INSTITUCION PRESTADORA DE SALUD IPS</t>
  </si>
  <si>
    <t>CARRERA 10 No 27-51 LOCAL 311 Y 312</t>
  </si>
  <si>
    <t>TEQUENDAMA@SIMETRIC.COM.CO</t>
  </si>
  <si>
    <t>CLINICA ESTETICA DENTAL 24 HORAS SAS</t>
  </si>
  <si>
    <t>CALLE 93 19B-66 CS 203</t>
  </si>
  <si>
    <t>CED24HORAS@CED24HORAS.COM</t>
  </si>
  <si>
    <t>WWW.CED24HORAS.COM</t>
  </si>
  <si>
    <t>CLINICAESTETICADENTAL24HORAS</t>
  </si>
  <si>
    <t>JUAN CARLOS PERILLA JIMENEZ</t>
  </si>
  <si>
    <t>CALLE 93 19B-66</t>
  </si>
  <si>
    <t>CENTRO EXCELENCIA DE CUIDADOS EN SALUD ESENCIAL INSTITUCION PRESTADORA DE SERVICIOS DE SALUD S.A.S.</t>
  </si>
  <si>
    <t>CRA 13 N 48- 26 CONSULTORIO 205 CENTRO EMPRESARIAL ELITE</t>
  </si>
  <si>
    <t>3153515214 - 3213176723</t>
  </si>
  <si>
    <t>gerencia@esencial-ips.com</t>
  </si>
  <si>
    <t>ESENCIAL IPS</t>
  </si>
  <si>
    <t>JULIAN PABON GOMEZ</t>
  </si>
  <si>
    <t>3174339515 - 3213176723</t>
  </si>
  <si>
    <t>c.calidad@esencial-ips.com</t>
  </si>
  <si>
    <t>ALVARADO RODRIGUEZ ARENAS ORTODONCISTAS ASOCIADOS SAS</t>
  </si>
  <si>
    <t>KR. 53 No. 45A-06 SUR</t>
  </si>
  <si>
    <t>2388823-3102574952</t>
  </si>
  <si>
    <t>odontoestetik2010@hotmail.com</t>
  </si>
  <si>
    <t>ALVARADO RODRIGUEZ ARENAS ORTODONCISTAS ASOCIADOS SAS SIGLA CLINICA ODONTOLOGICA ODONTO ESTETIK</t>
  </si>
  <si>
    <t>ALVARO ENRIQUE ALVARADO GOMEZ</t>
  </si>
  <si>
    <t>KR. 53 No. 45a-06 SUR</t>
  </si>
  <si>
    <t>CLINICA ODONTOLOGICA ODONTOESTETIK SEDE TINTAL</t>
  </si>
  <si>
    <t>AK 86 #6-37 CC. TINTAL PLAZA LC 228</t>
  </si>
  <si>
    <t>CLINICA ODONTOLOGICA ODONTOESTETIK SEDE GRAN PLAZA EL ENSUEя</t>
  </si>
  <si>
    <t>CR 51 No. 59C - 93 SUR LOCAL 204</t>
  </si>
  <si>
    <t>3118853580 3144337497</t>
  </si>
  <si>
    <t>CLINICAS ODONTOLOGICAS SOS ESTETICA SAS</t>
  </si>
  <si>
    <t>CR 77 BIS N 63 - 27</t>
  </si>
  <si>
    <t>sosnidiato@hotmail.com</t>
  </si>
  <si>
    <t>NIDIA MARGARITA TORRES CAMARGO</t>
  </si>
  <si>
    <t>CR 77 BIS N 63 27</t>
  </si>
  <si>
    <t>ORGANIZACION PROYECTO PEDAGOGICO RENACER SAS</t>
  </si>
  <si>
    <t>KR 80 # 71 14 PISO 2</t>
  </si>
  <si>
    <t>pprenacer@gmail.com</t>
  </si>
  <si>
    <t>LUIS ENRIQUE PARRA RODRIGUEZ</t>
  </si>
  <si>
    <t>2525660 - 3105846861</t>
  </si>
  <si>
    <t>prorenacer@Gmail.com</t>
  </si>
  <si>
    <t>CARLOS MAURICIO PARRA RODRIGUEZ</t>
  </si>
  <si>
    <t>CRA 94 D # 145-83 P2</t>
  </si>
  <si>
    <t>prorenacer@hotmail.com</t>
  </si>
  <si>
    <t>B &amp; B SALUD ORAL PARA TI SAS</t>
  </si>
  <si>
    <t>CL 70 C #106 A - 07 PI1</t>
  </si>
  <si>
    <t>7037301 - 3125666589</t>
  </si>
  <si>
    <t>bybortodoncia@gmail.com</t>
  </si>
  <si>
    <t>CARLOS ANDRES BAYONA RODRIGUEZ</t>
  </si>
  <si>
    <t>Complejo Internacional de Cirugia Plastica S.A.</t>
  </si>
  <si>
    <t>Calle 124 Numero 7 38 PI 3 Y 4</t>
  </si>
  <si>
    <t>7498205 - 3163074876</t>
  </si>
  <si>
    <t>administracion@cicp.com.co</t>
  </si>
  <si>
    <t>Complejo Internacional de Cirugia Plastica S A</t>
  </si>
  <si>
    <t>GUILLERMO LEONEL VARGAS FONSECA</t>
  </si>
  <si>
    <t>INSTITUTO DE NEUROCIENCIAS APLICADAS INEA IPS</t>
  </si>
  <si>
    <t>Calle 108 14 22</t>
  </si>
  <si>
    <t>6007852 - 6007780 - 3115922332 - 3105569461</t>
  </si>
  <si>
    <t>institutodeneurociencias@gmail.com</t>
  </si>
  <si>
    <t>www.inea.com.co</t>
  </si>
  <si>
    <t>JOHHAN RICARDO CLEVES VELEZ</t>
  </si>
  <si>
    <t>Calle 108 No. 14 -22</t>
  </si>
  <si>
    <t>6007852 6007780- 311 5922332- 310 5569461</t>
  </si>
  <si>
    <t>dir.ejecutiva@inea.com.co</t>
  </si>
  <si>
    <t>GRUPO EMPRESARIAL SALUD POSITIVA S.A.S.</t>
  </si>
  <si>
    <t>CL 86 #27 51 Piso 1</t>
  </si>
  <si>
    <t>601 7954600 - 3174381675</t>
  </si>
  <si>
    <t>aquinche@saludpositivaips.com</t>
  </si>
  <si>
    <t>GRUPO EMPRESARIAL SALUD POSITIVA S.A.S. sede 1 Polo Club</t>
  </si>
  <si>
    <t>ALEXANDRA QUINCHE GONZALEZ</t>
  </si>
  <si>
    <t>NP MEDICAL IPS SAS</t>
  </si>
  <si>
    <t>CL 24 17 35 - Barrio:SANTA FE</t>
  </si>
  <si>
    <t>calidadnp@grupomacromedips.com.co</t>
  </si>
  <si>
    <t>https://www.npmedicalips.com</t>
  </si>
  <si>
    <t>NP MEDICAL IPS SAMPER</t>
  </si>
  <si>
    <t>Alexander Neira Medina</t>
  </si>
  <si>
    <t>Calle 24 N 17-35 P.1 Al 4</t>
  </si>
  <si>
    <t>(601)7427846</t>
  </si>
  <si>
    <t>calidad@grupomacromedips.com.co</t>
  </si>
  <si>
    <t>NP MEDICAL IPS FONTIBӎ</t>
  </si>
  <si>
    <t>TRANSVERSAL 96B # 20C-40</t>
  </si>
  <si>
    <t>NP MEDICAL IPS SEDE SUR</t>
  </si>
  <si>
    <t>ALEXANDER NEIRA MEDINA</t>
  </si>
  <si>
    <t>Carrera 10 16 29 Sur Piso 1 - 2 - 3</t>
  </si>
  <si>
    <t>314 3316602</t>
  </si>
  <si>
    <t>alexneira7111@hotmail.com</t>
  </si>
  <si>
    <t>Cp Inversiones y Consultorias Sas</t>
  </si>
  <si>
    <t>calle 23 b No 68 c 40 local 4</t>
  </si>
  <si>
    <t>claopinzon@hotmail.com</t>
  </si>
  <si>
    <t>www.solucionesdiagnosticas3d</t>
  </si>
  <si>
    <t>soluciones diagnosticas 3d</t>
  </si>
  <si>
    <t>claudia patricia pinzon gomez</t>
  </si>
  <si>
    <t>calle 23 b n 68 c 40 local 4</t>
  </si>
  <si>
    <t>SOLUCIONES DIAGNOSTICAS 3D CP 2</t>
  </si>
  <si>
    <t>CLAUDIA PATRICIA PINZON GOMEZ</t>
  </si>
  <si>
    <t>CARRERA 23 No.124-87 TORRE 2 LOCAL 6</t>
  </si>
  <si>
    <t>7047047-3108547365</t>
  </si>
  <si>
    <t>SOLUCIONES DIAGNOSTICAS 3D CP 3</t>
  </si>
  <si>
    <t>CARRERA 14 # 79 56 PI 2</t>
  </si>
  <si>
    <t>info@solucionesdiagnosticas3d.com</t>
  </si>
  <si>
    <t>SH&amp;S Dental S.A.S</t>
  </si>
  <si>
    <t>Cra. 11A # 93 - 52 (402)</t>
  </si>
  <si>
    <t>3023663584 -3168770341</t>
  </si>
  <si>
    <t>auditoria@bocanova.com.co</t>
  </si>
  <si>
    <t>www.bocanova.com.co</t>
  </si>
  <si>
    <t>Bocanova Grupo Dental</t>
  </si>
  <si>
    <t>6017468046 - 3045259392</t>
  </si>
  <si>
    <t>gerencia@bocanova.com.co</t>
  </si>
  <si>
    <t>BOCANOVA SUBA</t>
  </si>
  <si>
    <t>TV 60 N 128 -46</t>
  </si>
  <si>
    <t>4570134-3015014862</t>
  </si>
  <si>
    <t>BOCANOVA CENTRO COMERCIAL PLAZA DE LAS AMɒICAS</t>
  </si>
  <si>
    <t>Carrera 71 D # 6 - 94 Sur Cc Plaza de las Am鲩cas Local 1815</t>
  </si>
  <si>
    <t>3244540774 - 3244640839</t>
  </si>
  <si>
    <t>BOCANOVA GALERIAS</t>
  </si>
  <si>
    <t>CALLE 52 N 27 - 22 PISO 1</t>
  </si>
  <si>
    <t>CLINICA MEDICAL SAS</t>
  </si>
  <si>
    <t>Calle 36 Sur No 77 - 33</t>
  </si>
  <si>
    <t>coor.calidad@clinicamedical.com.co; juridica.medical@gmail.com</t>
  </si>
  <si>
    <t>CLINICA MEDICAL S.A.S.</t>
  </si>
  <si>
    <t>WILLIAM JAMES ARISTIZABAL</t>
  </si>
  <si>
    <t>4505200 3168757999</t>
  </si>
  <si>
    <t>coor.calidad@clinicamedical.com.co</t>
  </si>
  <si>
    <t>CLINICA MEDICAL S.A.S. SEDE SANTA JULIANA</t>
  </si>
  <si>
    <t>WILLIAM JAMES ARISTIZABAL FERNANDEZ</t>
  </si>
  <si>
    <t>CALLE 1D No. 17A 35</t>
  </si>
  <si>
    <t>2428440 - 316 8757999</t>
  </si>
  <si>
    <t>CLINICA MEDICAL S.A.S. SEDE NORTE</t>
  </si>
  <si>
    <t>AK 45 # 94 31/39</t>
  </si>
  <si>
    <t>CLINICA MEDICAL SAS. SEDE AMERICAS</t>
  </si>
  <si>
    <t>KR 66 A # 4 G 86</t>
  </si>
  <si>
    <t>CLINICA MEDICAL SAS - SEDE TOBERIN</t>
  </si>
  <si>
    <t>Cr 21 No 169 15/25 BODEGA 2</t>
  </si>
  <si>
    <t>INSTITUTO DE FERTILIDAD HUMANA SAS</t>
  </si>
  <si>
    <t>Calle 117 6 A 60 Edificio Flor Morado Empresarial Piso 2</t>
  </si>
  <si>
    <t>(601) 7469869 opci󮠷</t>
  </si>
  <si>
    <t>calidad@inser.com.co</t>
  </si>
  <si>
    <t>www.inser.com.co</t>
  </si>
  <si>
    <t>LILIANA SANCHEZ KERGUELEN</t>
  </si>
  <si>
    <t>(601) 7469869 op 7</t>
  </si>
  <si>
    <t>EVALUACION MEDICA PARA CONDUCTORES IPS SAS EMC IPS SAS</t>
  </si>
  <si>
    <t>CR 13 A 28 38 LOCALES 152-153-154-156-157</t>
  </si>
  <si>
    <t>EMCIPSSAS@HOTMAIL.COM</t>
  </si>
  <si>
    <t>EVALUACION MEDICA PARA CONDUCTORES SAN DIEGO</t>
  </si>
  <si>
    <t>ROSA NELLY RAMIREZ MURCIA</t>
  </si>
  <si>
    <t>CR 13A N 28 38 LOCALES 152-153-154-156-157</t>
  </si>
  <si>
    <t>Somnom餩ca Cl�ca Especializada en Medicina del Sue񯠓AS</t>
  </si>
  <si>
    <t>Cr 49 A No 93 71</t>
  </si>
  <si>
    <t>2570017-2578094</t>
  </si>
  <si>
    <t>gerencia@somnomedica.co</t>
  </si>
  <si>
    <t>www.somnomedica.co</t>
  </si>
  <si>
    <t>Somnom餩ca Clinica Especializada en Medicina del Sue񯠓AS</t>
  </si>
  <si>
    <t>KELLY JOHANNA ZARATE ALGECIRA</t>
  </si>
  <si>
    <t>Carrera 49A No. 93-71</t>
  </si>
  <si>
    <t>FIESTA STEREO SAS</t>
  </si>
  <si>
    <t>Cra 15 No. 134 - 21</t>
  </si>
  <si>
    <t>misapita1234@hotmail.com</t>
  </si>
  <si>
    <t>AGUA SPA ALEXANDRA GARCIA</t>
  </si>
  <si>
    <t>NELLY YADIRA DALEL MARTINEZ</t>
  </si>
  <si>
    <t>CRA 15 No. 134 -21</t>
  </si>
  <si>
    <t>ESALUD OCUPACIONAL S.A.S.</t>
  </si>
  <si>
    <t>CARRERA 48 No. 95 - 87</t>
  </si>
  <si>
    <t>533 11 80</t>
  </si>
  <si>
    <t>jcperezl@esaludocupacional.com</t>
  </si>
  <si>
    <t>JUAN CARLOS PɒEZ LEGU͚AMO</t>
  </si>
  <si>
    <t>UNIDAD DE ESTUDIO Y TRATAMIENTO INTEGRAL DE LAS EPILEPSIAS - UNIEPILEPSIAS</t>
  </si>
  <si>
    <t>CARRERA 19 # 84-17 OF 301-304</t>
  </si>
  <si>
    <t>gerencia@uniepilepsias.com</t>
  </si>
  <si>
    <t>www.uniepilepsias.com</t>
  </si>
  <si>
    <t>ANA MARIA GOMEZ DUQUE</t>
  </si>
  <si>
    <t>GERIZIM SALUD SAS SIGLA GERIZIM SST</t>
  </si>
  <si>
    <t>Calle 98 21 36 Oficina 401 - Edificio Centro 98 Bogota D.C.</t>
  </si>
  <si>
    <t>601 5391111 - 3204824982</t>
  </si>
  <si>
    <t>ceo@gerizimsalud.com</t>
  </si>
  <si>
    <t>GERIZIM SALUD Y SEGURIDAD EN EL TRABAJO SAS SIGLA GERIZIM SST</t>
  </si>
  <si>
    <t>NUBIA STELLA OSPINA TRUJILLO</t>
  </si>
  <si>
    <t>Calle 98 21 36 Oficina 401 - Edificio Centro 98 Bogota D.C</t>
  </si>
  <si>
    <t>Advance odontologia SAS</t>
  </si>
  <si>
    <t>Avenida 19 No.102 - 31 local 2-1</t>
  </si>
  <si>
    <t>4674620 -4674621</t>
  </si>
  <si>
    <t>satuple4@hotmail.com</t>
  </si>
  <si>
    <t>www.vainplasticdentistry.com</t>
  </si>
  <si>
    <t>Advance Odontolog졼/td&gt;</t>
  </si>
  <si>
    <t>JUAN MANUEL ZARATE BELTRAN</t>
  </si>
  <si>
    <t>ODONTOPLUS SANTA LUCIA LTDA</t>
  </si>
  <si>
    <t>CLL 44 SUR N21-32</t>
  </si>
  <si>
    <t>odontoplussantalucia@gmail.com</t>
  </si>
  <si>
    <t>ODONTOPLUS SANTA LUCIA</t>
  </si>
  <si>
    <t>JUAN CARLOS ESGUERRA SEGURA</t>
  </si>
  <si>
    <t>CLLE 44 SUR N 21-32</t>
  </si>
  <si>
    <t>INTERVENIR SALUD IPS SAS</t>
  </si>
  <si>
    <t>KR 49 # 95 34</t>
  </si>
  <si>
    <t>2567574-2360408</t>
  </si>
  <si>
    <t>director@interveirsalud.com</t>
  </si>
  <si>
    <t>Luis Armando Prieto Quecan</t>
  </si>
  <si>
    <t>KR 49 # 95 - 34</t>
  </si>
  <si>
    <t>LIGA COLOMBIANA CONTRA EL INFARTO Y LA HIPERTENSION ARTERIAL</t>
  </si>
  <si>
    <t>CALLE 82 N. 24-66</t>
  </si>
  <si>
    <t>LUDY.SAENZ@COLOMBIACORAZON.COM</t>
  </si>
  <si>
    <t>LUIS ANTONIO MOYA JIMENEZ</t>
  </si>
  <si>
    <t>CALLE 82 No 24-66</t>
  </si>
  <si>
    <t>GOMEZ ASOCIADOS SALUD OCUPACIONAL SAS</t>
  </si>
  <si>
    <t>CARRERA 47#91-39 INTERIOR 1</t>
  </si>
  <si>
    <t>9261915 - 3102334534 - 3132514624</t>
  </si>
  <si>
    <t>calidad@gomezasociadosltda.com</t>
  </si>
  <si>
    <t>Doris Jacinta Cabra Lopez</t>
  </si>
  <si>
    <t>9261915 - 3132514624 - 3102334534</t>
  </si>
  <si>
    <t>doris.cabra@gomezasociadosltda.com</t>
  </si>
  <si>
    <t>avances terapeuticos ips s.a.s</t>
  </si>
  <si>
    <t>Avenida Carrera 24 # 84-40 LOCA 101</t>
  </si>
  <si>
    <t>avanceterapeutico@gmail.com</t>
  </si>
  <si>
    <t>AVANCES TERAPEUTICOS IPS SAS</t>
  </si>
  <si>
    <t>cesar Guiovanni Mendoza Vargas</t>
  </si>
  <si>
    <t>Avenida Carrera 24 no 84-40 LOCAL 101</t>
  </si>
  <si>
    <t>clinica odontologica aydent SAS</t>
  </si>
  <si>
    <t>CARRERA 90 N 69 a 27.</t>
  </si>
  <si>
    <t>clinicaodontologicaaydent@hotmail.com</t>
  </si>
  <si>
    <t>clinica odontologica aydent s.a.s</t>
  </si>
  <si>
    <t>diana yelitza usme pardo</t>
  </si>
  <si>
    <t>carrera 90 N 69 a 27.</t>
  </si>
  <si>
    <t>ECLAT MEDICINA ESTETICA Y ANTIENVEJECIMIENTO SAS</t>
  </si>
  <si>
    <t>CARRERA 17 N. 106 - 16 CONSULTORIO 202 - 205</t>
  </si>
  <si>
    <t>nataliab1983@hotmail.com</t>
  </si>
  <si>
    <t>NATALIA BAQUERO MOLINA</t>
  </si>
  <si>
    <t>LVB MEDICINA ESTETICA IPS SAS</t>
  </si>
  <si>
    <t>Avenida 15 No. 100-69 Oficina 509</t>
  </si>
  <si>
    <t>lvbmedicinaestetica@gmail.com</t>
  </si>
  <si>
    <t>ILVA LILIANA VILLAR BEJARANO</t>
  </si>
  <si>
    <t>AVENIDA 15 No. 100-69 Oficina 509</t>
  </si>
  <si>
    <t>FUNDACIӎ CANGURO</t>
  </si>
  <si>
    <t>CL 44 B # 53 50</t>
  </si>
  <si>
    <t>fundacion.canguro@gmail.com</t>
  </si>
  <si>
    <t>http://kangaroo.javeriana.edu.co</t>
  </si>
  <si>
    <t>CL 44B # 53 50</t>
  </si>
  <si>
    <t>fundacioncanguro.admon@gmail.com</t>
  </si>
  <si>
    <t>aerosanidad sas</t>
  </si>
  <si>
    <t>Carrera 98 # 25 G 64 OF. 304 Centro Empresarial El Dorado</t>
  </si>
  <si>
    <t>gerencia@aerosanidadsas.com</t>
  </si>
  <si>
    <t>www.aerosanidadsas.com</t>
  </si>
  <si>
    <t>Juan Carlos L󰥺 Builes</t>
  </si>
  <si>
    <t>CR 28A #71-94 PISO 1</t>
  </si>
  <si>
    <t>ANDREA CASTAхDA CLINICA ODONTOLOGICA SAS SIGLA ORAL QUALITY</t>
  </si>
  <si>
    <t>CL 14 # 19 55 LC 222</t>
  </si>
  <si>
    <t>3023323003 - 9278511</t>
  </si>
  <si>
    <t>oral-quality@hotmail.com</t>
  </si>
  <si>
    <t>ANDREA JHOANA CASTAхDA DELGADO</t>
  </si>
  <si>
    <t>CALLE 14 # 19 55 LC 222</t>
  </si>
  <si>
    <t>andreacastanedaclinica@gmail.com</t>
  </si>
  <si>
    <t>CTM DENTAL CARE ODONTOLOGIA ESPECIALIZADA SAS</t>
  </si>
  <si>
    <t>TRANSVERSAL 35 No 39 41 SUR</t>
  </si>
  <si>
    <t>8050292-3046071802</t>
  </si>
  <si>
    <t>klau.06@gmail.com</t>
  </si>
  <si>
    <t>CLAUDIA DEL PILAR TORRES MORALES</t>
  </si>
  <si>
    <t>8050292-3102398823</t>
  </si>
  <si>
    <t>CLINICAS MEDICAS Y ODONTOLOGICAS MAGUER SAS</t>
  </si>
  <si>
    <t>CL 57 B No. 70 74 Sur</t>
  </si>
  <si>
    <t>3114645733 / 3123591435</t>
  </si>
  <si>
    <t>smadero@maguer.co / pau-vag21@hotmail.com</t>
  </si>
  <si>
    <t>CLINICAS MEDICAS Y ODONTOLOGICAS MAGUER</t>
  </si>
  <si>
    <t>PAULA ANDREA VARGAS PARRA</t>
  </si>
  <si>
    <t>Cl 57 B No. 70 74 Sur</t>
  </si>
  <si>
    <t>MARLON BECERRA SAS</t>
  </si>
  <si>
    <t>CALLE 18 SUR -17-13 piso 1</t>
  </si>
  <si>
    <t>gerencia@ombchapinero.com</t>
  </si>
  <si>
    <t>www.marlonbecerrasas.com</t>
  </si>
  <si>
    <t>ODONTOLOGIA DE MARLON BECERRA RESTREPO</t>
  </si>
  <si>
    <t>recursoshumanos@marlonbecerrasas.com</t>
  </si>
  <si>
    <t>ODONTOLOGIA DE MARLON BECERRA CALIMA</t>
  </si>
  <si>
    <t>AV. CALLE 19 No 28 - 80 Local B28 Centro Comercial Mall Plaza</t>
  </si>
  <si>
    <t>3611019 - 3786640</t>
  </si>
  <si>
    <t>ODONTOLOGIA DE MARLON BECERRA ESTUDIO DENTAL</t>
  </si>
  <si>
    <t>ADRIANA XIMENA CUBILLOS FLOREZ</t>
  </si>
  <si>
    <t>Calle 90 17 31 Oficina 203</t>
  </si>
  <si>
    <t>gerencia1@marlonbecerrasas.com</t>
  </si>
  <si>
    <t>DENTIST FOR KIDS S.A.S</t>
  </si>
  <si>
    <t>CALLE 74#15-26 CONSULTORIO 201</t>
  </si>
  <si>
    <t>2124176-3157489014</t>
  </si>
  <si>
    <t>denticedritos@gmail.com</t>
  </si>
  <si>
    <t>www.dentistforkids.com.co</t>
  </si>
  <si>
    <t>DENTIST FOR KIDS S.A.S BOGOTA D.C</t>
  </si>
  <si>
    <t>juan esteban galvis rodriguez</t>
  </si>
  <si>
    <t>calle 74# 15-26 consultorio201</t>
  </si>
  <si>
    <t>IPS WTA LATAM SAS</t>
  </si>
  <si>
    <t>Av. carrera 19 #95-55 Consultorio 207 Edificio torre platino</t>
  </si>
  <si>
    <t>calidad@wtaips.com</t>
  </si>
  <si>
    <t>WWW.WT-ASSIST.COM</t>
  </si>
  <si>
    <t>SABRINA MORALES ARBELAEZ</t>
  </si>
  <si>
    <t>Av Carrera 19 # 95-55 Consultorio 207 Edificio Torre Platino</t>
  </si>
  <si>
    <t>ANGELA PATRICIA TORRES C SOLUCIONES EN ODONTOLOGIA S.A.S</t>
  </si>
  <si>
    <t>CARRERA 9 103 A 36 CONS 402</t>
  </si>
  <si>
    <t>angelitatorres@gmail.com</t>
  </si>
  <si>
    <t>ANGELA PATRICIA TORRES C SOLUCIONES EN ODONTOLOǴ S.A.S</t>
  </si>
  <si>
    <t>ANGELA TORRES</t>
  </si>
  <si>
    <t>TU SALUD H&amp;G SOCIEDAD POR ACCIONES SIMPLIFICADA SAS</t>
  </si>
  <si>
    <t>Calle 62 No 22 - 16 Barrio San Luis</t>
  </si>
  <si>
    <t>2356515 2354324</t>
  </si>
  <si>
    <t>gerencia@tusalud.com.co</t>
  </si>
  <si>
    <t>www.tusalud.com.co</t>
  </si>
  <si>
    <t>Martha Patricia Sanchez Orjuela</t>
  </si>
  <si>
    <t>Calle 62 No 22 -16</t>
  </si>
  <si>
    <t>administracion@tusalud.com.co</t>
  </si>
  <si>
    <t>GRUPO PLUSS SAS</t>
  </si>
  <si>
    <t>CALLE 19 9 01 OFICINA 805</t>
  </si>
  <si>
    <t>2825621-2815175</t>
  </si>
  <si>
    <t>opticavisionplusss@gmail.com</t>
  </si>
  <si>
    <t>OPTICAS WOW 20/20</t>
  </si>
  <si>
    <t>ALFONSO PEс ESCAMILLA</t>
  </si>
  <si>
    <t>CRA 126 A No. 138-29 PISO 1</t>
  </si>
  <si>
    <t>CALLE 162 No. 8 F 38</t>
  </si>
  <si>
    <t>TRANSVERSAL 94 No. 80 A 68</t>
  </si>
  <si>
    <t>CRA 112 A 78 F 14 PISO 1</t>
  </si>
  <si>
    <t>ONE VISION PLUSS</t>
  </si>
  <si>
    <t>CALLE 163 A 8 G 71 LOCAL 2</t>
  </si>
  <si>
    <t>CRA 92 No. 145 A 41 PISO 1 LOCAL 1</t>
  </si>
  <si>
    <t>CR 93#129 B - 17 LOCAL 1</t>
  </si>
  <si>
    <t>2825621 - 3102172632</t>
  </si>
  <si>
    <t>TV 94 # 80 A 83</t>
  </si>
  <si>
    <t>OPTICAS WOW 20 / 20</t>
  </si>
  <si>
    <t>AK 7 # 118 - 30 LOCAL 2</t>
  </si>
  <si>
    <t>ONE VISION</t>
  </si>
  <si>
    <t>CARRERA 112 A # 78 C 52</t>
  </si>
  <si>
    <t>ITAL LENT SAS</t>
  </si>
  <si>
    <t>CARRERA 13 118 33</t>
  </si>
  <si>
    <t>c-leal@ital-lent.com</t>
  </si>
  <si>
    <t>www.ital-lent.com</t>
  </si>
  <si>
    <t>ITAL LENT</t>
  </si>
  <si>
    <t>CARLOS ERNESTO LEAL SIERRA</t>
  </si>
  <si>
    <t>v-restrepo@ital-lent.com</t>
  </si>
  <si>
    <t>NEUROAXONAL SOCIEDAD POR ACCIONES SIMPLIFICADA</t>
  </si>
  <si>
    <t>CARRERA 52 # 67A-71 CS 202, 203 Y 204</t>
  </si>
  <si>
    <t>6017004837-3132860025</t>
  </si>
  <si>
    <t>neuroaxonalsas@gmail.com</t>
  </si>
  <si>
    <t>JEAN PAUL VERGARA AGUILAR</t>
  </si>
  <si>
    <t>Iconm餩ca SAS</t>
  </si>
  <si>
    <t>Calle 97 # 23 - 37 Cons 615</t>
  </si>
  <si>
    <t>320 20 77 257 311 2765448</t>
  </si>
  <si>
    <t>sercolme@yahoo.com.ar</t>
  </si>
  <si>
    <t>Iconm餩ca S A S</t>
  </si>
  <si>
    <t>Dr. Sergio Colmenares Millᮼ/td&gt;</t>
  </si>
  <si>
    <t>Calle 97 # 23- 37 Cons 615</t>
  </si>
  <si>
    <t>320 20 77 257 311 276 5448</t>
  </si>
  <si>
    <t>EVENTOS MEDICOS SALUD S.A.S SIGLA EVENMEC</t>
  </si>
  <si>
    <t>Calle 163 A #19 A 95 Piso 1</t>
  </si>
  <si>
    <t>operaciones1@evenmec.com</t>
  </si>
  <si>
    <t>www.evenmec.com</t>
  </si>
  <si>
    <t>DIANA CONSUELO GUASCA CRISTANCHO</t>
  </si>
  <si>
    <t>IPS SALUD OCUPACIONAL INTEGRAL COLOMBIANA SAS SIGLA IPS SOINCO SAS</t>
  </si>
  <si>
    <t>CALLE 102 A No. 45A-09. PRIMER PISO</t>
  </si>
  <si>
    <t>7464446-3102093200</t>
  </si>
  <si>
    <t>gerencia@soincoips.com</t>
  </si>
  <si>
    <t>MARIA ELENA POLO RAMIREZ</t>
  </si>
  <si>
    <t>CLINICA ODONTO LIFE SAS</t>
  </si>
  <si>
    <t>Cra 77 A N 64 G- 04 piso 2</t>
  </si>
  <si>
    <t>info.odontolife@gmail.com</t>
  </si>
  <si>
    <t>CL͎ICA ODONTO LIFE SAS</t>
  </si>
  <si>
    <t>YENNY CRUZ SOTOCUE</t>
  </si>
  <si>
    <t>Cra 77 A N 64 G-06 piso 2</t>
  </si>
  <si>
    <t>Centro de Adelgazamiento Fast Bogota SAS</t>
  </si>
  <si>
    <t>CRA 46 NO. 94-43 P. 1</t>
  </si>
  <si>
    <t>fastbogota@gmail.com</t>
  </si>
  <si>
    <t>Karen Ferreira</t>
  </si>
  <si>
    <t>CRA 46 NO. 94-43 P.1</t>
  </si>
  <si>
    <t>FAMILY MEDICAL ASSISTANCE SAS</t>
  </si>
  <si>
    <t>CALLE 79 60 62</t>
  </si>
  <si>
    <t>3115741883 - 6018089169 - 3004437910</t>
  </si>
  <si>
    <t>familymedicalservicios@gmail.com</t>
  </si>
  <si>
    <t>http://familymedicalips.com/</t>
  </si>
  <si>
    <t>ARTURO JOSE CASTRO RODRIGUEZ</t>
  </si>
  <si>
    <t>VITALEM IPS SAS</t>
  </si>
  <si>
    <t>CRA 23 137 57</t>
  </si>
  <si>
    <t>vitalemips@gmail.com</t>
  </si>
  <si>
    <t>NOLBIS YULEIDY BALAMBA CRUZ</t>
  </si>
  <si>
    <t>GIGAPALMAR SOCIEDAD POR ACCIONES SIMPLIFICADA SIGLA GIGAPALMAR</t>
  </si>
  <si>
    <t>CL 121 No. 7 A 07</t>
  </si>
  <si>
    <t>contacto@gilmaegarrido.com</t>
  </si>
  <si>
    <t>CENTRO DE MEDICINA BIOLOGICA Y ESTɔICA GILMA E. GARRIDO</t>
  </si>
  <si>
    <t>GILMA ESTHER GARRIDO VILLARREAL</t>
  </si>
  <si>
    <t>CL 121 No. 7 A 07 Piso 2</t>
  </si>
  <si>
    <t>CLINICA DE REHABILITACION INTEGRAL H֗ARD GĒDNER S.A.S</t>
  </si>
  <si>
    <t>AK 18 C # 22 - 17 SUR - Barrio:OLAYA HERRERA</t>
  </si>
  <si>
    <t>clinicahowardgardner@gmail.com</t>
  </si>
  <si>
    <t>CLINICA DE REHABILITACION INTEGRAL H֗ARD GĒDNER SEDE SUR</t>
  </si>
  <si>
    <t>MAURICIO ARTURO BRIGANTE MOGOLLON</t>
  </si>
  <si>
    <t>AK 18 C # 22 - 17 SUR</t>
  </si>
  <si>
    <t>CLINICA HOWARD GARDNER SEDE POLO</t>
  </si>
  <si>
    <t>Mauricio Arturo Brigante Mogoll󮼯td&gt;</t>
  </si>
  <si>
    <t>Calle 86a #22a-32</t>
  </si>
  <si>
    <t>VIDAMEDICAL BOGOTA IPS SAS</t>
  </si>
  <si>
    <t>Calle 102 N 50 - 69 Conjunto Ciien P.H. Local 3 - Barrio:Pasadena</t>
  </si>
  <si>
    <t>3182852467-3123567146-3208336719</t>
  </si>
  <si>
    <t>directoradministrativoyfinanciero@vidamedicalips.com.co, calidad@vidamedicalips.com.co</t>
  </si>
  <si>
    <t>vidamedicalips.com</t>
  </si>
  <si>
    <t>IPS VIDAMEDICAL BOGOTA LA CASTELLANA</t>
  </si>
  <si>
    <t>MARCO ANTONIO CARDENAS DIAZ</t>
  </si>
  <si>
    <t>CARRERA 49 No 98 - 08</t>
  </si>
  <si>
    <t>3123567146- 3102048383 - 6017435908</t>
  </si>
  <si>
    <t>calidad@vidamedicalips.com.co coordinacion.castellana@vidamedicalips.com.co</t>
  </si>
  <si>
    <t>VIDAMEDICAL CALLE 100</t>
  </si>
  <si>
    <t>Marco Antonio CᲤenas Diaz</t>
  </si>
  <si>
    <t>Calle 102 N 50 - 69 Conjunto Ciien P.H. Local 3</t>
  </si>
  <si>
    <t>3143798985-3123567146</t>
  </si>
  <si>
    <t>coordinacion.calle100@vidamedicalips.com.co, calidad@vidamedicalips.com.co</t>
  </si>
  <si>
    <t>SOULMEDICAL LTDA</t>
  </si>
  <si>
    <t>CLL 50 No. 13-62 OF 302,701,702,703,704, y 8 piso</t>
  </si>
  <si>
    <t>7449652/3138707304</t>
  </si>
  <si>
    <t>ada.duran@infectologia.com.co</t>
  </si>
  <si>
    <t>ADA LIZETH DURAN COGOLLO</t>
  </si>
  <si>
    <t>CLL 50 No. 13-62 OF 302, 701,702,703,704, y 8 piso</t>
  </si>
  <si>
    <t>INVERSIONES ALEXANDER LLANOS SAS</t>
  </si>
  <si>
    <t>Cra. 13 No. 119-54</t>
  </si>
  <si>
    <t>6378266 - 2148878 - 3005109844</t>
  </si>
  <si>
    <t>info@alexllanos.com</t>
  </si>
  <si>
    <t>www.alexllanos.com</t>
  </si>
  <si>
    <t>DR ALEX LLANOS UNIDAD DE ODONTOLOǴ ESTɔICA</t>
  </si>
  <si>
    <t>ALEXANDER LLANOS VARGAS</t>
  </si>
  <si>
    <t>carrera 13 N. 119- 54</t>
  </si>
  <si>
    <t>CENTRO DE NEUROPSICOLOGIA Y PSICOPEDAGOGIA APLICADA IPS LTDA CENPA IPS LTDA</t>
  </si>
  <si>
    <t>CARRERA 23 NUMERO 87-10/14</t>
  </si>
  <si>
    <t>5334929-5334928</t>
  </si>
  <si>
    <t>cenpaipsltda@gmail.com</t>
  </si>
  <si>
    <t>CENTRO DE NEUROPSICOLOGIA Y PSICOPEDAGOGIA APLICADA IPS LTDA</t>
  </si>
  <si>
    <t>SANDRA DEL PILAR CASTRILLON SUAREZ</t>
  </si>
  <si>
    <t>GRUPO MANDARINE SAS</t>
  </si>
  <si>
    <t>CL 127 NO. 19 A 28 CS 606</t>
  </si>
  <si>
    <t>3202020767 - 3143148414</t>
  </si>
  <si>
    <t>grupomandarine@mandarine.com.co</t>
  </si>
  <si>
    <t>ODALYS GABRIELA PEREZ GARCIA</t>
  </si>
  <si>
    <t>CL 127 No. 19 A 28 CS 606</t>
  </si>
  <si>
    <t>SOLUCION ORAL S.A.S.</t>
  </si>
  <si>
    <t>TR 35 # 38 B - 13 SUR PISO 1</t>
  </si>
  <si>
    <t>2025291 - 3202801821</t>
  </si>
  <si>
    <t>clinicasolucionoral@gmail.com</t>
  </si>
  <si>
    <t>SOLUCION ORAL</t>
  </si>
  <si>
    <t>PEDRO FELIPE BAUTISTA TRIANA</t>
  </si>
  <si>
    <t>TR 35 # 38 B -13 SUR PISO 1</t>
  </si>
  <si>
    <t>D &amp; A DENT SAS</t>
  </si>
  <si>
    <t>AK 19 # 95-20 OF 1007</t>
  </si>
  <si>
    <t>2872165 - 3013629516</t>
  </si>
  <si>
    <t>dcsandovale@gmail.com</t>
  </si>
  <si>
    <t>WOXEL</t>
  </si>
  <si>
    <t>ANIBAL GARCIA</t>
  </si>
  <si>
    <t>INVERSIONES OKEL SAS</t>
  </si>
  <si>
    <t>CLL 36 SUR 78A 10</t>
  </si>
  <si>
    <t>myriamfelisagomez@gmail.com</t>
  </si>
  <si>
    <t>CLINICA ODONTOLOGICA NACIONAL</t>
  </si>
  <si>
    <t>MYRIAM FELISA GOMEZ GONZALEZ</t>
  </si>
  <si>
    <t>CL 36 SUR # 78 A 10</t>
  </si>
  <si>
    <t>inversionesokelsas@hotmail.com</t>
  </si>
  <si>
    <t>CENTRO ODONTOLOGICO COLOMBIANO 3</t>
  </si>
  <si>
    <t>KR 78 K # 35 A 73 SUR</t>
  </si>
  <si>
    <t>Servicios de Patologia Oscar Messa Botero sas</t>
  </si>
  <si>
    <t>Calle 64 No 7 - 42 Consultorio 103</t>
  </si>
  <si>
    <t>serviciosdepatologia@gmail.com</t>
  </si>
  <si>
    <t>Servicios de Patologia Oscar Messa Botero</t>
  </si>
  <si>
    <t>Elba Zenaida Huerfano Moreno</t>
  </si>
  <si>
    <t>ERMEDICALLS S.A.S</t>
  </si>
  <si>
    <t>CALLE 87 BIS # 85 - 39</t>
  </si>
  <si>
    <t>4580666-4580667-3043554300</t>
  </si>
  <si>
    <t>ermedicalls@gmail.com</t>
  </si>
  <si>
    <t>SANDRA MARCELA DIAZ WILCHEZ</t>
  </si>
  <si>
    <t>4580666 - 4580667</t>
  </si>
  <si>
    <t>LABORATORIO CLINICO COLMEDICOS IPS S.A.S - COLMEDICOS S.A.S</t>
  </si>
  <si>
    <t>CARRERA 19 A 76-34</t>
  </si>
  <si>
    <t>3124727002 - 3102172318 - 3105041453 - 3229652518</t>
  </si>
  <si>
    <t>correspondencia.sgi@colmedicos.com</t>
  </si>
  <si>
    <t>www.colmedicos.com</t>
  </si>
  <si>
    <t>COLMEDICOS BOGOTA</t>
  </si>
  <si>
    <t>SANTIAGO MOSQUERA PEREZ</t>
  </si>
  <si>
    <t>KR 19 A # 76 34</t>
  </si>
  <si>
    <t>Colmedicos Bogota Teusaquillo</t>
  </si>
  <si>
    <t>Santiago Mosquera Perez</t>
  </si>
  <si>
    <t>Calle 38 No.15-53</t>
  </si>
  <si>
    <t>COLMEDICOS BOGOTA LOS HEROES</t>
  </si>
  <si>
    <t>SANTIAGO MOSQUERA</t>
  </si>
  <si>
    <t>CL 79 A N 18 - 32 / 36</t>
  </si>
  <si>
    <t>COLMEDICOS BOGOTA MONTEVIDEO</t>
  </si>
  <si>
    <t>Santiago Mosquera</t>
  </si>
  <si>
    <t>Carrera 66 No 12 - 91</t>
  </si>
  <si>
    <t>COLMEDICOS BOGOTA LA CASTELLANA</t>
  </si>
  <si>
    <t>CL 97 A NO. 52-31</t>
  </si>
  <si>
    <t>COLMEDICOS VIP</t>
  </si>
  <si>
    <t>CALLE 72 10 70 TORRE A PISO 5</t>
  </si>
  <si>
    <t>COLMEDICOS BOGOTA TOBERIN</t>
  </si>
  <si>
    <t>CL 161A 20 12</t>
  </si>
  <si>
    <t>COLMEDICOS BOGOTA PUENTE ARANDA</t>
  </si>
  <si>
    <t>AC 17 NO 65 B 80 LC 3</t>
  </si>
  <si>
    <t>COLMEDICOS CALLE 82</t>
  </si>
  <si>
    <t>CL 82 19A 17</t>
  </si>
  <si>
    <t>COLMEDICOS PASEO VILLA DEL RIO</t>
  </si>
  <si>
    <t>DG 57 C SUR # 62 60 LC 403</t>
  </si>
  <si>
    <t>COLMEDICOS SEDE OLAYA</t>
  </si>
  <si>
    <t>JULIETH UMAс</t>
  </si>
  <si>
    <t>CALLE 27 SUR # 19 B 53</t>
  </si>
  <si>
    <t>3102172318- 3104837889 - 3229652518</t>
  </si>
  <si>
    <t>CATAя &amp; MARQUEZ SAS</t>
  </si>
  <si>
    <t>KR. 11 A N 97 - 55</t>
  </si>
  <si>
    <t>3133142045 3205635512</t>
  </si>
  <si>
    <t>maria_del_1985@hotmail.com</t>
  </si>
  <si>
    <t>CLINICA VICTORIA</t>
  </si>
  <si>
    <t>MICHAEL THOMAS HETHERINGTON CATAя</t>
  </si>
  <si>
    <t>KR. 11 A N 97- 55 PI 1</t>
  </si>
  <si>
    <t>3205635512 3133142045</t>
  </si>
  <si>
    <t>contabilidad.cm@hotmail.com</t>
  </si>
  <si>
    <t>ROBOTICA DENTAL CELY SAS</t>
  </si>
  <si>
    <t>AV 19 # 134 38</t>
  </si>
  <si>
    <t>311 4803538 - 311 4284949 - 313 4312436</t>
  </si>
  <si>
    <t>directoracedritos.urd@hotmail.com</t>
  </si>
  <si>
    <t>UNIDAD ROBӔICA DENTAL ODONTOLOGIA 3D</t>
  </si>
  <si>
    <t>LUZ DARY LOPEZ CASTRO</t>
  </si>
  <si>
    <t>inversiones sequoia colombia S.A.S</t>
  </si>
  <si>
    <t>calle97#23-10</t>
  </si>
  <si>
    <t>7442740-7452727</t>
  </si>
  <si>
    <t>calidad.vip@axacolpatria.co</t>
  </si>
  <si>
    <t>CLINICA VIP CENTRO DE MEDICINA INTERNACIONAL</t>
  </si>
  <si>
    <t>VICTOR ALEXANDER SAENZ CASTRO</t>
  </si>
  <si>
    <t>Calle 97#23-10 Excluye Consultorio 101</t>
  </si>
  <si>
    <t>Centro de Especialistas Medicos AXA Colpatria Chico</t>
  </si>
  <si>
    <t>Tv 23# 95 - 53 P 8 Local 801</t>
  </si>
  <si>
    <t>Centro de Especialistas Medicos AXA Colpatria Santa Barbara</t>
  </si>
  <si>
    <t>Cl 116 # 23 06 Lc 101-102</t>
  </si>
  <si>
    <t>CENTRO DE ESPECIALISTAS MɄICOS AXA COLPATRIA ALSACIA</t>
  </si>
  <si>
    <t>Carrera 72 12 B 48 L2-101</t>
  </si>
  <si>
    <t>INVERSIONES NASHAO S A S</t>
  </si>
  <si>
    <t>CALLE 134 N. 57 - 25</t>
  </si>
  <si>
    <t>nashao.comercial@gmail.com</t>
  </si>
  <si>
    <t>NASHAO LA ARMONIA DEL SER</t>
  </si>
  <si>
    <t>KAREN ARZUZA CASAсS</t>
  </si>
  <si>
    <t>Titanium Health Group SAS</t>
  </si>
  <si>
    <t>Carrera 13 N94A-26 Oficina 301</t>
  </si>
  <si>
    <t>odontoamiga@gmail.com</t>
  </si>
  <si>
    <t>www.odontoamiga.com</t>
  </si>
  <si>
    <t>Clinica Odonto Amiga</t>
  </si>
  <si>
    <t>Juan Camilo Achury Sabogal</t>
  </si>
  <si>
    <t>CL͎ICOS PROGRAMAS DE ATENCIӎ INTEGRAL S.A.S. IPS SIGLA CL͎ICOS PROGRAMAS S.A.S IPS</t>
  </si>
  <si>
    <t>AV. AMɒICAS 65-09 - Barrio:LA PRADERA</t>
  </si>
  <si>
    <t>javanegas@clinicos.com.co</t>
  </si>
  <si>
    <t>CL͎ICOS PROGRAMAS DE ATENCIӎ INTEGRAL S.A.S. IPS</t>
  </si>
  <si>
    <t>JOAQUIN CEPEDA FACUSEH</t>
  </si>
  <si>
    <t>AV. AMɒICAS 65-09</t>
  </si>
  <si>
    <t>CLINICOS SAS IPS CALLE 98</t>
  </si>
  <si>
    <t>CR 15 NO. 98 37</t>
  </si>
  <si>
    <t>CLINICOS PROGRAMAS DE ATENCIӎ INTEGRAL SAS IPS</t>
  </si>
  <si>
    <t>CR 7 NO. 32 - 12 LOCALES 130 + mezanine, 131+ mezanine, 132 + mezanine</t>
  </si>
  <si>
    <t>BULEVAR CLINICOS</t>
  </si>
  <si>
    <t>AK 58 # 127-59 Locales 2-81, 2-82,2-83,2-84,2-85, 2-86, 2-87,S2-126</t>
  </si>
  <si>
    <t>7460885 - 3188011197</t>
  </si>
  <si>
    <t>CLINICOS IPS - CASTELLANA</t>
  </si>
  <si>
    <t>Cr 49 D No. 91 - 56</t>
  </si>
  <si>
    <t>BLUECARE SALUD SAS SIGLA BLUECARE</t>
  </si>
  <si>
    <t>Carrera 14 No 93b-15</t>
  </si>
  <si>
    <t>habilitacionCM@bluecare.com.co</t>
  </si>
  <si>
    <t>CENTRO MɄICO INTEGRAL BLUECARE CASTELLANA</t>
  </si>
  <si>
    <t>Ricardo Uriel Herrera Rojas</t>
  </si>
  <si>
    <t>AVENIDA CARRERA 50 NO. 91-38/46 piso 1,2,4,5 y 6</t>
  </si>
  <si>
    <t>CENTRO MɄICO INTEGRAL BLUECARE 104</t>
  </si>
  <si>
    <t>CALLE 104 A # 45 - 15</t>
  </si>
  <si>
    <t>CENTRO MɄICO INTEGRAL BLUECARE PALERMO</t>
  </si>
  <si>
    <t>CL 45C No. 22-59</t>
  </si>
  <si>
    <t>3233750 EXT.116</t>
  </si>
  <si>
    <t>CENTRO MɄICO EMPRESARIAL BLUECARE</t>
  </si>
  <si>
    <t>CL 73 No. 8 - 13 TO B - P1</t>
  </si>
  <si>
    <t>CENTRO MEDICO INTEGRAL BLUECARE AZUL</t>
  </si>
  <si>
    <t>Carrera 49D #91-33, Piso 2, Ala Sur.</t>
  </si>
  <si>
    <t>BLUECARE SERVICIOS DOMICILIARIOS</t>
  </si>
  <si>
    <t>JUAN GUILLERMO SALGADO ARIAS</t>
  </si>
  <si>
    <t>Carrera 51 No. 79-51</t>
  </si>
  <si>
    <t>MEDIFERTIL SAS</t>
  </si>
  <si>
    <t>CL 119 # 7-14 CS 901,902,903,904,905,921A,921B,922,923,924,925</t>
  </si>
  <si>
    <t>601 4841690 - 3155180955</t>
  </si>
  <si>
    <t>info@eugin.com.co</t>
  </si>
  <si>
    <t>www.eugin.com.co</t>
  </si>
  <si>
    <t>CLINICA EUGIN</t>
  </si>
  <si>
    <t>JOSE IGNACIO MADERO CERVERA</t>
  </si>
  <si>
    <t>CL 119 # 7-14 CS 901-902-903-904-905-921A-921B-922-923-924-925</t>
  </si>
  <si>
    <t>601 4841690- 3155180955</t>
  </si>
  <si>
    <t>MEDIGLOBAL IPS SAS</t>
  </si>
  <si>
    <t>CL 90 # 19 A 49 Of 401-402-404</t>
  </si>
  <si>
    <t>9157097 - 3163042587</t>
  </si>
  <si>
    <t>calidad@mediglobal.co</t>
  </si>
  <si>
    <t>www.mediglobal.co</t>
  </si>
  <si>
    <t>MEDIGLOBAL IPS</t>
  </si>
  <si>
    <t>GUILLERMO TRILLOS PICO</t>
  </si>
  <si>
    <t>UNIDIAGNOSTICO SAS</t>
  </si>
  <si>
    <t>KR 15 N 100 - 43 OF 201</t>
  </si>
  <si>
    <t>6000027 - 3204062345</t>
  </si>
  <si>
    <t>marcela.rigueros@unidiagnostico.com.co</t>
  </si>
  <si>
    <t>www.unidiagnostico.com.co</t>
  </si>
  <si>
    <t>MARCELA RIGUEROS DE MORALES</t>
  </si>
  <si>
    <t>KR 15 No. 100 - 43 OF. 201</t>
  </si>
  <si>
    <t>CLINICA CEREN SAS SIGLA CEREN SAS</t>
  </si>
  <si>
    <t>KR 35 # 13 13</t>
  </si>
  <si>
    <t>3330334549 - 3177006944 - 3105615026</t>
  </si>
  <si>
    <t>gerencia@ceren.co caroguzmanps@gmail.com</t>
  </si>
  <si>
    <t>www.ceren.co</t>
  </si>
  <si>
    <t>CLINICA CEREN CALLE 13</t>
  </si>
  <si>
    <t>Carolina GuzmᮠMoreno</t>
  </si>
  <si>
    <t>3819775-3177006944</t>
  </si>
  <si>
    <t>caroguzman_ps@yahoo.com</t>
  </si>
  <si>
    <t>PROYECTAR SALUD S.A.S</t>
  </si>
  <si>
    <t>calle 25 g 84 a 61</t>
  </si>
  <si>
    <t>7563301-3503189977-3102668710</t>
  </si>
  <si>
    <t>gerenciaadministrativa@proyectarsalud.com</t>
  </si>
  <si>
    <t>www.proyectarsalud.com</t>
  </si>
  <si>
    <t>IPS SANANGEL</t>
  </si>
  <si>
    <t>Gilberto Rodriguez Daza</t>
  </si>
  <si>
    <t>2731671 - 7563301 - 3503189977</t>
  </si>
  <si>
    <t>FUNDARRITMIA FUNDACION CARDIOVASCULAR</t>
  </si>
  <si>
    <t>CALLE 50 N. 8 - 24 CS 203 - 401</t>
  </si>
  <si>
    <t>fundarritmia@gmail.com</t>
  </si>
  <si>
    <t>DIEGO IGNACIO VANEGAS CADAVID</t>
  </si>
  <si>
    <t>CALLE 50 N. 8 - 24 CS 203 -401</t>
  </si>
  <si>
    <t>CIRUGIA GENERAL Y ESPECIALIZADA CIRUGESP SAS</t>
  </si>
  <si>
    <t>CALLE 23 N 66-46 INT 4 CS 910</t>
  </si>
  <si>
    <t>cirugiavascularcolombia@gmail.com</t>
  </si>
  <si>
    <t>CIRUGIA VASCULAR COLOMBIA</t>
  </si>
  <si>
    <t>DOUGLAS OMAR ORTIZ ESPINEL</t>
  </si>
  <si>
    <t>CALLE 23 N 66-46 interior 4 CS 910</t>
  </si>
  <si>
    <t>CIRUGIA VASCULAR COLOMBIA LABORATORIO VASCULAR NO INVASIVO - SEDE NORTE</t>
  </si>
  <si>
    <t>AVENIDA CALLE 127 # 20-78 CS. 530</t>
  </si>
  <si>
    <t>LAFAM SAS</t>
  </si>
  <si>
    <t>Av Cra 19 No 164-64</t>
  </si>
  <si>
    <t>Nury.Herrera@co.luxottica.com</t>
  </si>
  <si>
    <t>www.lafamvisioncenter.com.co</t>
  </si>
  <si>
    <t>LAFAM CLINICA OFTALMOLOGICA</t>
  </si>
  <si>
    <t>Claudia Ximena Martinez Estup�n</t>
  </si>
  <si>
    <t>AK 19 No 151-75</t>
  </si>
  <si>
    <t>claudia.martinez@lafam.com.co</t>
  </si>
  <si>
    <t>LAFAM OPTICAS</t>
  </si>
  <si>
    <t>lClaudia Ximena Martinez Estupi񡮼/td&gt;</t>
  </si>
  <si>
    <t>Calle 19 No 9 - 09</t>
  </si>
  <si>
    <t>AC 100 No. 18 A 78</t>
  </si>
  <si>
    <t>Kra 12 No 82 - 02 Lc 283</t>
  </si>
  <si>
    <t>Carrera 92 No 60 - 90 Sur Lc 1006</t>
  </si>
  <si>
    <t>AC 19 No 28-80 LC A-07</t>
  </si>
  <si>
    <t>Ak 19 No 140 - 49</t>
  </si>
  <si>
    <t>Trv 55 No 98 a - 66 Lc 103</t>
  </si>
  <si>
    <t>Calle 26 No 62 - 49 Bahia Lc 205</t>
  </si>
  <si>
    <t>Cra 71D N 6 - 94 Sur Local 1915</t>
  </si>
  <si>
    <t>Kr 68 B No 24 - 39 Lc 1-23</t>
  </si>
  <si>
    <t>Ac 170 No 68 - 01 Lc 14</t>
  </si>
  <si>
    <t>Calle 72 No 10 - 34 Lc 102</t>
  </si>
  <si>
    <t>CL 146 A NO. 106 - 20 -LC 1- 10 CC PLAZA IMPERIAL</t>
  </si>
  <si>
    <t>LAFAM</t>
  </si>
  <si>
    <t>CR 7 NO. 139 07 LC 129 CC PALATINO</t>
  </si>
  <si>
    <t>LAFAM OPTIICAS</t>
  </si>
  <si>
    <t>CR 15 NO. 124 - 30 LC 2 -185</t>
  </si>
  <si>
    <t>CL 20 NO. 82 - 52 L 1 - 88 CC HAYUELOS</t>
  </si>
  <si>
    <t>AK 72 NO. 80 - 94 LC 1-059 CC TITAN PLAZA</t>
  </si>
  <si>
    <t>Av CL 80 NO. 100 - 52 LC N2 123 CC PORTAL DE LA 80</t>
  </si>
  <si>
    <t>CL 185 NO 45 - 03 LC 1-33 CC SANTA FE</t>
  </si>
  <si>
    <t>AV 15 NO. 123 - 30 LC 2 - 029</t>
  </si>
  <si>
    <t>CR 15 NO. 123-30 LC 1-092 CC UNICENTRO</t>
  </si>
  <si>
    <t>Cl. 110 No. 9A-70 Lc 205 CC Santa Ana</t>
  </si>
  <si>
    <t>Lafam</t>
  </si>
  <si>
    <t>CR 71 D NO. 6 - 94 SUR LC 1216 CC PLAZA DE LAS AMERICAS</t>
  </si>
  <si>
    <t>TV 99 No 70 A-89 C.C DIVER PLAZA LC 116 C-2</t>
  </si>
  <si>
    <t>calle 38 A sur No 34 D-50 C.C LC 1077</t>
  </si>
  <si>
    <t>Av cra 58# 127-59 C.C. BULEVAR NIZA LOCAL 190</t>
  </si>
  <si>
    <t>Carrera 20 # 15- 19/ 21 - 25 Sur</t>
  </si>
  <si>
    <t>carrera 65 # 11 -50 C.C plaza central 2-19</t>
  </si>
  <si>
    <t>Cra 58D # 146-51 C.C Parque la Colina LC 2-17</t>
  </si>
  <si>
    <t>Claudia Ximena Martinez Estupi񡮼/td&gt;</t>
  </si>
  <si>
    <t>Avenida Carrera 86 # 55 A-75 C.C Nuestro Bogota LC 1-151</t>
  </si>
  <si>
    <t>CLAUDIA XIMENA MARTINEZ ESTUPIсN</t>
  </si>
  <si>
    <t>CALLE 19A 72 57 Centro Comercial MULTIPLAZA LC B-164</t>
  </si>
  <si>
    <t>Avances Tecnol󧩣os e Innovaci󮠰ara la Salud SAS con sigla AVAN SALUD</t>
  </si>
  <si>
    <t>Tv 71 Bis No. 5 C - 52 - Barrio:MARSELLA</t>
  </si>
  <si>
    <t>4884552 - 4884572</t>
  </si>
  <si>
    <t>ombkennedy@gmail.com</t>
  </si>
  <si>
    <t>ODONTOLOG큠DE MARLON BECERRA SEDE AMERICAS</t>
  </si>
  <si>
    <t>JORGE ARTURO REY CUBILLOS</t>
  </si>
  <si>
    <t>Tv 71 Bis No. 5 C - 52</t>
  </si>
  <si>
    <t>FRANCIA ELENA HERMIDA IPS S A S</t>
  </si>
  <si>
    <t>AC 127 # 20 78 CS 1- 201 - Barrio:La calleja</t>
  </si>
  <si>
    <t>6156429-3223607762</t>
  </si>
  <si>
    <t>hermidafrancia@hotmail.com</t>
  </si>
  <si>
    <t>http://franciahermidaips.com.co</t>
  </si>
  <si>
    <t>FRANCIA ELENA HERMIDA RINCON</t>
  </si>
  <si>
    <t>AC 127 # 20 78 CS 1- 201</t>
  </si>
  <si>
    <t>GRUPO EMPRESARIAL SALUD COLOMBIA SAS</t>
  </si>
  <si>
    <t>CARRERA 72C # 23 F - 22 PRIMER PISO</t>
  </si>
  <si>
    <t>gerencia@gruposoc.com.co</t>
  </si>
  <si>
    <t>claudia milena olaya arenas</t>
  </si>
  <si>
    <t>CLINICAS DENTISA SAS - C.DENTISA</t>
  </si>
  <si>
    <t>AC 116 No. 70 C 94 LOCAL 202</t>
  </si>
  <si>
    <t>clinicasdentisa@gmail.com</t>
  </si>
  <si>
    <t>FRANCY ELENA ROJAS FIGUEROA</t>
  </si>
  <si>
    <t>GRUPO EMPRESARIAL SEVILLA SAS</t>
  </si>
  <si>
    <t>CLL 17 SUR NO 16-69</t>
  </si>
  <si>
    <t>2342424-3145571446</t>
  </si>
  <si>
    <t>gruposevilla@dentisaludrestrepo.com</t>
  </si>
  <si>
    <t>www.dentisalud.com.co</t>
  </si>
  <si>
    <t>DENTISALUD RESTREPO-GRUPO EMPRESARIAL SEVILLA SAS</t>
  </si>
  <si>
    <t>Vanessa Margarita Mier Angarita</t>
  </si>
  <si>
    <t>calle 17 sur n 16 - 69</t>
  </si>
  <si>
    <t>UNIDAD DE GASTROENTEROLOGIA INTEGRAL SAS</t>
  </si>
  <si>
    <t>CALLE 119 # 7 -14 CONSULTORIO 813</t>
  </si>
  <si>
    <t>3114526589 - 3114815468</t>
  </si>
  <si>
    <t>dipitor@yahoo.com</t>
  </si>
  <si>
    <t>D</t>
  </si>
  <si>
    <t>CALLE 119 No. 7-14 CON 813</t>
  </si>
  <si>
    <t>FUNDACIӎ PARA LA INVESTIGACIӎ EN DERMATOLOǴ - FUNINDERMA"</t>
  </si>
  <si>
    <t>carrera 15 No 95-35 Oficina 205</t>
  </si>
  <si>
    <t>funinderma@gmail.com</t>
  </si>
  <si>
    <t>FUNDACIӎ PARA LA INVESTIGACIӎ EN DERMATOLOǴ - FUNINDERMA</t>
  </si>
  <si>
    <t>IGNACIO LORA ESCOBAR</t>
  </si>
  <si>
    <t>CARRERA 20 No 82-31 consultorios 101-102 y sala de procedimiento</t>
  </si>
  <si>
    <t>5335438-5335441</t>
  </si>
  <si>
    <t>CHRISTUS SINERGIA SERVICIOS AMBULATORIOS S.A.S.</t>
  </si>
  <si>
    <t>Cl 102 N 14 A - 70 Piso 1 - Mezanine - Piso 2 - Barrio:Los Molinos del Norte</t>
  </si>
  <si>
    <t>3904784 ext 14110</t>
  </si>
  <si>
    <t>ismael.ortega@christus.co prestadorescentrosmedicos@coomeva.com.co christushabilitacion@christus.co</t>
  </si>
  <si>
    <t>https://christussinergia.com/</t>
  </si>
  <si>
    <t>CHRISTUS SINERGIA BOGOTA TORRE 102</t>
  </si>
  <si>
    <t>Diana Carolina Gonzalez Perez</t>
  </si>
  <si>
    <t>Direcci󮺃l 102 N 14 A - 70 Mezanine Oficina 01</t>
  </si>
  <si>
    <t>christushabilitacion@christus.co,fannyj_leon@coomeva.com.co dianap_ospina@coomeva.com.co</t>
  </si>
  <si>
    <t>INTEGRAL SOLUTIONS SD SAS</t>
  </si>
  <si>
    <t>CRA 7 N.156-68 T. 3 PSO 33</t>
  </si>
  <si>
    <t>3137920359-3173662935</t>
  </si>
  <si>
    <t>gdiaz@integralsolutionssd.com</t>
  </si>
  <si>
    <t>WWW.INTEGRALSOLUTIONSSD.COM</t>
  </si>
  <si>
    <t>GINA ALEJANDRA DIAZ MOSQUERA</t>
  </si>
  <si>
    <t>CALLE 127A N 7-19 EDIFICIO ACCESS CONSULTORIO 409</t>
  </si>
  <si>
    <t>3162343921-3173662935-35913853</t>
  </si>
  <si>
    <t>CALLE 127A N 7-19 CONSULTORIO 202</t>
  </si>
  <si>
    <t>3162343921-3186267110-3182407370-3173662935</t>
  </si>
  <si>
    <t>CORPOPAT SAS</t>
  </si>
  <si>
    <t>CARRERA 18 # 84-11 CONSULTORIO 602</t>
  </si>
  <si>
    <t>7028998 - 3115929290</t>
  </si>
  <si>
    <t>Laboratoriocorpopat@hotmail.com</t>
  </si>
  <si>
    <t>www.corpoopat.com</t>
  </si>
  <si>
    <t>Jorge Alfonso Jerez Lopez</t>
  </si>
  <si>
    <t>CARRERA 18 # 84 - 11 CONSULTORIO 602</t>
  </si>
  <si>
    <t>laboratoriocorpopat@hotmail.com</t>
  </si>
  <si>
    <t>FISIOS CENTRO DE TERAPIA SAS</t>
  </si>
  <si>
    <t>AK 45 # 106 25 OF 102 301 401</t>
  </si>
  <si>
    <t>calidad@fisios.com.co</t>
  </si>
  <si>
    <t>www.fisios.com.co</t>
  </si>
  <si>
    <t>FISIOS CENTRO DE TERAPIAS SAS</t>
  </si>
  <si>
    <t>Maria Esperanza Mejia Montoya</t>
  </si>
  <si>
    <t>esperanza.mejia@fisios.com.co</t>
  </si>
  <si>
    <t>GRUPO LABORAL OCUPACIONAL SAS</t>
  </si>
  <si>
    <t>KR 49 # 94-35 PISO 1</t>
  </si>
  <si>
    <t>7512005 - 3163946337</t>
  </si>
  <si>
    <t>fmmm129@hotmail.com</t>
  </si>
  <si>
    <t>FRANCILENA MONROY MONSALVE</t>
  </si>
  <si>
    <t>MG SALUD INTEGRAL OCUPACIONAL SAS</t>
  </si>
  <si>
    <t>CRA 112A No 79-17</t>
  </si>
  <si>
    <t>gerenciamgsalud@gmail.com</t>
  </si>
  <si>
    <t>Ileana Carolina Moreno Garcia</t>
  </si>
  <si>
    <t>CR 112 A No 79-17</t>
  </si>
  <si>
    <t>INTEGRAL HEALTH COLOMBIA SAS</t>
  </si>
  <si>
    <t>calle 57# 20-48 Barrio San Luis Galerias</t>
  </si>
  <si>
    <t>integralhealthsas@gmail.com</t>
  </si>
  <si>
    <t>LEONOR YANETH ZAMORA ACEVEDO</t>
  </si>
  <si>
    <t>Calle 57 # 20-48 barrio san luis Galerias</t>
  </si>
  <si>
    <t>IPS SALUD INTEGRAL SABANA SAS</t>
  </si>
  <si>
    <t>calle 97 a n 51-56</t>
  </si>
  <si>
    <t>3105663038 - 6316252</t>
  </si>
  <si>
    <t>ipssaludintegralsabana@gmail.com</t>
  </si>
  <si>
    <t>www.ipssaludintegralsabana.com</t>
  </si>
  <si>
    <t>JHON JAIRO MOSQUERA MESA</t>
  </si>
  <si>
    <t>CALLE 97 A #51-56</t>
  </si>
  <si>
    <t>IPS SALUD INTEGRAL SABANA CALLE 100</t>
  </si>
  <si>
    <t>TRANSVERSAL 55 N 98 A 66 LOCAL 337</t>
  </si>
  <si>
    <t>Instituto De Estetica Medica De Colombia LTDA</t>
  </si>
  <si>
    <t>KR 23 N 124 - 87 OF 202</t>
  </si>
  <si>
    <t>6190865 - 6566460 - 6124457</t>
  </si>
  <si>
    <t>info@draluzmarinadiaz.com</t>
  </si>
  <si>
    <t>www.draluzmarinadiaz.com</t>
  </si>
  <si>
    <t>Dra. Luz Marina D� Medicina Estetica</t>
  </si>
  <si>
    <t>Luz Marina D� Vera</t>
  </si>
  <si>
    <t>6190865 - 6124457 - 6566460</t>
  </si>
  <si>
    <t>notificaciones@draluzmarinadiaz.com</t>
  </si>
  <si>
    <t>PSQ SAS</t>
  </si>
  <si>
    <t>CARRERA 28 No 63 SUR 20 - Barrio:CANDELARIA LA NUEVA</t>
  </si>
  <si>
    <t>CALIDAD.IPS@OUTLOOK.COM - PSQGERENCIA@GMAIL.COM</t>
  </si>
  <si>
    <t>www.psq.com</t>
  </si>
  <si>
    <t>PSQ SEDE 4</t>
  </si>
  <si>
    <t>CARLOS AUGUSTO SANCHEZ HERNANDEZ</t>
  </si>
  <si>
    <t>CARRERA 28 No 63 SUR 20</t>
  </si>
  <si>
    <t>CENTRO HOSPITALARIO SAN NICOLAS</t>
  </si>
  <si>
    <t>CARRERA 28 # 74 - 10 / 24</t>
  </si>
  <si>
    <t>311 266 80 13</t>
  </si>
  <si>
    <t>CALIDAD.IPS@OUTLOOK.COM</t>
  </si>
  <si>
    <t>HEALTH DELIVER SOLUTIONS SAS</t>
  </si>
  <si>
    <t>KR 93 No 132-74</t>
  </si>
  <si>
    <t>724hds@gmail.com</t>
  </si>
  <si>
    <t>EDWIN NOVOA</t>
  </si>
  <si>
    <t>KR 93 # 132 - 74</t>
  </si>
  <si>
    <t>WIDEX COLOMBIA S.A.S.</t>
  </si>
  <si>
    <t>KR 7 # 119 - 50 PRIMER PISO - Barrio:USAQUEN</t>
  </si>
  <si>
    <t>7450796-310 4188170</t>
  </si>
  <si>
    <t>acorrales@widexcolombia.com</t>
  </si>
  <si>
    <t>www.widexcolombia.com</t>
  </si>
  <si>
    <t>AURAL CENTROS AUDITIVOS PROFESIONALES</t>
  </si>
  <si>
    <t>ANGɌICA MAŔ CORRALES BETANCOURT</t>
  </si>
  <si>
    <t>KR 7 # 119 - 50 PRIMER PISO</t>
  </si>
  <si>
    <t>AURAL JAVERIANA</t>
  </si>
  <si>
    <t>JESUS THOMAS HERRERA LOPEZ</t>
  </si>
  <si>
    <t>CARRERA 7 N 45-10 LOCAL 3</t>
  </si>
  <si>
    <t>AYUDA MEDICA DOMICILIARIA Y EMPRESARIAL SOLUCIONES EN SALUD OCUPACIONAL S A S</t>
  </si>
  <si>
    <t>Cra 69F # 64F-43 Piso 1</t>
  </si>
  <si>
    <t>3176681051 - 601 3907495</t>
  </si>
  <si>
    <t>habilitacion@ayudamedica.com.co gerencia@ayudamedica.com.co</t>
  </si>
  <si>
    <t>ELVIA FABIOLA FLOREZ ANAYA</t>
  </si>
  <si>
    <t>Carrera 69F # 64F-43 Piso 1</t>
  </si>
  <si>
    <t>601 3907495 3176681051</t>
  </si>
  <si>
    <t>AYUDA MEDICA SEDE KENNEDY</t>
  </si>
  <si>
    <t>Elvia Fabiola Florez Anaya</t>
  </si>
  <si>
    <t>Carrera 78 H # 40 A - 21 Sur</t>
  </si>
  <si>
    <t>3176681051 6013907495</t>
  </si>
  <si>
    <t>administracion@ayudamedica.com.co</t>
  </si>
  <si>
    <t>HELP OCUPACIONAL SAS</t>
  </si>
  <si>
    <t>CR 18 A NO. 53 - 50 CS 101</t>
  </si>
  <si>
    <t>recepcionhelpocupacional@gmail.com</t>
  </si>
  <si>
    <t>www.helpocupacional.com.co</t>
  </si>
  <si>
    <t>MAYRA ESMERALDA RAMOS HERNANDEZ</t>
  </si>
  <si>
    <t>KR 18 A # 53 50 CS 101</t>
  </si>
  <si>
    <t>INSTITUTO NACIONAL DE OFTALMOLOGIA SA / INO OPHTHALMIC AND PLASTIC SURGERY Sigla INO COLOMBIA SA</t>
  </si>
  <si>
    <t>CALLE 127A N 7-53 CS 5001 5002 5003 5004 5005 5006</t>
  </si>
  <si>
    <t>6017441989 - 3118767155</t>
  </si>
  <si>
    <t>gerencia@inocolombia.com</t>
  </si>
  <si>
    <t>www.inocolombia.com</t>
  </si>
  <si>
    <t>INSTITUTO NACIONAL DE OFTALMOLOGIA S.A.</t>
  </si>
  <si>
    <t>MARTHA LUZ DUARTE D́Z</t>
  </si>
  <si>
    <t>INNOVA LASER CENTER S.A.S</t>
  </si>
  <si>
    <t>CALLE 103 N. 14A-53 CONS 504</t>
  </si>
  <si>
    <t>INNOVALASERCENTER@HOTMAIL.COM</t>
  </si>
  <si>
    <t>WWW.INNOVALASERCENTER.COM</t>
  </si>
  <si>
    <t>ALEJANDRA BUILES JIMENEZ</t>
  </si>
  <si>
    <t>DAVITA S.A.S.</t>
  </si>
  <si>
    <t>Carrera 13 No 56-23 - Barrio:CHAPINERO CENTRAL</t>
  </si>
  <si>
    <t>calidad@davita.com</t>
  </si>
  <si>
    <t>https://international.davita.com/co/</t>
  </si>
  <si>
    <t>DAVITA BOGOTA SANTA MARIA DEL LAGO</t>
  </si>
  <si>
    <t>SANDRA PATRICIA RODRIGUEZ RUIZ</t>
  </si>
  <si>
    <t>Calle 73 No 72a-09</t>
  </si>
  <si>
    <t>DAVITA BOGOTA AUTOPISTA NORTE</t>
  </si>
  <si>
    <t>ANDREA RODRIGUEZ GORDILLO</t>
  </si>
  <si>
    <t>AK 45 No. 103 35/29 PISO 1</t>
  </si>
  <si>
    <t>7954145/3174597503</t>
  </si>
  <si>
    <t>UNIDAD RENAL DAVITA SAN CARLOS</t>
  </si>
  <si>
    <t>Alba Estela Duarte Rivera</t>
  </si>
  <si>
    <t>CARRERA 12D No. 32-44 SUR PISO 3 LOCAL 301</t>
  </si>
  <si>
    <t>DAVITA CHAPINERO</t>
  </si>
  <si>
    <t>Diana Marcela Daza Tamayo</t>
  </si>
  <si>
    <t>Carrera 13 No 56-23</t>
  </si>
  <si>
    <t>DAVITA SUBA</t>
  </si>
  <si>
    <t>Adriana Campillo Ni񯼯td&gt;</t>
  </si>
  <si>
    <t>CALLE 145 # 85 - 52 Local 1 - Local 2</t>
  </si>
  <si>
    <t>315 8195276</t>
  </si>
  <si>
    <t>SALUD HOUSE SAS</t>
  </si>
  <si>
    <t>avenida calle 147 no 19-50 local 15</t>
  </si>
  <si>
    <t>7027722 - 3143403072</t>
  </si>
  <si>
    <t>saludhouse@hotmail.com</t>
  </si>
  <si>
    <t>VICTOR FERNANDO ZARATE HERNANDEZ</t>
  </si>
  <si>
    <t>INFECTOLOGOS CLINICOS DE COLOMBIA SAS INFECTOCLINICOS</t>
  </si>
  <si>
    <t>CLL 42 # 13 - 28 OFC 101</t>
  </si>
  <si>
    <t>6313942 6313943</t>
  </si>
  <si>
    <t>osussmann@gmail.com</t>
  </si>
  <si>
    <t>www.infectoclinicos.co</t>
  </si>
  <si>
    <t>OTTO ALBERTO SUSSMANN PEс</t>
  </si>
  <si>
    <t>Cll 42 # 13 - 28 Of 101</t>
  </si>
  <si>
    <t>INFECTOLOGOS CLINICOS DE COLOMBIA SAS SEDE SOMEC</t>
  </si>
  <si>
    <t>Otto Alberto Sussmann Pe񡼯td&gt;</t>
  </si>
  <si>
    <t>Calle 50 8 27 CS 207 - 210</t>
  </si>
  <si>
    <t>SALUD OCUPACIONAL INTERNACIONAL S.A.S.</t>
  </si>
  <si>
    <t>AK 30 No 86 A 95 PISO 1</t>
  </si>
  <si>
    <t>3153772767 - 7020635 - 2565853</t>
  </si>
  <si>
    <t>calidad@ipssoi.com</t>
  </si>
  <si>
    <t>SALUD OCUPACIONAL INTERNACIONAL S.A.S</t>
  </si>
  <si>
    <t>MERCEDES HERNANDEZ DUARTE</t>
  </si>
  <si>
    <t>mhernandez@ipssoi.com</t>
  </si>
  <si>
    <t>GENCELL PHARMA S.A.S</t>
  </si>
  <si>
    <t>carrera 18 # 82-15</t>
  </si>
  <si>
    <t>3107388623-7425961</t>
  </si>
  <si>
    <t>smmatorel@labgencell.com info@labgencell.com</t>
  </si>
  <si>
    <t>GENCELL PHARMA S.A.S.</t>
  </si>
  <si>
    <t>FABIO ANDRES ZAPATA GOMEZ</t>
  </si>
  <si>
    <t>Carrera 18 # 82-15</t>
  </si>
  <si>
    <t>smmatorel@labgencell.com</t>
  </si>
  <si>
    <t>GENCELL PHARMA CENTRO NACIONAL DE SECUENCIACION</t>
  </si>
  <si>
    <t>TRANSVERSAL 93 #51 98 UNIDAD 7</t>
  </si>
  <si>
    <t>CENTRO DE ESTIMULACION, REHABILITACION Y APRENDIZAJE SEMILLAS DE ESPERANZA S.A.S SIGLA: CERASES S.A.S</t>
  </si>
  <si>
    <t>CL 140B # 96 - 72</t>
  </si>
  <si>
    <t>elsydelgado11078@hotmail.com</t>
  </si>
  <si>
    <t>CENTRO DE ESTIMULACION, REHABILITACION Y APRENDIZAJE SEMILLAS DE ESPERANZA S.A.S SIGLAS: CERASES S.A.S</t>
  </si>
  <si>
    <t>ELSY DELGADO PRADA</t>
  </si>
  <si>
    <t>CENTRO DE ESTIMULACION, REHABILITACION Y APRENDIZAJE SEMILLAS DE ESPERANZA</t>
  </si>
  <si>
    <t>ELSY DEL CARMEN DELGADO PRADA</t>
  </si>
  <si>
    <t>CARRERA 64 A NUMERO 4 G - 40</t>
  </si>
  <si>
    <t>7023755-7023768</t>
  </si>
  <si>
    <t>ELSYDELGADO11078@HOTMAIL.COM</t>
  </si>
  <si>
    <t>CENTRO DE ESTIMULACION REHABILITACION Y APRENDIZAJE SEMILLAS DE ESPERANZA</t>
  </si>
  <si>
    <t>Elsy del Carmen Delgado Prada</t>
  </si>
  <si>
    <t>Diagonal 49 sur 53 59</t>
  </si>
  <si>
    <t>centro de atencion pulmonar respiremos S.A.S /CAP respiremos S.A.S</t>
  </si>
  <si>
    <t>Cra 15 N 118 - 41 consultorio 511 Unidad Medica Guadalimar</t>
  </si>
  <si>
    <t>lilianamcampos70@yahoo.com</t>
  </si>
  <si>
    <t>LILIANA MARIA CAMPOS SAAB</t>
  </si>
  <si>
    <t>Cra 15 N 118 - 41 consltorio 511 Unidad Medica Guadalimar</t>
  </si>
  <si>
    <t>MOMPRENATAL S.A.S.</t>
  </si>
  <si>
    <t>AVENIDA CALLE 127 No. 19A - 44 CONSULTORIO 612-613-614</t>
  </si>
  <si>
    <t>gerencia@momprenatal.com.co</t>
  </si>
  <si>
    <t>EMILIANO MAURICIO HERRERA MENDEZ</t>
  </si>
  <si>
    <t>7711138-3204520517-3155815646</t>
  </si>
  <si>
    <t>San@ Centros de Terapia S.A.S</t>
  </si>
  <si>
    <t>Avenida Calle 80 89 A 40 Piso 3 Local 304, Piso 2 Lc 247 - 202 - 203</t>
  </si>
  <si>
    <t>3906389 -3134648721</t>
  </si>
  <si>
    <t>administracion@sana-terapia.com</t>
  </si>
  <si>
    <t>SAN@ CENTROS DE TERAPIA SAS</t>
  </si>
  <si>
    <t>Sandra Cecilia Silva Taboada</t>
  </si>
  <si>
    <t>3906389 - 3134648721</t>
  </si>
  <si>
    <t>administracion@san@-terapia.com</t>
  </si>
  <si>
    <t>SALUD MATERNO FETAL S.A.S.</t>
  </si>
  <si>
    <t>Calle 50 No 8- 24 consultorios 308-705</t>
  </si>
  <si>
    <t>smaternofetal@gmail.com</t>
  </si>
  <si>
    <t>SALUD MATERNO FETAL S.A.S. Sede 02</t>
  </si>
  <si>
    <t>Edgar Eduardo Ram�z BojacἯtd&gt;</t>
  </si>
  <si>
    <t>Calle 50 No 8- 24 consultorio 308-705</t>
  </si>
  <si>
    <t>FUNDACION IPS DE REHABILITACION EN SALUD MENTAL CONDUCTAL Y EMOCIONAL PARA NIяS, NIсS Y ADOLESCENTES "PSICOREHABILITAR IPS"</t>
  </si>
  <si>
    <t>AC 6 70B-71 - Barrio:MARSELLA</t>
  </si>
  <si>
    <t>2579259-3934167</t>
  </si>
  <si>
    <t>fundacionpsicorehabilitar@gmail.com</t>
  </si>
  <si>
    <t>FUNDACION I.P.S. DE REHABILITACION EN SALUD MENTAL, CONDUCTUAL Y EMOCIONAL PARA NIяS, NIсS Y ADOLESCENTES PSICOREHABILITAR PSICOREHABILITAR IPS</t>
  </si>
  <si>
    <t>JAIRO SEGURA ROMERO</t>
  </si>
  <si>
    <t>AC 6 70B-71</t>
  </si>
  <si>
    <t>6268163 - 3203991392</t>
  </si>
  <si>
    <t>CONSULTORIO BIOLOGICO MANDALAY SAS</t>
  </si>
  <si>
    <t>Av Las Americas No. 78 75</t>
  </si>
  <si>
    <t>consultorio_biologico_mandalay@hotmail.com</t>
  </si>
  <si>
    <t>CONSULTORIO BIOLOGICO MANDALAY S.A.S</t>
  </si>
  <si>
    <t>EDUARDO OTALORA ARIAS</t>
  </si>
  <si>
    <t>REQPERA IPS SAS</t>
  </si>
  <si>
    <t>CALLE 127 # 19A- 44 EDIFICIO ACOMEDICA II CONSULTORIO 505</t>
  </si>
  <si>
    <t>3016471946 - 6415967</t>
  </si>
  <si>
    <t>gerencia@reqperaips.com</t>
  </si>
  <si>
    <t>GIGLIOLA DEL PILAR TARAZONA DIAZ</t>
  </si>
  <si>
    <t>CALLE 127 # 19 A- 44 EDIFICO ACOMEDICA II CONSULTORIO 505</t>
  </si>
  <si>
    <t>administrativo@reqperaips.com</t>
  </si>
  <si>
    <t>Fundacion Mujer y Familia</t>
  </si>
  <si>
    <t>Carrera 9 No. 23-49 Local 601 Centro Comercial Intercentro</t>
  </si>
  <si>
    <t>3602026/4087128</t>
  </si>
  <si>
    <t>fundacionmujeryfamilia@hotmail.com</t>
  </si>
  <si>
    <t>Fundaci󮠍ujer y Familia</t>
  </si>
  <si>
    <t>Dalila Gonzᬥz Ortiz</t>
  </si>
  <si>
    <t>Carrera 9 No. 23 -49 Local 601 Centro Comercial Intercentro</t>
  </si>
  <si>
    <t>Neuronabebe SAS</t>
  </si>
  <si>
    <t>CALLE 73 NO 20C-53 BARRIO SAN FELIPE</t>
  </si>
  <si>
    <t>3214884189 - 3838490</t>
  </si>
  <si>
    <t>administracion@neuronabebe.com</t>
  </si>
  <si>
    <t>www.neuronabebe.com</t>
  </si>
  <si>
    <t>MARIA MONICA LOPEZ MUяZ</t>
  </si>
  <si>
    <t>CALLE 73 NO 20C-53</t>
  </si>
  <si>
    <t>MUTALIS SAS</t>
  </si>
  <si>
    <t>AV 116 # 9-72 CONSULTORIO 412 - 413</t>
  </si>
  <si>
    <t>3181022227-6017702701</t>
  </si>
  <si>
    <t>info@mutalis.co</t>
  </si>
  <si>
    <t>CARLOS MARIO VILLEGAS TORO</t>
  </si>
  <si>
    <t>MUTALIS FLORMORADO</t>
  </si>
  <si>
    <t>Calle 117 # 6A - 60 Consultorio 301A</t>
  </si>
  <si>
    <t>PREVENTSALUD IPS SAS</t>
  </si>
  <si>
    <t>Calle 15 sur Nro 16-46</t>
  </si>
  <si>
    <t>7575328 -3155885312</t>
  </si>
  <si>
    <t>preventsaludips@gmail.com</t>
  </si>
  <si>
    <t>JUAN DAVID CUENCA CUELLAR</t>
  </si>
  <si>
    <t>CALLE 15 SUR No. 16 - 46</t>
  </si>
  <si>
    <t>7575328 - 3155885312</t>
  </si>
  <si>
    <t>MIMA S.A.S. sigla MIMA</t>
  </si>
  <si>
    <t>cra 7 # 32 - 16 local 325</t>
  </si>
  <si>
    <t>mima-spa@hotmail.com</t>
  </si>
  <si>
    <t>Eliana Chavez</t>
  </si>
  <si>
    <t>CERTIFICACIONES Y SALUD OCUPACIONAL S A S</t>
  </si>
  <si>
    <t>CR 69 B No. 25 SUR - 01 AP BG 101</t>
  </si>
  <si>
    <t>cersalocu@gmail.com</t>
  </si>
  <si>
    <t>CENTRO DE RECONOCIMIENTO DE CONDUCTORES LA PRIMERA</t>
  </si>
  <si>
    <t>CAMILO JAIME JARAMILLO CARDOSO</t>
  </si>
  <si>
    <t>7440575 - 3144344148 - 3005691326</t>
  </si>
  <si>
    <t>crclaprimera@hotmail.com</t>
  </si>
  <si>
    <t>INVERSIONES CROMAX3D SAS</t>
  </si>
  <si>
    <t>CARRERA 112A No. 78D - 08</t>
  </si>
  <si>
    <t>paola_triana1@hotmail.com</t>
  </si>
  <si>
    <t>CROMAX PAOLA TRIANA MUяZ</t>
  </si>
  <si>
    <t>PAOLA TRIANA MUяZ</t>
  </si>
  <si>
    <t>CROMAX3D SEDE ALAMOS NORTE</t>
  </si>
  <si>
    <t>CARRERA 101 # 72 - 33</t>
  </si>
  <si>
    <t>CROMAX3D UNICENTRO</t>
  </si>
  <si>
    <t>CARRERA 15 # 118 41 OFICINA 406</t>
  </si>
  <si>
    <t>inversionescromax@gmail.com</t>
  </si>
  <si>
    <t>CENTRO DE COLOPROCTOLOGIA Y ENDOSCOPIA S A S</t>
  </si>
  <si>
    <t>CL 119 NO. 07 14 CN 614 Y 616</t>
  </si>
  <si>
    <t>centrodecoloproctologia@gmail.com</t>
  </si>
  <si>
    <t>JAVIER ALEJANDRO CARRERA SIACHOQUE</t>
  </si>
  <si>
    <t>SORING CLINICA DE HERIDAS Y MEDICINAS INTEGRATIVAS SAS</t>
  </si>
  <si>
    <t>Calle 6A No 69 F 54</t>
  </si>
  <si>
    <t>7460086 - 3175160407</t>
  </si>
  <si>
    <t>comercial@soring.com.co</t>
  </si>
  <si>
    <t>ANGY LISSETH NIEVES ARIZA</t>
  </si>
  <si>
    <t>Calle 6A 69F 54</t>
  </si>
  <si>
    <t>7460086- 3175160407</t>
  </si>
  <si>
    <t>SORING CLINICA DE HERIDAS Y MEDICINAS INTEGRATIVAS RESTREPO</t>
  </si>
  <si>
    <t>CALLE 13 SUR 19 25</t>
  </si>
  <si>
    <t>SORING CLINICA DE HERIDAS Y MEDICINAS INTEGRATIVAS CENTRO MEDICO LAGO</t>
  </si>
  <si>
    <t>Calle 77 16 A 23</t>
  </si>
  <si>
    <t>6017460086- 3174014001</t>
  </si>
  <si>
    <t>INVERSIONES CLABE ORAL SAS</t>
  </si>
  <si>
    <t>AK 58 128B 29 PISO 1</t>
  </si>
  <si>
    <t>2539135 - 3108547365</t>
  </si>
  <si>
    <t>www.solucionesdiagnosticas3d.com</t>
  </si>
  <si>
    <t>SOLUCIONES DIAGNOSTICAS 3D DX</t>
  </si>
  <si>
    <t>AK 58 128 B 29 PISO 1</t>
  </si>
  <si>
    <t>AYUDA CLINICA ASOCIADOS S.A.S. SIGLA ACA SAS</t>
  </si>
  <si>
    <t>CALLE 134 # 7B-83 CONS 601 EDF. EL BOSQUE</t>
  </si>
  <si>
    <t>(601)4954703 - 3132638593</t>
  </si>
  <si>
    <t>ayudaclinicasas@gmail.com</t>
  </si>
  <si>
    <t>www.ayudaclinica.com</t>
  </si>
  <si>
    <t>MARIA CLAUDIA CORDOBA OVIEDO</t>
  </si>
  <si>
    <t>Unidad de Cuidados Paliativos Presentes S.A.S</t>
  </si>
  <si>
    <t>CRA 18 N. 140 - 27</t>
  </si>
  <si>
    <t>6015895432 Ext 5717825 -3102172577</t>
  </si>
  <si>
    <t>german.marentes@versania.com</t>
  </si>
  <si>
    <t>UNIDAD DE CUIDADOS PALIATIVOS PRESENTES S.A.S</t>
  </si>
  <si>
    <t>JUAN CARLOS HERNANDEZ GROSSO</t>
  </si>
  <si>
    <t>6015895432 Ext 5717825 - 3102172577</t>
  </si>
  <si>
    <t>IPS Anmediprev LTDA</t>
  </si>
  <si>
    <t>avenida Carrera 30 # 22 c 32 local 14-15</t>
  </si>
  <si>
    <t>6017552549 - 3115530524</t>
  </si>
  <si>
    <t>ipsanmediprev@gmail.com</t>
  </si>
  <si>
    <t>Ips Anmediprev LTDA</t>
  </si>
  <si>
    <t>Manyury Katherine Leal Fonseca</t>
  </si>
  <si>
    <t>ipsanmediprevgerencia@gmail.com</t>
  </si>
  <si>
    <t>ADMINISTRADORA CLINICA LA COLINA SAS</t>
  </si>
  <si>
    <t>CALLE 167 72 07 PISO 1,PISO 2 (EXCEPTO CONSULTORIOS 215 Y 216),PISO 3, PISO 4,PISO 5,PISO 6,PISO 7 Y PISO 8</t>
  </si>
  <si>
    <t>notificacionesclc@clinicadelcountry.com</t>
  </si>
  <si>
    <t>www.clinicalacolina.com</t>
  </si>
  <si>
    <t>CENTRO DE SERVICIOS AMBULATORIOS - CLINICA LA COLINA</t>
  </si>
  <si>
    <t>Carrera 67 # 167 61 Local 8,9,10,11,12,13 Consultorio 211,504, 505, 510-3, 515, 516, 517</t>
  </si>
  <si>
    <t>CIRUGIA AMBULATORIA LA COLINA 122</t>
  </si>
  <si>
    <t>Ak 45 # 122 - 96 Piso 5</t>
  </si>
  <si>
    <t>CIRUGIA AMBULATORIA LA COLINA 122 - CONSULTAS</t>
  </si>
  <si>
    <t>Avenida Carrera 45 122 96 Piso 1 Consultorio A Y B</t>
  </si>
  <si>
    <t>CLINICA OFTALMӌOGICA VISIӎ COLOMBIA SAS Y/O UNIDAD DE DIAGNOSTICO MEDICO UNIDIME SAS</t>
  </si>
  <si>
    <t>CALLE 134 NO. 7 83 TORRE 1 CONSULTORIO 1 PISO 1</t>
  </si>
  <si>
    <t>601-7455472-3212454161-3125309392</t>
  </si>
  <si>
    <t>calidad@visioncolombia.com.co , Gerenciageneral@visioncolombia.com.co</t>
  </si>
  <si>
    <t>CLINICA OFTALMOLOGICA VISION COLOMBIA Y/O UNIDAD DE DIAGNOSTICO MEDICO UNIDIME S.A.S</t>
  </si>
  <si>
    <t>MANUEL RICARDO PEсLOZA RENGIFO</t>
  </si>
  <si>
    <t>CALLE 134 No 7 83 TORRE 1 CONSULTORIO 1 PISO 1</t>
  </si>
  <si>
    <t>3000930 - 3212454161 - 3204300686</t>
  </si>
  <si>
    <t>gerenciageneral@visioncolombia.com.co</t>
  </si>
  <si>
    <t>VISIӎ COLOMBIA DIAGNӓTICO</t>
  </si>
  <si>
    <t>CALLE 134 # 7-83 TORRE 1 PISO 6 CONSULTORIO 1</t>
  </si>
  <si>
    <t>CONSULTA EXTERNA VISIӎ COLOMBIA</t>
  </si>
  <si>
    <t>Calle 134 # 7-83 Torre 2 Piso 4 Consultorio 2</t>
  </si>
  <si>
    <t>3000930- 3212454161- 3204300686</t>
  </si>
  <si>
    <t>VISIӎ COLOMBIA TEUSAQUILLO</t>
  </si>
  <si>
    <t>Calle 36 # 16 - 57</t>
  </si>
  <si>
    <t>gerenciacomercial@visioncolombia.com</t>
  </si>
  <si>
    <t>ATECHDENTAL SAS</t>
  </si>
  <si>
    <t>CRA 14 No. 93 - 40 OFICINAS 203-204</t>
  </si>
  <si>
    <t>601-2365716 - 3017156903</t>
  </si>
  <si>
    <t>atechdental@hotmail.com</t>
  </si>
  <si>
    <t>CONSUELO ZAMBRANO BELTRAN</t>
  </si>
  <si>
    <t>Neurovital Care SAS</t>
  </si>
  <si>
    <t>AV C 134 #7-83 T4 P4 M443</t>
  </si>
  <si>
    <t>neurovitalcare@gmail.com</t>
  </si>
  <si>
    <t>Diego Alberto Ruiz Amaya</t>
  </si>
  <si>
    <t>AV C 134 # 7 83 T4 P4 M443</t>
  </si>
  <si>
    <t>RETINOPTICAL SAS</t>
  </si>
  <si>
    <t>CLL 19 No 8- 11</t>
  </si>
  <si>
    <t>2818811// 2841369</t>
  </si>
  <si>
    <t>laboelite@yahoo.com</t>
  </si>
  <si>
    <t>CONSULTORIO 1 LABORATORIO Y OPTICA ELITE</t>
  </si>
  <si>
    <t>CARLOS ALFONSO HERNANDEZ JIMENEZ</t>
  </si>
  <si>
    <t>CRA 9 No 18-51 LOCAL 115</t>
  </si>
  <si>
    <t>CONSULTORIO 2 LABORATORIO Y ӐTICA ɌITE</t>
  </si>
  <si>
    <t>CRA 9 No 18-30</t>
  </si>
  <si>
    <t>CONSULTORIO 3 ӐTICA PUNTO SELECTO</t>
  </si>
  <si>
    <t>CRA 9 No 18-38</t>
  </si>
  <si>
    <t>CONSULTORIO ELITE CRA 8</t>
  </si>
  <si>
    <t>Carrera 8 No. 17-14</t>
  </si>
  <si>
    <t>CALLE 19 No 8-11</t>
  </si>
  <si>
    <t>CAMPO ELIAS PAEZ IPS SAS</t>
  </si>
  <si>
    <t>CRA 18 No. 84 - 11 CS 802</t>
  </si>
  <si>
    <t>2960561/3102722788</t>
  </si>
  <si>
    <t>campoeliaspaezips@outlook.com</t>
  </si>
  <si>
    <t>CAMPO ELIAS PAEZ RODRIGUEZ</t>
  </si>
  <si>
    <t>DENTY EXPRESS CLINICAS ODONTOLOGICAS SAS</t>
  </si>
  <si>
    <t>CARRERA 17 14 A 42 SUR PISO 1</t>
  </si>
  <si>
    <t>7552828 - 3132277840</t>
  </si>
  <si>
    <t>admon.dentyexpress@hotmail.com</t>
  </si>
  <si>
    <t>CLINICAS ODONTOLOGICAS DENTY EXPRESS</t>
  </si>
  <si>
    <t>CARLINA ORTIZ DONCEL</t>
  </si>
  <si>
    <t>EVENTOS MASIVOS CIUDAD JARDIN SAS SIGLA EVENMAS SAS</t>
  </si>
  <si>
    <t>CRA 11 A N 17 sur 34</t>
  </si>
  <si>
    <t>evenmascj@gmail.com</t>
  </si>
  <si>
    <t>CARLOS ERBERTO RINCON HORTUA</t>
  </si>
  <si>
    <t>EL CENTRO DE LOS SENTIDOS SAS</t>
  </si>
  <si>
    <t>AK 19 No 120 71 OF 101 Y OF 102</t>
  </si>
  <si>
    <t>gerencia@elcentrodelossentidos.com</t>
  </si>
  <si>
    <t>https://www.elcentrodelossentidos.com</t>
  </si>
  <si>
    <t>MARTIN ALONSO FERNANDEZ PADILLA</t>
  </si>
  <si>
    <t>Avenidad Carrera 19 # 120 -71 OF. 101 OF. 102</t>
  </si>
  <si>
    <t>Constanza Gonzalez Sanchez SAS</t>
  </si>
  <si>
    <t>Av de las Americas No. 69-60 Primer piso</t>
  </si>
  <si>
    <t>6945770 - 3153899348</t>
  </si>
  <si>
    <t>cgsterapiasbta@gmail.com</t>
  </si>
  <si>
    <t>Constanza Gonzalez Sanchez</t>
  </si>
  <si>
    <t>Av de las Am鲩cas No 69 60 primer piso</t>
  </si>
  <si>
    <t>CGS CENTRO DE REHABILITACION SANTA BARBARA</t>
  </si>
  <si>
    <t>CONSTANZA GONZALEZ SANCHEZ</t>
  </si>
  <si>
    <t>CRA 21A # 124 -55 CS 403</t>
  </si>
  <si>
    <t>3153899348 3143310817</t>
  </si>
  <si>
    <t>Emmanuel Instituto de Rehabilitacion y Habilitacion Infantil s.as</t>
  </si>
  <si>
    <t>Calle 78 # 12A- 30 - Barrio:Chapinero</t>
  </si>
  <si>
    <t>7433693 - 3022874789</t>
  </si>
  <si>
    <t>www.emanuelips.com/</t>
  </si>
  <si>
    <t>EMMANUEL INSTITUTO DE REHABILITACION Y HABILITACION INFANTIL SAS</t>
  </si>
  <si>
    <t>Oscar Daniel Nieto Contreras</t>
  </si>
  <si>
    <t>Calle 78 # 12A- 30</t>
  </si>
  <si>
    <t>CLINICA LOS NOGALES SAS</t>
  </si>
  <si>
    <t>CL 95 # 23 61</t>
  </si>
  <si>
    <t>5937000 Ext: 2045 / 2036 Cel: 3014199316</t>
  </si>
  <si>
    <t>notificacioneslegales@clinicanogales.com</t>
  </si>
  <si>
    <t>www.clinicanogales.com</t>
  </si>
  <si>
    <t>MARIA PAZ AZULA GRANADA</t>
  </si>
  <si>
    <t>Calle 95 N 23-61</t>
  </si>
  <si>
    <t>ESPECIALIDADES ODONTOLOGICAS MAXPLUSS SAS</t>
  </si>
  <si>
    <t>CL 40 SUR #78A-43 PISO 1 - Barrio:KENNEDY</t>
  </si>
  <si>
    <t>clinicasmaxpluss@hotmail.com</t>
  </si>
  <si>
    <t>ORTOLASSER IPS SEDE KENNEDY</t>
  </si>
  <si>
    <t>DAVID FERNANDO GUERRA GARCIA</t>
  </si>
  <si>
    <t>CL 40 SUR #78A-43 PISO 1</t>
  </si>
  <si>
    <t>FUNDACIӎ SERVICIOS Y ASESORIAS PROFESIONALES EN SALUD-SAP</t>
  </si>
  <si>
    <t>Carrera 52 No. 67 A-71 Centro m餩co Consultorio 205 y Consultorio 113</t>
  </si>
  <si>
    <t>fundacionsapsalud@yahoo.es</t>
  </si>
  <si>
    <t>FUNDACIӎ SAP SALUD</t>
  </si>
  <si>
    <t>NORMAN ALFREDO RODR͇UEZ URIBE</t>
  </si>
  <si>
    <t>I S H INTEGRAL SOLUTIONS IN HEALTH SAS</t>
  </si>
  <si>
    <t>Carrera 21 24 80 sur Local 35 Centro Comercial Olaya Plaza</t>
  </si>
  <si>
    <t>ish.gerenciageneral@outlook.com</t>
  </si>
  <si>
    <t>https://www.iships.co</t>
  </si>
  <si>
    <t>OLGA LUCIA BARRAGAN PARDO</t>
  </si>
  <si>
    <t>Carrera 21 24 80 sur local 35 Centro Comercial Olaya Plaza</t>
  </si>
  <si>
    <t>CENTRO INTEGRAL PARA MANEJO DEL DOLOR-CINDOLOR S.A.S</t>
  </si>
  <si>
    <t>CR 16A NO 82 46 CONSULTORIO 502/503</t>
  </si>
  <si>
    <t>2960540-6356634</t>
  </si>
  <si>
    <t>centrocindolor@gmail.com</t>
  </si>
  <si>
    <t>CENTRO INTEGRAL PARA MANEJO DEL DOLOR-CINDOLORS.A.S</t>
  </si>
  <si>
    <t>JUAN VICENTE TORRES PABON</t>
  </si>
  <si>
    <t>CARRERA 16A NO 82-46 CONSULTORIO 502/503</t>
  </si>
  <si>
    <t>jvtptorres@gmail.com</t>
  </si>
  <si>
    <t>CINDOLOR 403</t>
  </si>
  <si>
    <t>CARRERA 16 No. 82-29 Consultorio 403</t>
  </si>
  <si>
    <t>CLINICA SAN FRANCISCO DE ASIS SAS</t>
  </si>
  <si>
    <t>CALLE 16 16-80</t>
  </si>
  <si>
    <t>5190707 ext 109-114-101 - 3174003658</t>
  </si>
  <si>
    <t>departamentodecalidad@clinicasfa.com</t>
  </si>
  <si>
    <t>www.clinicasfa.com</t>
  </si>
  <si>
    <t>CLINICA SAN FRANCISCO DE ASIS S.A.S</t>
  </si>
  <si>
    <t>JUAN CARLOS FLOREZ ZAMBRANO</t>
  </si>
  <si>
    <t>5190707 ext 109-114-101-3174003658</t>
  </si>
  <si>
    <t>GRUPO HOJA MEDICA S.A.S</t>
  </si>
  <si>
    <t>KR 15 # 83 - 33 PISO 1, PISO 3 CONSULTORIO 303, PISO 4, PISO 5, PISO 6</t>
  </si>
  <si>
    <t>7456568 EXT 5001 Y 5002</t>
  </si>
  <si>
    <t>administracion@clinicadhara.com</t>
  </si>
  <si>
    <t>Clinica Dhara</t>
  </si>
  <si>
    <t>Hernan Amaris Jimenez</t>
  </si>
  <si>
    <t>Cra 15# 83-33 PISO 1, PISO 3 CONSULTORIO 303, PISO 4, PISO 5, PISO 6</t>
  </si>
  <si>
    <t>calidad@clinicadhara.com</t>
  </si>
  <si>
    <t>QUALITY DATA S A SIGLA QDATA S.A.</t>
  </si>
  <si>
    <t>CR 7 C No 122-06</t>
  </si>
  <si>
    <t>637 70 60 - 3002275911</t>
  </si>
  <si>
    <t>jlgonzalez@qdata.com.co</t>
  </si>
  <si>
    <t>www.qdata.com.co</t>
  </si>
  <si>
    <t>Leonardo Gonzalez Vigoya</t>
  </si>
  <si>
    <t>CR 7 C No 122 - 06</t>
  </si>
  <si>
    <t>6 37 70 60</t>
  </si>
  <si>
    <t>administrativa@qdata.com.co</t>
  </si>
  <si>
    <t>UNIDAD DE SALUD OCUPACIONAL S.A.S</t>
  </si>
  <si>
    <t>Cra 45A # 101 - 34</t>
  </si>
  <si>
    <t>gestioncalidad@unidadso.com.co</t>
  </si>
  <si>
    <t>www.unidadso.com.co</t>
  </si>
  <si>
    <t>UNIDAD DE SALUD OCUPACIONAL NORTE</t>
  </si>
  <si>
    <t>Margarita Lucia de los Milagros Macias Fajardo</t>
  </si>
  <si>
    <t>Transversal 55 # 98a-76 suba con calle 100 Centro comercial Iserra 100 Local 2-34</t>
  </si>
  <si>
    <t>UNIDAD DE SALUD OCUPACIONAL SEDE NORMANDIA</t>
  </si>
  <si>
    <t>AK 72 No. 49 - 29 Piso 6</t>
  </si>
  <si>
    <t>UNIDAD DE SALUD OCUPACIONAL BOGOTA MONTEVIDEO</t>
  </si>
  <si>
    <t>MARGARITA LUCIA DE LOS MILAGROS MACIAS FAJARDO</t>
  </si>
  <si>
    <t>AV DE LAS AMERICAS # 62-84 OUTLET FACTORY LOCAL 232</t>
  </si>
  <si>
    <t>SOLUCIONES Y ASISTENCIA EN SALUD SAS</t>
  </si>
  <si>
    <t>carrera 67 N 167 61 OFC 308</t>
  </si>
  <si>
    <t>3183539844- 3685536</t>
  </si>
  <si>
    <t>solucionesyasistenciaensalud@yahoo.com</t>
  </si>
  <si>
    <t>Carol Andrea Moreno Bernal</t>
  </si>
  <si>
    <t>CR 67 # 167 61 OF 308</t>
  </si>
  <si>
    <t>3183539844 - 3685536</t>
  </si>
  <si>
    <t>MAPLE RESPIRATORY IPS SAS</t>
  </si>
  <si>
    <t>CRA 46#95-35</t>
  </si>
  <si>
    <t>018000527527 - 6017052000</t>
  </si>
  <si>
    <t>Maple.notificaciones@linde.com; leidy.velandia@linde.com; susana.ariza@linde.com</t>
  </si>
  <si>
    <t>www.maplerespiratory.co</t>
  </si>
  <si>
    <t>MAPLE RESPIRATORY IPS BOGOTA</t>
  </si>
  <si>
    <t>Maria Alejandra Chaux</t>
  </si>
  <si>
    <t>Cra 46 #95-35</t>
  </si>
  <si>
    <t>SKIN TEAM S.A.S</t>
  </si>
  <si>
    <t>AC134 7B 83 OF 122 CS 5</t>
  </si>
  <si>
    <t>Skinteam2014@gmail.com</t>
  </si>
  <si>
    <t>SKIN TEAM SAS</t>
  </si>
  <si>
    <t>AC 134 7B 83 OF 122 CS5</t>
  </si>
  <si>
    <t>angelahernandez@hotmail.com</t>
  </si>
  <si>
    <t>SOLUCIONES OCUPACIONALES S.A.S - SIGLA: SOLOC S.A.S</t>
  </si>
  <si>
    <t>AC 134 N 7 - 83 TO 3 PI 2 OF 328</t>
  </si>
  <si>
    <t>3004931 - 6273309</t>
  </si>
  <si>
    <t>solucionesocupacionales.soloc@gmail.com</t>
  </si>
  <si>
    <t>RICARDINA ROSIBEL RODRIGUEZ MENDOZA</t>
  </si>
  <si>
    <t>SOCIEDAD DE DIAGNOSTICO VISUAL SAS</t>
  </si>
  <si>
    <t>Avenida Carrera 9 # 116 - 20 Consultorio 608</t>
  </si>
  <si>
    <t>info.sdvisual@gmail.com</t>
  </si>
  <si>
    <t>INGRY GALIDIA DEL ROSARIO FRANCO SANCHEZ</t>
  </si>
  <si>
    <t>RADIOLOGIA ORAL ELIPSE SAS</t>
  </si>
  <si>
    <t>CALLE 140 C #94 D 38 MN 2 CONS 203</t>
  </si>
  <si>
    <t>radiologiaoralelipse@gmail.com</t>
  </si>
  <si>
    <t>RAFAEL ANDRES MONROY DIAZ</t>
  </si>
  <si>
    <t>CALLE 140 C # 94 D 38 MN 2 CONS 203</t>
  </si>
  <si>
    <t>RADIOLOGIA ORAL ELIPSE</t>
  </si>
  <si>
    <t>CALLE 80 No. 89 A 40 LOCAL 123 - 124</t>
  </si>
  <si>
    <t>4813204 - 3107586232</t>
  </si>
  <si>
    <t>CENTRO ESPECIALIZADO EN NEURODESARROLLO TERAPIAS INTEGRALES Y RE HABILITACIӎ SAS SIGLA CEENTIR SAS</t>
  </si>
  <si>
    <t>CLL 147 N 17- 78 EDIFICIO SOKO 307-308</t>
  </si>
  <si>
    <t>6012329857- 3013906753</t>
  </si>
  <si>
    <t>ceentir@gmail.com</t>
  </si>
  <si>
    <t>MARISOL CIFUENTES DIAZ</t>
  </si>
  <si>
    <t>CLL 147 N 17 78 EDIFICIOF SOKO 307-308</t>
  </si>
  <si>
    <t>2329857-3229457056</t>
  </si>
  <si>
    <t>Mobility Group SAS</t>
  </si>
  <si>
    <t>Avenida Calle 80 No 69 - 70 Unidad 7</t>
  </si>
  <si>
    <t>7420744 - 7423072 - 7427269- 3212273282</t>
  </si>
  <si>
    <t>gerencia@mobilitygroup.co</t>
  </si>
  <si>
    <t>Mar�Milena Cruz Otalora</t>
  </si>
  <si>
    <t>Avenida Calle 80 No. 69 - 70 Unidad 7</t>
  </si>
  <si>
    <t>7420744/3212273282/7423072/ 7427269</t>
  </si>
  <si>
    <t>direcciondecalidad@mobilitygroup.co</t>
  </si>
  <si>
    <t>odontologia estetica s &amp; a sas</t>
  </si>
  <si>
    <t>carrera 20 numero 53-10 Local 201</t>
  </si>
  <si>
    <t>angelaaristizabal605@hotmail.com</t>
  </si>
  <si>
    <t>angela patricia aristizabal castellanos</t>
  </si>
  <si>
    <t>carrera 20 numero 53 -10 Local 201</t>
  </si>
  <si>
    <t>IPS PROFESIONALES EN SALUD SAS</t>
  </si>
  <si>
    <t>Carrera 25 51 37 Local 1</t>
  </si>
  <si>
    <t>ipsprofesionalesensaludsas@yahoo.com</t>
  </si>
  <si>
    <t>NOHORA ALEJANDRA RAMIREZ TRIANA</t>
  </si>
  <si>
    <t>2551440/3106888777</t>
  </si>
  <si>
    <t>WESTERN DENTAL S.A.S</t>
  </si>
  <si>
    <t>Calle 100 #19 A 30 OFI 301 - Barrio:Chico</t>
  </si>
  <si>
    <t>dr@malodental.com.co</t>
  </si>
  <si>
    <t>www.malodental.com.co</t>
  </si>
  <si>
    <t>MALO DENTAL BOGOTA</t>
  </si>
  <si>
    <t>Sergio Enrique Trujillo Avila</t>
  </si>
  <si>
    <t>Calle 100 #19 A 30 OFI 301</t>
  </si>
  <si>
    <t>ESPECIALISTAS CIRUJANOS PLSTICOS S.A.S . SIGLA: ECIPLAST S.A.S</t>
  </si>
  <si>
    <t>calle 120 A N 7-05 PISO M</t>
  </si>
  <si>
    <t>eciplast@gmail.com</t>
  </si>
  <si>
    <t>ESPECIALISTAS CIRUJANOS PLSTICOS S.A.S. SIGLA: ECIPLAST S.A.S</t>
  </si>
  <si>
    <t>JORGE ERNESTO CANTINI ARDILA</t>
  </si>
  <si>
    <t>calle 120 A 7-05 piso M</t>
  </si>
  <si>
    <t>TERAMED SAS</t>
  </si>
  <si>
    <t>CALLE 5 SUR NO 10-82 PISO 1</t>
  </si>
  <si>
    <t>4434160/61</t>
  </si>
  <si>
    <t>teramedsas@gmail.com</t>
  </si>
  <si>
    <t>SANDRA PATRICIA LINARES MARROQUIN</t>
  </si>
  <si>
    <t>CL 5 SUR NO 10-82 PISO 1</t>
  </si>
  <si>
    <t>UNIDAD DE RADIOLOGIA ORAL Y MAXILOFACIAL RADIDENT SAS</t>
  </si>
  <si>
    <t>CL 106 # 56 - 76 CS 302</t>
  </si>
  <si>
    <t>6552604-3158694840</t>
  </si>
  <si>
    <t>administracion@radident.co</t>
  </si>
  <si>
    <t>ALFONSO SALAS NUхZ</t>
  </si>
  <si>
    <t>Soluciones integrales en salud Aurum Medical SAS Sigla: AURUM MEDICAL SAS</t>
  </si>
  <si>
    <t>CARRERA 17 # 24 44</t>
  </si>
  <si>
    <t>aurummedicalsas@gmail.com</t>
  </si>
  <si>
    <t>https://https://aurummedicalsas.wixsite.com/aurum-medical/nosotrs</t>
  </si>
  <si>
    <t>Andres David Cortes Sierra</t>
  </si>
  <si>
    <t>CARRERA 17 #24 44</t>
  </si>
  <si>
    <t>Guiar Salud IPS Y HSEQS EN CS</t>
  </si>
  <si>
    <t>KR 27 # 13 39</t>
  </si>
  <si>
    <t>crcguiarsalud@gmail.com</t>
  </si>
  <si>
    <t>CENTRO DE DIAGNOSTICO PSICOCENSOMETRICO GUIAR SALUD IPS</t>
  </si>
  <si>
    <t>HERCILIA GALEANO HERNANDEZ</t>
  </si>
  <si>
    <t>CRR 27 N 13 39</t>
  </si>
  <si>
    <t>3057371030 /3607402</t>
  </si>
  <si>
    <t>GUIAR SALUD IPS Y HSEQ S EN CS COLON</t>
  </si>
  <si>
    <t>STELLA QUINTERO GARZON</t>
  </si>
  <si>
    <t>CL 3A # 53F 74 PI 1 Y 2</t>
  </si>
  <si>
    <t>2603016-4206565-3103414647</t>
  </si>
  <si>
    <t>guiarsaludips@gmail.com</t>
  </si>
  <si>
    <t>ASODER Consultores S.A.S</t>
  </si>
  <si>
    <t>Carrera 57A 4D - 12</t>
  </si>
  <si>
    <t>asoderconsultoresas@gmail.com</t>
  </si>
  <si>
    <t>www.asoderconsultoresas.com</t>
  </si>
  <si>
    <t>Asoder Consultores S.A.S</t>
  </si>
  <si>
    <t>Jorge Alejandro Carre񯠐arada</t>
  </si>
  <si>
    <t>ASSO LTDA ASESORIAS Y SERVICIOS EN SALUD OCUPACIONAL</t>
  </si>
  <si>
    <t>CARRERA 13 NO. 42 19 INTERIOR 2</t>
  </si>
  <si>
    <t>6012873029 3002038277</t>
  </si>
  <si>
    <t>saludocupacional@assoltda.com</t>
  </si>
  <si>
    <t>http://www.assoltda.com/</t>
  </si>
  <si>
    <t>FERNANDO DURAN BARRERA</t>
  </si>
  <si>
    <t>CALLE 123 N. 7 - 51 CONSULTORIO 1102</t>
  </si>
  <si>
    <t>Clinica del Pie y Spa S.A.S.</t>
  </si>
  <si>
    <t>CL 95 # 49 - 22 Primer Piso</t>
  </si>
  <si>
    <t>4674390 / 4674391</t>
  </si>
  <si>
    <t>clinicadelpieyspasas@gmail.com</t>
  </si>
  <si>
    <t>www.clinicadelpieyspa.com</t>
  </si>
  <si>
    <t>EDGAR AUGUSTO HERNANDEZ PERDOMO</t>
  </si>
  <si>
    <t>PHENIX SALUD OCUPACIONAL SAS</t>
  </si>
  <si>
    <t>CLL 85 No. 49A-40 PISO 1</t>
  </si>
  <si>
    <t>5335016 - 3122910220</t>
  </si>
  <si>
    <t>gerenciageneral@phenixsaludocupacional.com.co</t>
  </si>
  <si>
    <t>PHENIX SALUD OCUPACIONAL</t>
  </si>
  <si>
    <t>ELIZABETH DUQUE HERNANDEZ</t>
  </si>
  <si>
    <t>SO-SIMETRIC S.A.S</t>
  </si>
  <si>
    <t>CARRERA 57 No 44 B - 21</t>
  </si>
  <si>
    <t>sosimetricsaludocupacional@gmail.com</t>
  </si>
  <si>
    <t>SO-SIMETRIC SAS</t>
  </si>
  <si>
    <t>DOLCEY JUNIOR TORRES VISBAL</t>
  </si>
  <si>
    <t>FISIOMEDICAL CENTER SAS</t>
  </si>
  <si>
    <t>CR 53F No. 4B 02</t>
  </si>
  <si>
    <t>4145833- 3113865128 - 3124961682</t>
  </si>
  <si>
    <t>fisiomedical-center@hotmail.com</t>
  </si>
  <si>
    <t>OLGA MILENA TELLEZ GONZALEZ</t>
  </si>
  <si>
    <t>cuidandote en casa sas</t>
  </si>
  <si>
    <t>CRA 27 B No. 53A - 57</t>
  </si>
  <si>
    <t>3598324 - 3112300389</t>
  </si>
  <si>
    <t>cuidandoteencasasas@gmail.com</t>
  </si>
  <si>
    <t>CUIDANDOTE EN CASA SAS</t>
  </si>
  <si>
    <t>Dora Rᴩva Alberto</t>
  </si>
  <si>
    <t>AV CRA 19 #95-51 CONS 202</t>
  </si>
  <si>
    <t>EFI CIENCIA OCUPACIONAL LTDA</t>
  </si>
  <si>
    <t>CL 71 29 30</t>
  </si>
  <si>
    <t>7555975 7555977 3112281777</t>
  </si>
  <si>
    <t>eficiencia.ocupacional@gmail.com</t>
  </si>
  <si>
    <t>JUAN DANTE NERIA ACEVEDO</t>
  </si>
  <si>
    <t>7551993 7551994 3112281777</t>
  </si>
  <si>
    <t>SALUD Y BIENESTAR G &amp; S SAS</t>
  </si>
  <si>
    <t>Avenida Calle 53 No 73 - 28 Piso 1</t>
  </si>
  <si>
    <t>citasmedicasbogota@luzyvidanatural.com</t>
  </si>
  <si>
    <t>LUZ Y VIDA CENTRO MEDICO ALTERNATIVO</t>
  </si>
  <si>
    <t>SARA ARISTIZABAL RAMIREZ</t>
  </si>
  <si>
    <t>RED MEDICA IPS SAS</t>
  </si>
  <si>
    <t>CALLE 71 A N 70B-35 PISO 1</t>
  </si>
  <si>
    <t>6159034-6159035-3185162991</t>
  </si>
  <si>
    <t>gerenciaredmedicaipssas@gmail.com</t>
  </si>
  <si>
    <t>EGDNA L. GUTIERREZ CASTILLO</t>
  </si>
  <si>
    <t>GAP BELLEZA INTEGRAL S.A.S.</t>
  </si>
  <si>
    <t>CLL 114 6A-92 OF. D 507 CENTRO COMERCIAL HACIENDA SANTA BARBARA</t>
  </si>
  <si>
    <t>5200952-4810046-3102216268</t>
  </si>
  <si>
    <t>reflectionsbody@gmail.com</t>
  </si>
  <si>
    <t>REFLECTIONS BODY CENTER HACIENDA SANTA BARBARA</t>
  </si>
  <si>
    <t>GLORIA PATRICIA GOMEZ ANGEL</t>
  </si>
  <si>
    <t>Cll 114 No 6A-92 OF. D 507 CENTRO COMERCIAL HACIENDA SANTA BARBARA</t>
  </si>
  <si>
    <t>SERVICIOS QUIRURGICOS DE CABEZA Y CUELLO SAS</t>
  </si>
  <si>
    <t>CARRERA 16 No 84 A 09 CONSULTORIO 720</t>
  </si>
  <si>
    <t>jdefz2002@yahoo.com</t>
  </si>
  <si>
    <t>https://www.yahoo.com</t>
  </si>
  <si>
    <t>JUAN DE FRANCISCO ZAMBRANO</t>
  </si>
  <si>
    <t>CENTRO DE INVESTIGACIӎ EN REUMATOLOǴ Y ESPECIALIDADES MɄICAS SAS "CIREEM SAS"</t>
  </si>
  <si>
    <t>CARRERA 12 N0. 97 - 32 Oficina 201 Oficina 203 Consultorio 203-2 Consultorio 203-3 Oficina 301 Oficina 302 Oficina 303 Oficina 401 Oficina 403 Oficina 404 Deposito No 3</t>
  </si>
  <si>
    <t>4853675 - 4326305 -3213564627</t>
  </si>
  <si>
    <t>administracion@cireem.com.co</t>
  </si>
  <si>
    <t>PATRICIA JULIETA VELEZ SANCHEZ</t>
  </si>
  <si>
    <t>4853675 - 4326305 - 3213564627</t>
  </si>
  <si>
    <t>Laboral Health SAS</t>
  </si>
  <si>
    <t>CL 118 # 19 - 09 Cs 201</t>
  </si>
  <si>
    <t>jgquijano@laboralhealth.com</t>
  </si>
  <si>
    <t>www.laboralhealth.com</t>
  </si>
  <si>
    <t>LABORAL HEALTH SAS</t>
  </si>
  <si>
    <t>JOSE GIOVANNI QUIJANO GALVIS</t>
  </si>
  <si>
    <t>CL 118 # 19 - 09 CS 201</t>
  </si>
  <si>
    <t>INTEGRATIVE IPS SAS</t>
  </si>
  <si>
    <t>CALLE 127 Bis 19-25 Of 310</t>
  </si>
  <si>
    <t>6941331/6941353/3232021879</t>
  </si>
  <si>
    <t>gerencia@integrative.com.co</t>
  </si>
  <si>
    <t>MARIA CATALINA QUINTERO</t>
  </si>
  <si>
    <t>6271380/3164365552</t>
  </si>
  <si>
    <t>GRUPO 20 20 SAS CUYA SIGLA ES GRUPO 20 20</t>
  </si>
  <si>
    <t>CL 59 C SUR No. 89 A 40 - Barrio:BOSA RECREO</t>
  </si>
  <si>
    <t>correosopticas@yahoo.com.co</t>
  </si>
  <si>
    <t>OPTICAS 20/20</t>
  </si>
  <si>
    <t>REMBERTO ALIRIO ESCAMILLA ROJAS</t>
  </si>
  <si>
    <t>CR 88 C No. 57 C 41 SUR LOCAL 1</t>
  </si>
  <si>
    <t>CL 65 No. 80 51 SUR</t>
  </si>
  <si>
    <t>CL 59 C SUR No. 89 A 40</t>
  </si>
  <si>
    <t>CR 14 No. 74 C 17 SUR PISO 1</t>
  </si>
  <si>
    <t>ӐTICAS A&amp;A .</t>
  </si>
  <si>
    <t>LUZ NGELA GӍEZ ESCAMILLA</t>
  </si>
  <si>
    <t>CARRERA 14 # 75 - 18 SUR PISO 1</t>
  </si>
  <si>
    <t>ACOFOR LASER SAS</t>
  </si>
  <si>
    <t>CALLE 119 N 7 - 14 CONS 414 - 415</t>
  </si>
  <si>
    <t>6297355 - 6297352 - 6203603</t>
  </si>
  <si>
    <t>acoforlaser2010@gmail.com</t>
  </si>
  <si>
    <t>www.janethacosta.gov.co</t>
  </si>
  <si>
    <t>ACOFOR LASER S.A.S</t>
  </si>
  <si>
    <t>MARIA JANETH ACOSTA MENDEZ</t>
  </si>
  <si>
    <t>6297355 - 6297352 - 2139287</t>
  </si>
  <si>
    <t>DRS.PULIDO IPS SAS</t>
  </si>
  <si>
    <t>Cr 49A # 93 - 23 P 1 Y P 2</t>
  </si>
  <si>
    <t>esteticadrs.pulido2021@gmail.com</t>
  </si>
  <si>
    <t>EDGAR ALONSO PULIDO CARO</t>
  </si>
  <si>
    <t>CEMAE SAS</t>
  </si>
  <si>
    <t>calle 116 n 9-72 consultorio 401 y 419</t>
  </si>
  <si>
    <t>3138965830 - 4672286</t>
  </si>
  <si>
    <t>administracion@cemae.co</t>
  </si>
  <si>
    <t>JOSE ALEJANDRO GONZALEZ SIERRA</t>
  </si>
  <si>
    <t>GRUPO EMPRESARIAL ALIANZA ESTRATEGICA EN SALUD OCUPACIONAL SAS- GRUPO EMPRESARIAL ALESO SAS</t>
  </si>
  <si>
    <t>CALLE 63 No 11-45 AP 303 OF 303 AP 402 0F 402</t>
  </si>
  <si>
    <t>gerencia@alesoips.com</t>
  </si>
  <si>
    <t>ALEXANDRA MUяZ</t>
  </si>
  <si>
    <t>CALLE 63 No. 11-45 AP 303 OF 303 AP 402 OF 402</t>
  </si>
  <si>
    <t>CLINICA CENTENARIO S.A.S</t>
  </si>
  <si>
    <t>CALLE 13 17 21</t>
  </si>
  <si>
    <t>7460111 Ext 1701</t>
  </si>
  <si>
    <t>notificaciones.centenario@stewardcolombia.org, auxadministrativomedico@stewardcolombia.org</t>
  </si>
  <si>
    <t>INSTITUTO DE OSTEOPOROSIS S.A.S</t>
  </si>
  <si>
    <t>AV. BOYACA No. 54 A - 15</t>
  </si>
  <si>
    <t>4162481-8052353</t>
  </si>
  <si>
    <t>agendainor@hotmail.com</t>
  </si>
  <si>
    <t>INSTITUTO DE OSTEOPOROSIS SAS</t>
  </si>
  <si>
    <t>ELIAS CARDONA ABADIA</t>
  </si>
  <si>
    <t>Av. Boyaca No. 54 A - 15</t>
  </si>
  <si>
    <t>Colcuidar Sociedad por acciones simplificada es decir COLCUIDAR SAS</t>
  </si>
  <si>
    <t>calle 22 B # 66-46 consultorio 1202</t>
  </si>
  <si>
    <t>3 15 59 17 / 313 8 35 78 45</t>
  </si>
  <si>
    <t>colcuidar@gmail.com</t>
  </si>
  <si>
    <t>www.colcuidar.com</t>
  </si>
  <si>
    <t>Colcuidar Sociedad por acciones simplificada en decir COLCUIDAR SAS</t>
  </si>
  <si>
    <t>Diana Pahola Figueroa mendez</t>
  </si>
  <si>
    <t>Calle 22b 66-46 Consultorio 1202</t>
  </si>
  <si>
    <t>JAVIER MARQUEZ FABRICA DE SONRISAS SAS</t>
  </si>
  <si>
    <t>AV CALLE 26 No. 68 C-61 LOCAL 1-15 EDIF TORRE CENTRAL</t>
  </si>
  <si>
    <t>alonmarquez@yahoo.com</t>
  </si>
  <si>
    <t>www.fabricadesonrisas.net</t>
  </si>
  <si>
    <t>JAVIER MARQUEZ FABRICA DE SONRISAS</t>
  </si>
  <si>
    <t>JAVIER ALONSO MARQUEZ GARCIA</t>
  </si>
  <si>
    <t>AV CALLE 26 No. 68 C - 61 LOCAL 1-15 EDIF TORRE CENTRAL</t>
  </si>
  <si>
    <t>ART MEDICA S.A.S</t>
  </si>
  <si>
    <t>Calle 93 # 19 B 67 Piso 6 Consultorios 605 Y 606 Piso 7 Consultorios 701, 702, 703, 704, 705 Y 706</t>
  </si>
  <si>
    <t>L�a de atencion Nacional 3009120074, WhatsApp 3245737308</t>
  </si>
  <si>
    <t>notificaciones@artmedica.co</t>
  </si>
  <si>
    <t>www.artmedica.com.co</t>
  </si>
  <si>
    <t>ARTMEDICA SAS BOGOTA</t>
  </si>
  <si>
    <t>RICARDO ANTONIO PINEDA TAMAYO</t>
  </si>
  <si>
    <t>Linea de atencion Nacional 3009120074, WhatsApp 3245737308</t>
  </si>
  <si>
    <t>UNIMOS SALUD SAS</t>
  </si>
  <si>
    <t>CALLE 44 BIS B SUR 68B 13 PISO 1</t>
  </si>
  <si>
    <t>calidadunimossalud@gmail.com</t>
  </si>
  <si>
    <t>https://www.unimossalud.com</t>
  </si>
  <si>
    <t>BORIS GARCIA LOPEZ</t>
  </si>
  <si>
    <t>CL 97A # 51-45 P1</t>
  </si>
  <si>
    <t>arcoiris de esperanza s.a.s</t>
  </si>
  <si>
    <t>carrera 73 nro 55-78</t>
  </si>
  <si>
    <t>3107732715/3143692116/6968410</t>
  </si>
  <si>
    <t>centroarcoirisdeesperanza@gmail.com</t>
  </si>
  <si>
    <t>ARCOIRIS DE ESPERANZA S.A.S</t>
  </si>
  <si>
    <t>Lina Paola Bermudez Pi񥲯s</t>
  </si>
  <si>
    <t>CARRERA 73 NUMERO 55 78 BARRIO NORMANDIA</t>
  </si>
  <si>
    <t>3107732715/3143692116/6019158910</t>
  </si>
  <si>
    <t>ipsade@arcoirisdeesperanza.com</t>
  </si>
  <si>
    <t>UNIDAD BIOMEDICA S.A.S</t>
  </si>
  <si>
    <t>CRA 50 No.118-22</t>
  </si>
  <si>
    <t>2139815 - 3008493768</t>
  </si>
  <si>
    <t>unidadbiomedica@gmail.com</t>
  </si>
  <si>
    <t>FREDY ORLANDO VILLARRAGA FRANCO</t>
  </si>
  <si>
    <t>CRA 50 NO. 118-22</t>
  </si>
  <si>
    <t>FISIORAD S.A.S</t>
  </si>
  <si>
    <t>Carrera 21 87 85 - Barrio:Polo</t>
  </si>
  <si>
    <t>3175635696-3002433- 6952932- 3196470624</t>
  </si>
  <si>
    <t>direcciondecallidad@fisiorad.com.co</t>
  </si>
  <si>
    <t>FISIORAD.COM.CO</t>
  </si>
  <si>
    <t>FISIORAD SAS</t>
  </si>
  <si>
    <t>Diana Paola Jimenez Bernal</t>
  </si>
  <si>
    <t>Carrera 21 87 85</t>
  </si>
  <si>
    <t>3175635696- 3002433- 6952932- 3196470624</t>
  </si>
  <si>
    <t>fisioradips@fisiorad.com.co</t>
  </si>
  <si>
    <t>Ac 13 No. 65 21 C.C Paseo Avenida Centenario Lc 36</t>
  </si>
  <si>
    <t>3175635696- 3099995 - 3005970574</t>
  </si>
  <si>
    <t>direcciondecalidad@fisiorad.com.co</t>
  </si>
  <si>
    <t>LABORATORIO LORENA VEJARANO SAS</t>
  </si>
  <si>
    <t>Calle 25G N85B-89</t>
  </si>
  <si>
    <t>gerencia@lorenavejarano.com</t>
  </si>
  <si>
    <t>www.lorenavejarano.com</t>
  </si>
  <si>
    <t>LABORATORIO VEJARANO IPS SEDE CENTRAL DE PROCESO BOGOTA</t>
  </si>
  <si>
    <t>DIANA CAROLINA LINARES FUENTES</t>
  </si>
  <si>
    <t>Calle 25G # 85B-89</t>
  </si>
  <si>
    <t>LABORATORIO VEJARANO IPS SEDE CENTRAL POINT</t>
  </si>
  <si>
    <t>DIANA CAROLINA LINARES FUENTE</t>
  </si>
  <si>
    <t>CALLE 25 G #73 B -90 LOCAL 105 A -104 B</t>
  </si>
  <si>
    <t>Gerencia@lorenavejarano.com</t>
  </si>
  <si>
    <t>LABORATORIO VEJARANO IPS SEDE CALLE 84</t>
  </si>
  <si>
    <t>CRA 11 # 84 A-18</t>
  </si>
  <si>
    <t>3155125187 -6028353815</t>
  </si>
  <si>
    <t>GERENCIA@LORENAVEJARANO.COM</t>
  </si>
  <si>
    <t>CRC PROFESIONALES DE LA SALUD VILLA MAYOR S.A.S</t>
  </si>
  <si>
    <t>TRANSVERSAL 35 #32 B - 36 SUR</t>
  </si>
  <si>
    <t>gerencia@crcocupacional.com</t>
  </si>
  <si>
    <t>www.crcocupacional.com</t>
  </si>
  <si>
    <t>CRC PROFESIONALES DE LA SALUD VILLA MAYOR</t>
  </si>
  <si>
    <t>JORGE ARTURO MOSQUERA JIMENEZ</t>
  </si>
  <si>
    <t>TRANSVERSAL 35 # 32 B - 36 SUR</t>
  </si>
  <si>
    <t>STUDIO ORAL DIGITAL S.A.S</t>
  </si>
  <si>
    <t>CARRERA 78 No. 8 -26</t>
  </si>
  <si>
    <t>7009845 - 3209689760</t>
  </si>
  <si>
    <t>studioraldigital@gmail.com</t>
  </si>
  <si>
    <t>GINA MILENA PACHON</t>
  </si>
  <si>
    <t>AVANZAR IPS REHABILITACIӎ Y HABILITACIӎ SAS</t>
  </si>
  <si>
    <t>CARRERA 72 A 64 A 04 PISO 1 - Barrio:EL ENCANTO</t>
  </si>
  <si>
    <t>ipsavanzar@gmail.com</t>
  </si>
  <si>
    <t>avanzarips.com.co</t>
  </si>
  <si>
    <t>JOSE ANDRES REYES CARVAJAL</t>
  </si>
  <si>
    <t>CALLE 18 A SUR # 29B - 79 PISO 1</t>
  </si>
  <si>
    <t>CARRERA 72 A 64 A 04 PISO 1</t>
  </si>
  <si>
    <t>INVIGEN SAS</t>
  </si>
  <si>
    <t>CL 134 N 7-83 CS 252 -254</t>
  </si>
  <si>
    <t>vitafertilidad@gmail.com</t>
  </si>
  <si>
    <t>Vita</t>
  </si>
  <si>
    <t>Byron Cardozo Medina</t>
  </si>
  <si>
    <t>PLATINUM HEALTH GROUP IPS S.A.S</t>
  </si>
  <si>
    <t>CARRERA 18 N 36-37</t>
  </si>
  <si>
    <t>7500174 - 3004678583</t>
  </si>
  <si>
    <t>platinumhegroup@gmail.com</t>
  </si>
  <si>
    <t>PLATINUM HEALTH GROUP IPS SAS</t>
  </si>
  <si>
    <t>MARTHA LUCIA ZAPATA CARRILLO</t>
  </si>
  <si>
    <t>7500174-3004678583</t>
  </si>
  <si>
    <t>UROLOGIA DE COLOMBIA SAS</t>
  </si>
  <si>
    <t>AK 104 # 235 B - 20/84 LOS GIRASOLES CASA 6</t>
  </si>
  <si>
    <t>3004123885 - 3007192019</t>
  </si>
  <si>
    <t>urologiadecolombia@hotmail.com</t>
  </si>
  <si>
    <t>MARCELA PATRICIA GUERRERO BARBOSA</t>
  </si>
  <si>
    <t>CRA. 13 No.48 - 26 CS 302</t>
  </si>
  <si>
    <t>3200383 - 3007192019</t>
  </si>
  <si>
    <t>PROTEGER HEALTH CARE SAS</t>
  </si>
  <si>
    <t>Calle 119 N 7-14 CS 313</t>
  </si>
  <si>
    <t>2154414 - 3107632253</t>
  </si>
  <si>
    <t>gerencia@protegerhealthcare.com</t>
  </si>
  <si>
    <t>www.protegerhealthcare.com</t>
  </si>
  <si>
    <t>GLORIA MARTINEZ MUяZ</t>
  </si>
  <si>
    <t>Calle 119 N7-14 CS 313</t>
  </si>
  <si>
    <t>PROCTOMEDICAL HMZ SAS</t>
  </si>
  <si>
    <t>AC 127 # 19 A 28 CS 308 y 608</t>
  </si>
  <si>
    <t>proctomedical@gmail.com</t>
  </si>
  <si>
    <t>JOSE ANTONIO HORMAZA LEON</t>
  </si>
  <si>
    <t>Centro Colombiano de Diagnostico de Melanoma y Lesiones Pigmentadas SAS / sigla: CCDIMEL SAS</t>
  </si>
  <si>
    <t>K. 16 No. 82-29 consultorio 402</t>
  </si>
  <si>
    <t>6913344 -3503359254</t>
  </si>
  <si>
    <t>merlanocesar@me.com</t>
  </si>
  <si>
    <t>www.lesionespigmentadas.com</t>
  </si>
  <si>
    <t>Centro Colombiano de Diagn󳴩co de Melanoma y Lesiones Pigmentadas SAS / sigla: CCDIMEL SAS</t>
  </si>
  <si>
    <t>C鳡r Augusto Merlano Soto</t>
  </si>
  <si>
    <t>K 16 No. 82-29 consultorio 402</t>
  </si>
  <si>
    <t>6913344 - 3503359254</t>
  </si>
  <si>
    <t>ccedimel.sas@gmail.com</t>
  </si>
  <si>
    <t>Emotion Fit Center SAS</t>
  </si>
  <si>
    <t>ak 58 # 131 a - 06</t>
  </si>
  <si>
    <t>olgaro_j@hotmail.com</t>
  </si>
  <si>
    <t>www.emotionfitcenter.com</t>
  </si>
  <si>
    <t>olga romero</t>
  </si>
  <si>
    <t>Emdiagnostica SAS</t>
  </si>
  <si>
    <t>KR 18 # 84 11 CS 401</t>
  </si>
  <si>
    <t>7041234-7041238-3102825618</t>
  </si>
  <si>
    <t>emdiagnostica@gmail.com</t>
  </si>
  <si>
    <t>Jenny Molano Caro</t>
  </si>
  <si>
    <t>7041234-7041238-3102825618-3102816993-3102750788</t>
  </si>
  <si>
    <t>DDC IPS S.A.S</t>
  </si>
  <si>
    <t>CALLE 75 N 69K 64</t>
  </si>
  <si>
    <t>3922912/3134139473</t>
  </si>
  <si>
    <t>ddcipssas@hotmail.com</t>
  </si>
  <si>
    <t>DDC IPS S.A.S.</t>
  </si>
  <si>
    <t>YENY ENID SABOGAL LOPEZ</t>
  </si>
  <si>
    <t>Centro Nacional de Enfermedades Huerfanas y Linfedema IPS SAS CENEH IPS SAS</t>
  </si>
  <si>
    <t>KR 16 # 82 29 CS 209</t>
  </si>
  <si>
    <t>3104147 - 300 211 82 22</t>
  </si>
  <si>
    <t>secre@alejandromolinamd.com</t>
  </si>
  <si>
    <t>www.ceneh.com</t>
  </si>
  <si>
    <t>Alejandro Molina Hernandez</t>
  </si>
  <si>
    <t>3104147-3002118222</t>
  </si>
  <si>
    <t>CORPORACIӎ SALUD UN</t>
  </si>
  <si>
    <t>Calle 44 No. 59-75</t>
  </si>
  <si>
    <t>Fijo 3904888</t>
  </si>
  <si>
    <t>corporacionsaludun@hun.edu.co</t>
  </si>
  <si>
    <t>HOSPITAL UNIVERSITARIO NACIONAL DE COLOMBIA</t>
  </si>
  <si>
    <t>OSCAR ALONSO DUEсS ARAQUE</t>
  </si>
  <si>
    <t>CL 44 # 59 75</t>
  </si>
  <si>
    <t>Fijo 3904888 Extensi󮠱2703</t>
  </si>
  <si>
    <t>CGR ODONTOLOGOS ASOCIADOS S.A.S</t>
  </si>
  <si>
    <t>CL 19 NO. 100 50 LC 301</t>
  </si>
  <si>
    <t>3167861441/3124488398/3046598877/3053545120</t>
  </si>
  <si>
    <t>presidencia@creditsalud.com</t>
  </si>
  <si>
    <t>OSCAR FREDY ROSALES NIETO</t>
  </si>
  <si>
    <t>Tu IPS S.A.S</t>
  </si>
  <si>
    <t>Avenida de las Am鲩cas 63 - 48 Local 238 - 239</t>
  </si>
  <si>
    <t>3003334 - 3118126730 - 3175763797</t>
  </si>
  <si>
    <t>gerencia@tuips.com.co</t>
  </si>
  <si>
    <t>www.tuips.com.co</t>
  </si>
  <si>
    <t>Tu IPS</t>
  </si>
  <si>
    <t>MARITZA CECILIA GONZALEZ AVILA</t>
  </si>
  <si>
    <t>Avenida de las Am鲩cas 63 48 Local 238 - 239</t>
  </si>
  <si>
    <t>3003334 - 3118126730</t>
  </si>
  <si>
    <t>CLINICA 134 SAS</t>
  </si>
  <si>
    <t>Av Calle 134 # 7 - 83 Cs 311 - 312 Torre 3 Piso 1 Md 2</t>
  </si>
  <si>
    <t>administracion@clinica134.net</t>
  </si>
  <si>
    <t>GERMAN GUILLERMO DE JESUS PRIETO PARDO</t>
  </si>
  <si>
    <t>DENTIX COLOMBIA SAS</t>
  </si>
  <si>
    <t>Carrera 71 D N 6 - 94 Sur Local 1902 C Centro Comercial Plaza De Las Am鲩cas Ph - Barrio:PLAZA DE LAS AMERICAS</t>
  </si>
  <si>
    <t>notificaciones@dentix.co</t>
  </si>
  <si>
    <t>www.dentix.co</t>
  </si>
  <si>
    <t>DENTIX AV. CHILE BOGOTA</t>
  </si>
  <si>
    <t>KATIA LORENA CASTILLO CIFUENTES</t>
  </si>
  <si>
    <t>CALLE 72 #12-69</t>
  </si>
  <si>
    <t>DENTIX BOGOTA UNICENTRO</t>
  </si>
  <si>
    <t>Calle 127 No.14 A-44</t>
  </si>
  <si>
    <t>DENTIX BOGOTA GRAN ESTACIӎ</t>
  </si>
  <si>
    <t>FERNANDO BARCO MALDONADO</t>
  </si>
  <si>
    <t>KRA 60 #24-09 GRAN ESTACION Ii LOCAL 1-26 Y 1-27</t>
  </si>
  <si>
    <t>DENTIX BOGOTA CALLE 90</t>
  </si>
  <si>
    <t>CL 90 NO. 18 - 59</t>
  </si>
  <si>
    <t>DENTIX BOGOTA RESTREPO</t>
  </si>
  <si>
    <t>CALLE 19 SUR # 18 -75</t>
  </si>
  <si>
    <t>DENTIX CC SANTAFE BOGOTA</t>
  </si>
  <si>
    <t>CALLE 185 # 45 - 03 Local 3-30</t>
  </si>
  <si>
    <t>DENTIX CC PLAZA CENTRAL</t>
  </si>
  <si>
    <t>CARRERA 65 #11- 50 CC PLAZA CENTRAL LC 306-307</t>
  </si>
  <si>
    <t>DENTIX DIVERPLAZA</t>
  </si>
  <si>
    <t>TV 99 #70 A 89 Lc 259 CC DIVER PLAZA</t>
  </si>
  <si>
    <t>DENTIX CEDRITOS BOGOTA</t>
  </si>
  <si>
    <t>CL 140 #9-70</t>
  </si>
  <si>
    <t>DENTIX CC PLAZA DE LAS AMERICAS BOGOTA</t>
  </si>
  <si>
    <t>Carrera 71 D N 6 - 94 Sur Local 1902 C Centro Comercial Plaza De Las Am鲩cas Ph</t>
  </si>
  <si>
    <t>DENTIX COLINA BOGOTA</t>
  </si>
  <si>
    <t>CL 138 No. 57 - 83</t>
  </si>
  <si>
    <t>DENTIX CC SANTAFE BOGOTA II</t>
  </si>
  <si>
    <t>CL 185 NO. 45 - 03 LC 3-170</t>
  </si>
  <si>
    <t>DENTIX CC PLAZA IMPERIAL</t>
  </si>
  <si>
    <t>CLARIBEL MONTENEGRO ARIAS</t>
  </si>
  <si>
    <t>AV CARRERA 104 #148- 07 LOCAL 2-133</t>
  </si>
  <si>
    <t>DENTIX GALERIAS</t>
  </si>
  <si>
    <t>CR 24 No.53-38</t>
  </si>
  <si>
    <t>DENTIX FONTIBON</t>
  </si>
  <si>
    <t>CRA.100 NO. 19 -95</t>
  </si>
  <si>
    <t>DENTIX VENECIA</t>
  </si>
  <si>
    <t>DIAGONAL 46 SUR #53-08</t>
  </si>
  <si>
    <t>DENTIX CC HAYUELOS</t>
  </si>
  <si>
    <t>CL 20 NO. 82 -52 Locales 1-11, 1-12, 1-13 Piso 1 C.C HAYUELOS</t>
  </si>
  <si>
    <t>DENTIX CC TITAN 2</t>
  </si>
  <si>
    <t>AV BOYACA #80 -94 LOCAL 107 CC TITAN</t>
  </si>
  <si>
    <t>DENTIX TORRE CENTRAL</t>
  </si>
  <si>
    <t>AC 26 # 68c - 61 OF 804</t>
  </si>
  <si>
    <t>OAK BUSINESS SAS</t>
  </si>
  <si>
    <t>DG 71B 98 04 P1 Y MEZANINE</t>
  </si>
  <si>
    <t>draiggond44@hotmail.com</t>
  </si>
  <si>
    <t>https://draiggond@hotmail.com</t>
  </si>
  <si>
    <t>CLINICAS ODONTOLOGICAS QUALIDENT</t>
  </si>
  <si>
    <t>DAVID ALEXANDER SUAREZ BERNAL</t>
  </si>
  <si>
    <t>AV CRA 60 # 24 09 LOCAL 315-316 CENTRO COMERCIAL GRAN ESTACION</t>
  </si>
  <si>
    <t>CLINICAS ODONTOLOGICAS QUALIDENT SEDE CHICO NAVARRA</t>
  </si>
  <si>
    <t>AVENIDA CARRERA 45 # 106-44 LOCAL 3</t>
  </si>
  <si>
    <t>Dg 71 B No. 98 04 P 1 Y Mz</t>
  </si>
  <si>
    <t>MEDICSONRISA SAS</t>
  </si>
  <si>
    <t>AC 24 NO. 69 A 33</t>
  </si>
  <si>
    <t>medicsonrisa@gmail.com</t>
  </si>
  <si>
    <t>NELSON PINEDA GONZALEZ</t>
  </si>
  <si>
    <t>ASMED SALUD SAS</t>
  </si>
  <si>
    <t>CL 4 71 D 73</t>
  </si>
  <si>
    <t>asmedsaludsas@gmail.com</t>
  </si>
  <si>
    <t>JUAN JOSE BRAVO AGREDA</t>
  </si>
  <si>
    <t>3164541759 - 3173816515</t>
  </si>
  <si>
    <t>AEPSI SAS</t>
  </si>
  <si>
    <t>calle 93 B 16 - 08 consultorio 301</t>
  </si>
  <si>
    <t>info@aepsi.com.co</t>
  </si>
  <si>
    <t>www.aepsi.com.co</t>
  </si>
  <si>
    <t>Yaquelin Huertas Paez</t>
  </si>
  <si>
    <t>Calle 93 B N 16 - 08 consultorio 301</t>
  </si>
  <si>
    <t>ORGANIZACIӎ MɄICA DOMICILIARIA S.A.S SIGLA OMD PLUS S.A.S</t>
  </si>
  <si>
    <t>DIAGONAL 51 B SUR No: 26 -43 PISO 1</t>
  </si>
  <si>
    <t>4824548 - 3118993554</t>
  </si>
  <si>
    <t>dmedina@omdplus.com.co</t>
  </si>
  <si>
    <t>www.omdplus.com</t>
  </si>
  <si>
    <t>OSCAR JAVIER MOYANO RAMOS</t>
  </si>
  <si>
    <t>4660038 - 3118993554</t>
  </si>
  <si>
    <t>MR ESTRATEGIAS EN SALUD SAS</t>
  </si>
  <si>
    <t>carrera 70B No. 109-24</t>
  </si>
  <si>
    <t>5513467-3214598156</t>
  </si>
  <si>
    <t>mrestrategiasensalud@gmail.com</t>
  </si>
  <si>
    <t>www.estrategiasensalud.com.co</t>
  </si>
  <si>
    <t>MARTHA LIGIA CAYCEDO BUSTOS</t>
  </si>
  <si>
    <t>Carrera 70B No. 109-24</t>
  </si>
  <si>
    <t>SAN ROQUE IPS SAS</t>
  </si>
  <si>
    <t>CALLE 72 # 22- 42 OF 304</t>
  </si>
  <si>
    <t>2174239 Ext. 133 - 3173644873</t>
  </si>
  <si>
    <t>administracion@sanroqueips.com</t>
  </si>
  <si>
    <t>CENTRO DE DIAGNOSTICO SAN ROQUE SEDE BOGOTA</t>
  </si>
  <si>
    <t>SIMON BAENA POSADA</t>
  </si>
  <si>
    <t>CARRERA 18 # 80 - 32 CONSULTORIOS 404 - 405 - 406 - 407</t>
  </si>
  <si>
    <t>2174239 Ext.133 3173644873</t>
  </si>
  <si>
    <t>calidad@sanroqueips.com</t>
  </si>
  <si>
    <t>ALEJANDRO OROZCO SAS</t>
  </si>
  <si>
    <t>AV CLL 116 No.9 72 CONS 701-702-703</t>
  </si>
  <si>
    <t>3164474264 - 3144578279</t>
  </si>
  <si>
    <t>aorozco.foqus@gmail.com</t>
  </si>
  <si>
    <t>www.alejandroorozco.com</t>
  </si>
  <si>
    <t>MONICA LILIANA RODRIGUEZ AVENDAя</t>
  </si>
  <si>
    <t>AV CLL 116 No.9 72 CONS 701 702 703</t>
  </si>
  <si>
    <t>mrodriguez@gastrocenter.co</t>
  </si>
  <si>
    <t>HOMEMEDICAL CARE S.A.S.</t>
  </si>
  <si>
    <t>CALLE 93 #19B-67 OF 505 EdificioBridge</t>
  </si>
  <si>
    <t>7510566-3134037359</t>
  </si>
  <si>
    <t>hmc_gerencia@hotmail.com</t>
  </si>
  <si>
    <t>www.homemedicalcare.co</t>
  </si>
  <si>
    <t>YULY ANDREA ALBA BLANCO</t>
  </si>
  <si>
    <t>DOC EN CASA ATENCIӎ INTEGRAL DOMICILIARIA SAS SIGLA DOC EN CASA</t>
  </si>
  <si>
    <t>CALLE 55 # 74A 30</t>
  </si>
  <si>
    <t>5484852 - 3192653097</t>
  </si>
  <si>
    <t>info@docencasa.com</t>
  </si>
  <si>
    <t>www.docencasa.com</t>
  </si>
  <si>
    <t>DOC EN CASA ATENCION INTEGRAL DOMICILIARIA SAS SIGLA DOC EN CASA</t>
  </si>
  <si>
    <t>LEIDY JOHANNA JIMENEZ BLANCO</t>
  </si>
  <si>
    <t>INSTITUTO NACIONAL DE INVESTIGACION Y MEDICINA ESPECIALIZADA SAS (INVAMES SAS)</t>
  </si>
  <si>
    <t>CARRERA 14 No.98-95 CONSUL 306</t>
  </si>
  <si>
    <t>6107626 3153429800</t>
  </si>
  <si>
    <t>contabilidadinvames@gmail.com</t>
  </si>
  <si>
    <t>INSTITUTO NACIONAL DE INVESTIGACION Y MEDICINA ESPECIALIZADA SAS(INVAMES SAS)</t>
  </si>
  <si>
    <t>MAURICIO ROMERO CASTRO</t>
  </si>
  <si>
    <t>CARRERA 14 No.98-95 CONSULTORIO 306</t>
  </si>
  <si>
    <t>invames@hotmail.com</t>
  </si>
  <si>
    <t>14-85 DENTAL SPA S.A.S</t>
  </si>
  <si>
    <t>CARRERA 14 No. 85-68 OF 303 - Barrio:EL RETIRO</t>
  </si>
  <si>
    <t>gerencia2@1485dentalspa.com</t>
  </si>
  <si>
    <t>BEATRIZ EUGENIA TORO PEс</t>
  </si>
  <si>
    <t>CARRERA 14 No. 85-68 OF 303</t>
  </si>
  <si>
    <t>14-85 DENTAL SPA UNICENTRO</t>
  </si>
  <si>
    <t>JEAN FRANCOIS MARIE HENO</t>
  </si>
  <si>
    <t>CL 119 #14-42 LC2 PISOS 1 y 2</t>
  </si>
  <si>
    <t>14-85 DENTAL SPA SALITRE</t>
  </si>
  <si>
    <t>JEAN-FRANCOIS HENO</t>
  </si>
  <si>
    <t>Carrera 68B # 24 - 39 LOCAL 3-19 - 3-21</t>
  </si>
  <si>
    <t>Visi󮠭edica de Ambulancias SAS</t>
  </si>
  <si>
    <t>CL 25 SUR # 69C 69 PISO 1- ENTRADA 1</t>
  </si>
  <si>
    <t>6013061090 3152235497</t>
  </si>
  <si>
    <t>visionmedicadeambulancias@gmail.com</t>
  </si>
  <si>
    <t>VISION MEDICA DE AMBULANCIAS SAS</t>
  </si>
  <si>
    <t>ROSA STELLA PAEZ VALBUENA</t>
  </si>
  <si>
    <t>CRC FUTURO S.A.S sigla crc FUTURO</t>
  </si>
  <si>
    <t>Calle 161 A # 17 - 15</t>
  </si>
  <si>
    <t>7436904 - 7436897</t>
  </si>
  <si>
    <t>crcfuturo@gmail.com</t>
  </si>
  <si>
    <t>CRC FUTURO IPS</t>
  </si>
  <si>
    <t>Edgardo Ren頎oguera Mendoza</t>
  </si>
  <si>
    <t>Health Suppliers SAS</t>
  </si>
  <si>
    <t>Calle 81 Nro. 19A - 18 Oficina 202 203</t>
  </si>
  <si>
    <t>agrimaldi@clinicamentco.com</t>
  </si>
  <si>
    <t>www.clinicametco.com</t>
  </si>
  <si>
    <t>CLINICA METCO IPS METABOLISMO Y CONTROL DE PESO</t>
  </si>
  <si>
    <t>ADOLFO GRIMALDI GUERRERO</t>
  </si>
  <si>
    <t>agrimaldi@clinicametco.com</t>
  </si>
  <si>
    <t>Healthy Clinicas de Adelgazamiento SAS</t>
  </si>
  <si>
    <t>Tr 60 # 120-27 P 1 LC 2 - Barrio:Niza Antigua</t>
  </si>
  <si>
    <t>clinicashealthyadelgazamiento@gmail.com</t>
  </si>
  <si>
    <t>Healthy Clinicas de Adelgazamiento Santa</t>
  </si>
  <si>
    <t>Yubelly Villareal Garzon</t>
  </si>
  <si>
    <t>Av Cra 30 #2 B - 27 P 1 LC 101</t>
  </si>
  <si>
    <t>HEALTHY NIZA</t>
  </si>
  <si>
    <t>Yubelly Villareal Garz󮼯td&gt;</t>
  </si>
  <si>
    <t>Tr 60 # 120-27 P 1 LC 2</t>
  </si>
  <si>
    <t>GRUPO OPTILINE SAS</t>
  </si>
  <si>
    <t>opticasvisionline@gmail.com</t>
  </si>
  <si>
    <t>OPTICA VISION 20/20 OPTILINE</t>
  </si>
  <si>
    <t>CRA 4 ESTE No. 39 A 08 SUR</t>
  </si>
  <si>
    <t>ONE VISION LINE</t>
  </si>
  <si>
    <t>CR 4 ESTE # 38 28 SUR</t>
  </si>
  <si>
    <t>OPTICAS WOW 20/20 OPTILINE</t>
  </si>
  <si>
    <t>CR 91 NO. 132 C - 03</t>
  </si>
  <si>
    <t>UROCLINIC SAS</t>
  </si>
  <si>
    <t>CALLE 83 N 19 36 CONSULTORIO 204</t>
  </si>
  <si>
    <t>7626114 - 3203402624</t>
  </si>
  <si>
    <t>gerencia@uroclinic.co</t>
  </si>
  <si>
    <t>www.uroclinic.co</t>
  </si>
  <si>
    <t>Uroclinic SAS</t>
  </si>
  <si>
    <t>Julian Alejandro Bohorquez Quevedo</t>
  </si>
  <si>
    <t>7626114 - 3204302624</t>
  </si>
  <si>
    <t>CMG CIRUGIA GASTRO S A S</t>
  </si>
  <si>
    <t>KR 18 84 11 CONS 605-1</t>
  </si>
  <si>
    <t>info@cmgcirugiagastro.com</t>
  </si>
  <si>
    <t>CMG CIRUGIAGASTRO</t>
  </si>
  <si>
    <t>CARLOS MAURICIO GARCES C.</t>
  </si>
  <si>
    <t>KR 18 # 84 11 CONS 605-1</t>
  </si>
  <si>
    <t>La dentisteria Clinica de Especialistas S.A.S</t>
  </si>
  <si>
    <t>Cra 80C#24C-19 Lc 1</t>
  </si>
  <si>
    <t>6410037-3144159983</t>
  </si>
  <si>
    <t>ladentisteria.ce@gmail.com</t>
  </si>
  <si>
    <t>www.ladentisteria.com.co</t>
  </si>
  <si>
    <t>La Dentisteria Clinica de Especialistas S.A.S</t>
  </si>
  <si>
    <t>Jairo Amador Pinilla</t>
  </si>
  <si>
    <t>Cra 80C#24c-19 Lc 1</t>
  </si>
  <si>
    <t>COE CENTRO OCUPACIONAL EMPRESARIAL SAS SIGLA COE OCUPACIONAL</t>
  </si>
  <si>
    <t>KR 28 # 53A 53 PISO 1 CS 101 PISO 2 CS 7</t>
  </si>
  <si>
    <t>ipscoeocupacional@gmail.com</t>
  </si>
  <si>
    <t>MERCEDES YESENIA OLIVARES GALAN</t>
  </si>
  <si>
    <t>KR 28 # 53A 53 PISO 1 CONS 101 PISO 2 CONS 7</t>
  </si>
  <si>
    <t>6027862 - 3017858962</t>
  </si>
  <si>
    <t>COEOCUPACIONAL@GMAIL.COM</t>
  </si>
  <si>
    <t>Cencisalud SAS</t>
  </si>
  <si>
    <t>AK 45 114-78 OFC 402</t>
  </si>
  <si>
    <t>j.benavides@cencis.org</t>
  </si>
  <si>
    <t>JUAN ALBERTO BENAVIDES CUADROS</t>
  </si>
  <si>
    <t>ja.benavides10@uniandes.edu.co</t>
  </si>
  <si>
    <t>AMI PALLIUM COLOMBIA SAS</t>
  </si>
  <si>
    <t>CARRERA 78 No 17-57 oficina 406 - Barrio:LA FELICIDAD</t>
  </si>
  <si>
    <t>alianzapallium@gmail.com</t>
  </si>
  <si>
    <t>hugo alberto chacon donoso</t>
  </si>
  <si>
    <t>CARRERA 78 No 17-57 oficina 406</t>
  </si>
  <si>
    <t>MEDICAL HEALTH SOCIETY S.A.S</t>
  </si>
  <si>
    <t>CALLE 31 SUR 51 A 11</t>
  </si>
  <si>
    <t>7017381-3144512257</t>
  </si>
  <si>
    <t>mhsbogota@gmail.com</t>
  </si>
  <si>
    <t>www.mhsbogota.com.co</t>
  </si>
  <si>
    <t>JONNY WALTER VARGAS BOLAяS</t>
  </si>
  <si>
    <t>CALLE 31 SUR N 51 A 11</t>
  </si>
  <si>
    <t>GNOSTIKA S.A.S SIGLA GNOSTIKA S.A.S</t>
  </si>
  <si>
    <t>Cr 7B Bis N 132-38 CONSULTORIO 409</t>
  </si>
  <si>
    <t>asanabria@gnostika.co</t>
  </si>
  <si>
    <t>www.gnostika.co</t>
  </si>
  <si>
    <t>ADRIANA ANDREA SANABRIA RINCON</t>
  </si>
  <si>
    <t>cr 7B Bis N 132-38 CONSULTORIO 409</t>
  </si>
  <si>
    <t>pamecgnostika@gmail.com</t>
  </si>
  <si>
    <t>CHRISTIAN SALAZAR ODONTOLOGIA DIGITAL SAS</t>
  </si>
  <si>
    <t>Carrera 13 No 94A - 26 Cons 601</t>
  </si>
  <si>
    <t>3506325592 - 3506325644 - 3102358645</t>
  </si>
  <si>
    <t>administracion2@christiansalazar.com</t>
  </si>
  <si>
    <t>www.christiansalazar.com</t>
  </si>
  <si>
    <t>Christian Salazar Odontologia Digital SAS</t>
  </si>
  <si>
    <t>Christian Salazar Castillo</t>
  </si>
  <si>
    <t>Carrera 13 No 94a - 26 Cons 601</t>
  </si>
  <si>
    <t>evisjohana@hotmail.com</t>
  </si>
  <si>
    <t>CLINICA DERMALINE LASER SAS</t>
  </si>
  <si>
    <t>CARRERA 18 80 06 CONSULTORIO 421 - 422</t>
  </si>
  <si>
    <t>6112845/6113904</t>
  </si>
  <si>
    <t>clinicadermalinelaser@gmail.com</t>
  </si>
  <si>
    <t>CARINA MELISA CAMELO ESQUIVEL</t>
  </si>
  <si>
    <t>Coltherapy S.A.S</t>
  </si>
  <si>
    <t>Kra. 7 c bis a # 139-25 consultorio 607</t>
  </si>
  <si>
    <t>3214523353 - 3007970328</t>
  </si>
  <si>
    <t>gerencia@coltherapy.com</t>
  </si>
  <si>
    <t>www.coltherapy.com</t>
  </si>
  <si>
    <t>Tatiana Marcela Bojaca</t>
  </si>
  <si>
    <t>Kra. 7 c bis # 139-18 consultorio 607</t>
  </si>
  <si>
    <t>CLINICA DEL COLON SAS</t>
  </si>
  <si>
    <t>CALLE 38 #29-86 CS 101, 102, 103, 202, 203</t>
  </si>
  <si>
    <t>admonbogota@clinicadelcolon.com</t>
  </si>
  <si>
    <t>www.clinicadelcolon.com</t>
  </si>
  <si>
    <t>CLINICA DEL COLON S.A.</t>
  </si>
  <si>
    <t>MARTHA YOLANDA HENAO SERRANO</t>
  </si>
  <si>
    <t>MEDIC HOME SAS</t>
  </si>
  <si>
    <t>KR 69 67 33 Piso 1</t>
  </si>
  <si>
    <t>2124573-3214428135</t>
  </si>
  <si>
    <t>gerencia.medichome@gmail.com</t>
  </si>
  <si>
    <t>MARIA DEL PILAR CIFUENTES DE LOPEZ</t>
  </si>
  <si>
    <t>2124573- 3103491900</t>
  </si>
  <si>
    <t>MEDIC GLOBAL PROFESSIONAL IPS SAS</t>
  </si>
  <si>
    <t>AC 161 NO 16 33</t>
  </si>
  <si>
    <t>administracion@medicglobalips.com.co</t>
  </si>
  <si>
    <t>www.medicglobalips.com.co</t>
  </si>
  <si>
    <t>MIGUEL FERNANDO NARVAEZ PRIETO</t>
  </si>
  <si>
    <t>AC 161 N0 16 - 33</t>
  </si>
  <si>
    <t>QUIRӎ UNIDAD MɄICA SAS</t>
  </si>
  <si>
    <t>Cra 49C N 93-22</t>
  </si>
  <si>
    <t>4758989 - 3138329098</t>
  </si>
  <si>
    <t>quironips@gmail.com</t>
  </si>
  <si>
    <t>WWW.QUIRONIPS.CO</t>
  </si>
  <si>
    <t>SANDRA EUFRANYA MALAGӎ GUTIɒREZ</t>
  </si>
  <si>
    <t>Centro Odontologico Oral Expert SAS</t>
  </si>
  <si>
    <t>CALLE 120 A # 7-36 OF 903 - 904 - Barrio:USAQUEN</t>
  </si>
  <si>
    <t>601 2566123 - 3002310031</t>
  </si>
  <si>
    <t>oralexpertcentroodontologico@gmail.com</t>
  </si>
  <si>
    <t>CENTRO ODONTOLOGICO ORAL EXPERT SEDE NORTE</t>
  </si>
  <si>
    <t>Nydia Estefan Jassir</t>
  </si>
  <si>
    <t>CALLE 120 A # 7-36 OF 903- 904</t>
  </si>
  <si>
    <t>DR. HELP SALUD INTEGRAL A SU HOGAR S.A.S SIGLA DR.HELP SALUDINTEGRAL S.A.S</t>
  </si>
  <si>
    <t>Cl 31 13A 51 Of 329</t>
  </si>
  <si>
    <t>3102208220 - 6495747 3112638261</t>
  </si>
  <si>
    <t>drhelp.sas@gmail.com</t>
  </si>
  <si>
    <t>www.drhelpsas.com</t>
  </si>
  <si>
    <t>DR HELP SALUD INTEGRAL A SU HOGAR S.A.S. SIGLA DR. HELP SALUDINTEGRAL S.A.S.</t>
  </si>
  <si>
    <t>AMIR ABDALLA KHADER CASTAя</t>
  </si>
  <si>
    <t>3102208220 - 6495747</t>
  </si>
  <si>
    <t>SYG AMBULANCIAS S.A.S.</t>
  </si>
  <si>
    <t>CL 164B # 4 47 PI 1</t>
  </si>
  <si>
    <t>3208555096 - 3213353137 -6728772</t>
  </si>
  <si>
    <t>sygambulancias@hotmail.com</t>
  </si>
  <si>
    <t>JUAN CARLOS SUAREZ SANCHEZ</t>
  </si>
  <si>
    <t>3208555096 - 3213353137</t>
  </si>
  <si>
    <t>MEDICINA NUCLEAR DE BOGOTA S.A.S</t>
  </si>
  <si>
    <t>KR 20 N 62-09</t>
  </si>
  <si>
    <t>7034991 - 7034982 - 3173651854</t>
  </si>
  <si>
    <t>mednucbogota@gmail.com</t>
  </si>
  <si>
    <t>MEDICINA NUCLEAR DE BOGOTA S.A.S.</t>
  </si>
  <si>
    <t>CLAUDIA MARCELA PRIETO HERRERA</t>
  </si>
  <si>
    <t>GESTION MEDICA EN SALUD SAS</t>
  </si>
  <si>
    <t>CLL 63B 77A 08 - Barrio:VILLA LUZ</t>
  </si>
  <si>
    <t>3166297019 - 3248216810</t>
  </si>
  <si>
    <t>gerencia@gestionmedicaensalud.com</t>
  </si>
  <si>
    <t>www.gestionmedicaensalud.com</t>
  </si>
  <si>
    <t>John Eugenio Sepulveda Grajales</t>
  </si>
  <si>
    <t>KR 14 # 119 89</t>
  </si>
  <si>
    <t>3248216810 - 3166297019-3124348898</t>
  </si>
  <si>
    <t>CLINICA MANUELA</t>
  </si>
  <si>
    <t>JOHN EUGENIO SEPULVEDA GRAJALES</t>
  </si>
  <si>
    <t>CLL 63B 77A 08</t>
  </si>
  <si>
    <t>terapias catherin tatiana jimenez sas</t>
  </si>
  <si>
    <t>CARRERA 17A # 137-58</t>
  </si>
  <si>
    <t>sistemainfirmacionctj@gmail.com</t>
  </si>
  <si>
    <t>TERAPIAS CATHERIN TATIANA JIMENEZ SAS</t>
  </si>
  <si>
    <t>LINA MARIANA JIMENEZ LOPEZ</t>
  </si>
  <si>
    <t>CALLE 142 # 16-26</t>
  </si>
  <si>
    <t>terapiasctj@hotmail.com</t>
  </si>
  <si>
    <t>TERAPIAS CATHERIN TATIANA JIMENEZ SEDE 142</t>
  </si>
  <si>
    <t>CALLE 142 N 16-26</t>
  </si>
  <si>
    <t>3107658829 PBX 3907149 - 7944003</t>
  </si>
  <si>
    <t>ZADA SALUD OCUPACIONAL SAS</t>
  </si>
  <si>
    <t>KR 64 # 97 63</t>
  </si>
  <si>
    <t>5729775 - 3203643035</t>
  </si>
  <si>
    <t>zadasaludocupacionalsas@gmail.com</t>
  </si>
  <si>
    <t>SORAYA KATHERINE ZAPATA DAZA</t>
  </si>
  <si>
    <t>CONSORCIO EMPRESARIAL DE PROFESIONALES SAS - CONSEMPRO SAS</t>
  </si>
  <si>
    <t>TV 35 N 37 83 SUR</t>
  </si>
  <si>
    <t>consemprosas@gmail.com</t>
  </si>
  <si>
    <t>ODONTOLOGIA DE MARLON BECERRA CENTRO MAYOR</t>
  </si>
  <si>
    <t>INGRID NATALY ROJAS GARCIA</t>
  </si>
  <si>
    <t>TV 35 N 37 - 83 SUR</t>
  </si>
  <si>
    <t>COMPAщA CALIDAD Y CUIDADO EN SALUD S.A.S. SIGLA COMPCASA SAS</t>
  </si>
  <si>
    <t>AV CL 6 # 78 - 11 - Barrio:MANDALAY</t>
  </si>
  <si>
    <t>3178456270 - 7442838 - 3183270729</t>
  </si>
  <si>
    <t>calidad@compcasalud.com</t>
  </si>
  <si>
    <t>WWW.COMPCASALUD.COM</t>
  </si>
  <si>
    <t>COMPAщA CALIDAD Y CUIDADO EN SALUD S A S SIGLA COMPCASA SAS</t>
  </si>
  <si>
    <t>KATHERINE MOSCOSO LIBREROS</t>
  </si>
  <si>
    <t>AV CL 6 # 78 - 11</t>
  </si>
  <si>
    <t>COMPAщA CALIDAD Y CUIDADO EN SALUD SAS</t>
  </si>
  <si>
    <t>Katherine Moscoso Libreros</t>
  </si>
  <si>
    <t>Calle 127b bis#45-77 CONSULTORIO 3-4</t>
  </si>
  <si>
    <t>COOPERATIVA DE TRABAJO ASOCIADO CEPA SALUD IPS SIGLA CEPA SALUD IPS CTA</t>
  </si>
  <si>
    <t>DIAGONAL 45 84 - 14 URBANIZACION SANTA CECILIA CENTRO EMPRESARIAL DORADO PLAZA LOCAL A 236</t>
  </si>
  <si>
    <t>7040433-3099519</t>
  </si>
  <si>
    <t>direccioncepaipscta@gmail.com</t>
  </si>
  <si>
    <t>www.cepasaludips.com</t>
  </si>
  <si>
    <t>NIDIA JACQUELINE FORERO FLORIAN</t>
  </si>
  <si>
    <t>DIAGONAL 45 84 - 14 URBANIZACION SANTA CECILIA CENTRO EMPRESARIAL DORADO PLAZALOCAL A 236</t>
  </si>
  <si>
    <t>GRUPO ORAL HOME S.A.</t>
  </si>
  <si>
    <t>CRA 68D NRO 18-30 INTERIOR 1</t>
  </si>
  <si>
    <t>4117621 - 3154678427</t>
  </si>
  <si>
    <t>oralhome@oralhome.com.co</t>
  </si>
  <si>
    <t>www.oralhome.com.co</t>
  </si>
  <si>
    <t>GRUPO ORAL HOME S.A. BOGOTA - SUCURSAL</t>
  </si>
  <si>
    <t>Gabriel Jaime Velasquez Urrego</t>
  </si>
  <si>
    <t>315 3330505</t>
  </si>
  <si>
    <t>GRUPO ORAL HOME SAS</t>
  </si>
  <si>
    <t>GABRIEL JAIME VELASQUEZ URREGO</t>
  </si>
  <si>
    <t>Cr 67A # 95-32 Local Primer Piso</t>
  </si>
  <si>
    <t>IPS SALUD OCUPACIONAL HORIZONTE LTDA SIGLA SOH</t>
  </si>
  <si>
    <t>CALLE 59 # 13-33 OFICINA 404</t>
  </si>
  <si>
    <t>m.ramirez@gsh.com.co</t>
  </si>
  <si>
    <t>https://https://www.ipssoh.com</t>
  </si>
  <si>
    <t>NICOLAS VILLAMIZAR MORENO</t>
  </si>
  <si>
    <t>CLL 59 NO.13-33 OFICINA 404</t>
  </si>
  <si>
    <t>nicolas.villamizar@gsh.com.co</t>
  </si>
  <si>
    <t>CENTRO DE ENFERMEDADES HEPTICAS Y DIGESTIVAS SAS - CEHYD SAS</t>
  </si>
  <si>
    <t>AC 127 No. 19A-28 Ed Acomedica 1 Consultorio 412 - 413 - 417</t>
  </si>
  <si>
    <t>jhonprieto@hotmail.com cehyd412@gmail.com</t>
  </si>
  <si>
    <t>www.hepatologo.com</t>
  </si>
  <si>
    <t>Jhon Edison Prieto Ortiz</t>
  </si>
  <si>
    <t>AC 127 No. 19A-28 Edificio Acomedica I Consultorio 412 - 413 - 417</t>
  </si>
  <si>
    <t>gerenciamedica@cehyd.com.co</t>
  </si>
  <si>
    <t>UNIDAD MEDICA INTEGRAL MOTUS IPS SAS</t>
  </si>
  <si>
    <t>CL 24 A NO. 81 C 90 PISO 1</t>
  </si>
  <si>
    <t>yesidb2@hotmail.com</t>
  </si>
  <si>
    <t>LUIS ALEJANDRO GUAQUETA AGUDELO</t>
  </si>
  <si>
    <t>CL 24 A NO. 81 C 90 piso 1</t>
  </si>
  <si>
    <t>Medicina Especializada en Dolor y Trabajo Medt SAS. Sigla: Medt SAS</t>
  </si>
  <si>
    <t>Carrera 13 48 26 Consultorio 102 y 403</t>
  </si>
  <si>
    <t>patricia.castillo@medtsas.com.co</t>
  </si>
  <si>
    <t>Yaneth Galeano Bedon</t>
  </si>
  <si>
    <t>Carrera 13 #48 - 26 Consultorio 102 y 403</t>
  </si>
  <si>
    <t>gerencia.medt@gmail.com</t>
  </si>
  <si>
    <t>HEALTH &amp; LIFE IPS SAS SIGLA H&amp;L UCC SAS</t>
  </si>
  <si>
    <t>Av Carrera 68 # 13 - 73 - Barrio:GRANJAS DE TECHO</t>
  </si>
  <si>
    <t>mariana.rodriguez@heli.com.co</t>
  </si>
  <si>
    <t>https://heli.com.co/</t>
  </si>
  <si>
    <t>HEALTH &amp; LIFE IPS SAS SEDE JJ VARGAS</t>
  </si>
  <si>
    <t>Mariana Rodr�ez Rodr�ez</t>
  </si>
  <si>
    <t>CARRERA 66 # 67G-30</t>
  </si>
  <si>
    <t>HEALTH &amp; LIFE IPS SAS SEDE CHAPINERO</t>
  </si>
  <si>
    <t>MARIANA RODRIGUEZ RODRIGUEZ</t>
  </si>
  <si>
    <t>AC 57 14 A 16 LC</t>
  </si>
  <si>
    <t>HEALTH &amp; LIFE IPS SAS SEDE MONTEVIDEO</t>
  </si>
  <si>
    <t>Av Carrera 68 # 13 - 73</t>
  </si>
  <si>
    <t>HEALTH &amp; LIFE IPS SAS SEDE CASTELLANA</t>
  </si>
  <si>
    <t>AK 45 94 51</t>
  </si>
  <si>
    <t>HEALTH &amp; LIFE IPS SAS SEDE MODELIA</t>
  </si>
  <si>
    <t>Avenida Calle 24 81 C 71</t>
  </si>
  <si>
    <t>HEALTH &amp; LIFE IPS SEDE TOBERIN</t>
  </si>
  <si>
    <t>Mariana Rodriguez Rodriguez</t>
  </si>
  <si>
    <t>Cra 22 # 166 - 90</t>
  </si>
  <si>
    <t>HEALTH &amp; LIFE IPS SAS SEDE AMERICAS</t>
  </si>
  <si>
    <t>Mariana Rodriguez Rodrigiuez</t>
  </si>
  <si>
    <t>AVENIDA CALLE 6 49 9</t>
  </si>
  <si>
    <t>cliniderma sas</t>
  </si>
  <si>
    <t>Carrera 19 a N 82 - 85 cons 601</t>
  </si>
  <si>
    <t>2415081- 3203038972</t>
  </si>
  <si>
    <t>dirasistencial@cliniderma.co</t>
  </si>
  <si>
    <t>Cliniderma sas</t>
  </si>
  <si>
    <t>mauricio gamboa arango</t>
  </si>
  <si>
    <t>CLINICA NEFROUROS SAS</t>
  </si>
  <si>
    <t>CALLE 44 N 8-31</t>
  </si>
  <si>
    <t>3174294274 - 6015759474</t>
  </si>
  <si>
    <t>gerencia.bogota@nefrouros.net</t>
  </si>
  <si>
    <t>ANGELICA MARIA PERDOMO ALVAREZ</t>
  </si>
  <si>
    <t>Avenida las Americas # 70a-37</t>
  </si>
  <si>
    <t>3174294274-6015759474</t>
  </si>
  <si>
    <t>BIP IPS SAS</t>
  </si>
  <si>
    <t>AK 45 N 93-39 Oficina 101</t>
  </si>
  <si>
    <t>7042621 - 3228576146</t>
  </si>
  <si>
    <t>ymorales@bienestarprimero.com</t>
  </si>
  <si>
    <t>Duvan Leonardo Porras Ortiz</t>
  </si>
  <si>
    <t>AK 45 N93-39 Oficina 101</t>
  </si>
  <si>
    <t>BERMEDIC LTDA</t>
  </si>
  <si>
    <t>CR 18 C NO. 121-40 OFIC 102</t>
  </si>
  <si>
    <t>spinacolombia@gmail.com</t>
  </si>
  <si>
    <t>Spina Colombia 1</t>
  </si>
  <si>
    <t>Esteban Amaya SuᲥz</t>
  </si>
  <si>
    <t>AUNARSALUD SERVICIOS INTEGRALES EN SALUD SAS - SIGLA AUNARSALUD</t>
  </si>
  <si>
    <t>calle 63 13 34 Piso 3</t>
  </si>
  <si>
    <t>gerencia@aunarsalud.com</t>
  </si>
  <si>
    <t>CALLE 63 N 13-34/12 TORRE A PISO 2 Y 6, TORRE B PISO 2,5,6</t>
  </si>
  <si>
    <t>PROBOCARTE DENTAL GROUP SAS</t>
  </si>
  <si>
    <t>CL 65 S No. 78 H 51 LC 2 30 - Barrio:BOSA CENTRO</t>
  </si>
  <si>
    <t>3106984514 - 6017437624</t>
  </si>
  <si>
    <t>gerencia@jairoquintana.com</t>
  </si>
  <si>
    <t>COLOMBIADENT</t>
  </si>
  <si>
    <t>JAIRO DAVID QUINTANA ORJUELA</t>
  </si>
  <si>
    <t>CL 65 S No. 78 H 51 LC 2 30</t>
  </si>
  <si>
    <t>2141915 3204492741</t>
  </si>
  <si>
    <t>SEDOANESTESIA - ANESTESIA ESPECIALIZADA EN SEDACIӎ SAS - SIGLA SEDOANESTESIA SAS</t>
  </si>
  <si>
    <t>KRA 15 No. 118-41 CONSULTORIO 412</t>
  </si>
  <si>
    <t>313585200-3156040165</t>
  </si>
  <si>
    <t>sedoanestesia@gmail.com</t>
  </si>
  <si>
    <t>www.sedoanestesia.com</t>
  </si>
  <si>
    <t>ANA MAŔ OROZCO ROJAS</t>
  </si>
  <si>
    <t>orozcoany@gmail.com</t>
  </si>
  <si>
    <t>Conequipos Medica SAS</t>
  </si>
  <si>
    <t>Cra 46 No 95 - 47</t>
  </si>
  <si>
    <t>info@clinicaproyectarte.com</t>
  </si>
  <si>
    <t>www.clinicaproyectarte.com</t>
  </si>
  <si>
    <t>Cl�ca Proyectarte</t>
  </si>
  <si>
    <t>Andres Ricardo Barragan Ortiz</t>
  </si>
  <si>
    <t>SOCIEDAD ESTETIC DENT SAS</t>
  </si>
  <si>
    <t>CR 27 No 4A-13/15</t>
  </si>
  <si>
    <t>3102043270 - 3125381444</t>
  </si>
  <si>
    <t>clinicasbuitrago@gmail.com</t>
  </si>
  <si>
    <t>www.clinicasbuitrago.com</t>
  </si>
  <si>
    <t>CLINICAS ODONTOLOGICAS BUITRAGO</t>
  </si>
  <si>
    <t>ROSALBA MARGOTH BUITRAGO JEREZ</t>
  </si>
  <si>
    <t>CR 27 No 4 A-13/15</t>
  </si>
  <si>
    <t>healthy skin SAS</t>
  </si>
  <si>
    <t>TRANSVERSAL 83 BIS # 72 35</t>
  </si>
  <si>
    <t>4365601-3134362185-3134231944</t>
  </si>
  <si>
    <t>medicinahs@gmail.com</t>
  </si>
  <si>
    <t>Jaime Sanhez Cortes</t>
  </si>
  <si>
    <t>transversl 83 bis # 72 35</t>
  </si>
  <si>
    <t>4365601-3134362185</t>
  </si>
  <si>
    <t>CLINICA DE MEDICINA Y CIRUGIA PLASTICA ESTETICA EMBELLECETE SAS</t>
  </si>
  <si>
    <t>AC 147 # 19 50 LC 6 Y 31</t>
  </si>
  <si>
    <t>2743087 - 7048865 - 3106661949</t>
  </si>
  <si>
    <t>oscarjsandoval@hotmail.com</t>
  </si>
  <si>
    <t>KLINIMEQX 147</t>
  </si>
  <si>
    <t>OSCAR JAVIER SANDOVAL ESTUPIсN</t>
  </si>
  <si>
    <t>AC 147 # 19 50 LOCAL 6 Y 31</t>
  </si>
  <si>
    <t>pilileivag@hotmail.com</t>
  </si>
  <si>
    <t>Servicios Aeromedicos Integrales SAMI SAS</t>
  </si>
  <si>
    <t>calle 83 19 36</t>
  </si>
  <si>
    <t>administracionsami@samiweb.com.co</t>
  </si>
  <si>
    <t>Servicios Aerom餩cos Integrales SAMI S.A.S</t>
  </si>
  <si>
    <t>Jos須ans l󰥺 Le󮼯td&gt;</t>
  </si>
  <si>
    <t>Calle 83 19-36 cons 702 703</t>
  </si>
  <si>
    <t>DENTICA BY CRISTINA SUAZA SAS</t>
  </si>
  <si>
    <t>CR 19 A NO. 82 85 CONS 201</t>
  </si>
  <si>
    <t>7953131 EXT 2010 3173170981</t>
  </si>
  <si>
    <t>info@dentica.com.co</t>
  </si>
  <si>
    <t>www.dentica.com.co</t>
  </si>
  <si>
    <t>ELIANA CRISTINA SUAZA ORTIZ</t>
  </si>
  <si>
    <t>CARRERA 19 A 82 85 CONSULTORIO 201</t>
  </si>
  <si>
    <t>UNIDAD DE TRATAMIENTO DEL DOLOR COLOMBIA SAS. SIGLA: UTD-COLOMBIA</t>
  </si>
  <si>
    <t>AVENIDA CARRERA 45 #108A-50 LOCAL 104</t>
  </si>
  <si>
    <t>utd_colombia@icloud.com</t>
  </si>
  <si>
    <t>GERMAN ANDRES FRANCO GRUNTORAD</t>
  </si>
  <si>
    <t>FINDOLOR SAS</t>
  </si>
  <si>
    <t>CR 16 97 46 TO 2 CS 705 706</t>
  </si>
  <si>
    <t>3186912799 / 3502604822</t>
  </si>
  <si>
    <t>luis.garzon@findolor.com</t>
  </si>
  <si>
    <t>www.findolor.com</t>
  </si>
  <si>
    <t>LUIS ALBERTO GARZON FERNANDEZ</t>
  </si>
  <si>
    <t>GASTROADVANCED SAS</t>
  </si>
  <si>
    <t>CARRERA 23 # 45C-31 LOCAL # 1 Y 5 - Barrio:PALERMO</t>
  </si>
  <si>
    <t>3188010138 - 3184490289</t>
  </si>
  <si>
    <t>cristianfflorez@hotmail.com</t>
  </si>
  <si>
    <t>www.gastroadvanced.com</t>
  </si>
  <si>
    <t>GASTROADVANCED PALERMO</t>
  </si>
  <si>
    <t>CRISTIAN FABIAN FLOREZ SARMIENTO</t>
  </si>
  <si>
    <t>CARRERA 23 # 45C-31 LOCAL # 1 Y 5</t>
  </si>
  <si>
    <t>2881301 - 3188010138</t>
  </si>
  <si>
    <t>cristianfflorez@gmail.com</t>
  </si>
  <si>
    <t>clinica colombiana de cirugia plastica s.a.s</t>
  </si>
  <si>
    <t>AVENIDA CARRERA 45 N 103B - 59 Piso 1</t>
  </si>
  <si>
    <t>7028510 - 3103005134</t>
  </si>
  <si>
    <t>ccdecirugiaplastica@gmail.com</t>
  </si>
  <si>
    <t>WWW.CLINICACOLOMBIANADECIRUGIAPLASTICA.COM</t>
  </si>
  <si>
    <t>CL͎ICA COLOMBIANA DE CIRUǴ PLSTICA S.A.S</t>
  </si>
  <si>
    <t>FABIAN BLANCHAR DIAZ</t>
  </si>
  <si>
    <t>TERAPIAS ESPECIALIZADAS SAS</t>
  </si>
  <si>
    <t>CR 7 NO. 72 A- 64 CONSULTORIO 218-219</t>
  </si>
  <si>
    <t>318 4091444</t>
  </si>
  <si>
    <t>terapiasespecializadas72@gmail.com</t>
  </si>
  <si>
    <t>CR 7 NO. 72A - 64 CONSULTORIO 218-219</t>
  </si>
  <si>
    <t>spinaterapias@gmail.com</t>
  </si>
  <si>
    <t>GO DOCTOR SERVICIOS MEDICOS SAS</t>
  </si>
  <si>
    <t>carrera 10 # 134-07 oficina 316</t>
  </si>
  <si>
    <t>7350556 3102632552 3112747368</t>
  </si>
  <si>
    <t>godoctorvirtual@gmail.com</t>
  </si>
  <si>
    <t>www.godoctor.com.co</t>
  </si>
  <si>
    <t>Pablo Enrique Alvarado Valencia</t>
  </si>
  <si>
    <t>Carrera 10 #134-07 oficina 316</t>
  </si>
  <si>
    <t>HSEQ UNIDAD MEDICA LABOR VITAL SAS</t>
  </si>
  <si>
    <t>CR 103 A N 17 A 44</t>
  </si>
  <si>
    <t>2983537 - 3166180134</t>
  </si>
  <si>
    <t>normac.ramirezp@gmail.com</t>
  </si>
  <si>
    <t>NORMA CONSTANZA RAMIREZ PAEZ</t>
  </si>
  <si>
    <t>CR 103 A N 17 A - 44</t>
  </si>
  <si>
    <t>SOCIEDAD DE SERVICIOS INTEGRALES EN SALUD SAS.- SIGLA: SERVINSALUD IPS</t>
  </si>
  <si>
    <t>AC 26 85 D 55 LC LE27 AEROCENTRO COMERCIAL EL DORADO - BARRIO SANTA CECILIA</t>
  </si>
  <si>
    <t>SERVINSALUDIPS@HOTMAIL.COM, asesoriacalidad@servinsaludips.com.co</t>
  </si>
  <si>
    <t>SOCIEDAD DE SERVICIOS INTEGRALES EN SALUD S. A. S.</t>
  </si>
  <si>
    <t>DERLY BAUTISTA ACOSTA</t>
  </si>
  <si>
    <t>AC 26 85 D 55 LC LE27 AEROCENTRO COMERCIAL EL DORADO</t>
  </si>
  <si>
    <t>SERVINSALUDIPS@HOTAMIL.COM, asesoriacalidad@servinsaludips.com.co</t>
  </si>
  <si>
    <t>SANANDO SAS</t>
  </si>
  <si>
    <t>CARRERA 18 # 136A - 26</t>
  </si>
  <si>
    <t>administrador@sanando.com.co</t>
  </si>
  <si>
    <t>opticlinicas.com.co</t>
  </si>
  <si>
    <t>OPTICLINICAS BOGOTA</t>
  </si>
  <si>
    <t>JULIAN ANDRES RONCANCIO MOLANO</t>
  </si>
  <si>
    <t>CARRERA 18 # 136 A - 26</t>
  </si>
  <si>
    <t>(57)(1)3229452419</t>
  </si>
  <si>
    <t>MEDICOS DEL HOGAR MDH SAS</t>
  </si>
  <si>
    <t>TRANSVERSAL 60 N115-58 OFC 409 TORRE A</t>
  </si>
  <si>
    <t>6132985-3108164196</t>
  </si>
  <si>
    <t>medicosdelhogar@yahoo.es</t>
  </si>
  <si>
    <t>Freddy Orlando Casallas Contreras</t>
  </si>
  <si>
    <t>MEDICINA OCUPACIONAL CIMA VERTICAL SAS</t>
  </si>
  <si>
    <t>KR 77 # 33 A 06 SUR</t>
  </si>
  <si>
    <t>arptempor@hotmail.com</t>
  </si>
  <si>
    <t>www.cimaalturas.com</t>
  </si>
  <si>
    <t>JUAN DAVID BUSTAMANTE GONZALEZ</t>
  </si>
  <si>
    <t>SERVITRAUMAX SAS</t>
  </si>
  <si>
    <t>Cra. 13 No 118-08</t>
  </si>
  <si>
    <t>3104068755 - 3148079475</t>
  </si>
  <si>
    <t>administracion@stemwell.co recepcion@stemwell.co</t>
  </si>
  <si>
    <t>STEMWELL</t>
  </si>
  <si>
    <t>MEHMET AKIF CAN</t>
  </si>
  <si>
    <t>CORAZON &amp; ELECTROFISIOLOGIA COUNTRY SAS</t>
  </si>
  <si>
    <t>calle 83 no 16A 44 CONS 302</t>
  </si>
  <si>
    <t>corazonyelectrofisiologia@hotmail.com</t>
  </si>
  <si>
    <t>MAURICIO FERNANDO CABRALES NEIRA</t>
  </si>
  <si>
    <t>CALLE 83 No. 16A-44 CONS 302</t>
  </si>
  <si>
    <t>SALUD VITAL Y RIESGOS PROFESIONALES IPS SAS</t>
  </si>
  <si>
    <t>CRA 16 # 84A - 09 CS 412</t>
  </si>
  <si>
    <t>calidadsaludvitalbogota@gmail.com</t>
  </si>
  <si>
    <t>www.saludvitalips.com</t>
  </si>
  <si>
    <t>FREDY JERSAY CELY ARIZA</t>
  </si>
  <si>
    <t>MEDICAS #1 IPS S.A.S.</t>
  </si>
  <si>
    <t>AV. CIUDAD DE CALI CR. 86 No.37 - 08 SUR</t>
  </si>
  <si>
    <t>4509527 - 4510248</t>
  </si>
  <si>
    <t>medicasipssas@gmail.com</t>
  </si>
  <si>
    <t>MEDICAS #1 IPS S.A.S</t>
  </si>
  <si>
    <t>RICARDO MONROY BENITEZ</t>
  </si>
  <si>
    <t>AV. CIUDAD DE CALI CR. 86 - 37 - 08 Sur</t>
  </si>
  <si>
    <t>4518459 3192781027</t>
  </si>
  <si>
    <t>ORGANIZACION MEDICO ODONTOLOGICA NACIONAL INTEGRADA S.A/SIGLA: OMNISALUD S.A</t>
  </si>
  <si>
    <t>Calle 77 N 20c-56</t>
  </si>
  <si>
    <t>4823258 - (4)4481044</t>
  </si>
  <si>
    <t>direccion.administrativa@omnisalud.co</t>
  </si>
  <si>
    <t>www.omnisalud.co</t>
  </si>
  <si>
    <t>ORGANIZACION MEDICO ODONTOLOGICA NACIONAL INTEGRADA S.A SEDE HEROES</t>
  </si>
  <si>
    <t>CAMILO ZAPATA VIDAL</t>
  </si>
  <si>
    <t>ORGANIZACIӎ MɄICO ODONTOLӇICA NACIONAL INTEGRADA S.A/ SEDE RIONEGRO</t>
  </si>
  <si>
    <t>CAMILO ANDRES ZAPATA VIDAL</t>
  </si>
  <si>
    <t>DIAGONAL 94 BIS #56-18</t>
  </si>
  <si>
    <t>ORGANIZACIӎ MɄICO ODONTOLӇICA NACIONAL INTEGRADA S.A SEDE NORMANDIA</t>
  </si>
  <si>
    <t>CALLE 51 # 72 - 17</t>
  </si>
  <si>
    <t>ORGANIZACIӎ MɄICO ODONTOLӇICA NACIONAL INTEGRADA S.A / TEUSAQUILLO</t>
  </si>
  <si>
    <t>Camilo Andres Zapata Vidal</t>
  </si>
  <si>
    <t>Diagonal 40A No. 13A-16</t>
  </si>
  <si>
    <t>CENTRO MEDICO VITAL DRA. ALIA SANTANA SAS</t>
  </si>
  <si>
    <t>AVENIDA CARRERA 15 93 60 LOCAL 1-14</t>
  </si>
  <si>
    <t>aliahelena@hotmail.com</t>
  </si>
  <si>
    <t>VITAL DRA. ALIA SANTANA</t>
  </si>
  <si>
    <t>ALIA HELENA SANTANA BRAIDY</t>
  </si>
  <si>
    <t>AVENIDA CARRERA 15 # 93 60 LOCAL 1-14</t>
  </si>
  <si>
    <t>REYVELT MEDICINA ESPECIALIZADA SAS</t>
  </si>
  <si>
    <t>AK 24 N 83-33</t>
  </si>
  <si>
    <t>reyvelt.medicinaespecializada@gmail.com</t>
  </si>
  <si>
    <t>Diana Velasquez Velez</t>
  </si>
  <si>
    <t>AK 24 N 83 - 33</t>
  </si>
  <si>
    <t>REYVELT MEDICINA ESPECIALIZADA SEDE AMERICAS</t>
  </si>
  <si>
    <t>DIANA PATRICIA VELSQUEZ VɌEZ</t>
  </si>
  <si>
    <t>Carrera 60 # 11 - 14 Local 4 y 5</t>
  </si>
  <si>
    <t>gerencia@reyvelt.com</t>
  </si>
  <si>
    <t>FISIOGESTION S.A.S</t>
  </si>
  <si>
    <t>AV AMERICAS NRO. 62 84 LOCAL 253</t>
  </si>
  <si>
    <t>fisiogestionsas@hotmail.com</t>
  </si>
  <si>
    <t>FISIOGESTION S.A.S.</t>
  </si>
  <si>
    <t>ANGELICA ARZAYUS CELIS</t>
  </si>
  <si>
    <t>ORTOCLINICAL SAS</t>
  </si>
  <si>
    <t>cra 19d numero 64-09 sur piso 2</t>
  </si>
  <si>
    <t>ortoclinical.especialistas@gmail.com</t>
  </si>
  <si>
    <t>ortoclinical s.a.s</t>
  </si>
  <si>
    <t>fredy arles calderon rodriguez</t>
  </si>
  <si>
    <t>cra 19 d numero 64-09 sur piso 2</t>
  </si>
  <si>
    <t>ORTOCLINICAL SAS SEDE LUCERO</t>
  </si>
  <si>
    <t>Julieth Katerine Hernandez Ca񡳠</t>
  </si>
  <si>
    <t>Kr 17 G Sur No 67 A - 78 Piso 2</t>
  </si>
  <si>
    <t>SANTIAGO DE COMPOSTELA IPS SAS</t>
  </si>
  <si>
    <t>KR 65a No.97 A 94</t>
  </si>
  <si>
    <t>gerencia@santiagodecompostelaips.com</t>
  </si>
  <si>
    <t>SANTIAGO DE COMPOSTELA IPS UNIDAD DOMICILIARIA</t>
  </si>
  <si>
    <t>HAROLD EDICSON ESPITIA SANDOVAL</t>
  </si>
  <si>
    <t>KR 65 a No.97- 94</t>
  </si>
  <si>
    <t>OMAR RIVERA MENJURA MEDICINA ALTERNATIVA MEDICINA LABORAL S.A.S.</t>
  </si>
  <si>
    <t>CALLE 24A NUMERO 74A - 25</t>
  </si>
  <si>
    <t>recepciondoctoromarriveram@gmail.com</t>
  </si>
  <si>
    <t>OMAR AUDREY RIVERA MENJURA</t>
  </si>
  <si>
    <t>J&amp;E QUALITY HEALTH SYSTEMS SAS</t>
  </si>
  <si>
    <t>CALLE 63 77C-28</t>
  </si>
  <si>
    <t>3102414265 - 3229494354</t>
  </si>
  <si>
    <t>GERENCIAQHS@GMAIL.COM</t>
  </si>
  <si>
    <t>SEDE VILLA LUZ</t>
  </si>
  <si>
    <t>PEDRO JULIO SANTAFE PERALTA</t>
  </si>
  <si>
    <t>CALLE 63 77 C -28</t>
  </si>
  <si>
    <t>3102414265-3229494354</t>
  </si>
  <si>
    <t>LABORATORIO CLINICO PROTEGER IPS PROFESIONALES EN SALUD OCUPACIONAL Y CALIDAD S.A.S.</t>
  </si>
  <si>
    <t>CL 93 # 57 - 25 PISO 1 - Barrio:</t>
  </si>
  <si>
    <t>73201812 310 8537501 321 2773106</t>
  </si>
  <si>
    <t>GERENCIABOGOTA@PROTEGERIPS.COM</t>
  </si>
  <si>
    <t>www.protegerips.com</t>
  </si>
  <si>
    <t>PROTEGER IPS BOGOTA</t>
  </si>
  <si>
    <t>CLAUDIA PATRICIA GALINDO RIOS</t>
  </si>
  <si>
    <t>AV KR 60 17 35 37 PISO 1</t>
  </si>
  <si>
    <t>3102260832-3214686578</t>
  </si>
  <si>
    <t>HOSPITAL PARA TODOS - PROTEGER IPS BOGOTA</t>
  </si>
  <si>
    <t>CL 93 # 57 - 25 PISO 1</t>
  </si>
  <si>
    <t>INVERSIONES VASQUEZ MUяZ SAS SIGLA INVERSIONES V&amp;M</t>
  </si>
  <si>
    <t>Diagonal 21 A No. 19-52 Sur</t>
  </si>
  <si>
    <t>7522037- celular 3212427461</t>
  </si>
  <si>
    <t>orthoevolution@gmail.com</t>
  </si>
  <si>
    <t>Orthoevolution. co</t>
  </si>
  <si>
    <t>CAROLINA ANDREA ACEVEDO CAMACHO</t>
  </si>
  <si>
    <t>Diagonal 21 A No. 19-52 sur</t>
  </si>
  <si>
    <t>3204994971-3133631658</t>
  </si>
  <si>
    <t>calidadorthoevolution@gmail.com</t>
  </si>
  <si>
    <t>Logic Medical Service Assist SAS</t>
  </si>
  <si>
    <t>Cll 42 Bis A Sur # 74 - 35 1 PISO</t>
  </si>
  <si>
    <t>5630472/3103046534</t>
  </si>
  <si>
    <t>logic.operaciones@gmail.com</t>
  </si>
  <si>
    <t>LOGIC MEDICAL SERVICE ASSIST SAS</t>
  </si>
  <si>
    <t>Jairo Antonio Perez Diaz</t>
  </si>
  <si>
    <t>CLL 42 BIS A SUR # 74 - 35 1 PISO</t>
  </si>
  <si>
    <t>medicina, salud y seguridad en el trabajo de colombia sas - Medyscol</t>
  </si>
  <si>
    <t>CALLE 168 NO. 20 - 59 LOCAL 1</t>
  </si>
  <si>
    <t>contactenos@medyscol.com</t>
  </si>
  <si>
    <t>ALVARO ZULUAGA RUSSY</t>
  </si>
  <si>
    <t>5253313 - 3006907070</t>
  </si>
  <si>
    <t>MEDICAL LEGAL CONSULTING LTDA Sigla: MEDICAL L. LTDA.</t>
  </si>
  <si>
    <t>Cll 72 # 9 55 Piso 5 Oficina 503</t>
  </si>
  <si>
    <t>lider.calidadmedical@medicalltda.com.co</t>
  </si>
  <si>
    <t>https://medicalltda.com.co</t>
  </si>
  <si>
    <t>MEDICAL LEGAL CONSULTING LTDA</t>
  </si>
  <si>
    <t>MARIA ALEJANDRA RODRIGUEZ DE AVILA</t>
  </si>
  <si>
    <t>Cll 72 # 9 55 Piso 5 Oficina 503 Teleradiologia</t>
  </si>
  <si>
    <t>SERVICIOS Y ASESORIAS EN INFECTOLOGIA SAI SAS</t>
  </si>
  <si>
    <t>CLL 50 No. 13 - 62 OFICINA 704 Y OFICINA 303-304-305-306-307</t>
  </si>
  <si>
    <t>7449571 - 3124733625 - 3138914441</t>
  </si>
  <si>
    <t>lisseth.carrero@infectologia.com.co</t>
  </si>
  <si>
    <t>YESIKA MILENA SANCHEZ</t>
  </si>
  <si>
    <t>CLL 50 No. 13-62 OF 704-303-304-305-306-307</t>
  </si>
  <si>
    <t>7449571 -3124733625 -3138914441</t>
  </si>
  <si>
    <t>c.administrativa@infectologia.com.co</t>
  </si>
  <si>
    <t>RH POSITIVO SALUD IPS SAS</t>
  </si>
  <si>
    <t>CARRERA 26 # 51 - 21</t>
  </si>
  <si>
    <t>gerencia@rhpositivosalud.com.co</t>
  </si>
  <si>
    <t>LUIS SALGADO RACERO</t>
  </si>
  <si>
    <t>ORGANIZACION CARLOS GRANADOS DENTAL DESIGN SAS</t>
  </si>
  <si>
    <t>Calle 123 #7-57 Oficina 1002 Edificio Kaiwa</t>
  </si>
  <si>
    <t>3203834547 - 6190164</t>
  </si>
  <si>
    <t>ocarlosgranadosd@gmail.com</t>
  </si>
  <si>
    <t>ANGELA NAVARRO CORREDOR</t>
  </si>
  <si>
    <t>GRUPO DE APOYO MULTIDISCIPLINARIO PARA EL MANEJO DE LA OBESIDAD S.A.S GRAMMO S.A.S</t>
  </si>
  <si>
    <t>CARRERA 18 # 80 -32 Consultorio 307-1 Y 307-2 BARRIO: COUNTRY</t>
  </si>
  <si>
    <t>7428220 - 7440091</t>
  </si>
  <si>
    <t>contabilidad@grammo.org</t>
  </si>
  <si>
    <t>www.grammo.org</t>
  </si>
  <si>
    <t>CESAR ERNESTO GUEVARA PEREZ</t>
  </si>
  <si>
    <t>Carrera 18 # 80 - 32 Consultorios 307-1 Y 307-2</t>
  </si>
  <si>
    <t>gestor@grammo.org</t>
  </si>
  <si>
    <t>FRANJA PUBLICACIONES S.A.S</t>
  </si>
  <si>
    <t>CARRERA 63 No. 98-55</t>
  </si>
  <si>
    <t>joviedo@franjapublicaciones.com</t>
  </si>
  <si>
    <t>www.ciudadoptica.net</t>
  </si>
  <si>
    <t>CIUDAD ӐTICA</t>
  </si>
  <si>
    <t>JAVIER AURELIO OVIEDO PALOM|/td&gt;</t>
  </si>
  <si>
    <t>CARRERA 58 No. 127-59 C.C BULEVAR NIZA LOCAL 1-105</t>
  </si>
  <si>
    <t>(1)6240638 - 3222002218</t>
  </si>
  <si>
    <t>CIUDAD OPTICA</t>
  </si>
  <si>
    <t>JAVIER AURELIO OVIEDO PALOMA</t>
  </si>
  <si>
    <t>CALLE 109 No.17-36</t>
  </si>
  <si>
    <t>GRUPO EMPRESARIAL SALUD IPS SAS</t>
  </si>
  <si>
    <t>AVENIDA CALLE 53 # 73 - 15 OFICINA 101 - BARRIO NORMANDIA</t>
  </si>
  <si>
    <t>6017153213-3122961484-3227889713</t>
  </si>
  <si>
    <t>grupoempresarialsaludsas@gmail.com</t>
  </si>
  <si>
    <t>SALUD Y ATENCION A PERSONAS ADULTAS SAS SIGLA PERSADULT HOME SAS</t>
  </si>
  <si>
    <t>LUZ CLEMENCIA CALDERON PASCUAS</t>
  </si>
  <si>
    <t>AVENIDA CALLE 53 # 73-15 OFICINA 101</t>
  </si>
  <si>
    <t>COMERCIALIZADORA DE SERVICIOS BASICOS SAS COMERBAS SAS</t>
  </si>
  <si>
    <t>AV CARRERA 30 NO. 67 - 59 PISO 1, 2 Y3</t>
  </si>
  <si>
    <t>gerencia@comerbas.com</t>
  </si>
  <si>
    <t>www.comerbas.com</t>
  </si>
  <si>
    <t>IPS COMERBAS</t>
  </si>
  <si>
    <t>CRISTHIAN CAMILO CUBILLOS COLLAZOS</t>
  </si>
  <si>
    <t>AV CARRERA 30 NO. 67- 59 PISO 1,2 Y 3.</t>
  </si>
  <si>
    <t>GERENCIA@COMERBAS.COM</t>
  </si>
  <si>
    <t>REN CONSULTORES SAS</t>
  </si>
  <si>
    <t>Carrera 9 A # 99 - 02 Oficina 705</t>
  </si>
  <si>
    <t>larojas@renconsultores.com.co</t>
  </si>
  <si>
    <t>www.renconsultores.com.co</t>
  </si>
  <si>
    <t>REN IPS</t>
  </si>
  <si>
    <t>LUIS ALEJANDRO ROJAS SANCHEZ</t>
  </si>
  <si>
    <t>CLL 97# 23 - 37 CONSULTORIO 714, 606</t>
  </si>
  <si>
    <t>7460039 EXT 1004</t>
  </si>
  <si>
    <t>IMPROVE QUALITY REDUCE COST SAVE LIFES AUDITORES SAS (QCL AUDITORES SAS)</t>
  </si>
  <si>
    <t>CALLE 63 A No. 35 -39 - Barrio:EL ROSARIO</t>
  </si>
  <si>
    <t>servisaludqcl@gmail.com</t>
  </si>
  <si>
    <t>SERVISALUD QCL AV CALLE 116</t>
  </si>
  <si>
    <t>JESUS ALBERTO MANRIQUE MORENO</t>
  </si>
  <si>
    <t>AV CL 116 71 D 49</t>
  </si>
  <si>
    <t>SERVISALUD QCL OCCIDENTE</t>
  </si>
  <si>
    <t>JUANITA ISABELLA ESPINOSA ORTIZ</t>
  </si>
  <si>
    <t>CARRERA 71 B No 8 - 18 SUR</t>
  </si>
  <si>
    <t>SERVISALUD QCL CAMPIN</t>
  </si>
  <si>
    <t>DANIELA ALEJANDRA USECHE TRIANA</t>
  </si>
  <si>
    <t>CALLE 63 A No. 35 -39</t>
  </si>
  <si>
    <t>SERVISALUD QCL CARVAJAL</t>
  </si>
  <si>
    <t>LUIS MARIO MORENO MORENO</t>
  </si>
  <si>
    <t>CALLE 37C SUR # 72I - 54/64</t>
  </si>
  <si>
    <t>AVANT SALUD INTEGRAL SAS</t>
  </si>
  <si>
    <t>CL 150 #16-56 OF 3008</t>
  </si>
  <si>
    <t>3108797814 -3114570187</t>
  </si>
  <si>
    <t>avantsaludintegral@gmail.com</t>
  </si>
  <si>
    <t>Kelly Vasquez Gamboa</t>
  </si>
  <si>
    <t>CL 150 # 16-56 OF 3008</t>
  </si>
  <si>
    <t>3108797814-3114570187</t>
  </si>
  <si>
    <t>AVANT SALUD INTEGRAL SEDE GALERIAS</t>
  </si>
  <si>
    <t>KELLY JOHANNA VASQUEZ GAMBOA</t>
  </si>
  <si>
    <t>CALLE 53 B 25 21 OFICINA 2226</t>
  </si>
  <si>
    <t>avantsaludintegral.galerias@gmail.com</t>
  </si>
  <si>
    <t>CENTRO DE ESPECIALISTAS IPS LOGROS SAS</t>
  </si>
  <si>
    <t>Avenida Carrera 14 No. 39 - 18 Edificio SOHO la 39 Local 2 y 3</t>
  </si>
  <si>
    <t>3232313630 / 3188833701</t>
  </si>
  <si>
    <t>coordinadornacionalcalidad@gmail.com</t>
  </si>
  <si>
    <t>www.logrosips.com</t>
  </si>
  <si>
    <t>LEYDY ANDREA PLATA MANZANO</t>
  </si>
  <si>
    <t>GENESYS LABORAL MEDICINE SAS</t>
  </si>
  <si>
    <t>CL 86A # 23-12</t>
  </si>
  <si>
    <t>3739055-3739387 - 3208555106</t>
  </si>
  <si>
    <t>genesyslabmed@gmail.com</t>
  </si>
  <si>
    <t>RUTH RAMIREZ NUхZ</t>
  </si>
  <si>
    <t>CALLE 86A 23 12</t>
  </si>
  <si>
    <t>gerencia@genesyslm.com.co</t>
  </si>
  <si>
    <t>ATENCIӎ EN MEDICINA LABORAL SAS SIGLA- ATMELA</t>
  </si>
  <si>
    <t>CL 97 # 23 37 PI 7 CS 720 PI 2 CS 205</t>
  </si>
  <si>
    <t>gerencia.atmela@gmail.com</t>
  </si>
  <si>
    <t>ATENCIӎ EN MEDICINA LABORAL SAS - SIGLA: ATMELA</t>
  </si>
  <si>
    <t>ROLANDO MELO RIAя</t>
  </si>
  <si>
    <t>APREHSI GROUP S.A.S</t>
  </si>
  <si>
    <t>AV CLL 26 N 68C-61 OFICINA 801 - Barrio:FONTIBON</t>
  </si>
  <si>
    <t>3205725515 - 3148718726</t>
  </si>
  <si>
    <t>s.cera@aprehsigroup.com</t>
  </si>
  <si>
    <t>APREHSI GROUP</t>
  </si>
  <si>
    <t>JUAN FELIPE BERMUDEZ</t>
  </si>
  <si>
    <t>AV CLL 26 N 68C-61 OFICINA 801</t>
  </si>
  <si>
    <t>3152070111 - 3148718726</t>
  </si>
  <si>
    <t>liderdecalidadensalud@aprehsigroup.com</t>
  </si>
  <si>
    <t>CENRED COLOMBIA SAS</t>
  </si>
  <si>
    <t>carrera 49 93 40</t>
  </si>
  <si>
    <t>cenredcolombia@gmail.com</t>
  </si>
  <si>
    <t>CENRED BARRIOS UNIDOS</t>
  </si>
  <si>
    <t>MERCEDES ALVAREZ ROBLES</t>
  </si>
  <si>
    <t>CARRERA 49 # 93- 40</t>
  </si>
  <si>
    <t>ZERBIT S.A.S</t>
  </si>
  <si>
    <t>CALLE 145 # 91-19 CONSULTORIO 12-207 - Barrio:SUBA</t>
  </si>
  <si>
    <t>gerenciazerbit@gmail.com</t>
  </si>
  <si>
    <t>IPS ZERBIT CENTRO SUBA</t>
  </si>
  <si>
    <t>MARIA EUGENIA HENRIQUEZ CLAROS</t>
  </si>
  <si>
    <t>CALLE 145 # 91-19 CONSULTORIO 12-207</t>
  </si>
  <si>
    <t>EURODIGEST S.A.S.</t>
  </si>
  <si>
    <t>AC 127 NO. 21 - 60 CONSULTORIO 401</t>
  </si>
  <si>
    <t>6157911 - 3112505495</t>
  </si>
  <si>
    <t>eurodigestsas@gmail.com</t>
  </si>
  <si>
    <t>LUIS CARLOS SABBAGH SANVICENTE</t>
  </si>
  <si>
    <t>GAES COLOMBIA SAS</t>
  </si>
  <si>
    <t>Carrera 14a 127-15 local 1</t>
  </si>
  <si>
    <t>luisa.marulanda@amplifon.com</t>
  </si>
  <si>
    <t>www.gaes.co</t>
  </si>
  <si>
    <t>GAES BOGOTA UNICENTRO</t>
  </si>
  <si>
    <t>Diego Mauricio Ospina Fernandez</t>
  </si>
  <si>
    <t>carrera 14a#127-15 local 1</t>
  </si>
  <si>
    <t>bogotaunicentro@amplifon.com</t>
  </si>
  <si>
    <t>Gaes Bogota Jasban</t>
  </si>
  <si>
    <t>Mauricio Ospina</t>
  </si>
  <si>
    <t>Calle 106 # 23 - 61 local 101</t>
  </si>
  <si>
    <t>bogotajasban@amplifon.com</t>
  </si>
  <si>
    <t>Gaes Bogota Chapinero</t>
  </si>
  <si>
    <t>OSCAR ALBERTO CEPEDA ALZATE</t>
  </si>
  <si>
    <t>Cra 13 # 48 - 91 Local 5 Edificio Calle 49</t>
  </si>
  <si>
    <t>bogotachapinero@amplifon.com</t>
  </si>
  <si>
    <t>GAES BOGOTA ANDINO</t>
  </si>
  <si>
    <t>CRA 11 # 82 - 71 Piso 2 Local 227</t>
  </si>
  <si>
    <t>bogotacountry@amplifon.com</t>
  </si>
  <si>
    <t>GAES BOGOTA RESTREPO</t>
  </si>
  <si>
    <t>ELENA SANTACLARA MENENDEZ</t>
  </si>
  <si>
    <t>CR 19 NO. 20-49 SUR</t>
  </si>
  <si>
    <t>bogotarestrepo@amplifon.com</t>
  </si>
  <si>
    <t>GAES BOGOTA PLAZA DE LAS AMERICAS</t>
  </si>
  <si>
    <t>TRANSVERSAL 71 D # 6-94 SUR LOCAL 1040 CC PLAZA DE LAS AMERICAS</t>
  </si>
  <si>
    <t>LUISA.MARULANDA@AMPLIFON.COM</t>
  </si>
  <si>
    <t>GAES GRAN ESTACIӎ</t>
  </si>
  <si>
    <t>AC 26 # 60-47 LOCAL 1-078 CC GRAN ESTACIӎ</t>
  </si>
  <si>
    <t>GAES TITAN</t>
  </si>
  <si>
    <t>Avenida Carrera 72 80 94 Local 1-47</t>
  </si>
  <si>
    <t>GAES BOGOTA SANTAFE</t>
  </si>
  <si>
    <t>Calle 185 # 45-13 Local N1-96</t>
  </si>
  <si>
    <t>GAES BOGOTA CENTRO MAYOR</t>
  </si>
  <si>
    <t>Calle 38 A Sur 34 D 51 Local 1-012</t>
  </si>
  <si>
    <t>GAES BOGOTA PLAZA IMPERIAL</t>
  </si>
  <si>
    <t>Calle 146 A # 106 - 20 Local 2-79 y 2-80 CC Plaza Imperial</t>
  </si>
  <si>
    <t>LATARJET SAS</t>
  </si>
  <si>
    <t>AVENIDA CARRERA 19 # 102 - 53 CONSULTORIO 409</t>
  </si>
  <si>
    <t>diegoriverasarmiento@gmail.com</t>
  </si>
  <si>
    <t>DIEGO RIVERA SARMIENTO</t>
  </si>
  <si>
    <t>GRUPO EMPRESARIAL JARBSALUD IPS S.A.S.</t>
  </si>
  <si>
    <t>Calle 33 bis No. 15 - 64</t>
  </si>
  <si>
    <t>info@jarbsalud.com.co</t>
  </si>
  <si>
    <t>JAIME ANDRES ROJAS BLANCO</t>
  </si>
  <si>
    <t>4673216 - 7561334</t>
  </si>
  <si>
    <t>jarbsalud.gerencia@gmail.com</t>
  </si>
  <si>
    <t>JARBSALUD IPS</t>
  </si>
  <si>
    <t>CALLE 33 N. 15-51 CS 101</t>
  </si>
  <si>
    <t>jarbsaludgerencia@gmail.com</t>
  </si>
  <si>
    <t>JUAN BETANCUR-SERVICIOS DE SALUD,MEDICOS DEPORTIVOS Y DE RECREACION S.A.S SIGLA: BLACKFITNESS - CENTRO MEDICO DEPORTIVO Y ACONDICIONAMIENTO FISICO</t>
  </si>
  <si>
    <t>CALLE 119 N 12 - 55 PISO 3 CS 1</t>
  </si>
  <si>
    <t>3105869372/7127228</t>
  </si>
  <si>
    <t>ecorganicos@gmail.com</t>
  </si>
  <si>
    <t>BLACK FITNESS CENTRO MEDICO DEPORTIVO Y ACONDICIONAMIENTO FISICO</t>
  </si>
  <si>
    <t>JUAN CAMILO BETANCUR MENDOZA</t>
  </si>
  <si>
    <t>CALLE 119 N 12- 55 PISO 3 CS 1</t>
  </si>
  <si>
    <t>6456166/3105869372</t>
  </si>
  <si>
    <t>SEINT SALUD I P S S A S</t>
  </si>
  <si>
    <t>CR 70 No. 22 SUR 23</t>
  </si>
  <si>
    <t>operacioneseint@gmail.com</t>
  </si>
  <si>
    <t>www.seintsas.com</t>
  </si>
  <si>
    <t>CLARA PATRICIA GIRALDO VILLALOBOS</t>
  </si>
  <si>
    <t>KR 69 No 24-65 SUR BODEGA 1 PISO1</t>
  </si>
  <si>
    <t>MEDICAL ENERGY SAS</t>
  </si>
  <si>
    <t>CALLE 18 No.77-67 CS 501 MERIDIANO 13 ESTE</t>
  </si>
  <si>
    <t>gerencia@medicalenergy.co</t>
  </si>
  <si>
    <t>www.medicalenergy.co</t>
  </si>
  <si>
    <t>NESTOR DAVID GARCIA CAMPOS</t>
  </si>
  <si>
    <t>GASTRICARE SAS</t>
  </si>
  <si>
    <t>CALLE 83 No 16A- 44 Consultorio 301-603-605</t>
  </si>
  <si>
    <t>6956787 -3108063077</t>
  </si>
  <si>
    <t>clau141171@yahoo.com.mx</t>
  </si>
  <si>
    <t>gastricare.net</t>
  </si>
  <si>
    <t>CLAUDIA COBOS RODRIGUEZ</t>
  </si>
  <si>
    <t>CALLE 83 No 16A- 44 Consultorio 301- 303- 603- 605</t>
  </si>
  <si>
    <t>6956787-3108063077</t>
  </si>
  <si>
    <t>STARK GYM SAS</t>
  </si>
  <si>
    <t>Calle 127 A No 7-12 Piso 3</t>
  </si>
  <si>
    <t>deportologo@starksmartgym.com.co</t>
  </si>
  <si>
    <t>www.starksmartgym.com.co</t>
  </si>
  <si>
    <t>STK STARK SMART GYM IPS JAVERIANA</t>
  </si>
  <si>
    <t>FREDDY ANDRES BELTRAN BLANCO</t>
  </si>
  <si>
    <t>CR 7 N 43 - 53 OFICINA 204</t>
  </si>
  <si>
    <t>STK STARK SMART GYM SAS COLINA</t>
  </si>
  <si>
    <t>FELIPE GARZON MENDEZ</t>
  </si>
  <si>
    <t>AC 134 N 55 A - 22</t>
  </si>
  <si>
    <t>STK STARK GYM MAZUREN</t>
  </si>
  <si>
    <t>CARRERA 55 N 152 B -68</t>
  </si>
  <si>
    <t>STK STARK GYM PLAZA CLARO</t>
  </si>
  <si>
    <t>CR 68 A # 24 B - 10 LC 2 - 01</t>
  </si>
  <si>
    <t>WELL:DONE</t>
  </si>
  <si>
    <t>FREDDY ANDRɓ BELTRN BLANCO</t>
  </si>
  <si>
    <t>Calle 126 # 7C-82</t>
  </si>
  <si>
    <t>STK STARK SMART GYM 127</t>
  </si>
  <si>
    <t>KR 7 A # 127 A - 80 PISO 3</t>
  </si>
  <si>
    <t>STK STARK SMART GYM 66</t>
  </si>
  <si>
    <t>Cl 65 A # 7 - 12 Piso 5 Y 6</t>
  </si>
  <si>
    <t>CENTRO DE RECONOCIMIENTO DE CONDUCTORES DE COLOMBIA 2 SAS - CRC DE COLOMBIA 2 SAS</t>
  </si>
  <si>
    <t>CL 19 B # 16 43 SUR PISO 1</t>
  </si>
  <si>
    <t>crcdecolombia@hotmail.com</t>
  </si>
  <si>
    <t>CENTRO DE RECONOCIMIENTO DE CONDUCTORES DE COLOMBIA 2 SAS</t>
  </si>
  <si>
    <t>ANGELA PAOLA ZEA POVEDA</t>
  </si>
  <si>
    <t>CARDIO COUNTRY S A S</t>
  </si>
  <si>
    <t>CARRERA 19A NO 82-85 CS 819-820</t>
  </si>
  <si>
    <t>7953130 EXT 8190-8200</t>
  </si>
  <si>
    <t>ipscardiocountry@gmail.com</t>
  </si>
  <si>
    <t>CARLOS JOSE ARCINIEGAS PINTO</t>
  </si>
  <si>
    <t>MEDICAL EVENTOS COLOMBIA S.A.S</t>
  </si>
  <si>
    <t>CLL 1 D # 31 B 05</t>
  </si>
  <si>
    <t>medicaleventoscolombia@gmail.com</t>
  </si>
  <si>
    <t>amparo gutierrez</t>
  </si>
  <si>
    <t>UNIDAD DE ATENCION CLINICA INTEGRAL SAS UNITOX IPS</t>
  </si>
  <si>
    <t>CARRERA 45 A 94 -84</t>
  </si>
  <si>
    <t>unitoxsas@gmail.com</t>
  </si>
  <si>
    <t>www.unitox.com</t>
  </si>
  <si>
    <t>UNIDAD INTEGRAL DE TOXICOLOGIA UNITOX SAS UNITOX</t>
  </si>
  <si>
    <t>ROSIRIS DEL SOCORRO MAUSSA DORIA</t>
  </si>
  <si>
    <t>CLINICA DEL SISTEMA NERVIOSO S.A.S</t>
  </si>
  <si>
    <t>CL 7 SUR # 7A - 63</t>
  </si>
  <si>
    <t>renovar.ltda@hotmail.com</t>
  </si>
  <si>
    <t>www.clinicarenovar.com</t>
  </si>
  <si>
    <t>UNIDAD CL͎ICA DEL SISTEMA NERVIOSO LIMITADA RENOVAR LTDA</t>
  </si>
  <si>
    <t>Rosario Lozano Pe񡼯td&gt;</t>
  </si>
  <si>
    <t>CAPSALUD CAPACITACION Y PREVENCION EN SALUD SAS</t>
  </si>
  <si>
    <t>cra 78k #40-22 sur piso 1</t>
  </si>
  <si>
    <t>capsaludsas@gmail.com</t>
  </si>
  <si>
    <t>DOMISALUD JAC</t>
  </si>
  <si>
    <t>ANGIE YULIETH GARCIA BEJARANO</t>
  </si>
  <si>
    <t>CRA 78K #40-22 SUR PISO 1</t>
  </si>
  <si>
    <t>CENTRO CARDIOVASCULAR COLOMBIANO SAS - SIGLA CC CARDIOVASCULAR</t>
  </si>
  <si>
    <t>CARRERA 71 B N 51 - 09</t>
  </si>
  <si>
    <t>wamaya@cencardio.com</t>
  </si>
  <si>
    <t>www.cencardio.com</t>
  </si>
  <si>
    <t>CL͎ICA SANTA TERESITA DE NORMANDIA</t>
  </si>
  <si>
    <t>ROC͏ CARRERO</t>
  </si>
  <si>
    <t>administracion@cencardio.com</t>
  </si>
  <si>
    <t>Fast Doctor SAS</t>
  </si>
  <si>
    <t>CARRERA 94 # 72 A 59 1 PISO</t>
  </si>
  <si>
    <t>fastdrs@gmail.com</t>
  </si>
  <si>
    <t>FAST DOCTOR SAS</t>
  </si>
  <si>
    <t>LUIS CARLOS GARZON AZZA</t>
  </si>
  <si>
    <t>CLINICA ODONTOLOGICA ESPECIALIZADA DRA. SOFIA ALEGRIA SAS</t>
  </si>
  <si>
    <t>AV CARRERA 45 #166 - 80</t>
  </si>
  <si>
    <t>3714853 - 3104623045</t>
  </si>
  <si>
    <t>coordinacionclinica@doctorasofiaalegria.com</t>
  </si>
  <si>
    <t>SOFIA ALEGRIA SARMIENTO</t>
  </si>
  <si>
    <t>AV CARRERA 45 N 166 - 80</t>
  </si>
  <si>
    <t>SOCIEDAD ODONTOLOGICA ESPECIALIZADAS SAS</t>
  </si>
  <si>
    <t>CALLE 19 No. 2A - 10 LOCAL 112</t>
  </si>
  <si>
    <t>4329093 - 3183788598</t>
  </si>
  <si>
    <t>godontoespecialistasbacata@gmail.com</t>
  </si>
  <si>
    <t>INTEGRANDO SONRISAS ODONTOLOGIA ESPECIALIZADA</t>
  </si>
  <si>
    <t>SANDRA MILENA FUENTES NIETO</t>
  </si>
  <si>
    <t>CALLE 19 No 2A - 10 LOCAL 112</t>
  </si>
  <si>
    <t>SERVICIO MEDICO EMPRESARIAL S.A.S NUEVO SERME S.A.S</t>
  </si>
  <si>
    <t>CARRERA 26 # 12 B-68 PISO 2 LOCAL 2</t>
  </si>
  <si>
    <t>6015734227 3002686705 3202446728</t>
  </si>
  <si>
    <t>nuevoserme@gmail.com</t>
  </si>
  <si>
    <t>SAMUEL NIя TORRES</t>
  </si>
  <si>
    <t>CARRERA 26 # 12 B -68 PISO 2 LOCAL 2</t>
  </si>
  <si>
    <t>6015734227 3002686705 3202446728 3212945872</t>
  </si>
  <si>
    <t>MEDIARTE MEDICAL CENTER SAS SIGLA MEDIARTE MEDICAL CENTER SAS</t>
  </si>
  <si>
    <t>Avenida Carrera 15 No 88 64 Local 102 - Barrio:VIRREY</t>
  </si>
  <si>
    <t>calidad@mediarte.co</t>
  </si>
  <si>
    <t>https://www.mediarte.com</t>
  </si>
  <si>
    <t>MEDIARTE IMPLANTE CAPILAR</t>
  </si>
  <si>
    <t>Andres Johan Martinez Cubillos</t>
  </si>
  <si>
    <t>Cr 18 84 - 11 Oficina 705</t>
  </si>
  <si>
    <t>gerencia@mediarte.co</t>
  </si>
  <si>
    <t>MEDIARTE MEDICAL CENTER SEDE NORTE</t>
  </si>
  <si>
    <t>Avenida Carrera 9 113 52 Oficina 1802</t>
  </si>
  <si>
    <t>MEDIARTE VIRREY</t>
  </si>
  <si>
    <t>ANDRES JOHAN MARTINEZ CUBILLOS</t>
  </si>
  <si>
    <t>Avenida Carrera 15 No 88 64 Local 102</t>
  </si>
  <si>
    <t>TADASHI S.A.S-CENTROS DE IMAGENES ESPECIALIZADAS (CIE)</t>
  </si>
  <si>
    <t>Cr 47 # 94 - 06 P3 - P5</t>
  </si>
  <si>
    <t>habilitacion@verticalmanager.com.co</t>
  </si>
  <si>
    <t>https://www.tadashiamericas.com/</t>
  </si>
  <si>
    <t>SEDE CASTELLANA</t>
  </si>
  <si>
    <t>GIOVANNI ALFREDO GUZMAN TRIVIя</t>
  </si>
  <si>
    <t>Cr 47 # 94 - 06 P3 - Consultorio 1,2,3 y 4</t>
  </si>
  <si>
    <t>MULTITERAPIA I.P.S S A S</t>
  </si>
  <si>
    <t>CR 33 A NO. 31 59 Piso 1</t>
  </si>
  <si>
    <t>gerencia@multiterapias.com.co</t>
  </si>
  <si>
    <t>https://multiterapias.com.co</t>
  </si>
  <si>
    <t>ANDREA PATRICIA VALDES HERNANDEZ</t>
  </si>
  <si>
    <t>2498203 3226619913</t>
  </si>
  <si>
    <t>multiterapiaipsas@gmail.com</t>
  </si>
  <si>
    <t>VITAL VISION</t>
  </si>
  <si>
    <t>CALLE 42 C SUR N 78 H - 02</t>
  </si>
  <si>
    <t>PATRICIA E. ALVAREZ IPS LCM SAS</t>
  </si>
  <si>
    <t>KR 14 #127-11 CS 406- 502-503-509-603</t>
  </si>
  <si>
    <t>3123917392-3907147</t>
  </si>
  <si>
    <t>s.idarraga@lacarolinamedical.com</t>
  </si>
  <si>
    <t>LA CAROLINA MEDICAL IPS</t>
  </si>
  <si>
    <t>SANTIAGO IDARRAGA ALVAREZ</t>
  </si>
  <si>
    <t>KR 14 #127-11 CS 406-502-503-509-603</t>
  </si>
  <si>
    <t>3123917392- 6581605</t>
  </si>
  <si>
    <t>LA CAROLINA MEDICAL IPS - CONSULTA EXTERNA</t>
  </si>
  <si>
    <t>SANTIAGO IDRRAGA LVAREZ</t>
  </si>
  <si>
    <t>CALLE 127 # 14 - 54 OF 602</t>
  </si>
  <si>
    <t>3907147 - 3503189966</t>
  </si>
  <si>
    <t>LA CAROLINA MEDICAL IPS - SEDE CALLE 104</t>
  </si>
  <si>
    <t>Avenida Carrera 45 104A - 97</t>
  </si>
  <si>
    <t>LA CAROLINA MEDICAL IPS-SEDE CENTRO MAYOR</t>
  </si>
  <si>
    <t>CL 38 A SUR # 34 D 51 LOCAL 1-134 PISO 1 Unidad de gastroenterolog�/td&gt;</t>
  </si>
  <si>
    <t>601 3907147 3503189966</t>
  </si>
  <si>
    <t>Centro Infantil para el Neurodesarrollo en Familia SAS - CINEFA</t>
  </si>
  <si>
    <t>Calle 134 #7B-83, Consultorio 305</t>
  </si>
  <si>
    <t>secretaria@neurofamilia.com</t>
  </si>
  <si>
    <t>https://www.neurofamilia.com</t>
  </si>
  <si>
    <t>CENTRO INFANTIL PARA EL NEURODESARROLLO EN FAMILIA SAS</t>
  </si>
  <si>
    <t>Julio Omana</t>
  </si>
  <si>
    <t>Calle 134 #7B 83, Consultorio 305</t>
  </si>
  <si>
    <t>CL͎ICA CUABAL SAS</t>
  </si>
  <si>
    <t>CALLE 71 N 17-11 (PISO 1)</t>
  </si>
  <si>
    <t>clinicacuabalsas@gmail.com</t>
  </si>
  <si>
    <t>www.clinicacuabal.com</t>
  </si>
  <si>
    <t>CLINICA CUABAL SAS</t>
  </si>
  <si>
    <t>Eduar Mauricio Aviles</t>
  </si>
  <si>
    <t>TARJETA DE TODOS SUBA SAS</t>
  </si>
  <si>
    <t>CARRERA 78 K SUR 35 - 39 - Barrio:CIUDAD KENNEDY NORTE</t>
  </si>
  <si>
    <t>habilitacion.colombia@ipsdetodos.com</t>
  </si>
  <si>
    <t>https://ipsdetodos.com/</t>
  </si>
  <si>
    <t>IPS de TODOS KENNEDY CENTRAL</t>
  </si>
  <si>
    <t>Lesly Yuliana Mu񯺠Gallego</t>
  </si>
  <si>
    <t>CARRERA 78 K SUR 35 - 39</t>
  </si>
  <si>
    <t>kennedycentral@ipsdetodos.com</t>
  </si>
  <si>
    <t>AMORSAUDE CHAPINERO</t>
  </si>
  <si>
    <t>DIANA CAROLINA SIERRA GAITAN</t>
  </si>
  <si>
    <t>KR 13 N 52 - 25 LC 1</t>
  </si>
  <si>
    <t>3015686010 - 3132365176</t>
  </si>
  <si>
    <t>chapinero@ipsdetodos.com</t>
  </si>
  <si>
    <t>IPS DE TODOS CIUDAD BOLIVAR</t>
  </si>
  <si>
    <t>INGRID NATALY SANCHEZ ROJAS</t>
  </si>
  <si>
    <t>CLL 63 SUR N 72 -19</t>
  </si>
  <si>
    <t>ciudadbolivar@ipsdetodos.com</t>
  </si>
  <si>
    <t>INNOVA HEALTH CENTER SAS</t>
  </si>
  <si>
    <t>KR 14 # 57 48 SUR Local 1</t>
  </si>
  <si>
    <t>2777142 - 3212409060</t>
  </si>
  <si>
    <t>innovahealthcentersas@gmail.com</t>
  </si>
  <si>
    <t>DANNEY LISHLANNY PAMPLONA CARDENAS</t>
  </si>
  <si>
    <t>KR 14 # 57 - 48 SUR Local 1</t>
  </si>
  <si>
    <t>INNOVA RETAIL S.A.S.</t>
  </si>
  <si>
    <t>Calle 127 A # 7 - 19 CS 503</t>
  </si>
  <si>
    <t>sophie.azout@gmail.com</t>
  </si>
  <si>
    <t>http://cyglocolombia.com</t>
  </si>
  <si>
    <t>INNOVA RETAIL S.A.S</t>
  </si>
  <si>
    <t>SOPHIE AZOUT KASSIN</t>
  </si>
  <si>
    <t>ENDOCIENCIA SAS</t>
  </si>
  <si>
    <t>KR 16 # 84A - 09 CONS 424</t>
  </si>
  <si>
    <t>endociencia.sas@gmail.com</t>
  </si>
  <si>
    <t>CATALINA FORERO RONDEROS</t>
  </si>
  <si>
    <t>RESONANCIA MAGNETICA Y TAC DE LA SABANA LTDA</t>
  </si>
  <si>
    <t>CR 16 A No. 82 - 37 P2</t>
  </si>
  <si>
    <t>resonancialasabanaltda@imagenesdiagnosticasdelcountry.com</t>
  </si>
  <si>
    <t>WWW.RMCS.COM.CO</t>
  </si>
  <si>
    <t>RESONANCIA MAGNɔICA Y TAC DE LA SABANA LTDA</t>
  </si>
  <si>
    <t>AC 19 No. 102 - 53 CONS 202</t>
  </si>
  <si>
    <t>resonancialasabana@rmcs.com.co</t>
  </si>
  <si>
    <t>FABLE UN MUNDO HECHO COLOR IPS SAS</t>
  </si>
  <si>
    <t>TRANSVERSAL 54 # 103 B 03</t>
  </si>
  <si>
    <t>fableunmundohechocolor@gmail.com</t>
  </si>
  <si>
    <t>Fable Un Mundo Hecho Color</t>
  </si>
  <si>
    <t>Fabiola Camacho</t>
  </si>
  <si>
    <t>TRANSVERSAL 54 # 103 b 03</t>
  </si>
  <si>
    <t>CENTRO COLOMBIANO DE ENDOCRINOLOGIA Y FERTILIDAD SAS CORNEL SAS</t>
  </si>
  <si>
    <t>Av Calle 134 NO. 7 83 TO 3 P 2 MD 321-235</t>
  </si>
  <si>
    <t>2593363 - 3208313504</t>
  </si>
  <si>
    <t>info@cornel.com.co</t>
  </si>
  <si>
    <t>www.cornel.com.co</t>
  </si>
  <si>
    <t>Centro Colombiano De Endocrinologia y Fertilidad SAS CORNEL SAS</t>
  </si>
  <si>
    <t>GLORIA PATRICIA MORENO ARDILA</t>
  </si>
  <si>
    <t>RADIANTE: CENTRO INTEGRAL DE DERMATOLOǴ Y ESTɔICA S.A.S. SIGLA: SOY RADIANTE</t>
  </si>
  <si>
    <t>Carrera 21 53 75 Consultorio 202 205 207</t>
  </si>
  <si>
    <t>4391900-3212321057</t>
  </si>
  <si>
    <t>gerencia@radiante.com.co</t>
  </si>
  <si>
    <t>RADIANTE: CENTRO INTEGRAL DE DERMATOLOǴ Y ESTɔICA S.A.S.</t>
  </si>
  <si>
    <t>DANIEL TELLEZ RODRIGUEZ</t>
  </si>
  <si>
    <t>Cr 21 53 75 Consultorio 202-205-206-207</t>
  </si>
  <si>
    <t>HEALTH PLUS IPS SAS</t>
  </si>
  <si>
    <t>Calle 120 45A-20</t>
  </si>
  <si>
    <t>comitecientificohealthplus@gmail.com</t>
  </si>
  <si>
    <t>HEALTH PLUS IPS</t>
  </si>
  <si>
    <t>Martha Milena Porras Salas</t>
  </si>
  <si>
    <t>Calle 120 No. 45A-20</t>
  </si>
  <si>
    <t>U-FIT SAS</t>
  </si>
  <si>
    <t>CALLE 129 # 51 -38</t>
  </si>
  <si>
    <t>carlos.gutierrez@u-fit.com.co</t>
  </si>
  <si>
    <t>www.u-fit.com.co</t>
  </si>
  <si>
    <t>CENTRO MEDICO U-FIT</t>
  </si>
  <si>
    <t>CARLOS ANDRES MONTES DURAN</t>
  </si>
  <si>
    <t>CALLE 129 NO. 51 - 38 CONS 1</t>
  </si>
  <si>
    <t>7560107 - 3188044198</t>
  </si>
  <si>
    <t>CUMBRE SALUD OCUPACIONAL SAS</t>
  </si>
  <si>
    <t>Calle 71 21 44 piso 1</t>
  </si>
  <si>
    <t>gerencia@cumbrecolombia.com</t>
  </si>
  <si>
    <t>https://cumbrecolombia.com</t>
  </si>
  <si>
    <t>Cumbre Salud ocupacional sas</t>
  </si>
  <si>
    <t>Jose Rodrigo Robles Camacho</t>
  </si>
  <si>
    <t>calle 71 N. 21 44 Piso 1</t>
  </si>
  <si>
    <t>CUMBRE SALUD OCUPACIONAL SAS SEDE ALTURAS</t>
  </si>
  <si>
    <t>CARRERA 21 # 68 - 56 In 1</t>
  </si>
  <si>
    <t>MEDIKA IPS SOCIEDAD POR ACCIONES SIMPLIFICADA SIGLA MEDIKA IPS SAS</t>
  </si>
  <si>
    <t>AC 127 NO. 7 B - 60</t>
  </si>
  <si>
    <t>3153082249-7462300</t>
  </si>
  <si>
    <t>medikaipsprincipal@gmail.com</t>
  </si>
  <si>
    <t>MEDIKA IPS - SANITAS UAP USAQUEN</t>
  </si>
  <si>
    <t>VICTORIA EUGENIA GUZMAN LUGO</t>
  </si>
  <si>
    <t>7462300-3153082249</t>
  </si>
  <si>
    <t>CIDEGEN COLOMBIA SAS</t>
  </si>
  <si>
    <t>CRA 19 A 90 13 CONSULTORIO 403 B</t>
  </si>
  <si>
    <t>3185325328 / 3162346414</t>
  </si>
  <si>
    <t>colombia@cidegen.com</t>
  </si>
  <si>
    <t>https://cidegen.com/</t>
  </si>
  <si>
    <t>ESTHER ALICIA TAMAMES JUANES</t>
  </si>
  <si>
    <t>3185325328//3162346414</t>
  </si>
  <si>
    <t>calidadcidegen@gmail.com</t>
  </si>
  <si>
    <t>SDO SALUD SOLUCIONES DIAGNOSTICAS SAS</t>
  </si>
  <si>
    <t>Carrera 23 N 45 C 31 CONSULTORIO 216</t>
  </si>
  <si>
    <t>sdosalud@gmail.com</t>
  </si>
  <si>
    <t>SDO SALUD SOLUCIONES DIAGNOSTICAS</t>
  </si>
  <si>
    <t>Clara Liliana Angarita Picon</t>
  </si>
  <si>
    <t>CARRERA 23 N 45 C 31 CONSULTORIO 216</t>
  </si>
  <si>
    <t>H&amp;R AMBULANCIAS IPS SAS H&amp;R AMBULANCIAS</t>
  </si>
  <si>
    <t>CALLE 5 78 B - 60</t>
  </si>
  <si>
    <t>referencia.hyrambulancias@gmail.com</t>
  </si>
  <si>
    <t>H&amp;R AMBULANCIAS IPS S.A.S H&amp;R AMBULANCIAS</t>
  </si>
  <si>
    <t>Heidi Cecilia Carvajal Mejia</t>
  </si>
  <si>
    <t>CALLE 5 78 B-60</t>
  </si>
  <si>
    <t>EVOLUCIA SAS sigla EVOLUCIA</t>
  </si>
  <si>
    <t>CARRERA 23 NUMERO 45C 31 PISO 1 LOCAL 4</t>
  </si>
  <si>
    <t>2870157 3102719359</t>
  </si>
  <si>
    <t>gerencia@evolucia.com.co</t>
  </si>
  <si>
    <t>evolucia.com.co</t>
  </si>
  <si>
    <t>EVOLUCIA</t>
  </si>
  <si>
    <t>CARLOS AUGUSTO MEDINA SIERVO</t>
  </si>
  <si>
    <t>CARRERA 23 NUMERO 45C 31 CONSULTORIO 505A</t>
  </si>
  <si>
    <t>gestioncalidad@evolucia.com.co</t>
  </si>
  <si>
    <t>MEDICINA MOVIL LABORAL IPS SAS</t>
  </si>
  <si>
    <t>Avenida Calle 116 No. 70D-06 Oficina 318 Edificio Fioreepi</t>
  </si>
  <si>
    <t>administracion@medimovilips.com</t>
  </si>
  <si>
    <t>WWW.MEDIMOVILIPS.COM</t>
  </si>
  <si>
    <t>RAFAEL RICARDO BUITRAGO RODRIGUEZ</t>
  </si>
  <si>
    <t>IPS KAMAL CLINICA DE MEDICINA ESTETICA Y SPA SAS</t>
  </si>
  <si>
    <t>CALLE 97 # 65 - 50 PISO 1</t>
  </si>
  <si>
    <t>ipskamal1@gmail.com</t>
  </si>
  <si>
    <t>IPS KAMALCLINICA DE MEDICINA ESTETICA Y SPA SAS</t>
  </si>
  <si>
    <t>AMPARO MONROY VALBUENA</t>
  </si>
  <si>
    <t>ALIANZA DIAGNOSTICA Y QUIRURGICA LIFE SAS SIGLA ADQ LIFE SAS</t>
  </si>
  <si>
    <t>Carrera 7 C #125 11 Consult 201,202,203,204,205,206. piso 3Consult 305,306,307,308,309,310.piso 4 Consult 403,406,407,408.,</t>
  </si>
  <si>
    <t>7954100- 3015162303</t>
  </si>
  <si>
    <t>iruc@hotmail.com</t>
  </si>
  <si>
    <t>WWW.ADQLIFE.COM</t>
  </si>
  <si>
    <t>IVAN ROGELIO URIBE CORREA</t>
  </si>
  <si>
    <t>Carrera 7 C #125 11 Consult 201,202,203,204,205,206. piso 3Consult 305,306,307,308,309,310.piso 4 Consult 403,406,407,408.</t>
  </si>
  <si>
    <t>7954100 - 3015162303</t>
  </si>
  <si>
    <t>coordinacionadministrativa@centromedicolife.com</t>
  </si>
  <si>
    <t>Instituto para las Neurociencias y la Salud IN&amp;S SAS</t>
  </si>
  <si>
    <t>Calle 66 #11-50 Piso 6 Edificio Villorio - Office</t>
  </si>
  <si>
    <t>601-8418995</t>
  </si>
  <si>
    <t>institutonys@gmail.com</t>
  </si>
  <si>
    <t>Mar�Cristina Pinto Dussᮼ/td&gt;</t>
  </si>
  <si>
    <t>analisis y diagnostico en laboratorio sas</t>
  </si>
  <si>
    <t>Avenida carrera 19 95 31 Oficina 902 - 903- 904 - 905</t>
  </si>
  <si>
    <t>contactenos@laboratorioadl.com</t>
  </si>
  <si>
    <t>https://adlaboratoriosas.wixsite.com/misitio</t>
  </si>
  <si>
    <t>manuela gomez ortega</t>
  </si>
  <si>
    <t>OTTO BOCK HEALTHCARE ANDINA S.A.S.</t>
  </si>
  <si>
    <t>Carrera 22 # 164-34</t>
  </si>
  <si>
    <t>informacion@ottobock.com.co</t>
  </si>
  <si>
    <t>https://www.ottobock.com</t>
  </si>
  <si>
    <t>OTTO BOCK IPS</t>
  </si>
  <si>
    <t>NYDIA GONZALEZ GARZON</t>
  </si>
  <si>
    <t>Carrera 22 164 34 Piso 1 Consultorio 1 Zona 1 Zona 2 Zona 3</t>
  </si>
  <si>
    <t>Natanael.nino@ottobock.com.co</t>
  </si>
  <si>
    <t>Centro de Fertilidad Repronat SAS</t>
  </si>
  <si>
    <t>CR 7 B BIS N. 132 - 38 P 8</t>
  </si>
  <si>
    <t>repronat.colombia@gmail.com, calidad@celagem.com</t>
  </si>
  <si>
    <t>https://celagem.com/</t>
  </si>
  <si>
    <t>CELAGEM BOGOT|/td&gt;</t>
  </si>
  <si>
    <t>JUAN JOSE MARTINEZ DIAZ</t>
  </si>
  <si>
    <t>repronat.colombia@gmail.com</t>
  </si>
  <si>
    <t>HEALTH SUPPORT A.R. SAS</t>
  </si>
  <si>
    <t>CARRERA 54 N 37 A 39 SUR PISO 1</t>
  </si>
  <si>
    <t>3004330307 - 300211703</t>
  </si>
  <si>
    <t>calidad@healthsupport.com.co</t>
  </si>
  <si>
    <t>www.healthsupport.com.co</t>
  </si>
  <si>
    <t>ADRIANA PAOLA RIVERA CLAVIJO 1032358137</t>
  </si>
  <si>
    <t>3004330307 - 3002101703</t>
  </si>
  <si>
    <t>BIOENLACE LABORATORIO GENERAL Y ANTIENVEJECIMIENTO S A S BIOENLACE SAS</t>
  </si>
  <si>
    <t>Calle 66 11 50 Oficina 507</t>
  </si>
  <si>
    <t>https://enlacelabcolombia.com/2021/</t>
  </si>
  <si>
    <t>BIOARRAY S.A.S</t>
  </si>
  <si>
    <t>AV. CALLE 127 N. 20 - 16 CS 208 413</t>
  </si>
  <si>
    <t>7625902-3015301356</t>
  </si>
  <si>
    <t>luisa.tobon@bioarray.com.co</t>
  </si>
  <si>
    <t>www.bioarray.es</t>
  </si>
  <si>
    <t>LUISA FERNANDA TOBӎ SALAMANCA</t>
  </si>
  <si>
    <t>3015301356 -7625902</t>
  </si>
  <si>
    <t>IPS TERAPɕTICA INTEGRAL S.A.S</t>
  </si>
  <si>
    <t>KR 71 b # 55 59</t>
  </si>
  <si>
    <t>3173797362 - 6159347</t>
  </si>
  <si>
    <t>ipsterapeuticaintegral@gmail.com</t>
  </si>
  <si>
    <t>IPS TERAPEUTICA INTEGRAL S.A.S</t>
  </si>
  <si>
    <t>Yenny Paola Ortiz Ni񯠼/td&gt;</t>
  </si>
  <si>
    <t>KR 71 B # 55 59</t>
  </si>
  <si>
    <t>CLINICAS WHITE SAS</t>
  </si>
  <si>
    <t>CALLE 99 #14-76 LOCAL 106 S 1</t>
  </si>
  <si>
    <t>habilitacion@clinicaswhite.com</t>
  </si>
  <si>
    <t>https://www.clinicaswhite.com/</t>
  </si>
  <si>
    <t>Cl�cas White S.A.S</t>
  </si>
  <si>
    <t>FRANCISCO ZULUAGA DEL CASTILLO</t>
  </si>
  <si>
    <t>CALLE 99 # 14-76 LOCAL 106 S1</t>
  </si>
  <si>
    <t>LOSCOBOS MEDICAL CENTER SAS - LOSCOBOS</t>
  </si>
  <si>
    <t>AK 9 N 131 A - 40</t>
  </si>
  <si>
    <t>7457581 EXT 2366</t>
  </si>
  <si>
    <t>calidad@loscobosmc.com</t>
  </si>
  <si>
    <t>MIGUEL ERNESTO OTERO CADENA</t>
  </si>
  <si>
    <t>NEUROFAMILIA IPS SAS</t>
  </si>
  <si>
    <t>AV CRA 20 # 86 -57</t>
  </si>
  <si>
    <t>neurofamilia1@gmail.com</t>
  </si>
  <si>
    <t>www.neurofamilia.com.co</t>
  </si>
  <si>
    <t>ISRAEL ZARATE FLOREZ</t>
  </si>
  <si>
    <t>AV CRA 20 # 86- 57</t>
  </si>
  <si>
    <t>NEUROFAMILIA1@GMAIL.COM</t>
  </si>
  <si>
    <t>ORGANIZACION CLINICA LA TOSCANA S.A.S.</t>
  </si>
  <si>
    <t>Calle 84 -19A -25 Antiguo Country Primer Piso</t>
  </si>
  <si>
    <t>3838251 - 3114569612</t>
  </si>
  <si>
    <t>t.jimenez@clinicalatoscana.com.co S.gutierrez@clinicalatoscana.com.co</t>
  </si>
  <si>
    <t>www.clinicalatoscana.com.co</t>
  </si>
  <si>
    <t>Organizaci󮠃l�ca La Toscana</t>
  </si>
  <si>
    <t>Nasly Tatiana Jimenez Gonzalez</t>
  </si>
  <si>
    <t>Calle 84 -19 A- 25 primer piso</t>
  </si>
  <si>
    <t>CLINICA DEL TRABAJADOR SAS</t>
  </si>
  <si>
    <t>Ac 161 16 C 39/51</t>
  </si>
  <si>
    <t>gerencia@clinicadeltrabajador.com</t>
  </si>
  <si>
    <t>CLININORTE 161</t>
  </si>
  <si>
    <t>JULIAN BUITRAGO PIEDRAHITA</t>
  </si>
  <si>
    <t>AMBUSALUD RCP SAS</t>
  </si>
  <si>
    <t>AK 72 N 74 A 46</t>
  </si>
  <si>
    <t>(+57) 3115708936 / (01) 704 5807</t>
  </si>
  <si>
    <t>ambusaludrcp@gmail.com</t>
  </si>
  <si>
    <t>AMBUSALUD RCP</t>
  </si>
  <si>
    <t>ESNEIDY JOHANNA RODRIGUEZ PACHON</t>
  </si>
  <si>
    <t>(+57) 3138432498- 3208906255 (031)7045807</t>
  </si>
  <si>
    <t>REHABILITACIӎ NEUROLOGICA INFANTIL AVANZADA S.A.S SIGLA: NEUROAVANZAR SAS</t>
  </si>
  <si>
    <t>CARRERA 67 # 167 - 61 OFICINA 318, 611, 612, 613, 614 Barrio la Colina OFFICE PARK</t>
  </si>
  <si>
    <t>marcela.arciniegas@gmail.com</t>
  </si>
  <si>
    <t>www.neuroavanzar.com</t>
  </si>
  <si>
    <t>NEUROAVANZAR BOGOTA SAS</t>
  </si>
  <si>
    <t>MARCELA ARCINIEGAS GELVEZ</t>
  </si>
  <si>
    <t>CARRERA 67 # 167 - 61 OFICINA 318, 611, 612, 613, 614</t>
  </si>
  <si>
    <t>Progressos IPS SAS</t>
  </si>
  <si>
    <t>cra 49#99-24 piso 1</t>
  </si>
  <si>
    <t>progressos.ips@gmail.com</t>
  </si>
  <si>
    <t>Maythe de Lourdes Fernandez Zapiain</t>
  </si>
  <si>
    <t>cra 49 #99-24 piso 1</t>
  </si>
  <si>
    <t>SONOAUDIO SAS</t>
  </si>
  <si>
    <t>Carrera 15 No 124 - 29 oficina 703</t>
  </si>
  <si>
    <t>3011685190 - 3158317576</t>
  </si>
  <si>
    <t>arley.millan@sonoaudio.co</t>
  </si>
  <si>
    <t>Sonoaudio SAS</t>
  </si>
  <si>
    <t>Jose Arley Millan Giraldo</t>
  </si>
  <si>
    <t>Carrera 15 No 124 - 29 oficina 702</t>
  </si>
  <si>
    <t>3011685190 - 3224458553</t>
  </si>
  <si>
    <t>coordinadorahseq@sonoaudio.co</t>
  </si>
  <si>
    <t>MEDIK PLUS IPS SAS</t>
  </si>
  <si>
    <t>Avenida carrera 45 108 45 torre 3 oficina 1301</t>
  </si>
  <si>
    <t>calidad@medikplus.com.co</t>
  </si>
  <si>
    <t>https://medikplus.com.co/</t>
  </si>
  <si>
    <t>MEDIK PLUS IPS SAS SEDE BOGOTA</t>
  </si>
  <si>
    <t>Gina Paola Orozco Hernandez</t>
  </si>
  <si>
    <t>Avenida carrera 14 47 39 Local 104</t>
  </si>
  <si>
    <t>calidad@medikplus.com</t>
  </si>
  <si>
    <t>MEDIK PLUS IPS SEDE TEUSAQUILLO</t>
  </si>
  <si>
    <t>JUAN DAVID CASTRO SAENZ</t>
  </si>
  <si>
    <t>CARRERA 13 # 37-37 PISO 2 PISO 3</t>
  </si>
  <si>
    <t>contabilidadmedikplus@gmail.com</t>
  </si>
  <si>
    <t>Ventas y servicios lasertam colombia SAS Sigla: LASERTAM COLOMBIA</t>
  </si>
  <si>
    <t>Carrera 11 a # 94 a 56 Local 5</t>
  </si>
  <si>
    <t>calidadlasertam@gmail.com</t>
  </si>
  <si>
    <t>www.lasertam.co</t>
  </si>
  <si>
    <t>LASERTAM</t>
  </si>
  <si>
    <t>Andrea Natacha Osorio Arturo</t>
  </si>
  <si>
    <t>Carrera 11 a 94 a 56 LOCAL 5</t>
  </si>
  <si>
    <t>LASERTAM 106</t>
  </si>
  <si>
    <t>ANA ACHA SATRUSTEGUI</t>
  </si>
  <si>
    <t>CALLE 106 # 14 - 21 LC 101</t>
  </si>
  <si>
    <t>LASERTAM METROPOLIS</t>
  </si>
  <si>
    <t>JORGE HUGO HERNANDEZ PEREZ</t>
  </si>
  <si>
    <t>Avenida Carrera 68 75 A 50 Local 244</t>
  </si>
  <si>
    <t>CALIDADLASERTAM@GMAIL.COM</t>
  </si>
  <si>
    <t>GUADALUPE MEDICAL CENTER MP CALLEJA SAS</t>
  </si>
  <si>
    <t>CALLE 127 BIS N 19-25 OFICINA 202 A-203-208 EDIFICIO IMAGEN</t>
  </si>
  <si>
    <t>3174323587 -3164537618</t>
  </si>
  <si>
    <t>Gerenciaguadalupe127@gmail.com -miriamp2803@gmail.com</t>
  </si>
  <si>
    <t>GUADALUPE MEDICAL CENTER MP CALLEJA</t>
  </si>
  <si>
    <t>JULIAN RICARDO ARBOLEDA PINEDA</t>
  </si>
  <si>
    <t>CALLE 127 BIS N 19-25 OFICINA 202A-203-208 EDIFICIO IMAGEN</t>
  </si>
  <si>
    <t>3174323587-3164537618</t>
  </si>
  <si>
    <t>gerenciaguadalupe127@gmail.com - julioarboleda8@hotmail.com</t>
  </si>
  <si>
    <t>VIDA SEGURIDAD Y SALUD EN EL TRABAJO SAS</t>
  </si>
  <si>
    <t>AK 45 #109-06</t>
  </si>
  <si>
    <t>3166930844 - 6316588</t>
  </si>
  <si>
    <t>vidabogota@hotmail.com</t>
  </si>
  <si>
    <t>VIDA SEGURIDAD Y SALUD EN EL TRABAJO BOGOTA</t>
  </si>
  <si>
    <t>OSCAR JOSE DAZA MESTRE</t>
  </si>
  <si>
    <t>AK 45 # 109-06</t>
  </si>
  <si>
    <t>SOCIEDAD MEDICA ALCALA SAS</t>
  </si>
  <si>
    <t>AVENIDA CARRERA 19 No 135-24</t>
  </si>
  <si>
    <t>3232255717 -3114849286</t>
  </si>
  <si>
    <t>calidad@smaclinica.com</t>
  </si>
  <si>
    <t>https://smaclinica.com/</t>
  </si>
  <si>
    <t>ANGIE VIVIANA CAсVERAL ASTUDILLO</t>
  </si>
  <si>
    <t>3232255717-3114849286</t>
  </si>
  <si>
    <t>NOVASMILE DELIVERY DENTIST S.A.S</t>
  </si>
  <si>
    <t>CARRERA 19 A # 82- 85 CONSULTORIO 412</t>
  </si>
  <si>
    <t>novasmilebogota@gmail.com</t>
  </si>
  <si>
    <t>www.novasmile.com</t>
  </si>
  <si>
    <t>NOVASMILE COUNTRY</t>
  </si>
  <si>
    <t>ELISA MARIA ARCINIEGAS MONTOYA</t>
  </si>
  <si>
    <t>FUNDACION LA LUZ - CENTRO NACIONAL PARA EL TRATAMIENTO DE LA DROGADICCION</t>
  </si>
  <si>
    <t>AC. 80 N 116 B 35 PISO 2</t>
  </si>
  <si>
    <t>3017481056 - 3008294982</t>
  </si>
  <si>
    <t>representantelegal@fundacionlaluz.net</t>
  </si>
  <si>
    <t>www.fundacionlaluz.co</t>
  </si>
  <si>
    <t>Duvian Fernando Ruiz Salamanca</t>
  </si>
  <si>
    <t>MEISAR IPS SAS</t>
  </si>
  <si>
    <t>CALLE 123 N 7 C 06</t>
  </si>
  <si>
    <t>meisar2017@gmail.com</t>
  </si>
  <si>
    <t>OSCAR LEONARDO RIVERA VELANDIA</t>
  </si>
  <si>
    <t>CL 123 N 7 C 06 CONSULTORIO 1 Y 2</t>
  </si>
  <si>
    <t>CLINICA COLOMBIANA DE ESPECIALISTAS CLINICOL SAS</t>
  </si>
  <si>
    <t>AK 9 #127 B - 16 PISO 7</t>
  </si>
  <si>
    <t>calidadclinicabellasuiza@yahoo.com</t>
  </si>
  <si>
    <t>CLINICA BELLA SUIZA</t>
  </si>
  <si>
    <t>WILMAR LODWING CAMACHO ALFONSO</t>
  </si>
  <si>
    <t>AK 9 # 127 B - 16 PISO 7</t>
  </si>
  <si>
    <t>NABESADE SAS</t>
  </si>
  <si>
    <t>CALLE 127 A # 7 - 19 OFICINA 601 A</t>
  </si>
  <si>
    <t>calidad@luismiguelzabaleta.com</t>
  </si>
  <si>
    <t>Paula Andrea Betancur</t>
  </si>
  <si>
    <t>METVIDA IPS S.A.S</t>
  </si>
  <si>
    <t>AC 161 17-32 piso 3</t>
  </si>
  <si>
    <t>armando.otero@me.com</t>
  </si>
  <si>
    <t>ARMANDO RAMӎ OTERO MONTES</t>
  </si>
  <si>
    <t>METVIDA IPS NORTH POINT</t>
  </si>
  <si>
    <t>Armando Ramon Otero Montes</t>
  </si>
  <si>
    <t>AK 7 155 - 80 Local 45-46</t>
  </si>
  <si>
    <t>Vamos Salud IPS SAS</t>
  </si>
  <si>
    <t>AK 80 No 55 A SUR 20 LC 13,14,15</t>
  </si>
  <si>
    <t>5477650 - 3138015944</t>
  </si>
  <si>
    <t>vamos.saludips@gmail.com</t>
  </si>
  <si>
    <t>Erika Fernanda Mendez Chavez</t>
  </si>
  <si>
    <t>AK 80 No 55A SUR 20 LC 13,14,15</t>
  </si>
  <si>
    <t>IPS SOLUCIONES MEDICAS EN SALUD S.A.S</t>
  </si>
  <si>
    <t>AVENIDA CARRERA 70 # 108-31 PISO 1</t>
  </si>
  <si>
    <t>3115613315 - 3113128460 - 6017498384</t>
  </si>
  <si>
    <t>administracion@solucionesmedicasips.com</t>
  </si>
  <si>
    <t>SANDRA MILENE PARRA MORALES</t>
  </si>
  <si>
    <t>3115613315 - 3113128460 - 601 7498384</t>
  </si>
  <si>
    <t>BOLIVAR SALUD IPS S.A.S</t>
  </si>
  <si>
    <t>AV EL DORADO # 68 C 61 OF 704 - 733</t>
  </si>
  <si>
    <t>notificacionesips@saludbolivar.com</t>
  </si>
  <si>
    <t>Luzdary Mercedes L󰥺 Marsiglia</t>
  </si>
  <si>
    <t>AV EL DORADO # 68 C 61 OFICINA 704 - 733</t>
  </si>
  <si>
    <t>4270500 4270501</t>
  </si>
  <si>
    <t>BOLIVAR SALUD IPS S.A.S SEDE CALLE 134</t>
  </si>
  <si>
    <t>CALLE 134 # 7B-83 CONS 513</t>
  </si>
  <si>
    <t>BOLIVAR SALUD IPS S.A.S SEDE CARRERA 10</t>
  </si>
  <si>
    <t>Carrera 10 # 16 -39 Mezzanine 106</t>
  </si>
  <si>
    <t>3410077 ext 98079</t>
  </si>
  <si>
    <t>BOLIVAR SALUD IPS S.A.S SEDE METRӐOLIS</t>
  </si>
  <si>
    <t>LUZDARY MERCEDES LӐEZ MARSIGLIA</t>
  </si>
  <si>
    <t>AK 68 No. 75A 50 Locales 110A, 111A, 112A, 113A, 114A.</t>
  </si>
  <si>
    <t>lnotificacionesips@saludbolivar.com</t>
  </si>
  <si>
    <t>IPS Cuidar HQS S.A.S</t>
  </si>
  <si>
    <t>AK 45 # 168 59/67 PI 5</t>
  </si>
  <si>
    <t>7432427/3115125349</t>
  </si>
  <si>
    <t>cuidarhqs@gmail.com</t>
  </si>
  <si>
    <t>www.cuidarhqs.com.co</t>
  </si>
  <si>
    <t>IPS CUIDAR HQS SAS</t>
  </si>
  <si>
    <t>CLINICA NUEVA EL LAGO S.A.S.</t>
  </si>
  <si>
    <t>Calle 76 No. 13-46</t>
  </si>
  <si>
    <t>3078061- 3123459128</t>
  </si>
  <si>
    <t>info@clinicanuevaellago.com</t>
  </si>
  <si>
    <t>CLINICA NUEVA EL LAGO S.A.S - SEDE CALLE 76</t>
  </si>
  <si>
    <t>ANDRES ALBERTO MARTINEZ GUERRERO</t>
  </si>
  <si>
    <t>Calle 76 No. 15-55 S󴡮o 1 (S1-1 S1-2 S1-6 S1-7 S1-8 S1-9 S1-10 S1-11) Pisos 1-2-3-4-5-6-7-8-9</t>
  </si>
  <si>
    <t>3078061 - 3123459128</t>
  </si>
  <si>
    <t>Hero institute bogota s.a.s</t>
  </si>
  <si>
    <t>CALLE 117 # 6 A 60 OFICINA 509</t>
  </si>
  <si>
    <t>info@heroinstitute.co</t>
  </si>
  <si>
    <t>HERO INSTITUTE BOGOTA SAS</t>
  </si>
  <si>
    <t>JUAN CARLOS MALDONADO ESCOBAR</t>
  </si>
  <si>
    <t>CLINICA ESPECIALISTA DE COLOMBIA EN CORAZON S.A.S.</t>
  </si>
  <si>
    <t>AK 19 No.102-53 OF 201</t>
  </si>
  <si>
    <t>marolocirujano@yahoo.es</t>
  </si>
  <si>
    <t>CL͎ICA ESPECIALISTA DE COLOMBIA EN CORAZON S.A.S.</t>
  </si>
  <si>
    <t>MARIA ROCIO LOBO RUIZ</t>
  </si>
  <si>
    <t>AK 19 No. 102-53 OF 201</t>
  </si>
  <si>
    <t>GASTROENTEROLOGIA DIAGNOSTICO Y TRATAMIENTO IPS SAS</t>
  </si>
  <si>
    <t>AK 19 # 102 - 53 CONSULTORIO 215 - 216</t>
  </si>
  <si>
    <t>gastroproctologia@gmail.com</t>
  </si>
  <si>
    <t>DIGESTIVE</t>
  </si>
  <si>
    <t>JOHN ALEXANDER GUZMAN CAMACHO</t>
  </si>
  <si>
    <t>IPS ALPHA MEDI SAS</t>
  </si>
  <si>
    <t>KR 74A 52A 11</t>
  </si>
  <si>
    <t>IPSALPHAMEDI@GMAIL.COM</t>
  </si>
  <si>
    <t>CRC IPS ALPHA MEDI S.A.S.</t>
  </si>
  <si>
    <t>MIGUEL ANGEL DIAZ GARCIA</t>
  </si>
  <si>
    <t>7893192 - 3202032821</t>
  </si>
  <si>
    <t>antonymar2004@yahoo.com</t>
  </si>
  <si>
    <t>ODONTO EXPRESS ODONTOLOǴ ESPECIALIZADA SAS</t>
  </si>
  <si>
    <t>TRANSVERSAL 21 A SUR # 21 18</t>
  </si>
  <si>
    <t>calidad@odontoexpress.co</t>
  </si>
  <si>
    <t>ODONTO EXPRESS RESTREPO</t>
  </si>
  <si>
    <t>CAMILO ENRIQUE GONZALEZ CUBILLOS</t>
  </si>
  <si>
    <t>TRANSVERSAL 21 A SUR # 21 - 18</t>
  </si>
  <si>
    <t>cgonzalez@odontoexpress.co</t>
  </si>
  <si>
    <t>ODONTO EXPRESS 2</t>
  </si>
  <si>
    <t>TRANSVERSAL 21A # 21A 16 SUR</t>
  </si>
  <si>
    <t>ODONTO EXPRESS 3</t>
  </si>
  <si>
    <t>CARRERA 100 N 17 A 09</t>
  </si>
  <si>
    <t>ODONTO EXPRESS CENTRO MAYOR SEDE 4</t>
  </si>
  <si>
    <t>CAMILO GONZALEZ CUBILLOS</t>
  </si>
  <si>
    <t>CALLE 38A SUR N 34 D - 51 LOCAL 2171</t>
  </si>
  <si>
    <t>310 3233382 / 3108079915</t>
  </si>
  <si>
    <t>directora_sede4@odontoexpress.co</t>
  </si>
  <si>
    <t>HEALTH GROUP SAS</t>
  </si>
  <si>
    <t>CALLE 15 SUR # 18-54 PISO 1 LOCAL 1</t>
  </si>
  <si>
    <t>3124560928 - 3125732665</t>
  </si>
  <si>
    <t>calidadhealthgroupsas@gmail.com</t>
  </si>
  <si>
    <t>www.healthgroup.com.co</t>
  </si>
  <si>
    <t>HEALTH GROUP SAS RESTREPO</t>
  </si>
  <si>
    <t>MARITZA LILIANA CRISTANCHO AREVALO</t>
  </si>
  <si>
    <t>3124560928-3125732665</t>
  </si>
  <si>
    <t>Helistar SAS</t>
  </si>
  <si>
    <t>AER EL DORADO EN 1 IN 8</t>
  </si>
  <si>
    <t>6017424958 ext 109 -113 3143574028</t>
  </si>
  <si>
    <t>directormedico@helistaraviacion.com</t>
  </si>
  <si>
    <t>Helistar SAS IPS</t>
  </si>
  <si>
    <t>CARLO EMMANUEL CABRA MARTINEZ</t>
  </si>
  <si>
    <t>AER El Dorado En 1 In 8 OF M-103</t>
  </si>
  <si>
    <t>3143574028 / 3124506370</t>
  </si>
  <si>
    <t>ASOCIACION MEDICA PARA LA ATENCION INTEGRAL S.A.S CLINICA NUEVO MONTERREY</t>
  </si>
  <si>
    <t>CALLE 102 # 70 B 57</t>
  </si>
  <si>
    <t>3225369493-3203734392</t>
  </si>
  <si>
    <t>Llopez@nuevomonterrey.com.co</t>
  </si>
  <si>
    <t>JUAN CARLOS TRUJILLO BERNAL</t>
  </si>
  <si>
    <t>calidad@nuevomonterrey.com.co</t>
  </si>
  <si>
    <t>KOM CARE IPS S.A.S. Sigla KOM CARE IPS S.A.S.</t>
  </si>
  <si>
    <t>CARRERA 11A # 98-50 PISO 6</t>
  </si>
  <si>
    <t>reportes@komcareips.com.co</t>
  </si>
  <si>
    <t>Andres Mauricio Zapata Garzon</t>
  </si>
  <si>
    <t>Cr 11 A #98-50 P6</t>
  </si>
  <si>
    <t>BIGENICS COLOMBIA SAS</t>
  </si>
  <si>
    <t>CARRERA 7 N 113 - 43 OFICINA 706 EDIFICIO TORRE SAMSUNG</t>
  </si>
  <si>
    <t>info@bigenics.com</t>
  </si>
  <si>
    <t>MARIA LILIANA NIETO PUERTO</t>
  </si>
  <si>
    <t>QUIASMO IPS S.A.S</t>
  </si>
  <si>
    <t>CL 67 # 14 A 14</t>
  </si>
  <si>
    <t>3227007526-3105355708</t>
  </si>
  <si>
    <t>ips@quiasmo.co</t>
  </si>
  <si>
    <t>JHON JAIRO CARVAJAL GOMEZ</t>
  </si>
  <si>
    <t>jhoncg@quiasmo.co</t>
  </si>
  <si>
    <t>AIR LIQUIDE COLOMBIA SAS</t>
  </si>
  <si>
    <t>CR. 7 NO. 113 43 OF 902 TO SAMSUNG</t>
  </si>
  <si>
    <t>calidad-salud@airliquide.com</t>
  </si>
  <si>
    <t>AIR LIQUIDE COLOMBIA AGENCIA LA CASTELLANA</t>
  </si>
  <si>
    <t>YESMIT JOHANNA ARCINIEGAS LADINO</t>
  </si>
  <si>
    <t>AK 45 # 94 23 TO A PI 2</t>
  </si>
  <si>
    <t>AIR LIQUIDE COLOMBIA AGENCIA LAS AMERICAS</t>
  </si>
  <si>
    <t>PIERRE MARIE VALTON</t>
  </si>
  <si>
    <t>Carrera 44 No 14-95 P 2</t>
  </si>
  <si>
    <t>SYNLAB COLOMBIA S.A.S.</t>
  </si>
  <si>
    <t>CARRERA 14A N 101-73 - Barrio:RINCON DEL CHICO</t>
  </si>
  <si>
    <t>yasmin.perez@synlab.co / claudia.dimate@synlab.co / erika.echavarria@synlab.co / /alejandra.serna@synlab.co / mariangeles.davila@synlab.co / servicliente@synlab.co</t>
  </si>
  <si>
    <t>www.synlab.co</t>
  </si>
  <si>
    <t>SYNLAB COUNTRY</t>
  </si>
  <si>
    <t>Sandor Tibor Spakovszky</t>
  </si>
  <si>
    <t>CARRERA 16 N 82-95 local 102</t>
  </si>
  <si>
    <t>SYNLAB CENTRAL DE PROCESOS CENTRO</t>
  </si>
  <si>
    <t>CARRERA 14A N 101-73</t>
  </si>
  <si>
    <t>SYNLAB NOGAL</t>
  </si>
  <si>
    <t>Cra 7 N 82-66 Piso 2 Cs 203 -204</t>
  </si>
  <si>
    <t>SYNLAB Paseo villa del rio</t>
  </si>
  <si>
    <t>Diagonal 57 C Sur #62-60 Local 403 C.C. Paseo Villa del Rio</t>
  </si>
  <si>
    <t>ANALIZAR CALLE 103</t>
  </si>
  <si>
    <t>SANDOR TIBOR SPAKOVSKY</t>
  </si>
  <si>
    <t>CL 103 # 14A - 76</t>
  </si>
  <si>
    <t>ANALIZAR CHAPINERO</t>
  </si>
  <si>
    <t>Carrera 13 # 48 - 26 cons 101</t>
  </si>
  <si>
    <t>yasmin.perez@synlab.co / claudia.dimate@synlab.co / erika.echavarria@synlab.co / /alejandra.serna@synlab.co / mariangeles.davila@synlab.c o / servicliente@synlab.co</t>
  </si>
  <si>
    <t>ANALIZAR MORATO</t>
  </si>
  <si>
    <t>AV CL 116 # 71A - 40</t>
  </si>
  <si>
    <t>yasmin.perez@synlab.co/claudia.dimate@synlab.co/erika.echavarria@synlab.co//alejandra.serna@synlab.co/mariangeles.davila@synlab.co/servicliente@synlab.co</t>
  </si>
  <si>
    <t>ANALIZAR SUBA</t>
  </si>
  <si>
    <t>Avenida calle 145 #103B-69 local 203 y 204</t>
  </si>
  <si>
    <t>ANALIZAR TUNAL</t>
  </si>
  <si>
    <t>Carrera 24 C # 48-94 SUR Locales:301-302 Centro Comercial Ciudad Tunal</t>
  </si>
  <si>
    <t>ANALIZAR ALMIRANTE COLON</t>
  </si>
  <si>
    <t>KR 16 # 84A -09 CS 522</t>
  </si>
  <si>
    <t>ANALIZAR SABANA</t>
  </si>
  <si>
    <t>AK 7 # 119 - 14 LC 109</t>
  </si>
  <si>
    <t>ANALIZAR CALLE 127</t>
  </si>
  <si>
    <t>Av. Calle 127 No 20-16 Cons. 415</t>
  </si>
  <si>
    <t>ANALIZAR BOSQUE</t>
  </si>
  <si>
    <t>Avenida Calle 134 #7B-83 oficina 916</t>
  </si>
  <si>
    <t>ANALIZAR CALLE 170</t>
  </si>
  <si>
    <t>AV CRA 58 # 169A - 55 Local 132 y 133</t>
  </si>
  <si>
    <t>SYNLAB SALITRE PLAZA</t>
  </si>
  <si>
    <t>Carrera 68B #24-39 local 343 Centro comercial Salitre Plaza</t>
  </si>
  <si>
    <t>ANALIZAR COLINA</t>
  </si>
  <si>
    <t>Avenida Carrera 58 # 137B - 01 Locales: 48,49 y 50 Centro Comercial Portoalegre</t>
  </si>
  <si>
    <t>ANALIZAR CALLE 93</t>
  </si>
  <si>
    <t>Cra. 17 # 93-09 Local 103</t>
  </si>
  <si>
    <t>yasmin.perez@synlab.co/cl audia.dimate@synlab.co/erik a.echavarria@synlab.co//alej andra.serna@synlab.co/mari angeles.davila@synlab.co/se rvicliente@synlab.co</t>
  </si>
  <si>
    <t>ANALIZAR PRIMAVERA</t>
  </si>
  <si>
    <t>Calle 79 # 89A -40 Locales 207-208 y 218 C.C Primavera Plaza</t>
  </si>
  <si>
    <t>ANALIZAR MAZUREN</t>
  </si>
  <si>
    <t>Cra 54 No. 152 A- 85 local 6</t>
  </si>
  <si>
    <t>yasmin.perez@synlab.co/claudia.dimate@synlab.co/erika.echavarria@synlab.co/alejandra.serna@synlab.co/mariangeles.davila@synlab.co/servicliente@synlab.co</t>
  </si>
  <si>
    <t>ANALIZAR CENTRO INTERNACIONAL</t>
  </si>
  <si>
    <t>Calle 28 # 13A-24 Local 7</t>
  </si>
  <si>
    <t>ANALIZAR CEDRITOS</t>
  </si>
  <si>
    <t>Avenida Calle 147 # 17-78 Local 104</t>
  </si>
  <si>
    <t>ANALIZAR GRAN ESTACION</t>
  </si>
  <si>
    <t>Avenida Carrera 60 # 24 - 09 Local 1-12 C.C. Gran Esaci󮠃ostado Esfera</t>
  </si>
  <si>
    <t>ANALIZAR PORCIڎCULA</t>
  </si>
  <si>
    <t>Carrera 11 #73-40 Local 2</t>
  </si>
  <si>
    <t>SYNLAB GALEŔS</t>
  </si>
  <si>
    <t>AV Calle 53 # 27- 71 Piso 3 Local 301</t>
  </si>
  <si>
    <t>6015938393 Opci󮠷 Temas normativos</t>
  </si>
  <si>
    <t>yasmin.perez@synlab.co; claudia.dimate@synlab.co; erika.echavarria@synlab.co; alejandra.serna@synlab.co; mariangeles.davila@synlab.co; servicliente@synlab.co</t>
  </si>
  <si>
    <t>NUARA, ESENCIA DE LA BELLEZA DR MINYOR AVELLANEDA SAS. SIGLA: NUARA SAS</t>
  </si>
  <si>
    <t>CALLE 122 # 22-49, PISO 1</t>
  </si>
  <si>
    <t>3103298868-3118306373</t>
  </si>
  <si>
    <t>doctoravellaneda@gmail.com</t>
  </si>
  <si>
    <t>https://nuarabelleza.com/</t>
  </si>
  <si>
    <t>NUARA SAS</t>
  </si>
  <si>
    <t>BENYI AVELLANEDA MOLANO</t>
  </si>
  <si>
    <t>Ips Santa Maria S.A.S</t>
  </si>
  <si>
    <t>AV Carrera 19 numero 102-53 Oficina 513</t>
  </si>
  <si>
    <t>8051917-3133170414-3163999889</t>
  </si>
  <si>
    <t>ipsterapiassantamaria@gmail.com</t>
  </si>
  <si>
    <t>Carmen Lucia Castillo Pulido</t>
  </si>
  <si>
    <t>ASOCIADOS DENTALES SAS</t>
  </si>
  <si>
    <t>CALLE 151 N 16 56 LC 1172</t>
  </si>
  <si>
    <t>joseantonio28@gmail.com</t>
  </si>
  <si>
    <t>ODONTOLOGIA DE MARLON BECERRA CENTRO COMERCIAL CEDRITOS</t>
  </si>
  <si>
    <t>JOSE ANTONIO CUMBE FLOREZ</t>
  </si>
  <si>
    <t>DENTAL FANTASY S.A.S</t>
  </si>
  <si>
    <t>CL 20 N 82-52 CENTRO COMERCIAL HAYUELOS LC 2-40</t>
  </si>
  <si>
    <t>dentalfantasy@hotmail.com</t>
  </si>
  <si>
    <t>DENTAL FANTASY</t>
  </si>
  <si>
    <t>SANDRA PATRICIA HEREDIA TOCA</t>
  </si>
  <si>
    <t>314 7236872</t>
  </si>
  <si>
    <t>dentalfantasy1@gmail.com</t>
  </si>
  <si>
    <t>DENTAL FANTASY MARINO</t>
  </si>
  <si>
    <t>CALLE 185 N 45-03 SUBA CENTRO COMERCIAL SANTAFE N3-126</t>
  </si>
  <si>
    <t>310 3463149</t>
  </si>
  <si>
    <t>dentalfantasysantafe@gmail.com</t>
  </si>
  <si>
    <t>SEGURIDAD Y SALUD OCUPACIONAL SYSO IPS SAS</t>
  </si>
  <si>
    <t>CALLE 59 NO. 35 A - 43 PISO UNO</t>
  </si>
  <si>
    <t>m.castiblanco@sysoips.com</t>
  </si>
  <si>
    <t>GLADYS MARLEN CASTIBLANCO RONCANCIO</t>
  </si>
  <si>
    <t>SERVICIOS MEDICOS INTEGRALES MEDICOL SAS</t>
  </si>
  <si>
    <t>CRA 16A 80 63 OF 302</t>
  </si>
  <si>
    <t>gerencia@aequi.com.co</t>
  </si>
  <si>
    <t>https://www.aequi.com.co</t>
  </si>
  <si>
    <t>Aequi Country</t>
  </si>
  <si>
    <t>Juliana Montenegro Castillo</t>
  </si>
  <si>
    <t>Calle 83 16 A 44 consultorio 501 B - 501 C</t>
  </si>
  <si>
    <t>AEQUI MOVISTAR</t>
  </si>
  <si>
    <t>CALLE 63A 35 16</t>
  </si>
  <si>
    <t>ISE HEALTH SAS</t>
  </si>
  <si>
    <t>CR 67 # 167 61 OFC 419</t>
  </si>
  <si>
    <t>ingridcvarela@gmail.com</t>
  </si>
  <si>
    <t>WWW.ISEHEALTH.COM.CO</t>
  </si>
  <si>
    <t>MELISSA ALEJANDRA CANO CEDEя</t>
  </si>
  <si>
    <t>IPS CMT Soluciones Medicas SAS</t>
  </si>
  <si>
    <t>AVENIDA CARRERA 45 # 137 48</t>
  </si>
  <si>
    <t>gerencia@cmtespecialistas.com</t>
  </si>
  <si>
    <t>CMT CENTRO DE ESPECIALISTAS IPS SEDE ALCALA</t>
  </si>
  <si>
    <t>ANA BEATRIZ SANABRIA HERNANDEZ</t>
  </si>
  <si>
    <t>Gerencia@cmtespecialistas.com</t>
  </si>
  <si>
    <t>CMT CENTRO DE ESPECIALISTAS IPS</t>
  </si>
  <si>
    <t>Cra 26 # 1 H 65</t>
  </si>
  <si>
    <t>MOVILMEDICA ATENCIӎ INTEGRAL DOMICILIARIA SAS</t>
  </si>
  <si>
    <t>AK 30 # 25B 19 PISO 1</t>
  </si>
  <si>
    <t>gerencia@movilmedica.com.co</t>
  </si>
  <si>
    <t>https://www.movilmedica.com</t>
  </si>
  <si>
    <t>MOVILMEDICA ATENCION INTEGRAL DOMICILIARIA SAS</t>
  </si>
  <si>
    <t>LINA PAOLA BOTERO DAZA</t>
  </si>
  <si>
    <t>ROHI IPS SAS.</t>
  </si>
  <si>
    <t>calle18 NO 77-67 OFICINA 505 Y 506 CENTRO COMERCIAL MERIDIANO ORIENTAL</t>
  </si>
  <si>
    <t>gerencia@rohiips.com</t>
  </si>
  <si>
    <t>ROHI IPS SAS. BOGOTA</t>
  </si>
  <si>
    <t>JENNY MARCELA HERRERA VELASCO</t>
  </si>
  <si>
    <t>Calle 18 No.77-67 Oficina 505 y 506 Centro Comercial Meridiano Oriental</t>
  </si>
  <si>
    <t>calidadrohi@gmail.com</t>
  </si>
  <si>
    <t>ENFERCARE SAS</t>
  </si>
  <si>
    <t>Avenida Calle 145 91 19 Bq 12 Lc 204</t>
  </si>
  <si>
    <t>3176353366-3502268262</t>
  </si>
  <si>
    <t>enfercaredc@gmail.com</t>
  </si>
  <si>
    <t>WWW.ENFERCARE.COM.CO</t>
  </si>
  <si>
    <t>ENFERCARE</t>
  </si>
  <si>
    <t>ALEXANDER DIAZ ALARCON</t>
  </si>
  <si>
    <t>DIAGNOSIS COLOMBIA SAS</t>
  </si>
  <si>
    <t>CR 14 98 95 CS 210</t>
  </si>
  <si>
    <t>DIAGNOSISCOLOMBIASAS@GMAIL.COM</t>
  </si>
  <si>
    <t>OLGA LUCIA CUBIDES SANCHEZ</t>
  </si>
  <si>
    <t>CL͎ICA DE CIRUǴ PLSTICA CERO DOLOR S.A.S.</t>
  </si>
  <si>
    <t>AK 45 102 A 03</t>
  </si>
  <si>
    <t>7027027/3023055895/3012137377</t>
  </si>
  <si>
    <t>dr.francoalmenarez@hotmail.com</t>
  </si>
  <si>
    <t>ESTEBAN FRANCISCO ALMENAREZ DIAZ</t>
  </si>
  <si>
    <t>DIANA DUSSAN CLINICA AVANZADA SAS</t>
  </si>
  <si>
    <t>calle 125 # 17 -21</t>
  </si>
  <si>
    <t>6789657 - 3213234399</t>
  </si>
  <si>
    <t>clinicadianadussan@gmail.com</t>
  </si>
  <si>
    <t>DIANA DUSSAN CLINICA AVANZADA</t>
  </si>
  <si>
    <t>FERNANDO OCTAVIO VARGAS LESACA</t>
  </si>
  <si>
    <t>6789657- 3213234399</t>
  </si>
  <si>
    <t>CARDIOIB S.A.S</t>
  </si>
  <si>
    <t>Calle 86 B # 49 D - 28 Oficina 205 - 203 - 202</t>
  </si>
  <si>
    <t>administrativo@cardioib.com</t>
  </si>
  <si>
    <t>CRISTINA ARGENIS SANABRIA MONTILLA</t>
  </si>
  <si>
    <t>CALLE 86 B # 49 D - 28 Oficina 205-203 - 202</t>
  </si>
  <si>
    <t>REHABSALUD SAS</t>
  </si>
  <si>
    <t>calle 106 # 23-61 consultorio 206</t>
  </si>
  <si>
    <t>INFO@FISIOWOMEN.COM</t>
  </si>
  <si>
    <t>FISIOWOMEN</t>
  </si>
  <si>
    <t>ANA LUCIA PARDO ROA</t>
  </si>
  <si>
    <t>calle 106 # 23 61 consultorio 206</t>
  </si>
  <si>
    <t>JAHN DUBERY MANCHOLA GONZALEZ</t>
  </si>
  <si>
    <t>CALLE 99 # 49-38 OF 704</t>
  </si>
  <si>
    <t>PRAXISALUD IPS SAS</t>
  </si>
  <si>
    <t>DIAGONAL 115 A 70 D 42</t>
  </si>
  <si>
    <t>praxisaludips@gmail.com</t>
  </si>
  <si>
    <t>www.praxisaludips.com</t>
  </si>
  <si>
    <t>Olga Lucia Moya S᥮z</t>
  </si>
  <si>
    <t>DENTAL SER S.A.S</t>
  </si>
  <si>
    <t>CALLE 11 N 60 - 30 LOCAL 2</t>
  </si>
  <si>
    <t>601-7448349</t>
  </si>
  <si>
    <t>direccion@dentalser.com</t>
  </si>
  <si>
    <t>DENTAL SER S.A.S.</t>
  </si>
  <si>
    <t>JUAN FERNANDO SALAZAR SAAVEDRA</t>
  </si>
  <si>
    <t>DENTAL SER SAS ENGATIVA</t>
  </si>
  <si>
    <t>AVENIDA CARRERA 86 # 55 A - 75 L3 - 215, L3 - 219, L3 - 231, L3 - 235, L3 - 223, L3 - 227</t>
  </si>
  <si>
    <t>UBIMED SAS</t>
  </si>
  <si>
    <t>carrera 7 Bis 124 56 consultorio 209</t>
  </si>
  <si>
    <t>milenaguilera@gmail.com</t>
  </si>
  <si>
    <t>http://ubimed.com.co</t>
  </si>
  <si>
    <t>Sandra Milena Aguilera Mart�/td&gt;</t>
  </si>
  <si>
    <t>sandraaguilera@ubimed.com.co</t>
  </si>
  <si>
    <t>OXIPRO S A S</t>
  </si>
  <si>
    <t>Carrera 22 No 168-40</t>
  </si>
  <si>
    <t>4672264-4672265</t>
  </si>
  <si>
    <t>procesos2@oxigenoensucasa.com</t>
  </si>
  <si>
    <t>OXIPRO AVENIDA CHILE</t>
  </si>
  <si>
    <t>AURELIANO SANINT DURAN</t>
  </si>
  <si>
    <t>CR 12 # 71- 32 OF 702 C</t>
  </si>
  <si>
    <t>3002106020-4672264/65</t>
  </si>
  <si>
    <t>Cl�ca Santa M󮩣a de Bogot᠓AS</t>
  </si>
  <si>
    <t>Carrera 49 d 91-33 , piso 1,3,4,5,6,7 y 2 Ala Norte</t>
  </si>
  <si>
    <t>calidadca@clinicaazul.co</t>
  </si>
  <si>
    <t>CL͎ICA AZUL</t>
  </si>
  <si>
    <t>Juan Guillermos Salgado Arias</t>
  </si>
  <si>
    <t>KR 49 D # 91 33, piso 1,3,4,5,6,7,y 2 ala Norte</t>
  </si>
  <si>
    <t>Cl�ca Santa M󮩣a Sede Ambulatoria</t>
  </si>
  <si>
    <t>AK 50 # 91 38 PISO 3</t>
  </si>
  <si>
    <t>CENTROS MEDICOS COLSANITAS S.A.S</t>
  </si>
  <si>
    <t>AC 100 # 11B 67</t>
  </si>
  <si>
    <t>CENTRO MɄICO COLSANITAS PREMIUM SANTA ANA</t>
  </si>
  <si>
    <t>Carolina Caballero Navarro</t>
  </si>
  <si>
    <t>ED TO EMPRESARIAL PACIFIC - CLL 110 No. 9 - 25. Pi 1 costado oriental, Pi 2</t>
  </si>
  <si>
    <t>6466060 EXT: 5711495</t>
  </si>
  <si>
    <t>CENTRO MEDICO COLSANITAS PREMIUM LA CALLEJA</t>
  </si>
  <si>
    <t>CL 127 # 20 16 PI 6 IN 2, IN 3, IN 4</t>
  </si>
  <si>
    <t>6466060 ext 5712052</t>
  </si>
  <si>
    <t>CENTRO MEDICO COLSANITAS PREMIUM 108</t>
  </si>
  <si>
    <t>AK 45 #108A-50 ED BOSH P2</t>
  </si>
  <si>
    <t>CENTRO MEDICO COLSANITAS PREMIUM COLINA CAMPESTRE</t>
  </si>
  <si>
    <t>CARRERA 59 # 152- 19</t>
  </si>
  <si>
    <t>CENTRO MEDICO COLSANITAS PREMIUM SALITRE</t>
  </si>
  <si>
    <t>Kr 68A 24B 10 T0 2 Pi 4</t>
  </si>
  <si>
    <t>CENTRO MEDICO COLSANITAS PREMIUM ILARCO</t>
  </si>
  <si>
    <t>Transversal 60 115 58 Torre C Lc 104</t>
  </si>
  <si>
    <t>CENTRO MEDICO COLSANITAS PREMIUM CALLE 96</t>
  </si>
  <si>
    <t>KR 14 96 22 / KR 14 96 08 P1, P2 INT 202,203 Y 204, P3, P4.</t>
  </si>
  <si>
    <t>CENTRO MEDICO COLSANITAS PREMIUM CEDRO BOLIVAR</t>
  </si>
  <si>
    <t>CALLE 152 19 28 PISO 1- PISO 2 INT. 201 - PISO 3 INT 301</t>
  </si>
  <si>
    <t>CENTRO MEDICO PLAZA DE LAS AMERICAS</t>
  </si>
  <si>
    <t>Juan Carlos Garcia Masquita</t>
  </si>
  <si>
    <t>Carrera 71 D Sur 6 94 Local 3003 - 4002 Cc Plaza De Las Americas</t>
  </si>
  <si>
    <t>mnempeque@epssanitas.com</t>
  </si>
  <si>
    <t>CENTRO MEDICO NARIя</t>
  </si>
  <si>
    <t>Juan Carlos Garc�Masquita</t>
  </si>
  <si>
    <t>Carrera 17 Sur 16 51</t>
  </si>
  <si>
    <t>6466060 - 7428383</t>
  </si>
  <si>
    <t>CENTRO MEDICO TUNAL</t>
  </si>
  <si>
    <t>Diagonal 52 A Sur 25 16</t>
  </si>
  <si>
    <t>CENTRO MɄICO KENNEDY BOMBEROS</t>
  </si>
  <si>
    <t>Calle 42 Sur 78 K 30</t>
  </si>
  <si>
    <t>5895478 EXT 5718746</t>
  </si>
  <si>
    <t>CENTRO MEDICO TEUSAQUILLO</t>
  </si>
  <si>
    <t>Cl 31 B N 14 - 26</t>
  </si>
  <si>
    <t>CENTRO MEDICO CHICO NAVARRA</t>
  </si>
  <si>
    <t>Calle 106 19 19</t>
  </si>
  <si>
    <t>6466060 - 5895394</t>
  </si>
  <si>
    <t>CENTRO MEDICO FONTIBON</t>
  </si>
  <si>
    <t>Carrera 96 H 16 J 04</t>
  </si>
  <si>
    <t>CENTRO MEDICO CALLE 80 PISO 3</t>
  </si>
  <si>
    <t>Carrera 89 A # 79 -51 Piso 3</t>
  </si>
  <si>
    <t>CENTRO MEDICO GALERIAS</t>
  </si>
  <si>
    <t>Carrera 24 50 47</t>
  </si>
  <si>
    <t>CENTRO MEDICO ZONA IN LOCAL 100</t>
  </si>
  <si>
    <t>Calle 13 65 21 Local 100 C.C. Zona In</t>
  </si>
  <si>
    <t>CENTRO MEDICO SUBA CENTRO</t>
  </si>
  <si>
    <t>Calle 145 88 76</t>
  </si>
  <si>
    <t>CENTRO MEDICO CALLE 80 PISO 4</t>
  </si>
  <si>
    <t>Carrera 89 A 79 51 Piso 4</t>
  </si>
  <si>
    <t>CENTRO MEDICO CALLE 100</t>
  </si>
  <si>
    <t>Carrera 19 # 98 - 57</t>
  </si>
  <si>
    <t>CENTRO MEDICO ESPECIALISTAS</t>
  </si>
  <si>
    <t>AK 45 # 100 - 74</t>
  </si>
  <si>
    <t>CENTRO MEDICO COLSANITAS PREMIUM MEDICINA PREVENTIVA</t>
  </si>
  <si>
    <t>Calle 114 6 A 92 Lc del 213 al 235</t>
  </si>
  <si>
    <t>CENTRO MEDICO PARALELA 103</t>
  </si>
  <si>
    <t>Avenida Carrera 45 103 B 03</t>
  </si>
  <si>
    <t>CENTRO MEDICO RESTREPO</t>
  </si>
  <si>
    <t>Cr 18 # 16 - 46/56 S</t>
  </si>
  <si>
    <t>CENTRO MEDICO SUBA AL PASO</t>
  </si>
  <si>
    <t>Av Calle 145 N 103 B - 65 Piso 3</t>
  </si>
  <si>
    <t>CENTRO MEDICO PLAZA CENTRAL</t>
  </si>
  <si>
    <t>Cr 65 # 11 - 50 Lc 2-47</t>
  </si>
  <si>
    <t>CENTRAL DE URGENCIAS NORTE</t>
  </si>
  <si>
    <t>Calle 163 A 22 22</t>
  </si>
  <si>
    <t>6466060 Ext 5719469</t>
  </si>
  <si>
    <t>UNIDAD DE URGENCIAS PUENTE ARANDA</t>
  </si>
  <si>
    <t>Carrera 62 14 41</t>
  </si>
  <si>
    <t>CENTRO MEDICO CLINICA COLOMBIA PISO 10</t>
  </si>
  <si>
    <t>Cl 23 # 66 46 Smll-6 Piso 10</t>
  </si>
  <si>
    <t>CENTRO MEDICO CLINICA COLOMBIA CONSULTORIO 1224</t>
  </si>
  <si>
    <t>Calle 23 # 66 -46 Smll - 6 Consultorio 1224</t>
  </si>
  <si>
    <t>CENTRO SERVICIO MEDICO EMPRESARIAL</t>
  </si>
  <si>
    <t>CARRERA 5 20 89 LOCAL 103 INTERIOR B</t>
  </si>
  <si>
    <t>CENTRO DE ATENCIӎ EXCLUSIVO</t>
  </si>
  <si>
    <t>Avenida Carrera 45 108 A - 50 Piso 3, Interior 3</t>
  </si>
  <si>
    <t>CENTRO MEDICO COLSANITAS VIRTUAL</t>
  </si>
  <si>
    <t>CARRERA 6 115 65 LOCAL 117</t>
  </si>
  <si>
    <t>CENTROS MEDICOS COLSANITAS PREMIUM EL NOGAL</t>
  </si>
  <si>
    <t>Calle 74 6 65 Piso 1, Piso 2 Int1, Piso 3</t>
  </si>
  <si>
    <t>IPS EXISALUD SAS</t>
  </si>
  <si>
    <t>AK 72 64 F 42 P 1</t>
  </si>
  <si>
    <t>calidadexisalud@gmail.com</t>
  </si>
  <si>
    <t>Cesar Augusto Pedroza Palacio</t>
  </si>
  <si>
    <t>IPS EXISALUD SAS SEDE 2</t>
  </si>
  <si>
    <t>CESAR AUGUSTO PEDROZA PALACIO</t>
  </si>
  <si>
    <t>Carrera 17 # 68 - 58</t>
  </si>
  <si>
    <t>JCH ADVANCE SAS</t>
  </si>
  <si>
    <t>CR 18 80 32 CS 212 214</t>
  </si>
  <si>
    <t>3102167 - 3102409383</t>
  </si>
  <si>
    <t>murazan@jchimagenes.com.co</t>
  </si>
  <si>
    <t>JUAN CARLOS HIDALGO SALAZAR</t>
  </si>
  <si>
    <t>Cr 18 80 32 P2 Cs 212 214, P4 Cs 410 411</t>
  </si>
  <si>
    <t>CENTRO DE AYUDAS DIAGNOSTICAS ALLIANZ</t>
  </si>
  <si>
    <t>AK 19 # 102 31 LC 4</t>
  </si>
  <si>
    <t>7562349-3102409383</t>
  </si>
  <si>
    <t>Edgar Gerardo Herrera Heredia SAS</t>
  </si>
  <si>
    <t>CALLE 127 No. 19 A 62 Cs 213</t>
  </si>
  <si>
    <t>cardiologia.dr.gerardoherrera@hotmail.com</t>
  </si>
  <si>
    <t>https://gerardoherrera.com</t>
  </si>
  <si>
    <t>EDGAR GERARDO HERRERA HEREDIA S.A.S.</t>
  </si>
  <si>
    <t>EDGAR GERARDO HERRERA HEREDIA</t>
  </si>
  <si>
    <t>CL 127 No. 19 A 62 Cs 213</t>
  </si>
  <si>
    <t>Grupo AValer. S.A.S</t>
  </si>
  <si>
    <t>Calle 102 N. 70-41 Bodega Piso 1</t>
  </si>
  <si>
    <t>gerencia.avaler@gmail.com</t>
  </si>
  <si>
    <t>www.grupoavaler.com</t>
  </si>
  <si>
    <t>GRUPO AVALER. S.A.S SIGLA AVALER.</t>
  </si>
  <si>
    <t>Adriana del Pilar Valero Beltrᮼ/td&gt;</t>
  </si>
  <si>
    <t>Calle 102 N 70-41 Bodega Piso1</t>
  </si>
  <si>
    <t>avaler.medical@gmail.com</t>
  </si>
  <si>
    <t>RED HUMANA S.A.S.</t>
  </si>
  <si>
    <t>KR 45A # 94 71</t>
  </si>
  <si>
    <t>gerencia@redhumana.co</t>
  </si>
  <si>
    <t>www.redhumana.co</t>
  </si>
  <si>
    <t>SEDE PRINCIPAL DE PRESTACION DE SERVICIOS RED HUMANA CASTELLANA</t>
  </si>
  <si>
    <t>RODRIGO RAFAEL CABRERA DONADO</t>
  </si>
  <si>
    <t>CR 45A # 94-71</t>
  </si>
  <si>
    <t>coord.calidad@redhumana.co</t>
  </si>
  <si>
    <t>CLINICA RED HUMANA S.A.S. SEDE DE PRESTACION DE SERVICIOS PUENTE ARANDA</t>
  </si>
  <si>
    <t>Ac 13 # 65-71 Local 1 Y Local 2, Centro Comercial Paseo Avenida Centenario - Zona In</t>
  </si>
  <si>
    <t>SERVICIOS MɄICOS ESPECIALIZADOS A R S A S SIGLA SME A R S A S</t>
  </si>
  <si>
    <t>CL 12B # 8A 03 OF 305</t>
  </si>
  <si>
    <t>3003205213 2860725</t>
  </si>
  <si>
    <t>arsas.juridico@gmail.com</t>
  </si>
  <si>
    <t>SERVICIOS MEDICOS ESPECIALIZADOS A.R.S.A.S.</t>
  </si>
  <si>
    <t>ANTONIO ALEJANDRO ROMERO CASTRO</t>
  </si>
  <si>
    <t>AC 134 # 7B 83 0FC 618</t>
  </si>
  <si>
    <t>2860725 3003205213</t>
  </si>
  <si>
    <t>ARSAS.JURIDICO@GMAIL.COM</t>
  </si>
  <si>
    <t>SERVICIOS MEDICOS ESPECIALIZADOS AR SAS PALERMO</t>
  </si>
  <si>
    <t>KR 23 # 45C 31 CS 310 -311 -510 -511-506</t>
  </si>
  <si>
    <t>arsas.calidad@gmail.com</t>
  </si>
  <si>
    <t>SALUDPASS SAS</t>
  </si>
  <si>
    <t>CARRERA 7 N 74 C- 09 PISO 2</t>
  </si>
  <si>
    <t>contactojudicial@saludpass.com.co</t>
  </si>
  <si>
    <t>https://www.coronapass.com.co/</t>
  </si>
  <si>
    <t>JAIME HENRIQUE BERRIO TRUJILLO</t>
  </si>
  <si>
    <t>BIENAVENTURANZA IPS SAS</t>
  </si>
  <si>
    <t>AV CALLE 53 # 71A-13</t>
  </si>
  <si>
    <t>7432442 ext 4001 - Cel 3224205779</t>
  </si>
  <si>
    <t>angela.chacon@bienaventuranzaips.com</t>
  </si>
  <si>
    <t>WWW.BIENAVENTURANZAIPS.COM</t>
  </si>
  <si>
    <t>Angela Jazmin Chacon Rodriguez</t>
  </si>
  <si>
    <t>7432442 ext 4001 Cel 3224205779</t>
  </si>
  <si>
    <t>gestiondecalidad@bienaventuranzaips.com</t>
  </si>
  <si>
    <t>SALUD A SU SERVICIO S.A.S</t>
  </si>
  <si>
    <t>AVENIDA CARRERA 70 49 55 - Barrio:NORMANDIA</t>
  </si>
  <si>
    <t>saludasuserviciosas@gmail.com</t>
  </si>
  <si>
    <t>SALUD A SU SERVICIO NORMANDIA</t>
  </si>
  <si>
    <t>FIYER SANTIAGO ALAVARADO ORTIZ</t>
  </si>
  <si>
    <t>AVENIDA CARRERA 70 49 55</t>
  </si>
  <si>
    <t>INSTITUTO DE CIRUGIA PLASTICA FACIAL, CORPORAL Y OTORRINOLARINGOLOGIA IPS SAS SIGLA ICONO IPS SAS</t>
  </si>
  <si>
    <t>AK 30 No. 42-06 PISO 1</t>
  </si>
  <si>
    <t>iconoips@gmail.com</t>
  </si>
  <si>
    <t>INSTITUTO DE CIRGUGIA PLASTICA FACIAL, CORPORAL Y OTORRINOLARINGOLOGIA IPS SAS SIGLA ICONO IPS SAS</t>
  </si>
  <si>
    <t>JAIME ALEXANDER SANCHEZ SANCHEZ</t>
  </si>
  <si>
    <t>SEDE ICONO COUNTRY</t>
  </si>
  <si>
    <t>CARRERA 19 B #83-16</t>
  </si>
  <si>
    <t>SEDE ICONO CHICO</t>
  </si>
  <si>
    <t>CR 14 #98-95 CS 411</t>
  </si>
  <si>
    <t>Cochlear Colombia SAS</t>
  </si>
  <si>
    <t>AK 9 115 06</t>
  </si>
  <si>
    <t>calidad@cochlear.com</t>
  </si>
  <si>
    <t>Centro de Experiencia Cochlear Colombia</t>
  </si>
  <si>
    <t>Camilo Jose Zapata Gonzalez</t>
  </si>
  <si>
    <t>Ak 19 # 100 - 28 Piso 2 Costado Oriental</t>
  </si>
  <si>
    <t>3174449133 / 3183519862</t>
  </si>
  <si>
    <t>SANAR HEALTH CARE SAS</t>
  </si>
  <si>
    <t>CR 7 C BIS NO. 139 - 08 OF. 313</t>
  </si>
  <si>
    <t>gerenciasanarhealthcare@gmail.com</t>
  </si>
  <si>
    <t>www.sanarhealthcare.co</t>
  </si>
  <si>
    <t>Carolina Gomez Porras</t>
  </si>
  <si>
    <t>3102524420 - (031) 4795184</t>
  </si>
  <si>
    <t>VITA MEDICAL IPS SAS - VITAMED IPS SAS</t>
  </si>
  <si>
    <t>CR 64 A # 4 G - 77 P 1</t>
  </si>
  <si>
    <t>3132092326 - 3216615293 - 3104160388</t>
  </si>
  <si>
    <t>vitamedips@gmail.com</t>
  </si>
  <si>
    <t>LOIDA AURORA MORALES POPAYAN</t>
  </si>
  <si>
    <t>ORAL YA CLINICAS DENTALES SAS</t>
  </si>
  <si>
    <t>KR 99 # 18 14</t>
  </si>
  <si>
    <t>2981299 - 3186731731</t>
  </si>
  <si>
    <t>oralyaclinicasdentales@gmail.com</t>
  </si>
  <si>
    <t>ORAL YA SEDE FONTIBON</t>
  </si>
  <si>
    <t>JUAN SEBASTIAN PERILLA BUITRAGO</t>
  </si>
  <si>
    <t>2981299- 3186731731</t>
  </si>
  <si>
    <t>MɄICOS Y TRANSPORTE DE COLOMBIA SAS - MEDITRANSCOL SAS</t>
  </si>
  <si>
    <t>Avenida Carrera 45 101 17</t>
  </si>
  <si>
    <t>gerencia.meditranscol@gmail.com</t>
  </si>
  <si>
    <t>MɄICOS Y TRANSPORTE DE COLOMBIA S.A.S - MEDITRANSCOL S.A.S</t>
  </si>
  <si>
    <t>JOHN ALEXANDER GRAJALES VALERO</t>
  </si>
  <si>
    <t>CLINICA DE ESPECIALIDADES QUIRURGICAS S.A.S</t>
  </si>
  <si>
    <t>CL 50 # 15 46 PI 1</t>
  </si>
  <si>
    <t>3014450158 - 3012224375</t>
  </si>
  <si>
    <t>clinicadeespecialidadesqx@gmail.com</t>
  </si>
  <si>
    <t>www.clinicadeespecialidadesquirurgicas.com</t>
  </si>
  <si>
    <t>HAROLD FABIAN CRUZ BERMUDEZ</t>
  </si>
  <si>
    <t>MEDICINA Y TERAPIAS DOMICILIARIAS S.A.S. SIGLA M.T.D S.A.S</t>
  </si>
  <si>
    <t>CL 102 A NO. 47 A 47 PISO 1</t>
  </si>
  <si>
    <t>contacto@mtd.net.co</t>
  </si>
  <si>
    <t>https://mtdom.com/</t>
  </si>
  <si>
    <t>MEDICINA Y TERAPIAS DOMICILIARIAS</t>
  </si>
  <si>
    <t>JUAN GABRIEL CALDERON CALDERON</t>
  </si>
  <si>
    <t>CARDIOLAB LIMITADA</t>
  </si>
  <si>
    <t>Avenida Calle 26 68C 61 Oficina 3-32</t>
  </si>
  <si>
    <t>3178535621 - 3153357070</t>
  </si>
  <si>
    <t>cardiolab.limitada@gmail.com</t>
  </si>
  <si>
    <t>SOLON NAVARRETE HURTADO</t>
  </si>
  <si>
    <t>Avenida Calle 26 68 C 61 Oficina 3-32</t>
  </si>
  <si>
    <t>FEREST SALUD IPS SAS</t>
  </si>
  <si>
    <t>CALLE 63 SUR # 72 - 08 - Barrio:ISMAEL PERDOMO</t>
  </si>
  <si>
    <t>3114741838 - 3164964198</t>
  </si>
  <si>
    <t>GERENCIAL@FERESTSALUDIPS.COM</t>
  </si>
  <si>
    <t>FEREST SALUD IPS CENTRO DE REHABILITACION FISICA</t>
  </si>
  <si>
    <t>DAVID FERNANDO HINCAPIE VILLANUEVA</t>
  </si>
  <si>
    <t>TV 18 BIS 13 36 SUR LOCAL 101 PISO 1</t>
  </si>
  <si>
    <t>gerencial@ferestsaludips.com</t>
  </si>
  <si>
    <t>FEREST SALUD IPS SERVICIOS AMBULATORIOS</t>
  </si>
  <si>
    <t>CALLE 63 SUR # 72 - 08</t>
  </si>
  <si>
    <t>ASISTENCIA MEDICA ESPECIAL EN SALUD IPS SAS SIGLA AMESALUD IPS SAS</t>
  </si>
  <si>
    <t>CALLE 42 SUR 78M 35, PRIMER PISO</t>
  </si>
  <si>
    <t>ipsservices2024@gmail.com</t>
  </si>
  <si>
    <t>YULI MARTINEZ CASTIBLANCO</t>
  </si>
  <si>
    <t>IPS CENTRO PSICOLOGICO TRASCENDER SAS</t>
  </si>
  <si>
    <t>Cl. 99 #49-38 Oficina 610</t>
  </si>
  <si>
    <t>paola.amaya@cptrascender.com</t>
  </si>
  <si>
    <t>https://cptrascender.com/</t>
  </si>
  <si>
    <t>Gesly Andrea Cita Alvarez</t>
  </si>
  <si>
    <t>VISION TOTAL SAS</t>
  </si>
  <si>
    <t>CALLE 101 N 17A - 59 PISO 1 - Barrio:SANTA BARBARA</t>
  </si>
  <si>
    <t>visiontotaleu@yahoo.es</t>
  </si>
  <si>
    <t>https://visiontotalsas.com.co</t>
  </si>
  <si>
    <t>VISION TOTAL BOGOTA</t>
  </si>
  <si>
    <t>ANA PAOLA ZULETA OсTE</t>
  </si>
  <si>
    <t>AK 70 108 93</t>
  </si>
  <si>
    <t>VISION TOTAL EL BUQUE</t>
  </si>
  <si>
    <t>JUAN SEBASTIAN MANCIPE MANCIPE</t>
  </si>
  <si>
    <t>CALLE 101 N 17A - 59 PISO 1</t>
  </si>
  <si>
    <t>VISION TOTAL SERVICIOS ESPECIALIZADOS</t>
  </si>
  <si>
    <t>JUAN SEBASTIAN MANCIPE</t>
  </si>
  <si>
    <t>AK 19 NRO 100-28</t>
  </si>
  <si>
    <t>NEUROMEDICA SAS</t>
  </si>
  <si>
    <t>CRA 65#11 - 50 CC PLAZA CENTRAL LC 3-09</t>
  </si>
  <si>
    <t>calidad@neuromedica.com.co</t>
  </si>
  <si>
    <t>www.neuromedica.com.co</t>
  </si>
  <si>
    <t>BOGOT`NEUROMEDICA SAS</t>
  </si>
  <si>
    <t>Sandra Patricia Gutierrez Hernᮤez</t>
  </si>
  <si>
    <t>ORTOFAM S.A.S.</t>
  </si>
  <si>
    <t>AV 14 No. 47-39 Lc 1</t>
  </si>
  <si>
    <t>310 2233305</t>
  </si>
  <si>
    <t>ortofam@outlook.com</t>
  </si>
  <si>
    <t>ORTOFAM SAS</t>
  </si>
  <si>
    <t>EDUARDO GARCIA PIхROS</t>
  </si>
  <si>
    <t>310 2233305 - 7648113</t>
  </si>
  <si>
    <t>METSLIM CLINIC SAS</t>
  </si>
  <si>
    <t>CARRERA 12 No. 97 - 80 OFICINA 601</t>
  </si>
  <si>
    <t>info@metslim.com</t>
  </si>
  <si>
    <t>METSLIM CLINIC</t>
  </si>
  <si>
    <t>WEIMAR GARCIA CUELLAR</t>
  </si>
  <si>
    <t>LM INTEGRA IPS SAS</t>
  </si>
  <si>
    <t>Avenida Calle 161 17 32 Piso 4</t>
  </si>
  <si>
    <t>jatab7204@gmail.com</t>
  </si>
  <si>
    <t>FRANCISCO JAVIER BUITRAGO CARDENAS</t>
  </si>
  <si>
    <t>Avenida Calle 161 17 32 piso 4</t>
  </si>
  <si>
    <t>3118936766 3174391621</t>
  </si>
  <si>
    <t>lmintegraipss@gmail.com</t>
  </si>
  <si>
    <t>MEDCHECK SAS</t>
  </si>
  <si>
    <t>Cr 45 No 95 84 P 1 2</t>
  </si>
  <si>
    <t>medchecksalud@gmail.com</t>
  </si>
  <si>
    <t>MAYBELINE ROJAS SOLANO</t>
  </si>
  <si>
    <t>CR 45 95 84 P 1 2</t>
  </si>
  <si>
    <t>GROUP MEDICAL HEALTH SERVICES SAS</t>
  </si>
  <si>
    <t>CALLE 19 # 96 B 82 PISO 1</t>
  </si>
  <si>
    <t>3188698832-3102618643-3102618599</t>
  </si>
  <si>
    <t>groupmedicalhealthservices@gmail.com</t>
  </si>
  <si>
    <t>www.groupmedicalhealth.com</t>
  </si>
  <si>
    <t>JHONNY STEVEN OSPINA MARTINEZ</t>
  </si>
  <si>
    <t>CARRERA 15 # 88 - 64 OFICINA 301.</t>
  </si>
  <si>
    <t>3188698832-3102618643-3102618599-</t>
  </si>
  <si>
    <t>WIZZ LIFE SAS</t>
  </si>
  <si>
    <t>AV CRA 15 88-64 OF 413</t>
  </si>
  <si>
    <t>diego@wizz.life</t>
  </si>
  <si>
    <t>https://wizz.life</t>
  </si>
  <si>
    <t>DIEGO MORALES ARRIAGADA</t>
  </si>
  <si>
    <t>ORGANIZACION EMPRESARIAL DENTAL PLANET SAS</t>
  </si>
  <si>
    <t>AK 70 # 72A - 42 PISO 1-2-3-4A - Barrio:LAS FERIAS</t>
  </si>
  <si>
    <t>dircalidad2@clinicasodontofamily.com</t>
  </si>
  <si>
    <t>https://www.clinicasodontofamily.com</t>
  </si>
  <si>
    <t>DENTAL ODONTOFAMILY SIMON BOLIVAR</t>
  </si>
  <si>
    <t>LEONARDO ROJAS</t>
  </si>
  <si>
    <t>KR 6 B # 163 A -04</t>
  </si>
  <si>
    <t>3022980504/3016158588</t>
  </si>
  <si>
    <t>dircalidad1@clinicasodontofamily.com dircalidad2@clinicasodontofamily.com</t>
  </si>
  <si>
    <t>DENTAL ODONTOFAMILY RESTREPO 1</t>
  </si>
  <si>
    <t>DIAG 21 SUR # 21A-07 PISO 1 Y PISO 2</t>
  </si>
  <si>
    <t>DENTAL ODONTOFAMILY SANTA HELENITA NIяS</t>
  </si>
  <si>
    <t>LEONARDO ROJAS MORENO</t>
  </si>
  <si>
    <t>AC 72 # 76 - 70</t>
  </si>
  <si>
    <t>DENTAL ODONTOFAMILY ROMA</t>
  </si>
  <si>
    <t>AK 80 # 55 -06 SUR PISO 1-2-3</t>
  </si>
  <si>
    <t>DENTAL ODONTOFAMILY FONTIBON</t>
  </si>
  <si>
    <t>CL 17 A # 99-21 PISO 1</t>
  </si>
  <si>
    <t>DENTAL ODONTOFAMILY BOSA PIAMONTE</t>
  </si>
  <si>
    <t>TV 78 L # 68-15 SUR PISO 1 y 2</t>
  </si>
  <si>
    <t>DENTAL ODONTOFAMILY VENECIA II</t>
  </si>
  <si>
    <t>CL 45A SUR # 54 A-63 PISO 1</t>
  </si>
  <si>
    <t>DENTAL ODONTOFAMILY RESTREPO IMPLANTES</t>
  </si>
  <si>
    <t>TV 21A #21 A- 42 SUR PISO 1</t>
  </si>
  <si>
    <t>DENTAL ODONTOFAMILY SUBA PORTAL</t>
  </si>
  <si>
    <t>CL 141 C# 103 F -76</t>
  </si>
  <si>
    <t>DENTAL ODONTOFAMILY RESTREPO 2</t>
  </si>
  <si>
    <t>TV 21A # 21A - 38 SUR</t>
  </si>
  <si>
    <t>DENTAL ODONTOFAMILY FERIAS</t>
  </si>
  <si>
    <t>AK 70 # 72A - 42 PISO 1-2-3</t>
  </si>
  <si>
    <t>DENTAL ODONTOFAMILY FONTIBON IMPLANTES</t>
  </si>
  <si>
    <t>CL 17 A # 99-33 PISO 1</t>
  </si>
  <si>
    <t>DENTAL ODONTOFAMILY BOSA LIBERTAD</t>
  </si>
  <si>
    <t>CALLE 59C SUR N 89 - 36 PISO 1-2-3</t>
  </si>
  <si>
    <t>DENTAL ODONTOFAMILY DIVER PLAZA</t>
  </si>
  <si>
    <t>DIANA DEL PILAR ROJAS MORENO</t>
  </si>
  <si>
    <t>TRANSVERSAL 99 BIS #70 A 89 LC 260 A</t>
  </si>
  <si>
    <t>DENTAL ODONTOFAMILY CENTRO COMERCIAL TINTAL PLAZA</t>
  </si>
  <si>
    <t>Av Cra 86 # 6 - 37 LOCAL 152</t>
  </si>
  <si>
    <t>3016158588 - 3022980504</t>
  </si>
  <si>
    <t>dircalidad2@clinicasodontofamily.com / dircalidad1@clinicasodontofamily.com</t>
  </si>
  <si>
    <t>KEEP MOVING SAS</t>
  </si>
  <si>
    <t>CL 119 # 7 - 14 CS 716</t>
  </si>
  <si>
    <t>natisguti@hotmail.com</t>
  </si>
  <si>
    <t>BAKU IPS CENTRO DE FISIATRIA</t>
  </si>
  <si>
    <t>MIGUEL ADOLFO PARRA GARCIA</t>
  </si>
  <si>
    <t>Cl 119 # 7-14 Cons 716</t>
  </si>
  <si>
    <t>baku360@hotmail.com</t>
  </si>
  <si>
    <t>SERVICIOS DE GESTION INTEGRADA S.A.S. - SERGEINT SAS</t>
  </si>
  <si>
    <t>CARRERA 47 No. 93 - 14</t>
  </si>
  <si>
    <t>direccionadministrativa@sgi.com.co</t>
  </si>
  <si>
    <t>www.ipscdo.com.co</t>
  </si>
  <si>
    <t>CENTRO DE DIAGNOSTICO OCUPACIONAL BOGOT|/td&gt;</t>
  </si>
  <si>
    <t>LINA MAYERLY TORRES VARGAS</t>
  </si>
  <si>
    <t>CARRERA 47 NO. 93 - 14</t>
  </si>
  <si>
    <t>Medialivio Centro de Excelencia y Bienestar S.A.S.</t>
  </si>
  <si>
    <t>Calle 117 No. 6 a - 60 Of 308</t>
  </si>
  <si>
    <t>medialivio.dolor@gmail.com</t>
  </si>
  <si>
    <t>https://www.medialivio.com</t>
  </si>
  <si>
    <t>Diego Fernando Mun鶡r Sᮣhez</t>
  </si>
  <si>
    <t>CL 117 # 6 A 60 OF308</t>
  </si>
  <si>
    <t>6017026728 Celular 3503779960</t>
  </si>
  <si>
    <t>FISIOBOGOTA PLUS SAS</t>
  </si>
  <si>
    <t>CALLE 98 # 15 17 CS 203 Y 204</t>
  </si>
  <si>
    <t>fisiobogota1@gmail.com</t>
  </si>
  <si>
    <t>https://www.fisiobogota.com</t>
  </si>
  <si>
    <t>IVON LORENA MURCIA ROLDAN</t>
  </si>
  <si>
    <t>CALLE 98 15 17 CS 203 Y 204</t>
  </si>
  <si>
    <t>DIAGNOSTIK LAB CLINIC S.A.S</t>
  </si>
  <si>
    <t>Cr 56 No. 5 C 38 Piso 3</t>
  </si>
  <si>
    <t>coordinacion.contable@diagnostiklabclinic.com</t>
  </si>
  <si>
    <t>coordinacion.calidad@diagnostiklabclinic.com</t>
  </si>
  <si>
    <t>Sede aunar salud chapinero piso 6 consultorio 16</t>
  </si>
  <si>
    <t>Diego Alejandro Villamizar</t>
  </si>
  <si>
    <t>Calle 63 # 13 - 12 piso 6</t>
  </si>
  <si>
    <t>DIAGNOSTIK LAB CLINIC - SEDE ASISTENCIA</t>
  </si>
  <si>
    <t>Diego Alejandro Villamizar Gallardo</t>
  </si>
  <si>
    <t>Calle 45b #24-25</t>
  </si>
  <si>
    <t>CONTROL MEDICAL GROUP SAS</t>
  </si>
  <si>
    <t>Ac 147 19 50 Lc 18 Cc Futuro 147</t>
  </si>
  <si>
    <t>calidad@controlmedgroup.com</t>
  </si>
  <si>
    <t>www.examinarte.com</t>
  </si>
  <si>
    <t>EXAMINARTE</t>
  </si>
  <si>
    <t>Nicol᳠Leal Poveda</t>
  </si>
  <si>
    <t>Tel: (601) 2160418- (601) 7810226</t>
  </si>
  <si>
    <t>ODONTOLOGIA LASER S.A.S</t>
  </si>
  <si>
    <t>Av Calle 53 No 21-62</t>
  </si>
  <si>
    <t>calidad@odontologialaser.co</t>
  </si>
  <si>
    <t>DIEGO ALEJANDRO GAVIRIA BEITIA</t>
  </si>
  <si>
    <t>AV CL 53 No. 21 - 62</t>
  </si>
  <si>
    <t>INTELMED SAS</t>
  </si>
  <si>
    <t>AK 19 NO 95 31 OFICINA 901A</t>
  </si>
  <si>
    <t>intelmedips@gmail.com</t>
  </si>
  <si>
    <t>JOSE MAŔ RODRIGUEZ ROA</t>
  </si>
  <si>
    <t>RIMAB SAS</t>
  </si>
  <si>
    <t>Cl 185 45 03 Lc N1 01 - Barrio:Mirandela</t>
  </si>
  <si>
    <t>calidad@rimab.com.co</t>
  </si>
  <si>
    <t>SEDE SANTAFE</t>
  </si>
  <si>
    <t>GERMAN AN͂AL ARANGO BONNNET</t>
  </si>
  <si>
    <t>Cl 185 45 03 Lc N1 01</t>
  </si>
  <si>
    <t>GERMAN ANIBAL ARANGO BONNET</t>
  </si>
  <si>
    <t>CARRERA19 A No. 82-85 CONSULTORIO 301,302,303,305,306,308</t>
  </si>
  <si>
    <t>CALIDAD@RIMAB.COM.CO</t>
  </si>
  <si>
    <t>IPS GRUPO MOK S.A.S.</t>
  </si>
  <si>
    <t>CL 94 A No. 13 42 OF 102</t>
  </si>
  <si>
    <t>ips@grupomok.com</t>
  </si>
  <si>
    <t>CLAUDIA PATRICIA MORENO FLOREZ</t>
  </si>
  <si>
    <t>Cl 94 A No. 13 42 OF 102</t>
  </si>
  <si>
    <t>CL͎ICA ODONTOLӇICA GUERRERO ALVAREZ 24 HORAS S.A.S SIGLA COGA 24 HORAS S.A.S</t>
  </si>
  <si>
    <t>TV 73A 82D 31 PISO 1 - Barrio:MINUTO DE DIOS</t>
  </si>
  <si>
    <t>odontologia.coga@gmail.com</t>
  </si>
  <si>
    <t>https://www.odontologiacoga.com</t>
  </si>
  <si>
    <t>CL͎ICA ODONTOLӇICA GUERRERO ALVAREZ 24 HORAS S.A.S SIGLA COGA 24 HORAS S.A.S SEDE MINUTO DE DIOS</t>
  </si>
  <si>
    <t>NARLY TATIANA LVAREZ PALACIOS</t>
  </si>
  <si>
    <t>TV 73A 82D 31 PISO 1</t>
  </si>
  <si>
    <t>UNIDAD MEDICA BOSA NOVA IPS SAS</t>
  </si>
  <si>
    <t>CL 62 Sur No. 87B 22</t>
  </si>
  <si>
    <t>310 280 2760 - 321 204 9303</t>
  </si>
  <si>
    <t>unidadmedicabosanova@gmail.com</t>
  </si>
  <si>
    <t>LUCY FAYBEYE URBINA CARMONA</t>
  </si>
  <si>
    <t>faybeye@hotmail.com</t>
  </si>
  <si>
    <t>HUMAN GROUP CORP IPS SAS</t>
  </si>
  <si>
    <t>Cl 102 A No. 45 A 03</t>
  </si>
  <si>
    <t>FALEXANDERRM@GMAIL.COM</t>
  </si>
  <si>
    <t>https://falexanderrm@gmail.com</t>
  </si>
  <si>
    <t>FREDY ALEXANDER RODRIGUEZ MENDOZA</t>
  </si>
  <si>
    <t>CLINICA OBESIDAD Y ENVEJECIMIENTO SAS Sigla: CLOE</t>
  </si>
  <si>
    <t>Cr 14 No. 105 A 91</t>
  </si>
  <si>
    <t>admin@ciccome.co</t>
  </si>
  <si>
    <t>LUCAS CUBILLOS SIERRA</t>
  </si>
  <si>
    <t>ipsobesidad@gmail.com</t>
  </si>
  <si>
    <t>AMBUSURE IPS S.A.S.</t>
  </si>
  <si>
    <t>TR 77 C 47-16 P1</t>
  </si>
  <si>
    <t>ambusureips@gmail.com</t>
  </si>
  <si>
    <t>AMBUSURE IPS</t>
  </si>
  <si>
    <t>OSCAR ALONSO ROJAS VARGAS</t>
  </si>
  <si>
    <t>Para Sanarte SAS</t>
  </si>
  <si>
    <t>Carrera 19a #77 - 18 consultorio 501</t>
  </si>
  <si>
    <t>parasanarte1@gmail.com</t>
  </si>
  <si>
    <t>https://parasanarte.co</t>
  </si>
  <si>
    <t>Sandra Mayerly Sanchez Tuta</t>
  </si>
  <si>
    <t>COSMOS SUPPORT SAS</t>
  </si>
  <si>
    <t>AC 57 18 21 PS 1</t>
  </si>
  <si>
    <t>GERENCIA@COSMOSSUPPORT.COM.CO</t>
  </si>
  <si>
    <t>https://www.cosmosspport.com.co</t>
  </si>
  <si>
    <t>CLINICOSMOS IPS</t>
  </si>
  <si>
    <t>WILLIAM CAMILO TORRES HERREя</t>
  </si>
  <si>
    <t>CALLE 31 SUR 69 63</t>
  </si>
  <si>
    <t>GERENCIA@COMOSSUPPORT.COM.CO</t>
  </si>
  <si>
    <t>CLINICA DENTAL KERALTY SAS</t>
  </si>
  <si>
    <t>Cl 100 No. 11 B 67</t>
  </si>
  <si>
    <t>jesepulveda@colsanitas.com</t>
  </si>
  <si>
    <t>https://clinicacolsanitas.com</t>
  </si>
  <si>
    <t>CLINICA DENTAL CEDRO BOLIVAR</t>
  </si>
  <si>
    <t>Jeny Elena Sepulveda Grajales</t>
  </si>
  <si>
    <t>Calle 152 19 28 Piso 3 Int 302</t>
  </si>
  <si>
    <t>luz.marin@colsanitas.com</t>
  </si>
  <si>
    <t>CLINICA DENTAL CALLE 97</t>
  </si>
  <si>
    <t>Cr 16 #97-46 Torre 2 Local 1</t>
  </si>
  <si>
    <t>CLINICA DENTAL SAN RAFAEL</t>
  </si>
  <si>
    <t>Ac 134 55 A 35 Loc 2</t>
  </si>
  <si>
    <t>CLINICA DENTAL SALITRE</t>
  </si>
  <si>
    <t>Cra 68A 24B -10 To 3 Pi 3 In 2</t>
  </si>
  <si>
    <t>CLINICA DENTAL COLINA</t>
  </si>
  <si>
    <t>Cr 59 # 152-25 Of 301 Int 2</t>
  </si>
  <si>
    <t>CLINICA DENTAL COLSANITAS CALLE 125</t>
  </si>
  <si>
    <t>Calle 125 # 21A-61 PISO 3 Y 4</t>
  </si>
  <si>
    <t>CLINICA ODONTOSANITAS CODE AMERICAS</t>
  </si>
  <si>
    <t>Ac 9 # 62 - 84 P 2 Lc L 2 27 L 2 28</t>
  </si>
  <si>
    <t>CLINICA ODONTOSANITAS CALLE 80</t>
  </si>
  <si>
    <t>JENY ELENA SEPULVEDA GRAJALES</t>
  </si>
  <si>
    <t>CALLE 79 89 A 40 Local 225</t>
  </si>
  <si>
    <t>CLINICA ODONTOSANITAS SAN MARTIN</t>
  </si>
  <si>
    <t>JENNY ELENA SEPULVEDA GRAJALES</t>
  </si>
  <si>
    <t>Cra 7 # 32 - 10 Lc 303 Al 306 Piso 3</t>
  </si>
  <si>
    <t>5895490 EXT. 5718724</t>
  </si>
  <si>
    <t>CLINICA DENTAL BANCO CAE</t>
  </si>
  <si>
    <t>Avenida Carrera 45 108 A 50 Piso 3 Int 1</t>
  </si>
  <si>
    <t>6466060 Ext. 5718480</t>
  </si>
  <si>
    <t>CLINICA ODONTOSANITAS SUBA</t>
  </si>
  <si>
    <t>Carrera 91 139 34 Piso 3</t>
  </si>
  <si>
    <t>6016466060 EXT. 5717706 / 5717698 / 5717707</t>
  </si>
  <si>
    <t>CLINICA DENTAL SME</t>
  </si>
  <si>
    <t>Cr 5 # 20 - 89 Lc 103 In C</t>
  </si>
  <si>
    <t>SIMC - SERVICIO DE IMAGENES MEDICAS DE COLOMBIA SAS</t>
  </si>
  <si>
    <t>CRA 45 A # 93-29 PISO 1</t>
  </si>
  <si>
    <t>simccolombia@gmail.com</t>
  </si>
  <si>
    <t>EDNA MARGARITA LADINO VASQUEZ</t>
  </si>
  <si>
    <t>BARUCH CENTRO DE REHABILITACION PARA TRASTORNOS DE LA CONDUCTA Y EL NEURODESARROLLO SAS</t>
  </si>
  <si>
    <t>Carrera 53 # 44 - 52</t>
  </si>
  <si>
    <t>ipsbaruch@gmail.com</t>
  </si>
  <si>
    <t>https://rehabilitacionbaruch.com/</t>
  </si>
  <si>
    <t>BARUCH CENTRO DE REHABILITACION PARA TRASTORNOS DE LA CONDUCTA Y EL NEURODESAROLLO SAS</t>
  </si>
  <si>
    <t>Sandra Milena Blanco Gaviria</t>
  </si>
  <si>
    <t>IPS CRUZALUD SAS</t>
  </si>
  <si>
    <t>Cr 15 # 91-30 Ofc 101</t>
  </si>
  <si>
    <t>facturacioncruzalud@gmail.com</t>
  </si>
  <si>
    <t>https://facturacioncruzalud@gmail.com</t>
  </si>
  <si>
    <t>DEISY YISLEM CRUZ SUAREZ</t>
  </si>
  <si>
    <t>APPSEMI S.A.S</t>
  </si>
  <si>
    <t>CL 69 BIS A # 68 F 43 PI 1</t>
  </si>
  <si>
    <t>appsemiambulancias@gmail.com</t>
  </si>
  <si>
    <t>HEIDY MARCELA CRUZ ROJAS</t>
  </si>
  <si>
    <t>CL 79B # 29B - 44 Piso 1</t>
  </si>
  <si>
    <t>FISIO-PELVIC LUNA IPS SAS SIGLA FISIOPELVIC</t>
  </si>
  <si>
    <t>Cl 140 10 A 48 Cs 303 Ed Cedro Point</t>
  </si>
  <si>
    <t>admon.fisiopelvic@gmail.com</t>
  </si>
  <si>
    <t>https://www.facebook.com/Fisio-Pelvic-LUNA-IPS-SAS-177139020418631</t>
  </si>
  <si>
    <t>JOHNNY MAURICIO ARROYAVE AYALA</t>
  </si>
  <si>
    <t>ONIROS CENTRO ESPECIALIZADO EN MEDICINA INTEGRAL DEL SUEя SAS SIGLA ONIROS</t>
  </si>
  <si>
    <t>Calle 81 No 19-A 18 Ofc 304</t>
  </si>
  <si>
    <t>gerencia.oniros@gmail.com</t>
  </si>
  <si>
    <t>https:// w</t>
  </si>
  <si>
    <t>diana patricia guevara latorre</t>
  </si>
  <si>
    <t>CROMA MEDICAL IPS SAS</t>
  </si>
  <si>
    <t>CARRERA 45 A 103 44</t>
  </si>
  <si>
    <t>3235986303 3232343295</t>
  </si>
  <si>
    <t>gerencia@cromamedical.com direccionadministrativa@cromamedical.com</t>
  </si>
  <si>
    <t>https://cromamedicalipssas</t>
  </si>
  <si>
    <t>SULAY GUTIERREZ MOLINA</t>
  </si>
  <si>
    <t>sulygutierrez9@gmail.com</t>
  </si>
  <si>
    <t>ESMEDICA CIRUPLASTICA COLOMBIA SAS</t>
  </si>
  <si>
    <t>CARRERA 19 A 90 - 13 CONSULTORIO 507</t>
  </si>
  <si>
    <t>ciruplastica10@gmail.com</t>
  </si>
  <si>
    <t>https://ciruplastica.com.co</t>
  </si>
  <si>
    <t>ESMEDICA CIRUPLASTICA SAS</t>
  </si>
  <si>
    <t>ANGELICA CASTILLO MORALES</t>
  </si>
  <si>
    <t>REDES MEDICAS SAS IPS</t>
  </si>
  <si>
    <t>AK 15 N 112 09 - Barrio:Santa Paula</t>
  </si>
  <si>
    <t>jorge.marquez@redesmedicasips.com</t>
  </si>
  <si>
    <t>CLINICA SEDE 112</t>
  </si>
  <si>
    <t>JORGE AUGUSTO MARQUEZ OROZCO</t>
  </si>
  <si>
    <t>AK 15 N 112 09</t>
  </si>
  <si>
    <t>CENTRODONCIA S.A.S</t>
  </si>
  <si>
    <t>KR 78 # 26 13 SUR</t>
  </si>
  <si>
    <t>centrodonciabogota@gmail.com</t>
  </si>
  <si>
    <t>https://na</t>
  </si>
  <si>
    <t>CENTRODONCIA KENNEDY</t>
  </si>
  <si>
    <t>JOSE DAVID RAMIREZ QUINTERO</t>
  </si>
  <si>
    <t>SERV͠+ IPS SAS</t>
  </si>
  <si>
    <t>CL 25C#85C-44 PISO 4</t>
  </si>
  <si>
    <t>servimasips@gmail.com</t>
  </si>
  <si>
    <t>ANGELA PATRICIA MATALLANA CASTAя</t>
  </si>
  <si>
    <t>ESTRATEGO IPS SAS</t>
  </si>
  <si>
    <t>CARRERA 92 # 151-01 LOCAL 2-02</t>
  </si>
  <si>
    <t>7527442 -3105664327</t>
  </si>
  <si>
    <t>estrategoips@gmail.com</t>
  </si>
  <si>
    <t>https://WWW.ESTRATEGO.COM</t>
  </si>
  <si>
    <t>CARLOS ALFONSO BETANCOURTH LOPEZ</t>
  </si>
  <si>
    <t>ESTRATEGO IPS QUINTA CAMACHO</t>
  </si>
  <si>
    <t>CARRERA 13 N 71-57</t>
  </si>
  <si>
    <t>Salud Llanos IPS LTDA.</t>
  </si>
  <si>
    <t>CALLE 106 # 54 - 54</t>
  </si>
  <si>
    <t>6424852 - 3108883479</t>
  </si>
  <si>
    <t>calidad@saludllanosips.com</t>
  </si>
  <si>
    <t>https://saludllanosips.com</t>
  </si>
  <si>
    <t>SALUD LLANOS IPS - BOGOT|/td&gt;</t>
  </si>
  <si>
    <t>SANDRA PATRICIA ROMERO ROMERO</t>
  </si>
  <si>
    <t>calidad@saludllanosips.com - direccionadministrativa@saludllanosips.com</t>
  </si>
  <si>
    <t>DERMA EXPRESS SAS</t>
  </si>
  <si>
    <t>Ac 26 #68 C-61 Of 805 Edificio Torre Central - Barrio:Ciudad Salitre</t>
  </si>
  <si>
    <t>angie.lafrancol@hotmail.com</t>
  </si>
  <si>
    <t>CESAR GONZALEZ DERMATOLOGIA CLINICA Y ESTETICA 3</t>
  </si>
  <si>
    <t>CESAR FERNANDO GONZALEZ</t>
  </si>
  <si>
    <t>Cl 38 A Sur # 34 D - 51 lOCAL 3054</t>
  </si>
  <si>
    <t>CESAR GONZALEZ DERMATOLOGIA CLINICA Y ESTETICA</t>
  </si>
  <si>
    <t>CLAUDIA PATRICIA HOLGUIN MOLINA</t>
  </si>
  <si>
    <t>Ac 26 #68 C-61 Of 805 Edificio Torre Central</t>
  </si>
  <si>
    <t>CESAR GONZALEZ DERMATOLOGIA CLINICA Y ESTETICA 6-CLIPP</t>
  </si>
  <si>
    <t>Claudia Patricia Holguin Molina</t>
  </si>
  <si>
    <t>Ac 26 #68 C-61 Lc 128 Edificio Torre Central</t>
  </si>
  <si>
    <t>3156328629-3132743468</t>
  </si>
  <si>
    <t>contactenos@drcesargonzalez.com.co</t>
  </si>
  <si>
    <t>CESAR GONZALEZ DERMATOLOGIA CLINICA Y ESTETICA 7-DOCTOR MANCHAS</t>
  </si>
  <si>
    <t>Ac 26 # 68 C 61 Of 813-814</t>
  </si>
  <si>
    <t>AMBU-SANAR S.A.S SIGLA AMBUSAS</t>
  </si>
  <si>
    <t>Cra 69 k # 79 - 67 Piso 1</t>
  </si>
  <si>
    <t>ambusanar2021@gmail.com</t>
  </si>
  <si>
    <t>https://ambusanar.com</t>
  </si>
  <si>
    <t>CESAR JERONIMO GARAY JARA</t>
  </si>
  <si>
    <t>CRA 69 K # 79 - 67 Piso 1</t>
  </si>
  <si>
    <t>SISTEMA INTEGRAL EN SALUD OCUPACIONAL IPS S.A.S, SISO IPS</t>
  </si>
  <si>
    <t>CALLE 79A # 69R 06 P1</t>
  </si>
  <si>
    <t>GERENCIA@SISOIPS.COM</t>
  </si>
  <si>
    <t>https://www.sisoips.com</t>
  </si>
  <si>
    <t>SISTEMA INTEGRAL EN SALUD OCUPACIONAL IPS SAS, SISO IPS</t>
  </si>
  <si>
    <t>OSCAR ANDRES HERNANDEZ VARGAS</t>
  </si>
  <si>
    <t>CENTRO DE RECONOCIMIENTO DE CONDUCTORES MEDICONDUZCA S.A.S</t>
  </si>
  <si>
    <t>Dg 23 No. 69 60 Lc 103</t>
  </si>
  <si>
    <t>crcmediconduzca@gmail.com</t>
  </si>
  <si>
    <t>NELSON JAVIER HERRERA GARCIA</t>
  </si>
  <si>
    <t>MEDITAC SALUD IPS SAS</t>
  </si>
  <si>
    <t>AK 24 # 86-28 P2</t>
  </si>
  <si>
    <t>meditacsalud@gmail.com</t>
  </si>
  <si>
    <t>ERIK RICARDO CARABALI GARZON</t>
  </si>
  <si>
    <t>calidadmeditacsalud@gmail.com</t>
  </si>
  <si>
    <t>CAROLINA MARTINEZ SAS</t>
  </si>
  <si>
    <t>CL 83 16A 44 Cs 201, 202, 203, 207</t>
  </si>
  <si>
    <t>notificaciones@dracarolinamartinez.com</t>
  </si>
  <si>
    <t>CENTRO DERMATOLOGICO CAROLINA MARTINEZ</t>
  </si>
  <si>
    <t>CAROLINA MARTINEZ TORRADO</t>
  </si>
  <si>
    <t>CL 83 No. 16A - 44 Cs 201, 202, 203 , 207</t>
  </si>
  <si>
    <t>ORAL GREEN S.A.S</t>
  </si>
  <si>
    <t>Cl 39 SUR N 72K 44. Piso 1</t>
  </si>
  <si>
    <t>oralgreen.org@gmail.com</t>
  </si>
  <si>
    <t>https://www.oralgreen.com.co</t>
  </si>
  <si>
    <t>Leydi Rocio Velandia Nieto</t>
  </si>
  <si>
    <t>CL 39 SUR N 72 K 44 PISO 1</t>
  </si>
  <si>
    <t>IPS APRUEBA CALI S.A.S.</t>
  </si>
  <si>
    <t>AC 161 NO. 20-18 PISO 1 ENTRADA 1</t>
  </si>
  <si>
    <t>ipsapruebacalisas@gmail.com</t>
  </si>
  <si>
    <t>https://www.a-prueba.com</t>
  </si>
  <si>
    <t>IPS BOGOTA 1</t>
  </si>
  <si>
    <t>NICOLAS CAICEDO ORTIZ</t>
  </si>
  <si>
    <t>ELITE COSMETIC DENTAL SAS</t>
  </si>
  <si>
    <t>AK 9 # 127B-20 CS 603 Y 604</t>
  </si>
  <si>
    <t>ceo@elitecosmeticdental.com</t>
  </si>
  <si>
    <t>https://elitecosmeticdental.com</t>
  </si>
  <si>
    <t>BETSY PAOLA FLECHAS OLAYA</t>
  </si>
  <si>
    <t>AK 9# 127B-20 CS 602 Y 610</t>
  </si>
  <si>
    <t>NEUROCOM GROUP SAS SIGLA NEUROCOM SAS</t>
  </si>
  <si>
    <t>Carrera 19 97 31 Oficina 701 Oficina 704 Consultorios 1 y 2 , Oficina 602 Consultorio 1</t>
  </si>
  <si>
    <t>ee.penar@neurocomgroup.com</t>
  </si>
  <si>
    <t>NEUROCOM IPS</t>
  </si>
  <si>
    <t>Edgar Pe񡠒odr�ez</t>
  </si>
  <si>
    <t>Cra 19 # 97 - 31 Oficina 704 Consultorios 1 - 2 Oficina 602 Consultorio 1</t>
  </si>
  <si>
    <t>OCUPASALUD BOGOTA S.A.S</t>
  </si>
  <si>
    <t>CALLE 22 SUR #19C-09 LOCAL 207-208</t>
  </si>
  <si>
    <t>ocupasalud.bogota@gmail.com</t>
  </si>
  <si>
    <t>https://www.ocupasalud.com</t>
  </si>
  <si>
    <t>MICHAEL MIGUEL MEDINA MORALES</t>
  </si>
  <si>
    <t>CALLE 22 SUR#19C-09 LOCAL 207-208</t>
  </si>
  <si>
    <t>OCUPASALUD.BOGOTA@GMAIL.COM</t>
  </si>
  <si>
    <t>IPS WELLNESS HEALTH SAS</t>
  </si>
  <si>
    <t>AVENIDA CALLE 19 28 80 LOCAL D 3 P4</t>
  </si>
  <si>
    <t>ipswellnesshealth@gmail.com</t>
  </si>
  <si>
    <t>https://www.ipswellnesshealth.com</t>
  </si>
  <si>
    <t>IPS WELLNESS HEALTH</t>
  </si>
  <si>
    <t>JOSE LEANDRO PATIя GONZALEZ</t>
  </si>
  <si>
    <t>IPS WELLNESS HEALTH RESTREPO</t>
  </si>
  <si>
    <t>LUIS MIGUEL CELI TRUJILLO</t>
  </si>
  <si>
    <t>Calle 14Sur # 22 -37 Piso 1 Lc-01</t>
  </si>
  <si>
    <t>auditoriasjdc2023@gmail.com</t>
  </si>
  <si>
    <t>LASER COLINA SAS</t>
  </si>
  <si>
    <t>AVENIDA CARRERA 58 # 132A - 10 PISO 1</t>
  </si>
  <si>
    <t>habilitacion1@odontologialaser.co</t>
  </si>
  <si>
    <t>JHON FREDY BRICEя CASTELLANOS</t>
  </si>
  <si>
    <t>SERVICIOS MEDICOS OXI50 IPS S.A.S - OXI 50 IPS S.A.S</t>
  </si>
  <si>
    <t>Calle 99 #49-38 consultorio 1408 -1409</t>
  </si>
  <si>
    <t>direccion.administrativa@oxi50.com.co</t>
  </si>
  <si>
    <t>https://nueva.oxi50.com.co</t>
  </si>
  <si>
    <t>IPS OXI 50 S.A.S</t>
  </si>
  <si>
    <t>Claudia Del Pilar Moreno</t>
  </si>
  <si>
    <t>calle 99#49-38 consultorio 1408-1409</t>
  </si>
  <si>
    <t>ipsoxi50@gmail.com</t>
  </si>
  <si>
    <t>MEDICAL JJUST SAS</t>
  </si>
  <si>
    <t>Carrera 20 C 72 A 14 Piso 1 Consultorio 1 Consultorio 2</t>
  </si>
  <si>
    <t>medical.jjust@gmail.com</t>
  </si>
  <si>
    <t>https://medical.jjust@gmail.com</t>
  </si>
  <si>
    <t>DANIEL FELIPE PALACIOS CHAPARRO</t>
  </si>
  <si>
    <t>NEW DAY I.P.S SOLUCIONES MEDICAS SAS</t>
  </si>
  <si>
    <t>CALLE 79 No. 89A - 40 LOCAL 1-26</t>
  </si>
  <si>
    <t>direccioncomercialnewdayips@gmail.com</t>
  </si>
  <si>
    <t>https://www.newdayips.co</t>
  </si>
  <si>
    <t>YUDY ALEXANDRA ESPINOSA SEPULVEDA</t>
  </si>
  <si>
    <t>CALLE 79 No.89A-40 LOCAL 1-26</t>
  </si>
  <si>
    <t>newdayips@outlook.com</t>
  </si>
  <si>
    <t>TUSALUD LABORAL IPS SAS</t>
  </si>
  <si>
    <t>Carrera 20 C 72 A 14 Piso 1 Consultorio 3 Piso 2 Consultorio 4-5-6-7-8</t>
  </si>
  <si>
    <t>gestionad@tusaludlaboralipssas.com</t>
  </si>
  <si>
    <t>https://www.tusaludlaboralipsas.com</t>
  </si>
  <si>
    <t>ANDREA LARITZA TORRADO AREVALO</t>
  </si>
  <si>
    <t>SERVICIOS MɄICOS ESPECIALIZADOS NEUROSALUD SAS NEUROSALUD I.S.P. S.A.S</t>
  </si>
  <si>
    <t>AK 45 N 100-48 Local 3</t>
  </si>
  <si>
    <t>ipsneurosaludsas1@gmail.com</t>
  </si>
  <si>
    <t>SERVICIOS MEDICOS ESPECIALIZADOS NEUROSALUD S.A.S NEUROSALUD I.S.P. S.A.S</t>
  </si>
  <si>
    <t>ARLENE MARGOT CUESTA GUTIERREZ</t>
  </si>
  <si>
    <t>AK 45 # 100-48 Local 3</t>
  </si>
  <si>
    <t>CUIDARPLUS SAS SIGLA CUIDARPLUS</t>
  </si>
  <si>
    <t>Calle 140 11 45 Consultorio 311</t>
  </si>
  <si>
    <t>carolina.ocampo@cuidarplusips.com</t>
  </si>
  <si>
    <t>https://www.cuidarplusips.com</t>
  </si>
  <si>
    <t>Angela Carolina Ocampo Garz󮼯td&gt;</t>
  </si>
  <si>
    <t>Cl�ca Universidad de La Sabana</t>
  </si>
  <si>
    <t>Avenida el Dorado N. 69A - 51 torre B Int 3 L 201- 202</t>
  </si>
  <si>
    <t>calidad@clinicaunisabana.edu.co</t>
  </si>
  <si>
    <t>https://www.clinicaunisabana.edu.co/nuestra-clinica/</t>
  </si>
  <si>
    <t>Cl�ca Universidad de La Sabana sede ambulatoria de neurociencias centro</t>
  </si>
  <si>
    <t>EDUARDO CORTɓ CASTAя</t>
  </si>
  <si>
    <t>IPS UNIVERSITARIA DE COLOMBIA SAS</t>
  </si>
  <si>
    <t>CL 34 # 5 - 89</t>
  </si>
  <si>
    <t>ipsuniversitariadecolombia@gmail.com</t>
  </si>
  <si>
    <t>ISAAC MORENO DE CARO</t>
  </si>
  <si>
    <t>CARPE GROUP SALUD S.A.S.</t>
  </si>
  <si>
    <t>Calle 127 Bis # 19 25 Oficinas 402, 408 Y 414</t>
  </si>
  <si>
    <t>319 2407437</t>
  </si>
  <si>
    <t>gcarvajalm@hotmail.com</t>
  </si>
  <si>
    <t>https://www.carpegroup.co</t>
  </si>
  <si>
    <t>GASTROSERVICIOS BOGOT|/td&gt;</t>
  </si>
  <si>
    <t>JUAN GUILLERMO CARVAJAL PATIя</t>
  </si>
  <si>
    <t>JM HEALTH GROUP SAS</t>
  </si>
  <si>
    <t>CALLE 77 58 23 PISO 1</t>
  </si>
  <si>
    <t>jmhealthips@gmail.com</t>
  </si>
  <si>
    <t>CLAUDIA PATRICIA MUELLE PLAZAS</t>
  </si>
  <si>
    <t>ALIANZA SALUD LABORAL SAS</t>
  </si>
  <si>
    <t>Avenida Carrera 19 # 95-55 Consultorio 310</t>
  </si>
  <si>
    <t>alianza.saludlaboral@gmail.com</t>
  </si>
  <si>
    <t>DANIEL MOYA LOZANO</t>
  </si>
  <si>
    <t>Avenida Carrera 19 #95-55 Consultorio 310</t>
  </si>
  <si>
    <t>MEDITET MEDICINA ANTIENVEJECIMIENTO SAS Sigla: MEDITET SAS</t>
  </si>
  <si>
    <t>Cl 150 # 16- 56 Local 1078</t>
  </si>
  <si>
    <t>administracion@meditet.com</t>
  </si>
  <si>
    <t>https://meditet.com</t>
  </si>
  <si>
    <t>MEDITET</t>
  </si>
  <si>
    <t>Nicolas Garcia Sanchez</t>
  </si>
  <si>
    <t>CENASIP S.A.S</t>
  </si>
  <si>
    <t>Avenida calle 68 No. 56 B-08</t>
  </si>
  <si>
    <t>Gerencia@cenasip.com</t>
  </si>
  <si>
    <t>CENASIP S.A.S.</t>
  </si>
  <si>
    <t>ӓCAR JAVIER SANDOVAL VILLALOBOS</t>
  </si>
  <si>
    <t>Avenida calle 68 No.56 B-08</t>
  </si>
  <si>
    <t>VAE MEDICINA Y BIENESTAR INTEGRAL IPS SAS</t>
  </si>
  <si>
    <t>Avenida Calle 127 # 20 16 Consultorios 202 - 216 - 217 - 218 Edificio Pluss 127</t>
  </si>
  <si>
    <t>administracion@vaebienestar.org</t>
  </si>
  <si>
    <t>VICTORIA ANDREA ESCALANTE</t>
  </si>
  <si>
    <t>dra.victoriaescalante@vaebienestar.org</t>
  </si>
  <si>
    <t>ESPECIALISTAS EN SALUD MENTAL S.A.S</t>
  </si>
  <si>
    <t>KR 7 C bis# 139 - 18 OF 506</t>
  </si>
  <si>
    <t>contacto@psicologa.co</t>
  </si>
  <si>
    <t>LUISA FERNANDA PARRA GODOY</t>
  </si>
  <si>
    <t>NSG LABORATORIOS IPS S.A.S.</t>
  </si>
  <si>
    <t>CR. 4 ESTE No.41B-15 SUR Cs7</t>
  </si>
  <si>
    <t>nsglaboratorios@gmail.com</t>
  </si>
  <si>
    <t>https://nsglaboratorios@gmail.com</t>
  </si>
  <si>
    <t>JERALDYNE BERNAL SANCHEZ</t>
  </si>
  <si>
    <t>Cr. 4 ESTE No.41B - 15 SUR Cs4</t>
  </si>
  <si>
    <t>VIP SALUD OCUPACIONAL SAS</t>
  </si>
  <si>
    <t>CARRERA 28 A N 51-70 PISO 1</t>
  </si>
  <si>
    <t>vipsaludocupacional@gmail.com</t>
  </si>
  <si>
    <t>GINA ROCHA CHAWES</t>
  </si>
  <si>
    <t>CARRERA 28A #51-70 PISO 1</t>
  </si>
  <si>
    <t>LABORATORIO DE CITOHISTOPATOLOGIA SAS SIGLA CITOHISPAT SAS</t>
  </si>
  <si>
    <t>Cra 9 # 49-42 Cons 603</t>
  </si>
  <si>
    <t>citohpatologia@gmail.com</t>
  </si>
  <si>
    <t>https://https://citohpatologia.wixsite.com/website</t>
  </si>
  <si>
    <t>DOMSALUD DEL META S.A.S SIGLA: DOMSALUD S.A.S</t>
  </si>
  <si>
    <t>KR 70 # 31 97 SUR PI 1 y 2</t>
  </si>
  <si>
    <t>coordinacioncalidad@domsalud.com</t>
  </si>
  <si>
    <t>https://www.domsalud.com/</t>
  </si>
  <si>
    <t>DOMSALUD KENNEDY</t>
  </si>
  <si>
    <t>LUISA FERNADA RUIZ VELAZCO</t>
  </si>
  <si>
    <t>gerencia@domsalud.com</t>
  </si>
  <si>
    <t>DOMSALUD NORTE</t>
  </si>
  <si>
    <t>LUISA FERNANDA RUIZ VELASCO</t>
  </si>
  <si>
    <t>Carrera 45 A 101 34 Piso 1</t>
  </si>
  <si>
    <t>IPS EN SALUD SAS</t>
  </si>
  <si>
    <t>KR 21 # 23 26 SUR</t>
  </si>
  <si>
    <t>3243392138-3005232138</t>
  </si>
  <si>
    <t>administracion@ipsensalud.com.co</t>
  </si>
  <si>
    <t>https://www.ipsensalud.com.co/pagina/index.php</t>
  </si>
  <si>
    <t>JOHAN SEBASTIAN PEREZ VELANDIA</t>
  </si>
  <si>
    <t>Carrera 21 # 23-26 sur</t>
  </si>
  <si>
    <t>HOSPICLAB SAS</t>
  </si>
  <si>
    <t>Cra 47a # 95 48</t>
  </si>
  <si>
    <t>coordinacionhospiclab@gmail.com</t>
  </si>
  <si>
    <t>HOSPICLAB</t>
  </si>
  <si>
    <t>RAUL DARIO RIVERA ROZO</t>
  </si>
  <si>
    <t>GRUPO MEDICOS ALTERNATIVOS Y ASOCIADOS S.A.S</t>
  </si>
  <si>
    <t>CARRERA 20 #49-59 PISO 1 OFICINA 101</t>
  </si>
  <si>
    <t>info@grupomedicoalternativo.com</t>
  </si>
  <si>
    <t>WILLIAM ANDRES BERNAL RIVERA</t>
  </si>
  <si>
    <t>ACOUSTIC SYSTEM S.A.S</t>
  </si>
  <si>
    <t>CALLE 97 23-37 CONSULTORIO 520, 606, 607</t>
  </si>
  <si>
    <t>servicio@acousticsystem.com</t>
  </si>
  <si>
    <t>https://www.acousticsystem.com</t>
  </si>
  <si>
    <t>ASLAB</t>
  </si>
  <si>
    <t>GERMAN ANTONIO RINCON CASALLAS</t>
  </si>
  <si>
    <t>CALLE 97 23-37 CONSULTORIO 606, 607</t>
  </si>
  <si>
    <t>MI GRUPO ODONTOLOGICO INTEGRAL SAS SIGLA MIGOI SAS</t>
  </si>
  <si>
    <t>CRA 54 No 152A - 85 LOCAL 9 -10 PISO 3</t>
  </si>
  <si>
    <t>goidireccion@gmail.com</t>
  </si>
  <si>
    <t>https://instagram.com/goi_ips_?utm_medium=copy_link</t>
  </si>
  <si>
    <t>ANA MARIA GUZMAN VIVANCO</t>
  </si>
  <si>
    <t>CR54 No 152A - 85 Local 9-10 PISO 3</t>
  </si>
  <si>
    <t>HUMAN TISSUE CARE S.A.S</t>
  </si>
  <si>
    <t>CALLE 79 89 A 40 LOCAL 201 CENTRO PRIMAVERA PLAZA COMERCIAL P.H</t>
  </si>
  <si>
    <t>ipshumantissue@outlook.com</t>
  </si>
  <si>
    <t>LUIS FREDY BALLEN DIAZ</t>
  </si>
  <si>
    <t>INMUNOPRINT SAS</t>
  </si>
  <si>
    <t>Cra 16 82 - 95 CONSULTORIO 302 CONSULTORIO 303 CONSULTORIO 304 Y CONSULTORIO 706 UNIDAD MEDICA DEL COUNTRY</t>
  </si>
  <si>
    <t>inmunoprint@gmail.com</t>
  </si>
  <si>
    <t>ANDRES FELIPE CASTRO ARBELAEZ</t>
  </si>
  <si>
    <t>GESTORES INTEGRALES DE LO TERAPEUTICO Y LA SALUD S.A.S. GITESA S.A.S</t>
  </si>
  <si>
    <t>CALLE 99 #49 -78 OF 304</t>
  </si>
  <si>
    <t>guilfordsuperior@gimnasiodeguilford.edu.co</t>
  </si>
  <si>
    <t>https://orientarkids.com</t>
  </si>
  <si>
    <t>ORIENTAR KIDS</t>
  </si>
  <si>
    <t>MARTHA PATRICIA LASPRILLA MURCIA</t>
  </si>
  <si>
    <t>CALLE 99 # 49 - 78 OF 304</t>
  </si>
  <si>
    <t>servicios medicos prioritarios sas</t>
  </si>
  <si>
    <t>cra 95 N 146a 31</t>
  </si>
  <si>
    <t>info@serviciosmedicosprioritarios.com</t>
  </si>
  <si>
    <t>https://serviciosmedicosprioritarios.com.co</t>
  </si>
  <si>
    <t>NOVOA VELASCO GIOVANNI</t>
  </si>
  <si>
    <t>cra 95 N 146a - 31</t>
  </si>
  <si>
    <t>CORAZON &amp; VIDA IPS SAS</t>
  </si>
  <si>
    <t>Dg 40 A # 7 40 Of 209</t>
  </si>
  <si>
    <t>infocorazonyvida@gmail.com</t>
  </si>
  <si>
    <t>GLORIA IRENE TORRES MORA</t>
  </si>
  <si>
    <t>Alianza Codigo Rojo IPS SAS</t>
  </si>
  <si>
    <t>Carrera 18 # 56a- 46 SUR</t>
  </si>
  <si>
    <t>medicalsaludcodigorojo@gmail.com</t>
  </si>
  <si>
    <t>https://alianzac󤩧orojoipssas</t>
  </si>
  <si>
    <t>Alianza C󤩧o Rojo IPS SAS</t>
  </si>
  <si>
    <t>SILVIA ESPERANZA RAQUIRA POVEDA</t>
  </si>
  <si>
    <t>Carrera 18#56 a-46 SUR</t>
  </si>
  <si>
    <t>VITALIZARTE S.A.S</t>
  </si>
  <si>
    <t>CALLE 140 #11-45 OF 516 EDIFICIO HHC</t>
  </si>
  <si>
    <t>vitalizarte@outlook.com</t>
  </si>
  <si>
    <t>VITALIZARTE</t>
  </si>
  <si>
    <t>SANDRA MILENA HERNANDEZ MARTINEZ</t>
  </si>
  <si>
    <t>IPS. SERVICIOS MEDICOS ESPECIALIZADOS E&amp;P S.A.S.</t>
  </si>
  <si>
    <t>CRA 58 # 90-26 PISO 1</t>
  </si>
  <si>
    <t>ipsep.sas@gmail.com</t>
  </si>
  <si>
    <t>https://ipsep.sas@gmail.com</t>
  </si>
  <si>
    <t>MANUEL ESPAс MENDEZ</t>
  </si>
  <si>
    <t>PROAMBULANCIAS IPS SAS</t>
  </si>
  <si>
    <t>KR 75k # 58 B 04 SUR PI 1</t>
  </si>
  <si>
    <t>proambulancias.ips@gmail.com</t>
  </si>
  <si>
    <t>https://www.proambulancias.ips.com</t>
  </si>
  <si>
    <t>KEILY ALEXANDRA MONROY RICO</t>
  </si>
  <si>
    <t>DND SAS</t>
  </si>
  <si>
    <t>Cra 23 #124-87. Consultorio 801 - 802. Torre 2</t>
  </si>
  <si>
    <t>direccion@dentisteriadigital.com</t>
  </si>
  <si>
    <t>RAFAEL MAURICIO SALGADO CASTRO</t>
  </si>
  <si>
    <t>Cra 23 #124 - 87. Consultorio 801-802. Torre 2</t>
  </si>
  <si>
    <t>GIR BRO SAS</t>
  </si>
  <si>
    <t>CALLE 11# 8-80 P 3 OFC 301</t>
  </si>
  <si>
    <t>girbroargi1124@gmail.com</t>
  </si>
  <si>
    <t>https://girbro.co/</t>
  </si>
  <si>
    <t>IMPORGAFAS ARGI 1</t>
  </si>
  <si>
    <t>HERMES EDILSON GIRALDO GIRALDO</t>
  </si>
  <si>
    <t>CARRERA 9#11-16 EDIFICIO 11-24 OFICINA 303</t>
  </si>
  <si>
    <t>IPS GIRBRO 2</t>
  </si>
  <si>
    <t>Cra 9 No 16-72</t>
  </si>
  <si>
    <t>MEDICINA CONTROLES Y DIAGNOSTICOS EN SALUD OCUPACIONAL IPS S.A.S - MEDICID IPS S.A.S.</t>
  </si>
  <si>
    <t>Cra 49 # 94 - 96</t>
  </si>
  <si>
    <t>gerencia@medicidsas.com</t>
  </si>
  <si>
    <t>http://www.medicidsas.com/new/</t>
  </si>
  <si>
    <t>MEDICID IPS BOGOTA</t>
  </si>
  <si>
    <t>JENNEEFER JOHNSON SANABRIA</t>
  </si>
  <si>
    <t>CR 49 # 94 - 96</t>
  </si>
  <si>
    <t>MED DRIVE SAS</t>
  </si>
  <si>
    <t>Calle 163 A 20 54 Piso 1</t>
  </si>
  <si>
    <t>gerenciameddrive01@gmail.com</t>
  </si>
  <si>
    <t>https://med.drive01@gmail.com</t>
  </si>
  <si>
    <t>MARIA CAMILA POLANCO AMAYA</t>
  </si>
  <si>
    <t>GESTION INTEGRAL EN SALUD,SEGURIDAD Y AMBIENTE S.A.S GEMSSA S.A.S</t>
  </si>
  <si>
    <t>Calle 23 F #75-21 Piso 1 Barrio Modelia</t>
  </si>
  <si>
    <t>gemssa.gerencia@gmail.com</t>
  </si>
  <si>
    <t>https://www.gemssa.co</t>
  </si>
  <si>
    <t>GESTION INTEGRAL EN SALUD, SEGURIDAD Y AMBIENTE S.A.S GEMSSA S.A.S</t>
  </si>
  <si>
    <t>Deysi Astrid Ya񥺠Villamizar</t>
  </si>
  <si>
    <t>Calle 23 F #75-21 Piso 1</t>
  </si>
  <si>
    <t>FISIO CENTER SAS</t>
  </si>
  <si>
    <t>CALLE 35 SUR # 72 L 87 - PISO 1</t>
  </si>
  <si>
    <t>fisiocenter.bogota@gmail.com</t>
  </si>
  <si>
    <t>FISIO CENTER</t>
  </si>
  <si>
    <t>KATHERINE DIAZ LEON</t>
  </si>
  <si>
    <t>INVERSIONES CARIS SAS</t>
  </si>
  <si>
    <t>AV 19 # 120 - 33/71 OFICINA 508: CONSULTORIOS 508-1, 508-2, 508-3 / SALA DE JUNTAS</t>
  </si>
  <si>
    <t>rsalcedo@caris.com.co</t>
  </si>
  <si>
    <t>https://NOTIENE</t>
  </si>
  <si>
    <t>ANA LUCIA ARANGO YEPES</t>
  </si>
  <si>
    <t>av 19 # 120 - 33/71 OFICINA 508: CONSULTORIOS 508-1, 508-2, 508-3 / SALA DE JUNTAS</t>
  </si>
  <si>
    <t>GRUPO ODONTOS SAS Sigla: GRUPO ODONTOS SAS</t>
  </si>
  <si>
    <t>Cl 18 No. 77 67 Of 303 y 304</t>
  </si>
  <si>
    <t>grupodontos@gmail.com</t>
  </si>
  <si>
    <t>CLAUDIA MARITZA RODRIGUEZ MAHECHA</t>
  </si>
  <si>
    <t>Cl 18 No. 77 67 Of 303 304</t>
  </si>
  <si>
    <t>BHAVATI IPS SAS</t>
  </si>
  <si>
    <t>KR 8 # 49 25 OF 408</t>
  </si>
  <si>
    <t>contactobhavati@telemed-colombia.com.co</t>
  </si>
  <si>
    <t>CLAUDIO ANDRES SAEZ CATALAN</t>
  </si>
  <si>
    <t>ES VITAL CENTER S.A.S</t>
  </si>
  <si>
    <t>Ak 9 # 116-20 CS 502-518-520-708</t>
  </si>
  <si>
    <t>angelicadominguezduarte@gmail.com</t>
  </si>
  <si>
    <t>https://angelicadominguezduarte@gmail.com</t>
  </si>
  <si>
    <t>ANGELICA MARIA DOMINGUEZ DUARTE</t>
  </si>
  <si>
    <t>GLOBAL MEDICAL HSE SAS IPS</t>
  </si>
  <si>
    <t>carrera 49 # 91-73 consultorios 1,2,4,5,6,8</t>
  </si>
  <si>
    <t>gerencia@globalmedicalips.com</t>
  </si>
  <si>
    <t>https://N/A</t>
  </si>
  <si>
    <t>Mar�Jos須oyos Pe񡼯td&gt;</t>
  </si>
  <si>
    <t>gerencia@globalmedicalhse.com</t>
  </si>
  <si>
    <t>RADIOLOGIA DIGITAL MAXILOFACIAL CRX SAS Sigla: CRX RESTREPO</t>
  </si>
  <si>
    <t>Diagonal 21 A Sur 19 32 Piso 1</t>
  </si>
  <si>
    <t>crxrestrepo@gmail.com</t>
  </si>
  <si>
    <t>RADIOLOGIA DIGITAL MAXILOFACIAL CRX SAS -SIGLA: CRX RESTREPO</t>
  </si>
  <si>
    <t>ANA PATRICIA MIRANDA BONILLA</t>
  </si>
  <si>
    <t>INSTITUCION PRESTADORA DE SALUD - IPS CITYMEDICAL S.A.S Sigla: CITYMEDICAL</t>
  </si>
  <si>
    <t>AC 145 NO. 92 30 LC 203</t>
  </si>
  <si>
    <t>ipscitymedical@gmail.com</t>
  </si>
  <si>
    <t>https://citimedicalips</t>
  </si>
  <si>
    <t>IPS CITYMEDICAL</t>
  </si>
  <si>
    <t>JOHN OSWALDO BERNAL SANCHEZ</t>
  </si>
  <si>
    <t>INTERCARDIO S.A.S</t>
  </si>
  <si>
    <t>Av Cra 19 # 95 -31 Cs 303</t>
  </si>
  <si>
    <t>intercardiosas@gmail.com</t>
  </si>
  <si>
    <t>INTERCARDIO</t>
  </si>
  <si>
    <t>Jeidi Cardenas Duarte</t>
  </si>
  <si>
    <t>INTERCARDIO 102</t>
  </si>
  <si>
    <t>JEIDI CARDENAS DUARTE</t>
  </si>
  <si>
    <t>AK 15 # 102-45 CS 201-202</t>
  </si>
  <si>
    <t>IPS CENTRO MEDICO SAN JOSE DEL SUR SAS</t>
  </si>
  <si>
    <t>CL 50 A SUR 5 R 18 PISO 1 CONSULTORIOS 1 Y 3</t>
  </si>
  <si>
    <t>gestioncentromedico@sanjosedelsursalud.co</t>
  </si>
  <si>
    <t>https://sanjosedelsursalud.co/</t>
  </si>
  <si>
    <t>JONKA PAOLA GOMEZ CHICA</t>
  </si>
  <si>
    <t>IME1DOC3 IPS SAS</t>
  </si>
  <si>
    <t>CARRERA 12 # 98 - 64, CONSULTORIO 408 TORRE 1</t>
  </si>
  <si>
    <t>jcardona@1doc3.com</t>
  </si>
  <si>
    <t>https://imeips.1doc3.com/</t>
  </si>
  <si>
    <t>JAVIER ANDRES CARDONA MORA</t>
  </si>
  <si>
    <t>HILIFE, ALTO DESEMPEя MɄICO Y F͓ICO S.A.S</t>
  </si>
  <si>
    <t>CALLE 105 A 14 92 CONSULTORIO 101</t>
  </si>
  <si>
    <t>jmcabrerag@unal.edu.co</t>
  </si>
  <si>
    <t>https://www.hiife.com.co</t>
  </si>
  <si>
    <t>JORGE MARIO CABRERA GARAVITO</t>
  </si>
  <si>
    <t>SUPERBIEN MEDICINA LABORAL S.A.S</t>
  </si>
  <si>
    <t>CR 42 BIS NO. 17 A 75 LC 2 P1</t>
  </si>
  <si>
    <t>superbienips@gmail.com</t>
  </si>
  <si>
    <t>ELIANA DE JESUS CAMPO GONZALEZ</t>
  </si>
  <si>
    <t>VISUAL HOUSE ORTOPTICA SAS</t>
  </si>
  <si>
    <t>Ak 20 78 30 Lc 61</t>
  </si>
  <si>
    <t>312 4320602</t>
  </si>
  <si>
    <t>calidadvisualhouse@gmail.com</t>
  </si>
  <si>
    <t>https://www.ortoptica.net/</t>
  </si>
  <si>
    <t>VISUAL HOUSE ORTOPTICA</t>
  </si>
  <si>
    <t>Katherine Viviana Barrera SuᲥz</t>
  </si>
  <si>
    <t>vhortoptica@gmail.com</t>
  </si>
  <si>
    <t>VISUAL HOUSE ORTOPTICA SUR</t>
  </si>
  <si>
    <t>Andrea Nicol Zea Vargas</t>
  </si>
  <si>
    <t>Ac 13 65 21 Lc 13 Y 14 B</t>
  </si>
  <si>
    <t>HIDROREHABILITAR SALUD SAS</t>
  </si>
  <si>
    <t>Calle 76 #84a-01</t>
  </si>
  <si>
    <t>hidrorehabilitar@gmail.com</t>
  </si>
  <si>
    <t>https://hidrorehabilitar@gmail.com</t>
  </si>
  <si>
    <t>CALLE 76 #84a -01</t>
  </si>
  <si>
    <t>enfermeras un compromiso sas</t>
  </si>
  <si>
    <t>carrera 19 84 41 of 401</t>
  </si>
  <si>
    <t>gerencia@enfermeras.co</t>
  </si>
  <si>
    <t>https://enfermeras.co/</t>
  </si>
  <si>
    <t>viviana paola clavijo salas</t>
  </si>
  <si>
    <t>NURSE LILI SAS</t>
  </si>
  <si>
    <t>Carrera 45A # 95 - 37 Oficina 301</t>
  </si>
  <si>
    <t>nurselilicalidad@gmail.com</t>
  </si>
  <si>
    <t>NURSE LILI SAS SEDE BOGOTA</t>
  </si>
  <si>
    <t>JUAN CARLOS GARZON PINILLOS</t>
  </si>
  <si>
    <t>Carrera 45A # 95-37 Oficina 301</t>
  </si>
  <si>
    <t>CELEBRITY MEDICAL CENTER S.A.S</t>
  </si>
  <si>
    <t>CR 10 N 64 -21/27 LOCAL 3 Y 4</t>
  </si>
  <si>
    <t>celebritybeautycenter@gmail.com</t>
  </si>
  <si>
    <t>https://celbritymedicalcenter.com</t>
  </si>
  <si>
    <t>CELEBRITY AESTHETIC CENTER</t>
  </si>
  <si>
    <t>HENDER ALVAREZ GUERRERO</t>
  </si>
  <si>
    <t>carrera 10 #64-21 /27 LOCAL 3 Y 4</t>
  </si>
  <si>
    <t>Celebritybeautycenter@gmail.com</t>
  </si>
  <si>
    <t>FUNDACION CTIC - CENTRO DE TRATAMIENTO E INVESTIGACION SOBRE CANCER LUIS CARLOS SARMIENTO ANGULO</t>
  </si>
  <si>
    <t>Calle 168 14 42 Torre 1, Torre 2 Edificio investigaci󮠐iso 1, piso2, piso 3 y piso 4 Consultorios 401, 402, 403, 404, 405</t>
  </si>
  <si>
    <t>hospital@fctic.org</t>
  </si>
  <si>
    <t>https://cticsarmientoangulo.org/</t>
  </si>
  <si>
    <t>RAFAEL ANTONIO SANCHEZ PARIS</t>
  </si>
  <si>
    <t>IPS ODONTOLӇICA DRA PATRICIA CAICEDO SAS</t>
  </si>
  <si>
    <t>CARRERA 70G # 71B 26</t>
  </si>
  <si>
    <t>gerencia@drapatriciacaicedo.com</t>
  </si>
  <si>
    <t>https:// www.drapatriciacaicedo.com</t>
  </si>
  <si>
    <t>DRA PATRICIA CAICEDO</t>
  </si>
  <si>
    <t>WILSON MOISES RUBIO GALLEGO</t>
  </si>
  <si>
    <t>IPS ODONTOLOGICA DRA PC</t>
  </si>
  <si>
    <t>CALLE 57 # 21 - 26 P1 Lc</t>
  </si>
  <si>
    <t>IPS LIFE-PRO S.A.S SIGLA LIFE - PRO</t>
  </si>
  <si>
    <t>Ac 116 # 9 72 Cs 301 Ed Global Medical Center</t>
  </si>
  <si>
    <t>ipslifepro@gmail.com</t>
  </si>
  <si>
    <t>LIFE-PRO</t>
  </si>
  <si>
    <t>MIGUEL ANGEL ENRIQUEZ HERAZO</t>
  </si>
  <si>
    <t>Ac 116 # 9 72 Cs 301 Ed Global Medical</t>
  </si>
  <si>
    <t>I.P.S. LIFE PRO GALERIAS</t>
  </si>
  <si>
    <t>CL 53 B # 25 21 LC 1116-1025-1026</t>
  </si>
  <si>
    <t>CEIPAS SAS</t>
  </si>
  <si>
    <t>TRANSVERSAL 77 # 7 A 10</t>
  </si>
  <si>
    <t>ceipassas@gmail.com</t>
  </si>
  <si>
    <t>https://grupoceipas.com</t>
  </si>
  <si>
    <t>GERMAN LEONARDO TRUJILLO FLORIAN</t>
  </si>
  <si>
    <t>VALERIUS SALUD SAS IPS SIGLA VALERIUS SALUD</t>
  </si>
  <si>
    <t>AC 127 #70D 70 piso 1 y 2</t>
  </si>
  <si>
    <t>valeriussalud@gmail.com</t>
  </si>
  <si>
    <t>https://NA</t>
  </si>
  <si>
    <t>ELIZABETH DELGADO RIVERA</t>
  </si>
  <si>
    <t>AC 127 # 70D 70 piso 1 y 2</t>
  </si>
  <si>
    <t>RAGR SAS</t>
  </si>
  <si>
    <t>Av Cr 9 103 A 36 Of 603</t>
  </si>
  <si>
    <t>gerencia@ricardogonzalez.com.co</t>
  </si>
  <si>
    <t>RICARDO GONZALEZ CIRUGIA PLASTICA Y ESTETICA</t>
  </si>
  <si>
    <t>RICARDO ALFREDO GONZALEZ RODRIGUEZ</t>
  </si>
  <si>
    <t>Avenida Cra 9 # 103 A - 36 Oficina 603</t>
  </si>
  <si>
    <t>rg@doctorricardogonzalez.com</t>
  </si>
  <si>
    <t>CLINICA PARAMO SAS Sigla: CLINICA PARAMO</t>
  </si>
  <si>
    <t>CALLE 127A # 7-19 CONSULTORIO 505</t>
  </si>
  <si>
    <t>gerencia@clinicaparamo.com</t>
  </si>
  <si>
    <t>http://clinicaparamo.com/</t>
  </si>
  <si>
    <t>CLINICA PARAMO</t>
  </si>
  <si>
    <t>VIVIANA GISELA PARAMO JIMENEZ</t>
  </si>
  <si>
    <t>VITALIP MEDICAL GROUP IPS SAS</t>
  </si>
  <si>
    <t>CL 96 # 12 65 CS 610</t>
  </si>
  <si>
    <t>vitalipmedicalgroupipssas@gmail.com</t>
  </si>
  <si>
    <t>MARTHA CECILIA CARABALI GARZON</t>
  </si>
  <si>
    <t>INNOVART MEDICAL 1 IPS SAS</t>
  </si>
  <si>
    <t>AC 116 # 9 - 72 Ed GLOBAL MEDICAL CENTER CS 405/502</t>
  </si>
  <si>
    <t>calidadinnovartmedicalsas@gmail.com</t>
  </si>
  <si>
    <t>GLORIS JUDITH MORALES FUENTES</t>
  </si>
  <si>
    <t>AC 116 # 9 - 72 ED GLOBAL MEDICAL CENTER CS 405/502</t>
  </si>
  <si>
    <t>INNOVART MEDICAL CALLE 119</t>
  </si>
  <si>
    <t>Av Cra 9 No. 119 - 10</t>
  </si>
  <si>
    <t>CLINICAS MEDICAS INTEGRALES S.A.S</t>
  </si>
  <si>
    <t>CLL 99 49 38 CS 1105</t>
  </si>
  <si>
    <t>dirgeneral@clinicasmedicasintegrales.com</t>
  </si>
  <si>
    <t>https://NO HAY</t>
  </si>
  <si>
    <t>WILSON RENE CORREA GARZON</t>
  </si>
  <si>
    <t>C-MEDI 1012</t>
  </si>
  <si>
    <t>CLL 99 49 38 CS 1012</t>
  </si>
  <si>
    <t>JR DIAGNOSTIC SAS</t>
  </si>
  <si>
    <t>Avenida Calle 9 50 15 Local C 1061, C 1062, C 1063, C 1064, C1067</t>
  </si>
  <si>
    <t>gerencia@jrdiagnostic.com</t>
  </si>
  <si>
    <t>https://www.jrdiagnostic.com</t>
  </si>
  <si>
    <t>JR DIAGNOSTIC IPS</t>
  </si>
  <si>
    <t>Carlos Augusto Jaramillo Ramirez</t>
  </si>
  <si>
    <t>INSTITUTO DEL CEREBRO COLOMBIA SAS</t>
  </si>
  <si>
    <t>Avenida Calle 144 # 21 04 PISO 1 CONSULTORIO 102, Piso 2- 3-4- 5</t>
  </si>
  <si>
    <t>gerencia@institutodelcerebro.co</t>
  </si>
  <si>
    <t>https://www.innovargestion.com</t>
  </si>
  <si>
    <t>Diana Maria Porras Gutierrez</t>
  </si>
  <si>
    <t>Calle 144 # 21 04 Piso 1 CONSULTORIO 102, Piso 2, 3, 4 Y 5</t>
  </si>
  <si>
    <t>sasintegraciondiagnostica@gmail.com</t>
  </si>
  <si>
    <t>SALUD MASIN S.A.S</t>
  </si>
  <si>
    <t>Calle 12 N 33-09 LOCAL 1</t>
  </si>
  <si>
    <t>saludmasin@axon360.co</t>
  </si>
  <si>
    <t>https://www.saludmasin.co</t>
  </si>
  <si>
    <t>Liceth Daniela Prado Cortes</t>
  </si>
  <si>
    <t>CALLE 12 N 33-09 LOCAL 1</t>
  </si>
  <si>
    <t>JAASIEL ATENCIӎ INTEGRAL IPS SAS</t>
  </si>
  <si>
    <t>CR 13 No. 63 - 39 Cs 308</t>
  </si>
  <si>
    <t>jaasielsas1@gmail.com</t>
  </si>
  <si>
    <t>https://jaasiel.com.co/</t>
  </si>
  <si>
    <t>JAASIEL ATENCION INTEGRAL IPS SAS</t>
  </si>
  <si>
    <t>HECTOR ELIESER VASQUEZ LEDESMA</t>
  </si>
  <si>
    <t>STARKEY HEARING TECHNOLOGIES COLOMBIA S.A.S</t>
  </si>
  <si>
    <t>CRA 10 #97A-13 TORRE B OF 602</t>
  </si>
  <si>
    <t>catalina_parra@starkey.com</t>
  </si>
  <si>
    <t>http://www.starkey.com.co</t>
  </si>
  <si>
    <t>STARKEY HEARING TECHNOLOGIES COLOMBIA IPS</t>
  </si>
  <si>
    <t>SANDRA XIMENA TRUJILLO SALCEDO</t>
  </si>
  <si>
    <t>CRA 10 #97A-13 TORRE B OF602</t>
  </si>
  <si>
    <t>paola_baquero@starkey.com</t>
  </si>
  <si>
    <t>TU MEDICO EN CASA IPS COLOMBIA SAS</t>
  </si>
  <si>
    <t>Cra. 15 No. 118-03 Ofc. 304</t>
  </si>
  <si>
    <t>info@tumedicoencasaips.com</t>
  </si>
  <si>
    <t>https://tumedicoencasaips.com</t>
  </si>
  <si>
    <t>Adriana Lorena Espinosa Salazar</t>
  </si>
  <si>
    <t>AEROMAS SAS</t>
  </si>
  <si>
    <t>Avenida Calle 26 113 81 Aeropuerto Internacional El Dorado En 6 Hg 15 Piso 1 Nzag</t>
  </si>
  <si>
    <t>habilitacion@aeromas.com.co</t>
  </si>
  <si>
    <t>https://www.aeromas.com.co</t>
  </si>
  <si>
    <t>MILLER AUGUSTO VARGAS ZAMORA</t>
  </si>
  <si>
    <t>TLIMAGEN Y DIAGNOSTICO SAS</t>
  </si>
  <si>
    <t>CARRERA 7 BIS 124 56 CN 208</t>
  </si>
  <si>
    <t>TL.IMAGEN@HOTMAIL.COM</t>
  </si>
  <si>
    <t>https://tlimagen.com</t>
  </si>
  <si>
    <t>VICTOR VELOSA PORRAS</t>
  </si>
  <si>
    <t>IPS CHEQUEOS EJECUTIVOS Y AERONUTICOS S.A.S</t>
  </si>
  <si>
    <t>AVENIDA CARRERA 7 119 14 CONSULTORIO 207</t>
  </si>
  <si>
    <t>chequeosejecutivos@yahoo.com</t>
  </si>
  <si>
    <t>MARTHA ELENA JIMENEZ TOVAR</t>
  </si>
  <si>
    <t>MEVI SALUD IPS SAS</t>
  </si>
  <si>
    <t>Cl 118 # 19 52 Of 501</t>
  </si>
  <si>
    <t>mevisalud1@gmail.com</t>
  </si>
  <si>
    <t>ANDREA GROSSO HERNNDEZ</t>
  </si>
  <si>
    <t>FBC NEUROLOGIA S.A.S SIGLA FBC NEUROLOGIA S.A.S</t>
  </si>
  <si>
    <t>Avenida Calle 127 # 20-78 Local 1 - 203 Edificio Horizonte</t>
  </si>
  <si>
    <t>fbcneurologiasas@gmail.com</t>
  </si>
  <si>
    <t>https://braincognitiva.com/</t>
  </si>
  <si>
    <t>BRAIN COGNITIVA</t>
  </si>
  <si>
    <t>MAŔ IVONNE JOZAME RUBIO</t>
  </si>
  <si>
    <t>AVENIDA CALLE 127 # 20-78 LOCAL 1 - 203 EDIFICIO HORIZONTE</t>
  </si>
  <si>
    <t>BRAIN COGNITIVA DOS</t>
  </si>
  <si>
    <t>Mar�Ivonne Jozame Rubio</t>
  </si>
  <si>
    <t>Av, Calle 127 # 20-16 Consultorio 501</t>
  </si>
  <si>
    <t>IPS RADIOLOGICA OG SAS</t>
  </si>
  <si>
    <t>CL 83 # 16 A 44 CS 207</t>
  </si>
  <si>
    <t>admoncrog@gmail.com</t>
  </si>
  <si>
    <t>https://ipsradiologicaog.webnode.com.co/</t>
  </si>
  <si>
    <t>ORLANDO GONZALEZ BRAVO</t>
  </si>
  <si>
    <t>CL 83 # 16A 44 CS 207</t>
  </si>
  <si>
    <t>Cl�ca Odontologica Antonny Vasquez SAS</t>
  </si>
  <si>
    <t>Calle 140 numero 11 - 45 consultorio 615</t>
  </si>
  <si>
    <t>od.antonnyvc@hotmail.com</t>
  </si>
  <si>
    <t>https://www.clinicaodontologicaantonnyvasquez</t>
  </si>
  <si>
    <t>Luis Antonny Vasquez Calder󮼯td&gt;</t>
  </si>
  <si>
    <t>calle 140 numero 11-45 consultorio 615</t>
  </si>
  <si>
    <t>IPS HUELLAS DE VIDA SERVICIO HUMANIZADO SAS</t>
  </si>
  <si>
    <t>AK 9 127b 16 consultorio 205</t>
  </si>
  <si>
    <t>gerenciahuellasdevida@gmail.com</t>
  </si>
  <si>
    <t>https://d</t>
  </si>
  <si>
    <t>julian esteban robledo mu񯺼/td&gt;</t>
  </si>
  <si>
    <t>AK 9 # 127b 16 consultorio 205</t>
  </si>
  <si>
    <t>GRUPO EMPRESARIAL NEXUS SALUD SAS</t>
  </si>
  <si>
    <t>CR 19 39 31 OFICINA 102</t>
  </si>
  <si>
    <t>serviciosysaludsas@gmail.com</t>
  </si>
  <si>
    <t>https://.</t>
  </si>
  <si>
    <t>RUBY HAZBLEIDY PALACIOS RENTERIA</t>
  </si>
  <si>
    <t>DENTINNO SAS</t>
  </si>
  <si>
    <t>AC 127 # 21 - 85</t>
  </si>
  <si>
    <t>drajulieth86@gmail.com</t>
  </si>
  <si>
    <t>YINDY JULIETH ANGARITA SANDOVAL</t>
  </si>
  <si>
    <t>DEM LASER SAS SIGLA DEM LASER</t>
  </si>
  <si>
    <t>Cl 81 No. 19 A 18 Of 201</t>
  </si>
  <si>
    <t>administrador@demlaser.com.co</t>
  </si>
  <si>
    <t>https://www.demlaser.com/</t>
  </si>
  <si>
    <t>DEM LASER</t>
  </si>
  <si>
    <t>MARIA DEL PILAR MONROY BLANCO</t>
  </si>
  <si>
    <t>SERVICIO.CLIENTE@DEMLASER.COM.CO</t>
  </si>
  <si>
    <t>IPS VST VIDA SALUD Y TRABAJO SAS</t>
  </si>
  <si>
    <t>AC 127# 20-78 CS 705 - 728</t>
  </si>
  <si>
    <t>samito323@gmail.com</t>
  </si>
  <si>
    <t>https://contacto@ipsvst.com</t>
  </si>
  <si>
    <t>LUIS FERNANDO OSPINA GARCIA</t>
  </si>
  <si>
    <t>AC 127 # 20-78 CS 705-728</t>
  </si>
  <si>
    <t>CERTIFICACIONES Y EVALUACIONES EN SALUD SAS</t>
  </si>
  <si>
    <t>CL 18 7 23 LC 3</t>
  </si>
  <si>
    <t>certificacionesyevaluaciones@gmail.com</t>
  </si>
  <si>
    <t>https://</t>
  </si>
  <si>
    <t>MI GENTE SANA</t>
  </si>
  <si>
    <t>CATALINA JARAMILLO CARDOSO</t>
  </si>
  <si>
    <t>DHI COLOMBIA RESTAURACION CLINICA CAPILAR SAS</t>
  </si>
  <si>
    <t>AC 127 NO. 14 54 OF 601, 615, 616 GRADECO</t>
  </si>
  <si>
    <t>diradmin@dhibogotacol.com</t>
  </si>
  <si>
    <t>JAVIER DARIO RUIZ MENDOZA</t>
  </si>
  <si>
    <t>VERSANIA PSICOSOCIAL ITA SAS</t>
  </si>
  <si>
    <t>CL 100 11B-67</t>
  </si>
  <si>
    <t>601 5804344 Ext 5717839 - 601 6466060 Ext. 5717830</t>
  </si>
  <si>
    <t>dicastellanos@versania.com</t>
  </si>
  <si>
    <t>https://versania.com</t>
  </si>
  <si>
    <t>VERSANIA DE MENTE JOVEN CALLE 139</t>
  </si>
  <si>
    <t>Jorge Mc Douall Lombana</t>
  </si>
  <si>
    <t>CARRERA 19 A 139-36</t>
  </si>
  <si>
    <t>601 6466060 Ext. 5718830</t>
  </si>
  <si>
    <t>VERSANIA DE MENTE JOVEN AV. 68</t>
  </si>
  <si>
    <t>CALLE 17 # 65 B 95</t>
  </si>
  <si>
    <t>601 5804344 Ext 5717839</t>
  </si>
  <si>
    <t>SANDRA POVEDA S.A.S IPS SANDRA POVEDA O SANDRA POVEDA CLINICA ODONTOLOGICA</t>
  </si>
  <si>
    <t>CALLE 93#12-54 OFICINA 402 CONSULTORIO 2,3 Y 4</t>
  </si>
  <si>
    <t>sandrapovedaclinicaodont@gmail.com</t>
  </si>
  <si>
    <t>https://sandrapoveda.com</t>
  </si>
  <si>
    <t>SANDRA POVEDA CLINICA ODONTOLOGICA</t>
  </si>
  <si>
    <t>SANDRA MILENA POVEDA ORTIZ</t>
  </si>
  <si>
    <t>VIVALITI COLOMBIA SAS</t>
  </si>
  <si>
    <t>Carrera 15 88 64 Oficina 718-5</t>
  </si>
  <si>
    <t>gerencia@vivalio.com.co</t>
  </si>
  <si>
    <t>https://gerencia@vivalio.com.co</t>
  </si>
  <si>
    <t>FEDERICO ESCOBAR JARAMILLO</t>
  </si>
  <si>
    <t>COIDENTAL SAS</t>
  </si>
  <si>
    <t>CR 16 88 81 OF 5042</t>
  </si>
  <si>
    <t>asistente.admin@coidental.com</t>
  </si>
  <si>
    <t>JUAN PABLO GOMEZ ORDOхZ</t>
  </si>
  <si>
    <t>REESAG S.A.S.</t>
  </si>
  <si>
    <t>Carrera 18 80 52 OFICINA 310</t>
  </si>
  <si>
    <t>symmetry.gerencia@gmail.com</t>
  </si>
  <si>
    <t>https://www.symmetry.com</t>
  </si>
  <si>
    <t>SYMMETRY PLASTIC SURGERY</t>
  </si>
  <si>
    <t>REINEL MAURICIO AGUILAR GUTIERREZ</t>
  </si>
  <si>
    <t>CRA 18 80 52 PISO 5</t>
  </si>
  <si>
    <t>KOA DEPIL IPS ESTHETIC S.A.S</t>
  </si>
  <si>
    <t>TRANSV 25 57 07 Piso 1</t>
  </si>
  <si>
    <t>calidadkoa@gmail.com</t>
  </si>
  <si>
    <t>JAVIER ALEXANDER GOMEZ FIGUEROA</t>
  </si>
  <si>
    <t>Transversal 25 57 07 Piso 1</t>
  </si>
  <si>
    <t>Calle 95#13-77</t>
  </si>
  <si>
    <t>SONOMEDICS IPS S.A.S</t>
  </si>
  <si>
    <t>CARRERA 21 22 38 SUR PISO 1 y 2 LOCAL 1</t>
  </si>
  <si>
    <t>sonomedics.salud@gmail.com</t>
  </si>
  <si>
    <t>https://www.sonomedics.com.co</t>
  </si>
  <si>
    <t>SANDRA BIBIANA PIхROS PAZOS</t>
  </si>
  <si>
    <t>AI-RAD S.A.S</t>
  </si>
  <si>
    <t>CARRERA 48 #165-46 To 1 Of 504</t>
  </si>
  <si>
    <t>https://Airad.com</t>
  </si>
  <si>
    <t>AI-RAD</t>
  </si>
  <si>
    <t>MARIO ENRIQUE JOYA GALIANO</t>
  </si>
  <si>
    <t>Cr 19 A No 82-85 Consultorio 304 - 307</t>
  </si>
  <si>
    <t>BEL MEDICINA SAS</t>
  </si>
  <si>
    <t>CALLE 110# 9 - 25 CONSULTORIO 601-1701</t>
  </si>
  <si>
    <t>ofertasbelmedicina@gmail.com</t>
  </si>
  <si>
    <t>https://www.belmedicina.com</t>
  </si>
  <si>
    <t>MARIA PAULA BELLO FLOREZ</t>
  </si>
  <si>
    <t>CALLE 110 # 9 - 25 CONSULTORIO 601-1701</t>
  </si>
  <si>
    <t>MEDICINA TACTICA IPS SAS SIGLA MEDITAC IPS SAS</t>
  </si>
  <si>
    <t>CL 35 SUR # 52A - 12 PISO 1 LOCAL 2</t>
  </si>
  <si>
    <t>medicinatacticaips@gmail.com</t>
  </si>
  <si>
    <t>LEANDRO BRAVO NARANJO</t>
  </si>
  <si>
    <t>IPS FOR YOUR LIFE - SALUD EN TU HOGAR NUESTRA PRIORIDAD S.A.S</t>
  </si>
  <si>
    <t>CARRERA 27 # 2 - 68 PISO 1</t>
  </si>
  <si>
    <t>gerencia@ipsforyourlife.com</t>
  </si>
  <si>
    <t>https://jennymarcela1031@gmail.com</t>
  </si>
  <si>
    <t>JENNY MARCELA RODRIGUEZ SANCHEZ</t>
  </si>
  <si>
    <t>DENTARIA S.A.S</t>
  </si>
  <si>
    <t>AC 147 # 17 - 78 OF 501</t>
  </si>
  <si>
    <t>dentariacitas@gmail.com</t>
  </si>
  <si>
    <t>MARINELY AUXILIADORA RIVAS DE PEс</t>
  </si>
  <si>
    <t>AC 147 #17 78 OF 501</t>
  </si>
  <si>
    <t>SALUD BOSQUE IPS SAS</t>
  </si>
  <si>
    <t>Carrera 7 B Bis # 132 - 28 Hub 2, Piso 1 , Tm 1 , Piso 2 Consultorio 1-2</t>
  </si>
  <si>
    <t>diagnostico@unbosque.edu.co</t>
  </si>
  <si>
    <t>LINA YURANY GOMEZ GIRALDO</t>
  </si>
  <si>
    <t>SEDE SAN JOSE INFANTIL</t>
  </si>
  <si>
    <t>JULIAN RICARDO LEON AVELLANEDA</t>
  </si>
  <si>
    <t>CR 52 # 67 A 71 CENTRO MEDICO CONSULTORIO 101</t>
  </si>
  <si>
    <t>gerencia@saludbosque.com.co</t>
  </si>
  <si>
    <t>SOTHYSALUD IPS SAS</t>
  </si>
  <si>
    <t>Calle 53 B Bis 25-52 Local 1, Piso 1</t>
  </si>
  <si>
    <t>sothysaludips@gmail.com</t>
  </si>
  <si>
    <t>https://sothysaludips.com/</t>
  </si>
  <si>
    <t>Daniel Jos頄urᮠOrozco</t>
  </si>
  <si>
    <t>calle 53 B Bis 25-52 Local 1, Piso 1</t>
  </si>
  <si>
    <t>VITALITAT CLINIC S.A.S</t>
  </si>
  <si>
    <t>Avenida Calle 127 # 14 - 54 Oficina 302 E</t>
  </si>
  <si>
    <t>carvajalnati@gmail.com</t>
  </si>
  <si>
    <t>NATALIA ISABEL CARVAJAL AMAYA</t>
  </si>
  <si>
    <t>LMT CONEXUS GROUP SAS</t>
  </si>
  <si>
    <t>calle 110 9 25 oficina 915</t>
  </si>
  <si>
    <t>graciela.navarro@conexus-group.com</t>
  </si>
  <si>
    <t>https://conexus-group.com</t>
  </si>
  <si>
    <t>Laura Stefania Gonzᬥz Ospina</t>
  </si>
  <si>
    <t>Calle 110 9 25 oficina 915</t>
  </si>
  <si>
    <t>HYPNOS IPS - SAS</t>
  </si>
  <si>
    <t>Calle 99 # 49 - 38 CENTUM Oficina 1410</t>
  </si>
  <si>
    <t>contacto@hypnosanestesia.com</t>
  </si>
  <si>
    <t>Liliana SuᲥz Aguilar</t>
  </si>
  <si>
    <t>IMEDHEALTH S.A.S. IPS SIGLA IMEDH S.A.S.</t>
  </si>
  <si>
    <t>Calle 93 B # 18 12 Oficina 303</t>
  </si>
  <si>
    <t>info@imedh.com.co</t>
  </si>
  <si>
    <t>https://www.imedh.com.co</t>
  </si>
  <si>
    <t>IMEDHEALTH S.A.S. IPS. SIGLA IMEDH S.A.S.</t>
  </si>
  <si>
    <t>JULIETH RUIZ ORTEGA</t>
  </si>
  <si>
    <t>CLINICA SILUET LASER S.A.S</t>
  </si>
  <si>
    <t>CARRERA 13 # 94A -26 Local 4-02</t>
  </si>
  <si>
    <t>lina.lanza@stelioholding.com</t>
  </si>
  <si>
    <t>SELIKA HEALTH CENTER</t>
  </si>
  <si>
    <t>LINA MARIA LANZA</t>
  </si>
  <si>
    <t>RIVIERE CLINIC SAS</t>
  </si>
  <si>
    <t>AV KR 19 # 109 A - 57</t>
  </si>
  <si>
    <t>calidadriviereclinic@gmail.com</t>
  </si>
  <si>
    <t>CARLOS ALBERTO RAMOS CORENA</t>
  </si>
  <si>
    <t>CLINICA BARCELONA SAS</t>
  </si>
  <si>
    <t>Carrera 17 89 31 Local 202 Edificio Ga�/td&gt;</t>
  </si>
  <si>
    <t>ana@aussantpharma.com</t>
  </si>
  <si>
    <t>https://www.aussantpharma.com/</t>
  </si>
  <si>
    <t>Ana Graciela Criado Aussant</t>
  </si>
  <si>
    <t>LIVER SCAN SAS</t>
  </si>
  <si>
    <t>Avenida Calle 127 20 16 Consultorio 219</t>
  </si>
  <si>
    <t>liverscan.admon@gmail.com</t>
  </si>
  <si>
    <t>Ivan Dario Murcia Delgado</t>
  </si>
  <si>
    <t>SEMPER LASER CENTERS S.A.S</t>
  </si>
  <si>
    <t>CL 19 A 72 57 LC B 134</t>
  </si>
  <si>
    <t>calidad@sknconcept.com</t>
  </si>
  <si>
    <t>https://www.semperlaser.com/es/depilacion-laser</t>
  </si>
  <si>
    <t>SEMPER LASER MULTIPLAZA</t>
  </si>
  <si>
    <t>PAULA ANDREA LOPEZ</t>
  </si>
  <si>
    <t>CL 19A 72 57 LOCAL B-134</t>
  </si>
  <si>
    <t>habilitacion@semperlaser.com.co</t>
  </si>
  <si>
    <t>SEMPER LASER EL RETIRO</t>
  </si>
  <si>
    <t>CAMILO ANDRES ZABALETA ARMENTA</t>
  </si>
  <si>
    <t>CALLE 82 11 75 LC 181</t>
  </si>
  <si>
    <t>SEMPER LASER PALATINO</t>
  </si>
  <si>
    <t>CRA 7 # 138 - 33 LC 323</t>
  </si>
  <si>
    <t>SEMPER LASER ANDINO</t>
  </si>
  <si>
    <t>Paula L󰥺 Casta񯼯td&gt;</t>
  </si>
  <si>
    <t>Carrera 11 # 82-51 lOCAL 7</t>
  </si>
  <si>
    <t>habilitacion@semperlaser.com</t>
  </si>
  <si>
    <t>CLUB INSPIRA SAS</t>
  </si>
  <si>
    <t>CALLE 140 11 45 OFICINA 713</t>
  </si>
  <si>
    <t>clubinspira.co@gmail.com</t>
  </si>
  <si>
    <t>HUGO ALBERTO DELGADO SIMANCAS</t>
  </si>
  <si>
    <t>IPS SAN MARTIN BOGOTA SAS</t>
  </si>
  <si>
    <t>Cr 54 No. 3 28 CONS 201,203,204,301,302,401,402,403,404,501</t>
  </si>
  <si>
    <t>admon.ipsanmartin@gmail.com</t>
  </si>
  <si>
    <t>IPS SAN MART͎ BOGOT`SAS</t>
  </si>
  <si>
    <t>MARTIN EMILIO RODRIGUEZ CARDENAS</t>
  </si>
  <si>
    <t>Cr 54 No. 3 28</t>
  </si>
  <si>
    <t>Clinica de especialistas en salud Mafra s.a.s</t>
  </si>
  <si>
    <t>Calle 9 37-07 local 222 centro comercial PROVICENTRO</t>
  </si>
  <si>
    <t>clinicasmafra@clinicasmafra.com</t>
  </si>
  <si>
    <t>https://www.clinicamafra.com</t>
  </si>
  <si>
    <t>clinica de especialistas en salud Mafra s.a.s</t>
  </si>
  <si>
    <t>DIANA CAROLINA BELTRAN TIBAMBRE</t>
  </si>
  <si>
    <t>calle 9 37-07 local 222 centro comercial PROVICENTRO</t>
  </si>
  <si>
    <t>CLINICASMAFRA@CLINICASMAFRA.COM</t>
  </si>
  <si>
    <t>CREEMOS EN TI ATENCION INTEGRAL IPS SAS</t>
  </si>
  <si>
    <t>Tv 28 A No. 39-08 P 1</t>
  </si>
  <si>
    <t>creemosentiatencionintegralips@gmail.com</t>
  </si>
  <si>
    <t>https://creemosenti.com</t>
  </si>
  <si>
    <t>MONICA PATRICIA VEJARANO VELANDIA</t>
  </si>
  <si>
    <t>Tv 28 A No. 39 - 08 P 1</t>
  </si>
  <si>
    <t>LA CLINICA DENTAL SAS</t>
  </si>
  <si>
    <t>Cr 18 No. 82 39 Cs 606</t>
  </si>
  <si>
    <t>mgarcia@dentalnetwork.com.mx</t>
  </si>
  <si>
    <t>https://laclinicadentalcolombia.com.co</t>
  </si>
  <si>
    <t>RUBY MILENA PAEZ SUAREZ</t>
  </si>
  <si>
    <t>LA CLINICA DENTAL SALITRE</t>
  </si>
  <si>
    <t>ARTURO MENDEZ GARCIA</t>
  </si>
  <si>
    <t>CARRERA 68 D 25B 86 CONSULTORIO 816</t>
  </si>
  <si>
    <t>contabilidad@laclinicadental.com.co</t>
  </si>
  <si>
    <t>LECMAC MEDIC SAS</t>
  </si>
  <si>
    <t>CRA 41 B 9 11</t>
  </si>
  <si>
    <t>gerencialecmacmedic@gmail.com</t>
  </si>
  <si>
    <t>https://lecmac.com</t>
  </si>
  <si>
    <t>YULI YAZMIN TARAZONA ZAMUDIO</t>
  </si>
  <si>
    <t>GRUPO RECONOCER IPS SAS</t>
  </si>
  <si>
    <t>Ak 86 No. 55 A 75 Lc 061 065 P 3</t>
  </si>
  <si>
    <t>reconocerips@hotmail.com</t>
  </si>
  <si>
    <t>RECONOCER IPS - NUESTRO BOGOT|/td&gt;</t>
  </si>
  <si>
    <t>DIEGO FERNANDO CASTAхDA SANCHEZ</t>
  </si>
  <si>
    <t>SALUD INMEDIATA I.P.S. S.A.S. SIGLA SALINM I.P.S</t>
  </si>
  <si>
    <t>Carrera 18 # 79- 46 Cs 502</t>
  </si>
  <si>
    <t>gerenciasalinm@gmail.com</t>
  </si>
  <si>
    <t>https://www.salinmips.com</t>
  </si>
  <si>
    <t>SALUD INMEDIATA I.P.S S.A.S. SIGLA SALINM I.P.S</t>
  </si>
  <si>
    <t>YULI CATHERIN BUITRAGO PAEZ</t>
  </si>
  <si>
    <t>Carrera 18 # 79 - 46 Cs 502</t>
  </si>
  <si>
    <t>RESET Y BIENESTAR SAS.</t>
  </si>
  <si>
    <t>Calle 81 No. 12 - 44 CS.402</t>
  </si>
  <si>
    <t>hmurra@hotmail.com</t>
  </si>
  <si>
    <t>https://www.hanniamurra.co</t>
  </si>
  <si>
    <t>RESET40HMB</t>
  </si>
  <si>
    <t>HANNIA PATRICIA MURRA BENEDETTI</t>
  </si>
  <si>
    <t>MENTAL HEALTH IPS SAS</t>
  </si>
  <si>
    <t>AC 80 N 116 B 35 P 1</t>
  </si>
  <si>
    <t>gerencia@mentalhealthips.com</t>
  </si>
  <si>
    <t>https://www.mentalhealthips.com</t>
  </si>
  <si>
    <t>DIANA MARCELA FIERRO ROMERO</t>
  </si>
  <si>
    <t>UNIDAD ODONTOFACIAL S.A.S.</t>
  </si>
  <si>
    <t>Avenida Carrera 15 No. 112-46 CONSULTORIOS 101-102</t>
  </si>
  <si>
    <t>odontofacialsas@gmail.com</t>
  </si>
  <si>
    <t>CARLOS EDUARDO FORERO SANTAMARIA</t>
  </si>
  <si>
    <t>EXPRES SALUD SAS</t>
  </si>
  <si>
    <t>CALLE 168 #22 49 PISO 1</t>
  </si>
  <si>
    <t>EXPRESSALUDSAS@GMAIL.COM</t>
  </si>
  <si>
    <t>CRC EXPRES SALUD</t>
  </si>
  <si>
    <t>MILENA PATRICIA ARAUJO MEDINA</t>
  </si>
  <si>
    <t>SIO SALUD INTEGRAL SAS</t>
  </si>
  <si>
    <t>Cra 49 B # 91 - 91 Piso 1</t>
  </si>
  <si>
    <t>siosaludintegral@gmail.com</t>
  </si>
  <si>
    <t>AIDA YANIRA BERMUDEZ ALGARRA</t>
  </si>
  <si>
    <t>CRA 49B # 91-91 PISO 1</t>
  </si>
  <si>
    <t>DIGITAL DENTAL SERVICES SAS</t>
  </si>
  <si>
    <t>CLL 90 N. 19A-49. CS 403</t>
  </si>
  <si>
    <t>digitaldental6@gmail.com</t>
  </si>
  <si>
    <t>BRIANDA MARCELA PATIя PEREZ</t>
  </si>
  <si>
    <t>AUTOIMMUNITY S.A.S SIGLA AUTOIMMUNITY</t>
  </si>
  <si>
    <t>Cl 99 # 49 38 CS 1109</t>
  </si>
  <si>
    <t>laboratorioautoimmunity@gmail.com</t>
  </si>
  <si>
    <t>https://autoimmunity.com.co</t>
  </si>
  <si>
    <t>MARTHA CATALINA ROJAS GUTIERREZ</t>
  </si>
  <si>
    <t>AUDIMEDIC CRC SAS</t>
  </si>
  <si>
    <t>TV 18 BIS NO. 14 A 21 SUR LC 1</t>
  </si>
  <si>
    <t>audimediccrc@gmail.com</t>
  </si>
  <si>
    <t>AUDIMEDIC CRC</t>
  </si>
  <si>
    <t>MAICOL GUTIERREZ MOSQUERA</t>
  </si>
  <si>
    <t>TRANSVERSAL 18 BIS 14 A 21 SUR LC 1</t>
  </si>
  <si>
    <t>ISAMA SOCIEDAD POR ACCIONES SIMPLIFICADA SIGLA ISAMA SAS</t>
  </si>
  <si>
    <t>CALLE 127D 45-60 1 PISO</t>
  </si>
  <si>
    <t>rmarino@isama.com.co</t>
  </si>
  <si>
    <t>https://isama.com.co</t>
  </si>
  <si>
    <t>ISAMA SOCIEDAD POR ACCIONES SIMPLIFICADA</t>
  </si>
  <si>
    <t>RAFAEL AUGUSTO MARIя CASTRO</t>
  </si>
  <si>
    <t>CL 127 D # 45 60 PISO 1</t>
  </si>
  <si>
    <t>ODONTOVIVIR DENTAL GROUP S.A.S</t>
  </si>
  <si>
    <t>Av- 19 No. 118- 95 Of. 409</t>
  </si>
  <si>
    <t>odontovivirdentalgroup@gmail.com</t>
  </si>
  <si>
    <t>CRISTHIAN DAVID CARDENAS FLOREZ</t>
  </si>
  <si>
    <t>M&amp;V SU MEDICO SAS</t>
  </si>
  <si>
    <t>calle 50#8-27 consultorio 301</t>
  </si>
  <si>
    <t>gerenciam.vsumedico@gmail.com</t>
  </si>
  <si>
    <t>https://grenciam.vsumedico@gmail.com</t>
  </si>
  <si>
    <t>Jose Wilson Morales Rojas</t>
  </si>
  <si>
    <t>EO DENTAL GROUP SAS</t>
  </si>
  <si>
    <t>AK 58 128 A 03 PISO 1</t>
  </si>
  <si>
    <t>colombiadentalcare@gmail.com</t>
  </si>
  <si>
    <t>RAFAEL ALBERTO OSMA CANO</t>
  </si>
  <si>
    <t>CENTRO MEDICO DE ESPECIALISTAS EL NOGAL IPS SAS C.M.E.N IPS SAS</t>
  </si>
  <si>
    <t>CARERA 15 # 88 - 64 CONSULTORIO 224</t>
  </si>
  <si>
    <t>ccorredor@somosnogalips.com</t>
  </si>
  <si>
    <t>https://n/a</t>
  </si>
  <si>
    <t>CENTRO MEDICO DE ESPECIALISTAS NOGAL IPS SAS C.ME.N. IPS SAS</t>
  </si>
  <si>
    <t>CRISTIAN CAMILO CORREDOR GARCIA</t>
  </si>
  <si>
    <t>CARRERA 15 # 88 - 64 CONSULTORIO 224</t>
  </si>
  <si>
    <t>ROGANS S.A.S. SIGLAS: ROGANS S.A.S.</t>
  </si>
  <si>
    <t>Avenida Carrera 45 No. 106 - 71 Oficina 401 402 410 Zona 1</t>
  </si>
  <si>
    <t>salud@rogansya.com</t>
  </si>
  <si>
    <t>https://nt</t>
  </si>
  <si>
    <t>ESTEBAN LOPEZ SALCEDO</t>
  </si>
  <si>
    <t>DUAL ӐTICA Y AUDIOLOǴ SAS</t>
  </si>
  <si>
    <t>AVENIDA CALLE 127 14-54 LOCAL 102</t>
  </si>
  <si>
    <t>contacto@dualsense.com.co</t>
  </si>
  <si>
    <t>https://dualsense.com.co</t>
  </si>
  <si>
    <t>DUAL SENSE</t>
  </si>
  <si>
    <t>NATALIA GUTIERREZ DUEсS</t>
  </si>
  <si>
    <t>BELLEZA, SALUD Y TECNOLOǴ SAS</t>
  </si>
  <si>
    <t>AK 9 No. 116 - 20 Cs 220 - OF 224</t>
  </si>
  <si>
    <t>administracion@felipeamaya.com</t>
  </si>
  <si>
    <t>AMAYA CLINIC PLASTIC SURGERY</t>
  </si>
  <si>
    <t>FELIPE AMAYA ESPINOSA</t>
  </si>
  <si>
    <t>IKI SKIN EXPERTS COLOMBIA SAS</t>
  </si>
  <si>
    <t>Cl 120 A No. 7 - 36 Oficina 803</t>
  </si>
  <si>
    <t>lurbani@ikiskinexperts.com</t>
  </si>
  <si>
    <t>https://ikiskinexperts.com</t>
  </si>
  <si>
    <t>Leonardo Jose Laviosa Noguera</t>
  </si>
  <si>
    <t>IPS EN SALUD 1A S.A.S.</t>
  </si>
  <si>
    <t>Carrera 19 B No. 26 A 53 Sur Piso 1</t>
  </si>
  <si>
    <t>ipsensalud1a@gmail.com</t>
  </si>
  <si>
    <t>Maria Eugenia Cardona Hernandez</t>
  </si>
  <si>
    <t>ASISTENCIA MEDICA DE BOGOTA IPS SAS -AMEB IPS</t>
  </si>
  <si>
    <t>DIAGONAL 45 D # 20-74 CONSULTORIO 105</t>
  </si>
  <si>
    <t>ameb.ips@gmail.com</t>
  </si>
  <si>
    <t>https://https://</t>
  </si>
  <si>
    <t>ASISTENCIA MEDICA DE BOGOTA IPS SAS - AMEB IPS</t>
  </si>
  <si>
    <t>SANDRA MILENA GONZALEZ VERGARA</t>
  </si>
  <si>
    <t>INTERNATIONAL TOP CARE SAS</t>
  </si>
  <si>
    <t>CL 124 7 38 LOCAL 10</t>
  </si>
  <si>
    <t>internacionaltopcare@gmail.com</t>
  </si>
  <si>
    <t>MARIO EDUARDO MENDOZA OBIRNE</t>
  </si>
  <si>
    <t>CL 124 7 38 local 10</t>
  </si>
  <si>
    <t>internationaltopcare@gmail.com</t>
  </si>
  <si>
    <t>IPS NEURO THERAPY SAS</t>
  </si>
  <si>
    <t>CALLE 99 #49-38 CONS 711</t>
  </si>
  <si>
    <t>ipsneurotherapy@gmail.com</t>
  </si>
  <si>
    <t>https://neurotherapy.com.co/</t>
  </si>
  <si>
    <t>JULY ANDREA CARDENAS LANCHEROS</t>
  </si>
  <si>
    <t>CALLE 99 #49-38 CONSULTORIO 711</t>
  </si>
  <si>
    <t>REBORN MEDICINA ESTETICA Y RECONSTRUCTIVA SAS</t>
  </si>
  <si>
    <t>CRA 23 # 124 - 87 CONS 703- 704 - 705 TORRE 2 EDIFICIO ZENTAI</t>
  </si>
  <si>
    <t>gerencia@juanpablomd.com</t>
  </si>
  <si>
    <t>https://www.rebornmedicinaestetica.com</t>
  </si>
  <si>
    <t>ALICIA HERRERA ULLOA</t>
  </si>
  <si>
    <t>CRA 23 # 124 - 87 CONS 703-704 - 705 TORRE 2 EDIFICIO ZENTAI</t>
  </si>
  <si>
    <t>CLINICA DE ORTOPEDIA FUNCIӎ Y EDUCACIӎ SAS ORTOFED SAS</t>
  </si>
  <si>
    <t>calle 45a#27-20</t>
  </si>
  <si>
    <t>calidad@ortofed.com.co</t>
  </si>
  <si>
    <t>https://no se tiene</t>
  </si>
  <si>
    <t>CLINICA DE ORTOPEDIA FUNCIӎ Y EDUCACIӎ</t>
  </si>
  <si>
    <t>DELIA ESPERANZA CHAPARRO LOZANO</t>
  </si>
  <si>
    <t>SEDE DE REHABILITACION CLINICA ORTOFED</t>
  </si>
  <si>
    <t>CARRERA 47A 95 -34</t>
  </si>
  <si>
    <t>3336025757- 3105509287</t>
  </si>
  <si>
    <t>facturacion@ortofed.com.co</t>
  </si>
  <si>
    <t>Soluciones Medicas y Fisiopelvicas SAS</t>
  </si>
  <si>
    <t>Avenida calle 26 # 68C-61 consultorio 230</t>
  </si>
  <si>
    <t>solucionesmedicasfisiopelvicas@gmail.com</t>
  </si>
  <si>
    <t>https://https:</t>
  </si>
  <si>
    <t>Fisiopelvicas</t>
  </si>
  <si>
    <t>German Eduardo Molina Trujillo</t>
  </si>
  <si>
    <t>AV Cll 26 # 68 C-61 Consultorio 230</t>
  </si>
  <si>
    <t>Fisiopelvicas 127</t>
  </si>
  <si>
    <t>Calle 127 # 19 A 28, consultorio 612 Edificio Acomedica 1</t>
  </si>
  <si>
    <t>JL502 SAS SIGLA: CLINICASIMETRY</t>
  </si>
  <si>
    <t>CRA. 23 No. 124 - 87 TORRE 2 CONS 502</t>
  </si>
  <si>
    <t>admin@osoriomaxilo.com</t>
  </si>
  <si>
    <t>JOSE IGNACIO OSORIO CARMONA</t>
  </si>
  <si>
    <t>SOCIEDAD CL͎ICA EMCOSALUD S.A. SIGLA CLINICA EMCOSALUD S.A.</t>
  </si>
  <si>
    <t>AV CL 26 # 32 A 33 LC 101-102 Mirador de Takay - Barrio:TEUSAQUILLO</t>
  </si>
  <si>
    <t>EMCOSALUD@EMCOSALUD.COM</t>
  </si>
  <si>
    <t>SOCIEDAD CLINICA EMCOSALUD S.A. SIGLA CLINICA EMCOSALUD S.A.</t>
  </si>
  <si>
    <t>MARCO AURELIO DAZA RODRIGUEZ</t>
  </si>
  <si>
    <t>CL 110 9 25 Torre empresarial pacific OF 511</t>
  </si>
  <si>
    <t>emcosalud@emcosalud.com</t>
  </si>
  <si>
    <t>CLINICA EMCOSALUD COUNTRY</t>
  </si>
  <si>
    <t>ABEL FERNELY SEPULVEDA RAMOS</t>
  </si>
  <si>
    <t>CRA 16 A 85-29 / 31</t>
  </si>
  <si>
    <t>CLINICA EMCOSALUD UPS</t>
  </si>
  <si>
    <t>AV CL 26 # 32 A 33 LC 101-102 Mirador de Takay</t>
  </si>
  <si>
    <t>ORAL LINE SAS</t>
  </si>
  <si>
    <t>AK 45 # 118 - 86 CON. 603</t>
  </si>
  <si>
    <t>secsalud.oralline@gmail.com</t>
  </si>
  <si>
    <t>LUIS FERNANDO LONDOя VARGAS</t>
  </si>
  <si>
    <t>ELITE IMGENES DIAGNӓTICAS SAS</t>
  </si>
  <si>
    <t>AK 9 # 127B-16 LOCAL 3</t>
  </si>
  <si>
    <t>gerencia@3dcentrodid.com</t>
  </si>
  <si>
    <t>https://RADIOLOGIA</t>
  </si>
  <si>
    <t>3D Centro Imagenes Diagnosticas</t>
  </si>
  <si>
    <t>LIZETH JULIANA ARENAS CARDENAS</t>
  </si>
  <si>
    <t>AK 9# 127B-16 LOCAL 3</t>
  </si>
  <si>
    <t>CANTIK COLOMBIA SAS</t>
  </si>
  <si>
    <t>CALLE 26 No 69 D-91 TORRE 2 CONS. 707</t>
  </si>
  <si>
    <t>cantikcolombia@gmail.com</t>
  </si>
  <si>
    <t>https://www.cantik.com.co</t>
  </si>
  <si>
    <t>RAMIRO ALVAREZ URIBE</t>
  </si>
  <si>
    <t>CALLE 26 No. 69 D- 91 TORRE 2 CONS. 707</t>
  </si>
  <si>
    <t>CANTIK CEDRITOS</t>
  </si>
  <si>
    <t>YORK MARY FLOREZ</t>
  </si>
  <si>
    <t>CALLE 140 No. 11-45 CONS 603</t>
  </si>
  <si>
    <t>CANTIKCOLOMBIA@GMAIL.COM</t>
  </si>
  <si>
    <t>CANTIK CENTRO MAYOR</t>
  </si>
  <si>
    <t>york mary florez florez</t>
  </si>
  <si>
    <t>CALLE 38A SUR 34D 51 CENTRO COMERCIAL CENTRO MAYOR LOCAL LM01</t>
  </si>
  <si>
    <t>US COLOMBIA FERTILITY CENTER SAS</t>
  </si>
  <si>
    <t>CARRERA 14 A # 101 47 P8</t>
  </si>
  <si>
    <t>admin@ucfcivf.com</t>
  </si>
  <si>
    <t>ZHUO LU</t>
  </si>
  <si>
    <t>CARRERA 14 A # 101 - 47 P8</t>
  </si>
  <si>
    <t>quality@ucfcivf.com</t>
  </si>
  <si>
    <t>ORIGGEN HEALTHCARE SAS</t>
  </si>
  <si>
    <t>CL 106 #23-61 OF 605 - 606</t>
  </si>
  <si>
    <t>direcciongeneral@origgen.org</t>
  </si>
  <si>
    <t>DANIEL ARANGO DURAN</t>
  </si>
  <si>
    <t>CL 106 #23-61 OF 605-606</t>
  </si>
  <si>
    <t>DERMATOLOGICA S.A</t>
  </si>
  <si>
    <t>CARRERA 5 # 71- 45 LOCAL 201-205-206</t>
  </si>
  <si>
    <t>coordinador.calidad@dermatologica.com.co</t>
  </si>
  <si>
    <t>DERMATOLOGICA ROSALES</t>
  </si>
  <si>
    <t>SEBASTIAN VELEZ CASALLAS</t>
  </si>
  <si>
    <t>CARRERA 5 # 71-45 LOCAL 201-205-206</t>
  </si>
  <si>
    <t>DERMATOLOGICA GRAN ESTACIӎ</t>
  </si>
  <si>
    <t>SebastiᮠV鬥z Casallas</t>
  </si>
  <si>
    <t>Avenida Carrera 60 # 24-09 Local 317</t>
  </si>
  <si>
    <t>CIRU SANTA ANA S.A.S</t>
  </si>
  <si>
    <t>CALLE 119 No. 7-14 CONSULTORIO 201 a 210</t>
  </si>
  <si>
    <t>https://galenia.co</t>
  </si>
  <si>
    <t>SK QUIROFANOS</t>
  </si>
  <si>
    <t>LINA MARIA LANZA DIAZ</t>
  </si>
  <si>
    <t>CALLE 119 No. 7-14 CONSULTORIOS 201 A 210</t>
  </si>
  <si>
    <t>IPS EQUILIBRIUM CIENCIA Y SALUD SAS</t>
  </si>
  <si>
    <t>Carrera 17 No. 49A - 48</t>
  </si>
  <si>
    <t>gerencia@equilibriumips.com</t>
  </si>
  <si>
    <t>https://equilibriumips.com</t>
  </si>
  <si>
    <t>Marlon Orlando Rodriguez Aparicio</t>
  </si>
  <si>
    <t>CLUB SER IPS SAS</t>
  </si>
  <si>
    <t>AK 45 # 114 50 LOCAL 1-2-3 PISO 3</t>
  </si>
  <si>
    <t>calidadsermc@clubser.co</t>
  </si>
  <si>
    <t>https://clubser.com</t>
  </si>
  <si>
    <t>SER SAS</t>
  </si>
  <si>
    <t>JENNIFFER ALEXANDRA SALAMANCA SANCHEZ</t>
  </si>
  <si>
    <t>INVERSIONES EN SALUD Y TECNOLOGIA S.A.S</t>
  </si>
  <si>
    <t>CALLE 95 # 11A -27 PISO 1 , 3 Y 4</t>
  </si>
  <si>
    <t>GERENCIA@BODYINSTITUTE.CO</t>
  </si>
  <si>
    <t>https://gerencia@bodyinstitute.co</t>
  </si>
  <si>
    <t>BODYINSTITUTE</t>
  </si>
  <si>
    <t>MARTHA LILIANA CASTELLANOS VARGAS</t>
  </si>
  <si>
    <t>CALLE 95 # 11A - 27 PISO 1 , 3 Y 4</t>
  </si>
  <si>
    <t>ALIVIA MEDICAL CENTER SAS</t>
  </si>
  <si>
    <t>Carrera 7 Bis# 124-56 Oficina 602</t>
  </si>
  <si>
    <t>info@aliviamedicalcenter.com</t>
  </si>
  <si>
    <t>https://www.aliviamedicalcenter.com</t>
  </si>
  <si>
    <t>Melissa Isabel Agamez de Avila</t>
  </si>
  <si>
    <t>Carrera 7 Bis # 124-56 Oficina 602</t>
  </si>
  <si>
    <t>SMILE ARCHITECS MARTIN PRATO SAS</t>
  </si>
  <si>
    <t>CL 127 A NO. 7 19 CS 308 CC EMPRESARIAL ACCESS</t>
  </si>
  <si>
    <t>infomartinprato@gmail.com</t>
  </si>
  <si>
    <t>https://www.doctormartinprato.com</t>
  </si>
  <si>
    <t>MARTIN PRATO JIMENEZ</t>
  </si>
  <si>
    <t>INNER BEAUTY SAS</t>
  </si>
  <si>
    <t>KR 11 # 84-09 LOCAL 22</t>
  </si>
  <si>
    <t>innerbeauty@drlauracala.com</t>
  </si>
  <si>
    <t>https://innerbeauty@drlauracala.com</t>
  </si>
  <si>
    <t>SOUL BY CALA</t>
  </si>
  <si>
    <t>LAURA CRISTINA CALA URIBE</t>
  </si>
  <si>
    <t>KR 11 # 84-09 LOCAL 22 PISO 1</t>
  </si>
  <si>
    <t>SALUD Y BIENESTAR INTEGRAL IPS SAS SIGLA SANTEVIT IPS SAS</t>
  </si>
  <si>
    <t>TV 60 115 58 TORRE A CONSULTORIO 306</t>
  </si>
  <si>
    <t>diegorengifov@gmail.com</t>
  </si>
  <si>
    <t>https://www.santevitips.com.co/</t>
  </si>
  <si>
    <t>SANTEVIT IPS</t>
  </si>
  <si>
    <t>DIEGO FELIPE RENGIFO VELASQUEZ</t>
  </si>
  <si>
    <t>RENAL RESCUE S.A.S</t>
  </si>
  <si>
    <t>KR 23 # 45C 31 LC 317</t>
  </si>
  <si>
    <t>ventasbarsa@gmail.com</t>
  </si>
  <si>
    <t>RENAL RESCUE SAS</t>
  </si>
  <si>
    <t>JORGE ALBERTO CASTRO RUIZ</t>
  </si>
  <si>
    <t>JACQUES CLINICA SEXUAL MASCULINA S.A.S Sigla: Jacques</t>
  </si>
  <si>
    <t>CARRERA 23 # 124-87 TORRE 2 CONSULTORIO 702</t>
  </si>
  <si>
    <t>jacquesmedicalcenter@gmail.com</t>
  </si>
  <si>
    <t>https://jacquesmedicalcenter@gmail.com</t>
  </si>
  <si>
    <t>PEDRO JAIME LEGUIZAMON LUGO</t>
  </si>
  <si>
    <t>INVERSIONES RENATA SAS - SIGLA GW CLINICAL IPS</t>
  </si>
  <si>
    <t>CR 19B # 82 46 P3 CS 302</t>
  </si>
  <si>
    <t>gwclinicalips@gmail.com</t>
  </si>
  <si>
    <t>JAVIER ANTONIO RODRIGUEZ PIRAJON</t>
  </si>
  <si>
    <t>VIDSANCOL SAS</t>
  </si>
  <si>
    <t>AK 19 No. 95 55 Of 201</t>
  </si>
  <si>
    <t>vidsancol@soycontador.com</t>
  </si>
  <si>
    <t>https://vidsancol.com</t>
  </si>
  <si>
    <t>VIDSANCOL IPS</t>
  </si>
  <si>
    <t>BRAYAN DAVID FAJARDO GUIZA</t>
  </si>
  <si>
    <t>AV CR 19 95 55 OF 201</t>
  </si>
  <si>
    <t>CLINICA JUNISA S.A.S.</t>
  </si>
  <si>
    <t>Avenida Calle 127 71 B 64</t>
  </si>
  <si>
    <t>clinicajunisa@gmail.com</t>
  </si>
  <si>
    <t>https://www.clinicajunisa.com</t>
  </si>
  <si>
    <t>Jose Manuel Espitia Frasser</t>
  </si>
  <si>
    <t>ADVANCEDERMA CL͎ICA DERMATOLӇICA AVANZADA IPS S.A.S. Sigla: ADVANCEDERMA.</t>
  </si>
  <si>
    <t>cra 16 # 88-81 OFICINAS 707-708-709</t>
  </si>
  <si>
    <t>LUISFER1000@GMAIL.COM</t>
  </si>
  <si>
    <t>https://advancederma.com</t>
  </si>
  <si>
    <t>LUIS FERNANDO GONZALEZ CORTES</t>
  </si>
  <si>
    <t>CRA 16 No. 88 - 81 OFI 707 - 708 - 709</t>
  </si>
  <si>
    <t>Fono Care &amp; Rehab Sas</t>
  </si>
  <si>
    <t>AVENIDA CALLE 134 -7B - 83 COS 217</t>
  </si>
  <si>
    <t>INFO@FONO-CARE.COM</t>
  </si>
  <si>
    <t>https://fono-care.com</t>
  </si>
  <si>
    <t>FONO CARE &amp; REHAB SAS</t>
  </si>
  <si>
    <t>TATIANA LINARES MALDONADO</t>
  </si>
  <si>
    <t>AVENIDA CALLE 134 -7B- 83 CON 217</t>
  </si>
  <si>
    <t>WEDENT COLOMBIA S.A.S</t>
  </si>
  <si>
    <t>CR 13 #93-12 OF 201-202-203-204</t>
  </si>
  <si>
    <t>calidad@wedent.co</t>
  </si>
  <si>
    <t>WEDENT</t>
  </si>
  <si>
    <t>VALERIA CASTRO JIMENEZ</t>
  </si>
  <si>
    <t>3157092498-3058899812</t>
  </si>
  <si>
    <t>AEQUSST MEDICINA PREVENTIVA SAS</t>
  </si>
  <si>
    <t>CALLE 18# 9-20 LOCAL 405</t>
  </si>
  <si>
    <t>notificaciones.aequsst@gmail.com</t>
  </si>
  <si>
    <t>https://www.aequsstmedicinapreventiva.com/</t>
  </si>
  <si>
    <t>ADRIANA PRIETO CASTIBLANCO</t>
  </si>
  <si>
    <t>CALLE 18#9-20 LOCAL 405</t>
  </si>
  <si>
    <t>A&amp;E SALUD (ASESORIA Y ESTRATEGIA EN SALUD) S A S</t>
  </si>
  <si>
    <t>Calle 125 #21A-18 Piso 2 Oficina 205 Edificio Forma 97</t>
  </si>
  <si>
    <t>AESALUD@AESALUD.COM.CO</t>
  </si>
  <si>
    <t>https://am1.myprofessionalmail.com/</t>
  </si>
  <si>
    <t>A&amp;E SALUD ODONTOLOGIA</t>
  </si>
  <si>
    <t>ORLANDO HERRERA MESINO</t>
  </si>
  <si>
    <t>Calle 125 #21A-18 Piso 2 Oficina 205 Edif Foma 97</t>
  </si>
  <si>
    <t>CEDISST IPS</t>
  </si>
  <si>
    <t>Calle 125 #21A-18 Piso 2 Oficina 203</t>
  </si>
  <si>
    <t>SANTA BARBARA SURGERY CENTER SAS</t>
  </si>
  <si>
    <t>CRA 7A # 123-25 oficina 101</t>
  </si>
  <si>
    <t>andresromer2006@gmail.com</t>
  </si>
  <si>
    <t>https://www.sbsurgerycenter.com</t>
  </si>
  <si>
    <t>EDGAR ANDRES FERNANDO ROMERO VASQUEZ</t>
  </si>
  <si>
    <t>CRA 7A # 123-25 OFICINA 2A-2B-2C CONSULTORIO 602-604</t>
  </si>
  <si>
    <t>RADIOMEDIC SOLUTIONS SAS</t>
  </si>
  <si>
    <t>Avenida Carrera 15 # 122 - 35 Interior 2 Oficina 203</t>
  </si>
  <si>
    <t>jorgeabuitragom@gmail.com</t>
  </si>
  <si>
    <t>https://www.radiomedicsolutions.com</t>
  </si>
  <si>
    <t>Jorge Arturo Buitrago Morales</t>
  </si>
  <si>
    <t>IVEST MEDICAL CENTER SAS</t>
  </si>
  <si>
    <t>CL 114 # 6A-92 LC D222</t>
  </si>
  <si>
    <t>IVESTMEDICALCENTER@GMAIL.COM</t>
  </si>
  <si>
    <t>BUKURE</t>
  </si>
  <si>
    <t>OSCAR IVAN LOZANO NAVARRETE</t>
  </si>
  <si>
    <t>CALLE 114 6 A 92 LOCAL D222</t>
  </si>
  <si>
    <t>GENMEDIS SAS</t>
  </si>
  <si>
    <t>Carrera 18 82 23 Piso 1</t>
  </si>
  <si>
    <t>info@genmedis.com.co</t>
  </si>
  <si>
    <t>https://genmedis.com/</t>
  </si>
  <si>
    <t>GENMEDIS SALUD</t>
  </si>
  <si>
    <t>Hernel David Alvarado Galeano</t>
  </si>
  <si>
    <t>TOP DENTIST S.A.S</t>
  </si>
  <si>
    <t>Cr 11 B No. 97-56 Lc 1</t>
  </si>
  <si>
    <t>gerencia@topdentist.com.co</t>
  </si>
  <si>
    <t>TOP DENTIST BY IVAN MORENO</t>
  </si>
  <si>
    <t>IRMA LEONOR JURADO MORALES</t>
  </si>
  <si>
    <t>LGO ODONTOLOGOS SAS SIGLA LGO</t>
  </si>
  <si>
    <t>AK 15 88 64 Oficina 414 - 415</t>
  </si>
  <si>
    <t>gerencialahudgomez@gmail.com</t>
  </si>
  <si>
    <t>LGO ODONTOLOGOS</t>
  </si>
  <si>
    <t>FARID FRANCISCO LAHUD SANCHEZ</t>
  </si>
  <si>
    <t>AK 15 88 64 Of 414 - 415</t>
  </si>
  <si>
    <t>CL͎ICAS BOTOSPA S.A.S</t>
  </si>
  <si>
    <t>CALLE 185 45 03 LOCAL 2-35 CENTRO COMERCIAL SANTAFE</t>
  </si>
  <si>
    <t>info@botoshop.com</t>
  </si>
  <si>
    <t>https://www.botoshop.com</t>
  </si>
  <si>
    <t>BOTOSHOP SEDE SANTAFE</t>
  </si>
  <si>
    <t>MARIA ISABEL RODRIGUEZ RUBIO</t>
  </si>
  <si>
    <t>BOTOSHOP SEDE MULTIPLAZA</t>
  </si>
  <si>
    <t>Cl 19A # 72-57 Local C130</t>
  </si>
  <si>
    <t>BOTOSHOP SEDE CALLE 100</t>
  </si>
  <si>
    <t>CL 100 11B 01 Local 102</t>
  </si>
  <si>
    <t>BOTOSHOP SEDE VIRREY</t>
  </si>
  <si>
    <t>VALERIA CATERINA GUADALUPE MUяZ DI ROCCO</t>
  </si>
  <si>
    <t>Cl 90 No. 18 59</t>
  </si>
  <si>
    <t>304 5913697</t>
  </si>
  <si>
    <t>BOTOSHOP SEDE HOSPITALIZACION</t>
  </si>
  <si>
    <t>Valeria Mu񯺠</t>
  </si>
  <si>
    <t>Cr 19 No 89 36 Piso 3 Zona B</t>
  </si>
  <si>
    <t>QuironPrevencion Colombia S.A.S</t>
  </si>
  <si>
    <t>calle 99 #13 a - 30 piso 10</t>
  </si>
  <si>
    <t>jenny_lizcano@quironprevencion.com</t>
  </si>
  <si>
    <t>https://www.quironprevencion.com</t>
  </si>
  <si>
    <t>QPrevencion</t>
  </si>
  <si>
    <t>Jenny Alexandra Lizcano Castro</t>
  </si>
  <si>
    <t>carrera 56 # 9 - 91 local 17</t>
  </si>
  <si>
    <t>QUIRON PREVENCION SEDE NORTE PISO 2</t>
  </si>
  <si>
    <t>Calle 99 # 13A 30 Piso 2</t>
  </si>
  <si>
    <t>jennny_lizcano@quironprevencion.com</t>
  </si>
  <si>
    <t>FABI TOP SERVICES SAS</t>
  </si>
  <si>
    <t>CL 140 11 45 OF 712</t>
  </si>
  <si>
    <t>dentoclinicsas@gmail.com</t>
  </si>
  <si>
    <t>DENTO CLINIC BOGOTA</t>
  </si>
  <si>
    <t>BETZAIDA FABIANA PEREZ MORA</t>
  </si>
  <si>
    <t>GLOBAL CARE NEURODIAGNOSTIC SAS</t>
  </si>
  <si>
    <t>AVENIDA CALLE 127 # 20 - 78 CONSULTORIO 609</t>
  </si>
  <si>
    <t>admon@globalneuro.care</t>
  </si>
  <si>
    <t>https://globalneuro.care</t>
  </si>
  <si>
    <t>GLOBAL CARE NEURODIAGNOSTIC</t>
  </si>
  <si>
    <t>MARIA OBDULIA SALAZAR DE GONZALEZ</t>
  </si>
  <si>
    <t>AC 127 # 20 78 CS 609</t>
  </si>
  <si>
    <t>11:11 LOOKING GOOD TECHNOLOGIES S.A.S SIGLA 11:11 LGT</t>
  </si>
  <si>
    <t>Carrera 19 # 84 - 17 Of 601 Consultorio 1</t>
  </si>
  <si>
    <t>contacto@doctoreternal.com</t>
  </si>
  <si>
    <t>Paula Andrea Puentes Guevara</t>
  </si>
  <si>
    <t>MD SERVICIOS DENTALES Y MEDICOS SAS SIGLA: MD</t>
  </si>
  <si>
    <t>AVENIDA CARRERA 19 # 95-55 OFICINA 402-403</t>
  </si>
  <si>
    <t>gerencia@md-dentalservices.com</t>
  </si>
  <si>
    <t>MD SERVICIOS DENTALES Y MEDICOS</t>
  </si>
  <si>
    <t>ANA MARIA DUARTE CASTRO</t>
  </si>
  <si>
    <t>DOCDOC HOSPITAL VIRTUAL IPS SAS</t>
  </si>
  <si>
    <t>Calle 119 7 14 Edificio Santa Ana Medical Center Consultorio 625</t>
  </si>
  <si>
    <t>laura@doc-doc.com</t>
  </si>
  <si>
    <t>https://laura@doc-doc.com</t>
  </si>
  <si>
    <t>LAURA LORENA GUTIERREZ REYES</t>
  </si>
  <si>
    <t>GRUPO PRESENZA IPS SAS</t>
  </si>
  <si>
    <t>CALLE 106 # 23 - 61 OF 601-602-603-604</t>
  </si>
  <si>
    <t>facturacion@presenza.co</t>
  </si>
  <si>
    <t>SANDRA TIBYSAY SUAREZ ACEVEDO</t>
  </si>
  <si>
    <t>CALLE 106#23 - 61 OF 601-602-603-604</t>
  </si>
  <si>
    <t>AG EYE CARE PROFESSIONALS SAS</t>
  </si>
  <si>
    <t>Calle 119 # 7 14 Consultorio 318</t>
  </si>
  <si>
    <t>300-5939286</t>
  </si>
  <si>
    <t>calidad@ageyecare.co</t>
  </si>
  <si>
    <t>https://www.zeissvisioncenter.com/es_co/unicentro-bogota.html</t>
  </si>
  <si>
    <t>VISIONTECH CLINIC</t>
  </si>
  <si>
    <t>LEIDY VIVIANA SEPULVEDA HIDALGO</t>
  </si>
  <si>
    <t>300 5939286</t>
  </si>
  <si>
    <t>ZEISS VISION CENTER BY A.G EYE CARE PROFESSIONALS</t>
  </si>
  <si>
    <t>Cra 15 # 124 30 Local 1 -066 CONS 1</t>
  </si>
  <si>
    <t>VISIONTECH CLINIC - SANTA ANA 1</t>
  </si>
  <si>
    <t>JORGE AUGUSTO GOMEZ SILVA</t>
  </si>
  <si>
    <t>CALLE 119 # 7-14 CONSULTORIO 322</t>
  </si>
  <si>
    <t>DENTAL EXPERIENCE SAS</t>
  </si>
  <si>
    <t>Cr 23 # 124-87 Torre 2 Consultorio 302</t>
  </si>
  <si>
    <t>admfinancdentalexperience@gmail.com</t>
  </si>
  <si>
    <t>https://www.dentalexperience.com.co/</t>
  </si>
  <si>
    <t>DENTAL EXPERIENCE</t>
  </si>
  <si>
    <t>SONIAJACKELINE OSORIO MEZA</t>
  </si>
  <si>
    <t>Cra 23 #124-87 Torre 2 Consultorio 302</t>
  </si>
  <si>
    <t>PSICOTOOLS CENTRO DE BIENESTAR S.A.S</t>
  </si>
  <si>
    <t>KRA 15 # 88-64 OFICINA 521</t>
  </si>
  <si>
    <t>info@psicotools.com.co</t>
  </si>
  <si>
    <t>https://WWW.PSICOTOOLS.COM.CO/</t>
  </si>
  <si>
    <t>LINA MARIA MURCIA PIхROS</t>
  </si>
  <si>
    <t>SEGURIDAD Y SALUD OCUPACIONAL CONSULTORIA, SOCIEDAD POR ACCIONES SIMPLIFICADA IPS - SIGLA: SYSO CONSULTORIA S.A.S IPS</t>
  </si>
  <si>
    <t>Calle 78 # 10 -38 casa 11</t>
  </si>
  <si>
    <t>gerencia@syso.co</t>
  </si>
  <si>
    <t>https:// NA</t>
  </si>
  <si>
    <t>SYSO SALUD IPS</t>
  </si>
  <si>
    <t>ARLEN EDWIN DE VEGA ARIZA</t>
  </si>
  <si>
    <t>AC 161 # 16c - 39 Consultorio 305 piso 3</t>
  </si>
  <si>
    <t>SYSO IPS</t>
  </si>
  <si>
    <t>Calle 99 No. 49-38 oficina 1101 consultorios 1, 2 y 5 Zona 1 A La 7</t>
  </si>
  <si>
    <t>juridico@syso.co</t>
  </si>
  <si>
    <t>JSPORTMEDICINE - MEDICINA DE LA ACTIVIDAD FISICA Y DEL DEPORTE SAS</t>
  </si>
  <si>
    <t>CRA 7 Bis #124 - 56 Cons 402</t>
  </si>
  <si>
    <t>jsmsportmedicine@gmail.com</t>
  </si>
  <si>
    <t>https://WWW.JSPORTMEDICINE.COM.CO</t>
  </si>
  <si>
    <t>Juan Sebastian Carvajal Arias</t>
  </si>
  <si>
    <t>CRA 7 Bis # 124 - 56 CONS 402</t>
  </si>
  <si>
    <t>RUTAVITAL SAS</t>
  </si>
  <si>
    <t>CALLE 109 # 14B-60 OFICINA 302</t>
  </si>
  <si>
    <t>rutavitalsas@gmail.com</t>
  </si>
  <si>
    <t>JOSE FABIO MUяZ CASTAя</t>
  </si>
  <si>
    <t>NATURAL RENOVATION REJUVENECIMIENTO Y EQUILIBRIO SAS</t>
  </si>
  <si>
    <t>Ak 15 No 124-30 Local 1-001 PISO 1</t>
  </si>
  <si>
    <t>dranataliareyes@gmail.com</t>
  </si>
  <si>
    <t>https://dranataliareyes@gmail.com</t>
  </si>
  <si>
    <t>NATALIA REYES GUTIERREZ</t>
  </si>
  <si>
    <t>MEDISIS SAS</t>
  </si>
  <si>
    <t>CARRERA 7BIS NO 124 56 OFICINA 202</t>
  </si>
  <si>
    <t>contabilidad@medisis.com.co</t>
  </si>
  <si>
    <t>WILSON ROBERTO BEJARANO ROJAS</t>
  </si>
  <si>
    <t>HEMATOLOGIA Y ONCOLOGIA DEL ORIENTE SAS</t>
  </si>
  <si>
    <t>Carrera 12 N98-64 oficina 403</t>
  </si>
  <si>
    <t>hyogerencia@gmail.com - hematologiayoncologia@gmail.com</t>
  </si>
  <si>
    <t>https://https://hematologiayoncologia.com.co/</t>
  </si>
  <si>
    <t>Mayra Danely Jaimes Martinez</t>
  </si>
  <si>
    <t>CARRERA 12 N 98-64 403</t>
  </si>
  <si>
    <t>BEAUTYDENT . ODONTOLOGIA S.A.S SIGLA BEAUTYDENT . ODONTOLOGIA</t>
  </si>
  <si>
    <t>Carrera 62 # 103 44 Oficinas 303-304</t>
  </si>
  <si>
    <t>beautydent.odontologia@outlook.com</t>
  </si>
  <si>
    <t>BEAUTYDENT . ODONTOLOGIA S.A.S</t>
  </si>
  <si>
    <t>LAURA XIMENA HERRERA FAJARDO</t>
  </si>
  <si>
    <t>MONREAL AESTHETICS SAS</t>
  </si>
  <si>
    <t>Av Calle 127 # 14 - 54 Oficina 304</t>
  </si>
  <si>
    <t>monreal.aesthetics@gmail.com</t>
  </si>
  <si>
    <t>https://monreal.com.co/</t>
  </si>
  <si>
    <t>GUSTAVO ANDRES MONSALVE NAVARRO</t>
  </si>
  <si>
    <t>CLINICA ARIAS MEDICINA REGENERATIVA Y ANTIENVEJECIMIENTO SAS</t>
  </si>
  <si>
    <t>AC 127 # 14-54 Oficina 702 y 704</t>
  </si>
  <si>
    <t>gerencia@sandrarias.com</t>
  </si>
  <si>
    <t>https://www.sandrarias.com/</t>
  </si>
  <si>
    <t>LUIS ARTURO MURILLO ROA</t>
  </si>
  <si>
    <t>MAS - SALUD MENTAL INTEGRAL SAS</t>
  </si>
  <si>
    <t>AK 19 N 108 - 45 OF 404</t>
  </si>
  <si>
    <t>mas.saludmentalintegral@gmail.com</t>
  </si>
  <si>
    <t>EURITMIA MAS SALUD MENTAL INTEGRAL</t>
  </si>
  <si>
    <t>DIEGO FELIPE FONSECA PERDOMO</t>
  </si>
  <si>
    <t>IPS FAMIVIVIR S.A.S</t>
  </si>
  <si>
    <t>AC 24 43A-34</t>
  </si>
  <si>
    <t>ipsfamivivirbogota@gmail.com</t>
  </si>
  <si>
    <t>IPS FAMIVIVIR</t>
  </si>
  <si>
    <t>Maryory Trujillo Mendoza</t>
  </si>
  <si>
    <t>ARLETH BERNAL IPS SAS</t>
  </si>
  <si>
    <t>Avenida Carrera 15 # 122 - 35 Consultorio 408</t>
  </si>
  <si>
    <t>arlethpatriciab@gmail.com</t>
  </si>
  <si>
    <t>ARLETH BERNAL PSICOLOǴ ESPECIALIZADA</t>
  </si>
  <si>
    <t>Emiro Jose Chica Qui񯮥s</t>
  </si>
  <si>
    <t>SELIKA 94 S.A.S</t>
  </si>
  <si>
    <t>CARRERA 13 #94A -26 CS 202-203-303-504</t>
  </si>
  <si>
    <t>https://gastroprohealth@gmail.com</t>
  </si>
  <si>
    <t>CLINICA DEL ALMA IPS SAS</t>
  </si>
  <si>
    <t>CL 18 # 77 51 / 67 OF 403 y 412</t>
  </si>
  <si>
    <t>clinicadelalma.ips.sas@gmail.com</t>
  </si>
  <si>
    <t>ARNOBY ALVAREZ CHARRY</t>
  </si>
  <si>
    <t>CL 18 # 77 51/67 OF 403 y 412</t>
  </si>
  <si>
    <t>VALESSIO SALUD MASCULINA SAS</t>
  </si>
  <si>
    <t>Calle 99 # 49 - 38 oficina 609</t>
  </si>
  <si>
    <t>valessio.adm@gmail.com</t>
  </si>
  <si>
    <t>https://valessio.co</t>
  </si>
  <si>
    <t>VALESSIO SALUD MASCULINA S.A.S</t>
  </si>
  <si>
    <t>DELY MARCELA HERRERA CRISTANCHO</t>
  </si>
  <si>
    <t>BEST MEDICAL CARE LATAM IPS SAS-BMC LATAM</t>
  </si>
  <si>
    <t>CRA 7 BIS 124 56 CONSULTORIO 706</t>
  </si>
  <si>
    <t>bestmedicalcareips@gmail.com</t>
  </si>
  <si>
    <t>BEST MEDICAL CARE LATAM IPS SAS- BMC LATAM</t>
  </si>
  <si>
    <t>SANDRA AGUILERA</t>
  </si>
  <si>
    <t>AMETD SALUD ATENCION INTEGRAL IPS SAS</t>
  </si>
  <si>
    <t>AC 80 # 89A 40 OF 243</t>
  </si>
  <si>
    <t>gerenciaipsametd@gmail.com, calidad.ametdsalud@gmail.com</t>
  </si>
  <si>
    <t>KATHERIN JULIETH SANCHEZ MENDEZ</t>
  </si>
  <si>
    <t>gerenciaipsametd@gmail.com</t>
  </si>
  <si>
    <t>ORIGEN NATURAL. IPS SAS</t>
  </si>
  <si>
    <t>Calle 98 9 A 46 Torre 2 Piso 6</t>
  </si>
  <si>
    <t>origennaturalips@gmail.com</t>
  </si>
  <si>
    <t>ORIGEN NATURAL . IPS SAS</t>
  </si>
  <si>
    <t>Nicolas De Diego Hernandez</t>
  </si>
  <si>
    <t>͎TEGRA SALUD ORAL S.A.S SIGLA ͎TEGRA SALUD ORAL</t>
  </si>
  <si>
    <t>AVENIDA CALLE 127 # 13 - 96 OFICINA 701 EDIFICIO PIRAMIDE SIETE II</t>
  </si>
  <si>
    <t>CONTACTO@INTEGRASALUDORAL.COM</t>
  </si>
  <si>
    <t>https://CONTACTO@INTEGRASALUDORAL.COM</t>
  </si>
  <si>
    <t>INTEGRA SALUD ORAL UNICENTRO</t>
  </si>
  <si>
    <t>MARIELA NIETO MONCADA</t>
  </si>
  <si>
    <t>AVENIDA CALLE 127 N 13 96 OFICINA 701 EDIFICIO PIRAMIDE SIETE II</t>
  </si>
  <si>
    <t>INTEGRA SALUD ORAL KENNEDY</t>
  </si>
  <si>
    <t>MARIELA NIETO</t>
  </si>
  <si>
    <t>CALLE 35 C SUR 78 19</t>
  </si>
  <si>
    <t>contacto@integrasaludoral.com</t>
  </si>
  <si>
    <t>INTEGRA SALUD ORAL SUBA</t>
  </si>
  <si>
    <t>Cr 92 #146B-07 Segundo Piso</t>
  </si>
  <si>
    <t>ALMO CARE S.A.S.</t>
  </si>
  <si>
    <t>avenida carrera 19 N 108-45 oficina 402</t>
  </si>
  <si>
    <t>almocaresas@gmail.com</t>
  </si>
  <si>
    <t>https://almocaresas@gmail.com</t>
  </si>
  <si>
    <t>martha lucia pe񡲲edonda franco</t>
  </si>
  <si>
    <t>avenida carrera 19 N 108 - 45 oficina 402</t>
  </si>
  <si>
    <t>DERMACLUB S.A.S.</t>
  </si>
  <si>
    <t>CR 19A N 82 - 85 CONS 809 Y 823</t>
  </si>
  <si>
    <t>gerenciads@dermaclub.com.co</t>
  </si>
  <si>
    <t>LORENA PRADA DELGADO</t>
  </si>
  <si>
    <t>IPS NUEVA PIEL TERAPIA OCUPACIONAL SAS</t>
  </si>
  <si>
    <t>TV 60 No 115-58 to A Of 407</t>
  </si>
  <si>
    <t>nuevapiel.to@gmail.com</t>
  </si>
  <si>
    <t>YINNA LISED MARTINEZ ROMERO</t>
  </si>
  <si>
    <t>DOSE HEALTH &amp; COSMETIC MEDICINE IPS SAS</t>
  </si>
  <si>
    <t>Cl 117 No. 6 A 60 Cons 402</t>
  </si>
  <si>
    <t>gerencia@dosemedicine.com</t>
  </si>
  <si>
    <t>https://dose&amp;healt.com</t>
  </si>
  <si>
    <t>LEONEL FERNANDO MALAVER CAICEDO</t>
  </si>
  <si>
    <t>SARSALUD COLOMBIA IPS SAS - SARSALUD COL</t>
  </si>
  <si>
    <t>AC 6 NO. 78 47</t>
  </si>
  <si>
    <t>carlosagt02@gmail.com</t>
  </si>
  <si>
    <t>https://carlosagt02@gmail.com</t>
  </si>
  <si>
    <t>SARSALUD COLOMBIA IPS SAS</t>
  </si>
  <si>
    <t>CARLOS ANDRES GONZALEZ TORRES</t>
  </si>
  <si>
    <t>HARMONY ESTETIC DB MEDICINA AVANZADA IPS SAS</t>
  </si>
  <si>
    <t>AK 9 # 127 C - 60 CONSULTORIO 309</t>
  </si>
  <si>
    <t>harmonyesteticdb@gmail.com</t>
  </si>
  <si>
    <t>https://www.harmonyestetic.com</t>
  </si>
  <si>
    <t>DIANA YANET BOGOTA GORDILLO</t>
  </si>
  <si>
    <t>IMMIMED S.A.S Sigla: IMMIMED IPS</t>
  </si>
  <si>
    <t>Cra 11 94A - 25 Cons 401-1</t>
  </si>
  <si>
    <t>papuchopaul@me.com</t>
  </si>
  <si>
    <t>PAUL VAILLANCOURT URREA</t>
  </si>
  <si>
    <t>papuchopaul@me.co</t>
  </si>
  <si>
    <t>DOCTORA LLANOS - CLINICA DE PIEL I.P.S S.A.S</t>
  </si>
  <si>
    <t>Ak 15 No. 92 29 Of 801 P 1</t>
  </si>
  <si>
    <t>ellanos@clinicadepielips.co</t>
  </si>
  <si>
    <t>https://doctorallanos@ciruplastia.com</t>
  </si>
  <si>
    <t>Lina Maria Llanos Mena</t>
  </si>
  <si>
    <t>MBD LASER SAS</t>
  </si>
  <si>
    <t>Avenida Calle 127 19A 44 Consultorio 610</t>
  </si>
  <si>
    <t>mbdlasersas@gmail.com</t>
  </si>
  <si>
    <t>LUIS GUILLERMO CASTRO SUAREZ</t>
  </si>
  <si>
    <t>CLINICA BIODERMO - CLIBIDER SAS SIGLA CLBD MEDICINA ESPECIALIZADA</t>
  </si>
  <si>
    <t>AK 7 127 48 Of 602</t>
  </si>
  <si>
    <t>gerencia@clinicabiodermo.com</t>
  </si>
  <si>
    <t>WILSON FABIAN SANCHEZ DELGADO</t>
  </si>
  <si>
    <t>CLINICA BIODERMO - CLIBIDER SAS CHAPINERO</t>
  </si>
  <si>
    <t>Wilson Fabian Sanch麠Delgado</t>
  </si>
  <si>
    <t>AK 7 # 45 -10 LOCAL 8</t>
  </si>
  <si>
    <t>312 3786641</t>
  </si>
  <si>
    <t>GERENCIA@CLINICABIODERMO.COM</t>
  </si>
  <si>
    <t>INVERSIONES HTB SAS</t>
  </si>
  <si>
    <t>Avenida Carrera 9 103 A 36 Consultorio 208</t>
  </si>
  <si>
    <t>angelasolucionesodontologia@gmail.com</t>
  </si>
  <si>
    <t>RUBEN RAFAEL HERNANDEZ GONZALEZ</t>
  </si>
  <si>
    <t>ALLIANCE SERVICIOS ODONTOLӇICOS IPS SAS</t>
  </si>
  <si>
    <t>Cra 19A #79-18 Consultorio 704</t>
  </si>
  <si>
    <t>allianceclinicadental@gmail.com</t>
  </si>
  <si>
    <t>PAOLA ANDREA PAEZ CONTRERAS</t>
  </si>
  <si>
    <t>TU OIDO S.A.S</t>
  </si>
  <si>
    <t>CARRERA 16 # 84 A-09 Consultorios 312 y 315-3 Almirante Colon</t>
  </si>
  <si>
    <t>ips@tuoido.com</t>
  </si>
  <si>
    <t>https://tuoido.com/</t>
  </si>
  <si>
    <t>TU OIDO IPS CENTRO AUDIOLOGICO ESPECIALIZADO</t>
  </si>
  <si>
    <t>DIANA ROCIO OLAVE GARCIA</t>
  </si>
  <si>
    <t>CARRERA 16 # 84 A-09 Consultorios 312 y 315-3 Almirante Col󮼯td&gt;</t>
  </si>
  <si>
    <t>IPS CARDIOTEAM S.A.S.</t>
  </si>
  <si>
    <t>Cl 114 No. 6A 92 OF 405 Local D-402 Piso 4 CC Hacienda Santa Barbara</t>
  </si>
  <si>
    <t>ipscardioteam@gmail.com</t>
  </si>
  <si>
    <t>PABLO ALEJANDRO VILLAMIL MUNEVAR</t>
  </si>
  <si>
    <t>CIRUPLASTIA - DRS. MONROY I.P.S. S.A.S.</t>
  </si>
  <si>
    <t>Ak 15 No. 92 - 29 Of 802 P1</t>
  </si>
  <si>
    <t>doctormonroy@ciruplastia.com</t>
  </si>
  <si>
    <t>https://doctormonroy@ciruplastia.com</t>
  </si>
  <si>
    <t>JUAN CARLOS MONROY MEJIA</t>
  </si>
  <si>
    <t>AK 15 92 29 OF 802 PI 1</t>
  </si>
  <si>
    <t>SKINSENCE INSTITUTE S.A.S -Skinsence</t>
  </si>
  <si>
    <t>Carrera 19 No 95 - 31 / 55 Cs 804</t>
  </si>
  <si>
    <t>habilitacioncalidad29@gmail.com</t>
  </si>
  <si>
    <t>https://gerencia.skinka@gmail.com</t>
  </si>
  <si>
    <t>SKINSENCE INSTITUTE</t>
  </si>
  <si>
    <t>John Alejandro Metaute Hernandez</t>
  </si>
  <si>
    <t>CENTRO ESPECIALIZADO DE RETINA Y VITREO SAS</t>
  </si>
  <si>
    <t>KR 19#84-17 CONSULTORIO 502</t>
  </si>
  <si>
    <t>administracion@orlandoustariz.com</t>
  </si>
  <si>
    <t>ANGELA MARIA CORDOBA PAEZ</t>
  </si>
  <si>
    <t>PRӘIMAB S.A.S</t>
  </si>
  <si>
    <t>Avenida Carrera 15 83 33 CONSULTORIO 203</t>
  </si>
  <si>
    <t>gerencia@alfredohoyos.com</t>
  </si>
  <si>
    <t>https://gerencia@alfredohoyos.com</t>
  </si>
  <si>
    <t>TOTAL DEFINER MEDICAL</t>
  </si>
  <si>
    <t>Monica Tatiana Pe񵥬a forero</t>
  </si>
  <si>
    <t>AVENIDA CARRERA 15 83 33 PISO 2</t>
  </si>
  <si>
    <t>TOTAL DEFINER BEAUTY SPA</t>
  </si>
  <si>
    <t>Monica Tatiana Pe񵥬a Forero</t>
  </si>
  <si>
    <t>callle 93 N 14-55 PISO 5</t>
  </si>
  <si>
    <t>BELASER MEDICINA ESTETICA AVANZADA SAS</t>
  </si>
  <si>
    <t>Ak 19 No 95 - 31 Ak 19 No 95 - 55 Of 610 - 611</t>
  </si>
  <si>
    <t>belasermed@gmail.com</t>
  </si>
  <si>
    <t>https://belaser.com.co</t>
  </si>
  <si>
    <t>Belaser Medicina Estetica Avanzada SAS</t>
  </si>
  <si>
    <t>Andrea Liliana Baez Colorado</t>
  </si>
  <si>
    <t>D&amp;D PSICOLOGIA Y BIENESTAR SAS</t>
  </si>
  <si>
    <t>Calle 105 A # 14 -92 Ofc 701</t>
  </si>
  <si>
    <t>info@dydpsicologiaybienestar.com</t>
  </si>
  <si>
    <t>D&amp;D PSICOLOGIA Y BIENESTAR</t>
  </si>
  <si>
    <t>DIEGO ALBERTO CESPEDES ACOSTA</t>
  </si>
  <si>
    <t>SERGIO Y ALEXANDRA RADA SAS</t>
  </si>
  <si>
    <t>CALLE 109A # 17-23</t>
  </si>
  <si>
    <t>calidad@sergioyalexandrarada.com</t>
  </si>
  <si>
    <t>https://sergioyalexandrarada.com/</t>
  </si>
  <si>
    <t>SERGIO Y ALEXANDRA RADA</t>
  </si>
  <si>
    <t>DIANA MARGARITA MARTINEZ MARIN</t>
  </si>
  <si>
    <t>Cr 17 # 109 - 47</t>
  </si>
  <si>
    <t>MAMUELAS KIDS SAS</t>
  </si>
  <si>
    <t>CARRERA 17 # 89-31 CONSULTORIO 606</t>
  </si>
  <si>
    <t>manuelahuertas@hotmail.com</t>
  </si>
  <si>
    <t>MANUELA HUERTAS LOPEZ</t>
  </si>
  <si>
    <t>CARRERA 17 #89-31 CONSULTORIO 606</t>
  </si>
  <si>
    <t>LAURA VILLAMARIN SAS</t>
  </si>
  <si>
    <t>Cl 158 No. 92 - 37 Lc 1 Y 2</t>
  </si>
  <si>
    <t>laury86odont@hotmail.com</t>
  </si>
  <si>
    <t>LAURA VILLAMARIN AVILA</t>
  </si>
  <si>
    <t>Calle 158 No. 92 - 37 Lc 1 Y 2</t>
  </si>
  <si>
    <t>DMHV SAS SIGLA DMHV SAS</t>
  </si>
  <si>
    <t>CR 28 BIS 52 19 P1 CS 103 SALA PROCEDIMIENTOS 1 - SALA PROCEDIMIENTOS 2</t>
  </si>
  <si>
    <t>dmhv2024@gmail.com</t>
  </si>
  <si>
    <t>https://www.instagram.com/dramilenherrera/reels/</t>
  </si>
  <si>
    <t>MH HABITOS, SALUD Y BIENESTAR</t>
  </si>
  <si>
    <t>DEISY MILENA HERRERA VELOSA</t>
  </si>
  <si>
    <t>CR 28 BIS 52 19 P1</t>
  </si>
  <si>
    <t>Wellness B&amp;C S.A.S</t>
  </si>
  <si>
    <t>CL 126 # 7 -26 CS 702 -703</t>
  </si>
  <si>
    <t>wellnessips2024@gmail.com</t>
  </si>
  <si>
    <t>https://www.instagram.com/wellness_ips?igsh=MTdicDM3c3ZqdThuZQ==</t>
  </si>
  <si>
    <t>Plastic Skin</t>
  </si>
  <si>
    <t>Ricardo Alfonso Botache Pinzon</t>
  </si>
  <si>
    <t>CL 126 # 7 -26 CS 702-703</t>
  </si>
  <si>
    <t>NEW CONSULTING GROUP SAS</t>
  </si>
  <si>
    <t>Av Cll 80 # 71 19 Entrada 1 Pisos 1,2,3 Y 4</t>
  </si>
  <si>
    <t>newconsultingips@gmail.com</t>
  </si>
  <si>
    <t>https://n.a</t>
  </si>
  <si>
    <t>CRC OCCIMETRIC IPS</t>
  </si>
  <si>
    <t>DEIVI FIGUEREDO GOMEZ</t>
  </si>
  <si>
    <t>Av Cll 80 # 71 19 Entrada 1 Pisos 1, 2 ,3 Y 4</t>
  </si>
  <si>
    <t>WELLNESS HEALTH CUIDADO DE PIEL SAS</t>
  </si>
  <si>
    <t>CR 13 A NO. 29 - 26 LC 127</t>
  </si>
  <si>
    <t>wellnesshealthips24@gmail.com</t>
  </si>
  <si>
    <t>https://wellness-health.com.co/</t>
  </si>
  <si>
    <t>WELLNESS HEALTH CUIDADO DE PIEL</t>
  </si>
  <si>
    <t>NIDIA JUDITH LEMUS MOLINA</t>
  </si>
  <si>
    <t>CASA VIOLETA IPS SAS Sigla CV&amp;SB</t>
  </si>
  <si>
    <t>Calle 19 5 30 OFICINA 806</t>
  </si>
  <si>
    <t>casavioletaips@gmail.com</t>
  </si>
  <si>
    <t>FERNANDO MALLUNGO SANTOS</t>
  </si>
  <si>
    <t>CALLE 19 No. 5 - 30 OFICINA 806</t>
  </si>
  <si>
    <t>NEXDENT IPS S.A.S</t>
  </si>
  <si>
    <t>CL 120 A 7 36 OF 1103</t>
  </si>
  <si>
    <t>gerencia@adl.com.co</t>
  </si>
  <si>
    <t>NEXDENT USAQUEN</t>
  </si>
  <si>
    <t>KAREN YISETH CAсS ROA</t>
  </si>
  <si>
    <t>CL 120 A 7 36 of 1103</t>
  </si>
  <si>
    <t>NEXDENT UNICENTRO</t>
  </si>
  <si>
    <t>CARRERA 15 A 121 12 OFICINA 513 -514</t>
  </si>
  <si>
    <t>NEXDENTUNICENTRO@GMAIL.COM</t>
  </si>
  <si>
    <t>NEXDENT CASTELLANA</t>
  </si>
  <si>
    <t>CALLE 99 # 49-38 OF 703</t>
  </si>
  <si>
    <t>NEXDENTCASTELLANA@GMAIL.COM</t>
  </si>
  <si>
    <t>NEXDENT CALLE 93</t>
  </si>
  <si>
    <t>CARRERA 13 N 93-85 OF 301</t>
  </si>
  <si>
    <t>NEXDENTCALLE93@GMAI L.COM</t>
  </si>
  <si>
    <t>CURE LATAM SAS</t>
  </si>
  <si>
    <t>CRA 13 NO. 93 - 85 CONSULTORIO 401</t>
  </si>
  <si>
    <t>info@curelatam.com</t>
  </si>
  <si>
    <t>https://www.curelatam.com/</t>
  </si>
  <si>
    <t>IPS Integra Health Care Sede 3</t>
  </si>
  <si>
    <t>HEDER JOSɠXIQUES MOLINA</t>
  </si>
  <si>
    <t>Cra 13 No. 93 - 85 Consultorio 401</t>
  </si>
  <si>
    <t>VOLUT SAS</t>
  </si>
  <si>
    <t>AV CRA 7 No. 127 - 48 OFICINA 708</t>
  </si>
  <si>
    <t>tafymorales@yahoo.com</t>
  </si>
  <si>
    <t>GUSTAVO ADOLFO MORALES JIMENEZ</t>
  </si>
  <si>
    <t>ISALO SAS</t>
  </si>
  <si>
    <t>AVENIDA CARRERA 19 # 95-55 OFICINA 407</t>
  </si>
  <si>
    <t>luluguzmanb@gmail.com</t>
  </si>
  <si>
    <t>DOC LULU</t>
  </si>
  <si>
    <t>LUZ ANGELA GUZMAN BARON</t>
  </si>
  <si>
    <t>IPS HORIZONTE SOCIAL LA ESPERANZA SOCIEDAD POR ACCIONES SIMPLIFICADA (IPS HORISOES SAS)</t>
  </si>
  <si>
    <t>Carrera 7 Bis#124-56/64 edificio Vitale Consultorio 401</t>
  </si>
  <si>
    <t>servicioalcliente@ipshorisoes.org</t>
  </si>
  <si>
    <t>https://www.saludhorisoes.com/</t>
  </si>
  <si>
    <t>SEDE IPS HORIZONTE SOCIAL BOGOTA</t>
  </si>
  <si>
    <t>LINA MARCELA LOPEZ CASTRO</t>
  </si>
  <si>
    <t>Carrera 7Bis#124-56/64 Edificio Vitale Consultorio 401</t>
  </si>
  <si>
    <t>TRINITY LIFE SAS</t>
  </si>
  <si>
    <t>AK 19 # 114-65 CONSULTORIO 308 - 309</t>
  </si>
  <si>
    <t>trinity.bogota@outlook.com</t>
  </si>
  <si>
    <t>TRINITY LIFE SAS CS 308 - 309</t>
  </si>
  <si>
    <t>ANGELICA MARGARITA ORTIZ ROMERO</t>
  </si>
  <si>
    <t>INSTITUTOS MEDICOS DE PRESTACIӎ INTEGRADA SAS - SIGLA IMPIS</t>
  </si>
  <si>
    <t>Calle 144 #21- 04 Piso 1</t>
  </si>
  <si>
    <t>institutosmedicosdeprestacioni@gmail.com</t>
  </si>
  <si>
    <t>EDNA LILIANA VACA CARVAJAL</t>
  </si>
  <si>
    <t>Calle 144# 21- 04 Piso 1</t>
  </si>
  <si>
    <t>GRUPO DMEDICS VIVA LA VIDA S.A.S</t>
  </si>
  <si>
    <t>Calle 106 #57 11 Oficina 507</t>
  </si>
  <si>
    <t>nanafino@hotmail.com</t>
  </si>
  <si>
    <t>DIANA MARCELA FINO CARANTON</t>
  </si>
  <si>
    <t>CIMEDICS GROUP IPS S.A.S</t>
  </si>
  <si>
    <t>CARRERA 23 N 124 - 87 EDIFICIO ZENTAI TO 1 CS 406</t>
  </si>
  <si>
    <t>cimedicscolombia@gmail.com</t>
  </si>
  <si>
    <t>CIMEDICS GROUP IPS CONSULTORIO 406</t>
  </si>
  <si>
    <t>MAŔ NATALIE BENAVIDES SALAZAR</t>
  </si>
  <si>
    <t>CARRERA 23 N 124 - 87 CONSULTORIO 406 TORRE 1 EDIFICIO ZENTAI Ph</t>
  </si>
  <si>
    <t>CIMEDICS GROUP IPS S.A.S CONSULTORIO 404</t>
  </si>
  <si>
    <t>MARIA NATALIE BENAVIDES SALAZAR</t>
  </si>
  <si>
    <t>Carrera 23 # 124-87 Consultorio 404 Torre 1 Edificio Zentai Ph</t>
  </si>
  <si>
    <t>OMNIMEDICAL CENTER S.A.S</t>
  </si>
  <si>
    <t>AV CL 127 # 20 16 ED 127 PLUSS OF 502</t>
  </si>
  <si>
    <t>libardobueno@gmail.com</t>
  </si>
  <si>
    <t>OMNIMEDICAL CENTER SAS</t>
  </si>
  <si>
    <t>JOSE LIBARDO BUENO MARIN</t>
  </si>
  <si>
    <t>Plaris SAS</t>
  </si>
  <si>
    <t>CARRERA 47 N 95 - 72 PISO 1 Y PISO 2</t>
  </si>
  <si>
    <t>6014768534 - 3103196306</t>
  </si>
  <si>
    <t>plaris.ips@gmail.com</t>
  </si>
  <si>
    <t>PLARIS SAS</t>
  </si>
  <si>
    <t>DINIMO JOSE BOLIVAR SAENZ</t>
  </si>
  <si>
    <t>EXALUD SAS</t>
  </si>
  <si>
    <t>Cl 6A # 69 F - 14 Piso 3</t>
  </si>
  <si>
    <t>exaludsas@gmail.com</t>
  </si>
  <si>
    <t>Yeily Carre񯠂eltrᮼ/td&gt;</t>
  </si>
  <si>
    <t>LAB EXPERT SAS</t>
  </si>
  <si>
    <t>Cl 120A # 7 - 36 Of 301</t>
  </si>
  <si>
    <t>amtriana@gmail.com</t>
  </si>
  <si>
    <t>https://labexpert.com</t>
  </si>
  <si>
    <t>ANA MARIA TRIANA GARBIRAS</t>
  </si>
  <si>
    <t>AC INVERSA S.A.S</t>
  </si>
  <si>
    <t>AVENIDA CALLE 127 # 19 A 62 OFICINA 506</t>
  </si>
  <si>
    <t>ac.inversa@gmail.com</t>
  </si>
  <si>
    <t>STAY GUT</t>
  </si>
  <si>
    <t>CARLOS ALBERTO CASTRO RODRIGUEZ</t>
  </si>
  <si>
    <t>AVENIDA CALLE 127 # 19 A 62 Consultorio 403</t>
  </si>
  <si>
    <t>GRUPO DE ORTOPEDIA INFANTIL - GOI SAS</t>
  </si>
  <si>
    <t>CARRERA 18 N 80 - 42/52 CONS. 205 CENTRO MEDICO ALENTA</t>
  </si>
  <si>
    <t>grupoortopediagoi@yahoo.com</t>
  </si>
  <si>
    <t>https://grupoortopediagoi@yahoo.com</t>
  </si>
  <si>
    <t>GRUPO DE ORTOPEDIA INFANTIL GOI SAS</t>
  </si>
  <si>
    <t>JORGE ENRIQUE ROJAS SALCEDO</t>
  </si>
  <si>
    <t>CARRERA 18 N 80 42/52 CONS. 205 CENTRO MEDICO ALENTA</t>
  </si>
  <si>
    <t>CENTRO DE RECONOCIMIENTO DE CONDUCTORES IPS LARSALUD S.A.S</t>
  </si>
  <si>
    <t>AK 58 # 137 A 10 Lc 309</t>
  </si>
  <si>
    <t>larsaludbogota@gmail.com</t>
  </si>
  <si>
    <t>https://larsaludbogota</t>
  </si>
  <si>
    <t>JENNIFER CAROLINA SILVA FIAGA</t>
  </si>
  <si>
    <t>EWAH S.A.S</t>
  </si>
  <si>
    <t>CARRERA 23 124 87 EDIFICIO ZENTAI TORRE 1 CONSULTORIO 602</t>
  </si>
  <si>
    <t>lorenapinzon@yahoo.es</t>
  </si>
  <si>
    <t>Claudia Lorena Pinzon Chaparro</t>
  </si>
  <si>
    <t>VALENTE MEDICA S.A.S SIGLA : VALENTE MEDICA</t>
  </si>
  <si>
    <t>AVENIDA CALLE 134 -7B - 83 OFICINA 921</t>
  </si>
  <si>
    <t>matiorivera@hotmail.com</t>
  </si>
  <si>
    <t>https://matiorivera@hotmail.com</t>
  </si>
  <si>
    <t>VALENTE MEDICA SAS</t>
  </si>
  <si>
    <t>MATEO RIVERA GARCIA</t>
  </si>
  <si>
    <t>MULTIPLE HEALTH SERVICE IPS SAS SIGLA: MULTIPLE H&amp;S</t>
  </si>
  <si>
    <t>CARRERA 10 No. 134 07 CONS. 303</t>
  </si>
  <si>
    <t>camilaandrearuizh@gmail.com</t>
  </si>
  <si>
    <t>CARRERA 10 No. 134 - 07 CONS. 303</t>
  </si>
  <si>
    <t>SARMIDENT PLUS SAS SIGLA SDT PLUS SAS</t>
  </si>
  <si>
    <t>AC 127 # 13A - 54 OFICINA 403-404</t>
  </si>
  <si>
    <t>lrsarmiento@gmail.com</t>
  </si>
  <si>
    <t>LAURA ROCIO SARMIENTO BEJARANO</t>
  </si>
  <si>
    <t>AC 127 #13A-54 OFICINA 403-404</t>
  </si>
  <si>
    <t>inverlucero S.A.S</t>
  </si>
  <si>
    <t>DIAGONAL 23#69-11 LOCAL 2-242</t>
  </si>
  <si>
    <t>abodontologia2242@gmail.com</t>
  </si>
  <si>
    <t>https://w.app/abodontologia</t>
  </si>
  <si>
    <t>AB ODONTOLOGIA INTEGRAL</t>
  </si>
  <si>
    <t>JOSE OMAIRO BUSTOS SANCHEZ</t>
  </si>
  <si>
    <t>IMMAGIN SAS</t>
  </si>
  <si>
    <t>Cr 102 B # 150 - 19 Lc 5</t>
  </si>
  <si>
    <t>immaginodontologia@gmail.com</t>
  </si>
  <si>
    <t>EDICSON RIVERA DELGADO</t>
  </si>
  <si>
    <t>CR 102 B # 150 - 19 LC 5</t>
  </si>
  <si>
    <t>ANDES LASER CENTER S.A.S</t>
  </si>
  <si>
    <t>CALLE 18 # 8 - 82 PISO 6</t>
  </si>
  <si>
    <t>lasercenterandes2024@gmail.com</t>
  </si>
  <si>
    <t>https://www.facebook.com/andeslasercenter/</t>
  </si>
  <si>
    <t>ANDES LASER CENTER SEDE CENTRO</t>
  </si>
  <si>
    <t>MARIA ESTRELLA REY GONZALEZ</t>
  </si>
  <si>
    <t>CROWNLIFE SAS</t>
  </si>
  <si>
    <t>Cr 71 No. 127 - 11</t>
  </si>
  <si>
    <t>clinicacrownlife@gmail.com</t>
  </si>
  <si>
    <t>Crownlife sas</t>
  </si>
  <si>
    <t>Marlon Torrijos cuartas</t>
  </si>
  <si>
    <t>SALUD AMAV SAS AMAV SALUD</t>
  </si>
  <si>
    <t>Cl 86 B # 49 D - 28 Piso 2 consultorio 204</t>
  </si>
  <si>
    <t>ips@saludamav.com</t>
  </si>
  <si>
    <t>https://saludamav.com/</t>
  </si>
  <si>
    <t>Juan Angel Alviz Olarte</t>
  </si>
  <si>
    <t>Calle 86 B # 49 D - 28 Piso 2 consultorio 204</t>
  </si>
  <si>
    <t>SOCIEDAD DE ORTOPEDISTAS PEDIATRICOS SAS SIGLA ORTOPED</t>
  </si>
  <si>
    <t>CARRERA 16 84A - 09 CONSULTORIO 718 EDIFICIO ALMIRANTE COLON</t>
  </si>
  <si>
    <t>administracion@ortopediapediatrica.co</t>
  </si>
  <si>
    <t>VICTOR ALEJANDRO VARGAS MARTINEZ</t>
  </si>
  <si>
    <t>SALUD &amp; LSER S.A.S</t>
  </si>
  <si>
    <t>Av Kr 9 103A-36 Ofc 406B - 406E</t>
  </si>
  <si>
    <t>saludylaser@hotmail.com</t>
  </si>
  <si>
    <t>https://saludylaser.co/</t>
  </si>
  <si>
    <t>SALUD &amp; LSER</t>
  </si>
  <si>
    <t>CAROLINA TORRES TRIVIя</t>
  </si>
  <si>
    <t>ODONTOLOGIA VITAL GM SAS</t>
  </si>
  <si>
    <t>Carrera 13 92 57 Oficina 206 Consultorio 1-2-3-4</t>
  </si>
  <si>
    <t>gerencia@vital.com.co</t>
  </si>
  <si>
    <t>ANDRES FELIPE GUZMAN DURAN</t>
  </si>
  <si>
    <t>ORAL MEDIC SERVICIOS S.A.S.</t>
  </si>
  <si>
    <t>AC 145 NO 103 B 69 LC 503</t>
  </si>
  <si>
    <t>apalacio@oralmedicips.com</t>
  </si>
  <si>
    <t>https://apalacio@oralmedicips.com</t>
  </si>
  <si>
    <t>ORAL MEDIC SERVICIOS S.A.S</t>
  </si>
  <si>
    <t>ANDRES PALACIO VILLEGAS</t>
  </si>
  <si>
    <t>ORAL MEDIC SERVICIOS BOSA</t>
  </si>
  <si>
    <t>CALLE 65 SUR#78H-51 LOCAL 111A CC GRAN PLAZA BOSA</t>
  </si>
  <si>
    <t>COORDINACIONSUBAORALM@GMAIL.COM</t>
  </si>
  <si>
    <t>DERMOCARE COLOMBIA S.A.S</t>
  </si>
  <si>
    <t>CR 19 NO 108 45 OF 304 ED OTUA</t>
  </si>
  <si>
    <t>3214935123 - 3114553396</t>
  </si>
  <si>
    <t>info@csdermatologia.com</t>
  </si>
  <si>
    <t>https://carolinasolorzano.co/</t>
  </si>
  <si>
    <t>CAROLINA SOLORZANO RESTREPO</t>
  </si>
  <si>
    <t>CR 19 NO. 108 45 OF 304 ED OTUA</t>
  </si>
  <si>
    <t>MAR BELLEZA VITAL SAS</t>
  </si>
  <si>
    <t>Cr 11 A No. 93 - 52 Cs 301</t>
  </si>
  <si>
    <t>marbellezavital@gmail.com</t>
  </si>
  <si>
    <t>ISABELA CAMPO SLEBI</t>
  </si>
  <si>
    <t>CENTRO INTEGRAL DE CIRUGIA PLASTICA Y DERMATOPATOLOGIA IPS S.A.S - SIGLA CIRUPAT IPS S.A.S.</t>
  </si>
  <si>
    <t>Avenida Carrera 9 116 20 Consultorio 618</t>
  </si>
  <si>
    <t>md.juanrocha@gmail.com</t>
  </si>
  <si>
    <t>https://md.juanrocha@gmail.com</t>
  </si>
  <si>
    <t>CENTRO INTEGRAL DE CIRUGIA PLASTICA Y DERMATOPATOLOGIA IPS SAS</t>
  </si>
  <si>
    <t>JUAN EDUARDO ROCHA AGUIRRE</t>
  </si>
  <si>
    <t>CLINICA DERMATOLOGICA DERMEDIC SAS</t>
  </si>
  <si>
    <t>CL 97 NO 23 37 OF 622</t>
  </si>
  <si>
    <t>dermedicsgsst@gmail.com</t>
  </si>
  <si>
    <t>RODRIGO ANDRES OсTE PABON</t>
  </si>
  <si>
    <t>CL͎ICA NUBIA CRDENAS MEDICINA ESTɔICA S.A.S. SIGLA CL͎ICA NCME S.A.S.</t>
  </si>
  <si>
    <t>Cl 98 9 A 46 To 3 CS 201</t>
  </si>
  <si>
    <t>info@nubiacardenas.com</t>
  </si>
  <si>
    <t>NUBIA MARITZA CARDENAS RINCON</t>
  </si>
  <si>
    <t>PDI IA SAS</t>
  </si>
  <si>
    <t>Cr 7 Bis N 124-56/64 Cons 1002</t>
  </si>
  <si>
    <t>gilbertoreyes@gmail.com</t>
  </si>
  <si>
    <t>https://pdi-ia.com</t>
  </si>
  <si>
    <t>Gilberto Augusto Reyes Ortiz</t>
  </si>
  <si>
    <t>SKIN &amp; BEAUTY DRA JULUET CACERES S.A.S SIGLA: SKIN $ BEAUTY</t>
  </si>
  <si>
    <t>CARRERA 23 124 87 CONSULTORIO 706 TORRE 1 EDIFICIO ZENTAI</t>
  </si>
  <si>
    <t>skinandbeautydrajuluet@gmail.com</t>
  </si>
  <si>
    <t>https://www.skinandbeauty.com.co/</t>
  </si>
  <si>
    <t>SKIN &amp; BEAUTY DRA JULUET CACERES S.A.S</t>
  </si>
  <si>
    <t>JULUET PAOLA CACERES ZAMORA</t>
  </si>
  <si>
    <t>CARRERA 23 124- 87 CONSULTORIO 706 TORRE 1 EDIFICIO ZENTAI</t>
  </si>
  <si>
    <t>ELANOVA MEDICINA INTEGRAL SAS</t>
  </si>
  <si>
    <t>Dg 115 A No. 70 D 13</t>
  </si>
  <si>
    <t>elanovamedicinaintegral@gmail.com</t>
  </si>
  <si>
    <t>WILSON ORLANDO CHARRY ARIZA</t>
  </si>
  <si>
    <t>DRA CARLA NIя SAS</t>
  </si>
  <si>
    <t>AV CARRERA 15 No. 92 - 29 OFICINA 202 Y 203</t>
  </si>
  <si>
    <t>dra.carlanino@gmail.com</t>
  </si>
  <si>
    <t>CARLA JULITZA NIя RAMIREZ</t>
  </si>
  <si>
    <t>AV. Carrera 15 92 29 Oficina 202 Y 203</t>
  </si>
  <si>
    <t>CENTRO ESPECIALIZADO EN UROGINECOLOGIA, PISO PELVICO, SEXOLOGIA Y VPH SAS SIGLA GINESSENCE</t>
  </si>
  <si>
    <t>CR 19 A NO 82 85 CS 807</t>
  </si>
  <si>
    <t>dianalezcanoster@gmail.com</t>
  </si>
  <si>
    <t>DIANA CAROLINA LEZCANO CARDENAS</t>
  </si>
  <si>
    <t>UNIDAD DE INMUNOLOGIA Y ALERGIA DEL MEDITERRANEO SAS SIGLA UDIAM</t>
  </si>
  <si>
    <t>CARRERA 22A 85A 41</t>
  </si>
  <si>
    <t>udiamipsdistritocapital@gmail.com</t>
  </si>
  <si>
    <t>https://udiamips.com</t>
  </si>
  <si>
    <t>UDIAM IPS DISTRITO CAPITAL</t>
  </si>
  <si>
    <t>ALEXANDRA KALENATIC REMOLINA</t>
  </si>
  <si>
    <t>Cl 140 No. 11 45 Cs 820</t>
  </si>
  <si>
    <t>IPS CAMIHERE SAS</t>
  </si>
  <si>
    <t>CL 14 A N 19 50 SUR P1</t>
  </si>
  <si>
    <t>IPSCAMIHERESAS@GMAIL.COM</t>
  </si>
  <si>
    <t>KELLY ALEXANDRA GARCIA QUINTERO</t>
  </si>
  <si>
    <t>IPS CAMIHERE. SAS</t>
  </si>
  <si>
    <t>Direcci󮺠Cra 20 #16 - 47 Sur Piso 2</t>
  </si>
  <si>
    <t>ipscamiheresas@gmail.com</t>
  </si>
  <si>
    <t>SCOPE HEALTHCARE SAS</t>
  </si>
  <si>
    <t>Cr 7 A No. 123 25 P 7</t>
  </si>
  <si>
    <t>scopehealthcaresas@gmail.com</t>
  </si>
  <si>
    <t>ELIANA MARCELA MURCIA MONROY</t>
  </si>
  <si>
    <t>RED COLOMBIANA DE PRESTACIӎ Y CUIDADOS EN SALUD S.A.S</t>
  </si>
  <si>
    <t>CR 45 A 95 37 OFICINA 604</t>
  </si>
  <si>
    <t>salutio.digital@gmail.com</t>
  </si>
  <si>
    <t>https://https://salutiored.com/</t>
  </si>
  <si>
    <t>ADRIANA PATRICIA FORERO HINCAPIE</t>
  </si>
  <si>
    <t>SENYIX IPS S.A.S SIGLA SENYIX</t>
  </si>
  <si>
    <t>Calle 105A # 14-92 Consultorio 506</t>
  </si>
  <si>
    <t>ipssenyix@gmail.com</t>
  </si>
  <si>
    <t>https://senyix</t>
  </si>
  <si>
    <t>SENYIX 105</t>
  </si>
  <si>
    <t>Jose Simon Diaz Muelle</t>
  </si>
  <si>
    <t>GLOW DERMATOLOGY S.A.S</t>
  </si>
  <si>
    <t>Carrera 71 D 6 94 Sur Local 3513 CC Plaza De Las Americas - Barrio:Kennedy</t>
  </si>
  <si>
    <t>coordinacioncalidad@Guatibonzaclinics.com</t>
  </si>
  <si>
    <t>GUATIBONZA CLINICS</t>
  </si>
  <si>
    <t>Marcela Guatibonza</t>
  </si>
  <si>
    <t>Carrera 71 D 6 94 Sur Lc 4503 Cc Plaza De Las Americas</t>
  </si>
  <si>
    <t>Guatibonza clinics sede Norte</t>
  </si>
  <si>
    <t>Angelica Marcela Guatibonza Huerfano</t>
  </si>
  <si>
    <t>Carrera 14 #75-82, Piso 5, BogotἯtd&gt;</t>
  </si>
  <si>
    <t>GUATIBONZA CLINICS SEDE PLAZA</t>
  </si>
  <si>
    <t>Angelica Marcela Guatibonza Hu鲦ano</t>
  </si>
  <si>
    <t>Carrera 71 D 6 94 Sur Local 3513 CC Plaza De Las Americas</t>
  </si>
  <si>
    <t>INVERSIONES DANAPALU SAS SIGLA LOVEME</t>
  </si>
  <si>
    <t>Calle 110 9 25 Consultorio 512</t>
  </si>
  <si>
    <t>inversionesdanapalu@gmail.com</t>
  </si>
  <si>
    <t>LUISA FERNANDA MEJIA MARTINEZ</t>
  </si>
  <si>
    <t>APOYO EN SALUD INTEGRAL S.A.S</t>
  </si>
  <si>
    <t>Calle 9 # 62 - 84 C.C. Outlet Factory Local L2-33A</t>
  </si>
  <si>
    <t>apoyoensaludintegral.asi@gmail.com</t>
  </si>
  <si>
    <t>https://apoyoensaludintegral.com</t>
  </si>
  <si>
    <t>IPS AESI PUENTE ARANDA</t>
  </si>
  <si>
    <t>LILIANA USECHE LIBREROS</t>
  </si>
  <si>
    <t>CALLE 9 # 62 - 84 C.C. OUTLET FACTORY LOCAL L2-33A</t>
  </si>
  <si>
    <t>EQUILIBRIO ASISTENCIAL IPS SAS SIGLA EAI</t>
  </si>
  <si>
    <t>Avenida Calle 24 40 58 Oficina 501</t>
  </si>
  <si>
    <t>equilibrioasistencialips@gmail.com</t>
  </si>
  <si>
    <t>LUZMILA ARARAT VIVEROS</t>
  </si>
  <si>
    <t>CENTRO PARA EL MANEJO INTEGRAL ENDOMETRIOSIS ENDOMED IPS SAS</t>
  </si>
  <si>
    <t>Avenida Carrera 9 116 20 Consultorio 312 B</t>
  </si>
  <si>
    <t>endomedcolombia@gmail.com</t>
  </si>
  <si>
    <t>https://noaplica.com</t>
  </si>
  <si>
    <t>HENRY OCTAVIO RODRIGUEZ DAZA</t>
  </si>
  <si>
    <t>WORKERS MEDICINA LABORAL S.A.S.</t>
  </si>
  <si>
    <t>Calle 114 A 45 32 Consultorio 206</t>
  </si>
  <si>
    <t>direccion@workers-sst.com</t>
  </si>
  <si>
    <t>https://workers.com.co</t>
  </si>
  <si>
    <t>NATALIA RAMIREZ USME</t>
  </si>
  <si>
    <t>REDSPIRE SAS</t>
  </si>
  <si>
    <t>carrera 69 98 A 11 OFICINA 203 CENTRO COMERCIAL FLORESTA OUTLET</t>
  </si>
  <si>
    <t>planeacion@redspire.co</t>
  </si>
  <si>
    <t>https://www.redspire.co</t>
  </si>
  <si>
    <t>REDSPIRE BOGOTA</t>
  </si>
  <si>
    <t>SANTIAGO PAREDES BLANCO</t>
  </si>
  <si>
    <t>Carrera 69 98A 11 oficina 203 Centro comercial floresta outlet</t>
  </si>
  <si>
    <t>CENTRO MEDICO DE REPRODUCCION HUMANA ASISTIDA FERTILITY DREAMS SAS</t>
  </si>
  <si>
    <t>calle 110 # 9-25 consultorio 811-812</t>
  </si>
  <si>
    <t>info@fertilitydreams.co</t>
  </si>
  <si>
    <t>https://fertilitydreams.co/es/</t>
  </si>
  <si>
    <t>Juan Pablo Giraldo Mojica</t>
  </si>
  <si>
    <t>BOCA VITALE GROUP S.A.S.</t>
  </si>
  <si>
    <t>Cr 13 #32 98 Lc 1</t>
  </si>
  <si>
    <t>gerenciabocavitale@gmail.com</t>
  </si>
  <si>
    <t>GINA PAOLA RAMIREZ VELEZ</t>
  </si>
  <si>
    <t>CL͎ICA FUNDACIӎ VASCULAR S.A.S</t>
  </si>
  <si>
    <t>Ak 19 No. 120 - 71 Of 403</t>
  </si>
  <si>
    <t>gerencia@fundvascular.com</t>
  </si>
  <si>
    <t>Carlos Guillermo Vila Torres</t>
  </si>
  <si>
    <t>IPS MONICA BOTERO SAS</t>
  </si>
  <si>
    <t>Cl 118 No. 19 52 Co 406</t>
  </si>
  <si>
    <t>odontoesteticabogota@gmail.com</t>
  </si>
  <si>
    <t>https://doctoramonicabotero.com/</t>
  </si>
  <si>
    <t>JOSE MARIA DELGADO FERNANDEZ</t>
  </si>
  <si>
    <t>CL 118 No. 19 52 Co 406</t>
  </si>
  <si>
    <t>Odontologia.kr.sg@gmail.com</t>
  </si>
  <si>
    <t>VIDERE S.A.S SIGLA VIDERE SAS</t>
  </si>
  <si>
    <t>CR 16 NO. 84 A - 09 CONSULTORIO 508</t>
  </si>
  <si>
    <t>videresas@gmail.com</t>
  </si>
  <si>
    <t>https://www.instagram.com/normacardenas.opt?igsh=zdizaxb4y3awmmv0</t>
  </si>
  <si>
    <t>NORMA CONSTANZA CARDENAS SANDOVAL</t>
  </si>
  <si>
    <t>L'ESSENCE BEAUTY CENTER SAS</t>
  </si>
  <si>
    <t>CALLE 127 A 7 19 CONS 606-607</t>
  </si>
  <si>
    <t>doctores606.admon@gmail.com</t>
  </si>
  <si>
    <t>https://www.lessencebeautycenter.com</t>
  </si>
  <si>
    <t>GABRIEL ANDRES BARRERA RAMIREZ</t>
  </si>
  <si>
    <t>DENTYART S.A.S sigla DENTYART SAS</t>
  </si>
  <si>
    <t>Calle 140 11 45 OFICINA 1003-1</t>
  </si>
  <si>
    <t>gerenciadentyart@gmail.com</t>
  </si>
  <si>
    <t>CLINICA DENTYART "DRA LILIANA MARTINEZ"</t>
  </si>
  <si>
    <t>JUAN CARLOS JIMENEZ HOWARD</t>
  </si>
  <si>
    <t>Calle 140# 11- 45 OFICINA 1003-1</t>
  </si>
  <si>
    <t>MASTERS OF SENCIA S.A.S</t>
  </si>
  <si>
    <t>Avenida Calle 134 # 7 B 83 Oficina 901-903</t>
  </si>
  <si>
    <t>senciadermatology@gmail.com</t>
  </si>
  <si>
    <t>MASTERS OF SENCIA</t>
  </si>
  <si>
    <t>JOHN ALEXANDER VELANDIA SIABATO</t>
  </si>
  <si>
    <t>SYO SALUD IPS SAS</t>
  </si>
  <si>
    <t>CALLE 79 No 89 A 40 LOCAL 2-41</t>
  </si>
  <si>
    <t>SYOSALUDIPSSAS@GMAIL.COM</t>
  </si>
  <si>
    <t>https://drayadiragrimaldos.com/</t>
  </si>
  <si>
    <t>SYO SALUD IPS SAS-PRIMAVERA</t>
  </si>
  <si>
    <t>OSWALDO JAVIER MENDEZ GUTIERREZ</t>
  </si>
  <si>
    <t>CLL79 No 89a-40 LOCAL 2-41</t>
  </si>
  <si>
    <t>IPS EXPERTSALUD SAS</t>
  </si>
  <si>
    <t>Calle 53 B N0 24 - 80 P 6 Of 612</t>
  </si>
  <si>
    <t>expertsaludips@gmail.com</t>
  </si>
  <si>
    <t>ISRAEL MOLANO ROJAS</t>
  </si>
  <si>
    <t>Calle 53 B 24 80 Piso 6 Oficina 612</t>
  </si>
  <si>
    <t>AURAL COLOMBIA SAS</t>
  </si>
  <si>
    <t>Cr 7 119 50 Lc 2</t>
  </si>
  <si>
    <t>https://auralcolombia.com</t>
  </si>
  <si>
    <t>IPS AURAL CENTROS AUDITIVOS PASEO VILLA DEL RIO</t>
  </si>
  <si>
    <t>ANGELICA MARIA CORRALES BETANCOURT</t>
  </si>
  <si>
    <t>Diagonal 57 C Sur 62 60 Local 202</t>
  </si>
  <si>
    <t>AURAL CENTROS AUDITIVOS PLAZA CENTRAL</t>
  </si>
  <si>
    <t>CR. 65 # 11-50 LC 2-50</t>
  </si>
  <si>
    <t>IPS AURAL CENTROS AUDITIVOS NUESTRO BOGOTA</t>
  </si>
  <si>
    <t>Avenida Carrera 86 55 A 75 Local 2-282</t>
  </si>
  <si>
    <t>AURAL CENTROS AUDITIVOS JAVERIANA</t>
  </si>
  <si>
    <t>IPS CENTROS AUDITIVOS USAQUEN</t>
  </si>
  <si>
    <t>Carrera 7 N 119-50</t>
  </si>
  <si>
    <t>AVEMI SAS</t>
  </si>
  <si>
    <t>Cl 119 No 14-42 Cs 301-303-304</t>
  </si>
  <si>
    <t>admin@adrianavenegas.com</t>
  </si>
  <si>
    <t>https://adrianavenegas.com</t>
  </si>
  <si>
    <t>ADRIANA DEL PILAR VENEGAS MORTIGO</t>
  </si>
  <si>
    <t>SOMOS PRIMERO IPS S.A.S</t>
  </si>
  <si>
    <t>Cl 127 A No. 53 A 45 TORRE 2 OFICINA 303</t>
  </si>
  <si>
    <t>notificacionesjudiciales@gruporecordar.com.co</t>
  </si>
  <si>
    <t>https://primeroips.com.co</t>
  </si>
  <si>
    <t>SOMOS PRIMERO IPS PUNTO CALLE 72</t>
  </si>
  <si>
    <t>OSCAR JAVIER LEON CEPEDA</t>
  </si>
  <si>
    <t>CLL 72 A 86 49 CENTRO EMPRESARIAL PUNTO 72 LOCAL 26</t>
  </si>
  <si>
    <t>notificacionespuntoempresarial72@primeroips.com.co</t>
  </si>
  <si>
    <t>SOMOS PRIMERO IPS FIESTA SUBA</t>
  </si>
  <si>
    <t>Calle 144 #101 - 56 Local 327</t>
  </si>
  <si>
    <t>notificacionesfiestasuba@primeroips.com.co</t>
  </si>
  <si>
    <t>SOMOS PRIMERO IPS TRɂOLIS</t>
  </si>
  <si>
    <t>Calle 50 S # 93 D-98 Local 2-13</t>
  </si>
  <si>
    <t>notificacionestrebolis@primeroips.com.co</t>
  </si>
  <si>
    <t>SOMOS PRIMERO IPS SANTA Fɼ/td&gt;</t>
  </si>
  <si>
    <t>Calle 185 # 45-03 Local Zona Met 169-170</t>
  </si>
  <si>
    <t>notificacionessantafe@primeroips.com.co</t>
  </si>
  <si>
    <t>SOMOS PRIMERO IPS ENSUEя</t>
  </si>
  <si>
    <t>Calle 59 S 51 21 Local 286 Centro Comercial Gran Plaza El Ensue񯼯td&gt;</t>
  </si>
  <si>
    <t>notificacionesensueno@primeroips.com.co</t>
  </si>
  <si>
    <t>SOMOS PRIMERO IPS CHAPINERO</t>
  </si>
  <si>
    <t>Avenida Carrera 14 58 58 Local 08 Centro Comercial Infinitum</t>
  </si>
  <si>
    <t>notificacioneschapinero@primeroips.com.co</t>
  </si>
  <si>
    <t>SOMOS PRIMERO IPS PLAZA DE LAS AMɒICAS</t>
  </si>
  <si>
    <t>Oscar Javier Le󮠃epeda</t>
  </si>
  <si>
    <t>KR 71 D 6 94 S LOCAL 2466 CENTRO COMERCIAL PLAZA DE LAS AMɒICAS</t>
  </si>
  <si>
    <t>oleon@primero.com.co</t>
  </si>
  <si>
    <t>DREAMS SEDACIONES SAS</t>
  </si>
  <si>
    <t>CALLE 110# 9 - 25 OF 1712</t>
  </si>
  <si>
    <t>sedacionesdreams@gmail.com</t>
  </si>
  <si>
    <t>https://www.dreamssedaciones.com</t>
  </si>
  <si>
    <t>JUAN MANUEL ALVAREZ PIEDRAHITA</t>
  </si>
  <si>
    <t>BELINNO SAS</t>
  </si>
  <si>
    <t>CL 90#19A-49 P6 CS 601</t>
  </si>
  <si>
    <t>carolina@carolinaolaya.com</t>
  </si>
  <si>
    <t>NADYA CAROLINA OLAYA ALVAREZ</t>
  </si>
  <si>
    <t>IPS VITALWORK SAS</t>
  </si>
  <si>
    <t>Kr 16 # 60-12</t>
  </si>
  <si>
    <t>gerencia@ipsvitalwork.com</t>
  </si>
  <si>
    <t>MIGUEL LOPEZ GONZALEZ</t>
  </si>
  <si>
    <t>SOCJ IPS SAS SIGLA SOCJ IPS</t>
  </si>
  <si>
    <t>Dg 63 F # 88- 40 Lc 1 P 1 Y P 2</t>
  </si>
  <si>
    <t>socjips@gmail.com</t>
  </si>
  <si>
    <t>https://socjips.com.co</t>
  </si>
  <si>
    <t>SOCJ IPS SAS</t>
  </si>
  <si>
    <t>SANDRA MILENA OJEDA ROJAS</t>
  </si>
  <si>
    <t>SALUD VITAL COMPANY IPS SAS</t>
  </si>
  <si>
    <t>CARRERA 45 a # 94 - 35</t>
  </si>
  <si>
    <t>(608) 8633888</t>
  </si>
  <si>
    <t>vicepresidencia@saludvitalips.com.co</t>
  </si>
  <si>
    <t>https://saludvitalips.com.co</t>
  </si>
  <si>
    <t>SALUD VITAL DEL HUILA I.P.S. S.A.S.</t>
  </si>
  <si>
    <t>LINA MARIA RIVAS DUSSAN</t>
  </si>
  <si>
    <t>CLINICA ANANTHA IPS S.A.S SIGLA CLINICA ANANTHA IPS</t>
  </si>
  <si>
    <t>CL 60 # 09 84 Centro Comercial Aquarium Local 114 piso 1</t>
  </si>
  <si>
    <t>anantacolombia@hotmail.com</t>
  </si>
  <si>
    <t>https://anantacolombia@hotmail.com</t>
  </si>
  <si>
    <t>CLINICA ANANTHA IPS</t>
  </si>
  <si>
    <t>ANDRES ANANTA FERNANDEZ TRIANA</t>
  </si>
  <si>
    <t>DRS RENE PEDRAZA IPS SAS</t>
  </si>
  <si>
    <t>Ak 9 No. 116 20 Cs 517</t>
  </si>
  <si>
    <t>alejo14p@gmail.com</t>
  </si>
  <si>
    <t>RENE ALEJANDRO PEDRAZA TOSCANO</t>
  </si>
  <si>
    <t>AK 9 NO. 116 20 CS 517</t>
  </si>
  <si>
    <t>ETERNIA BY DR. CAMILO HENAO IPS S.A.S</t>
  </si>
  <si>
    <t>CALLE 98 9 A 46 OFICINA 401</t>
  </si>
  <si>
    <t>DR.CAMILOHENAO@GMAIL.COM</t>
  </si>
  <si>
    <t>JUAN CAMILO HENAO SALAMANCA</t>
  </si>
  <si>
    <t>DR DIEGO PARRA ODONTOLOGIA ESPECIALIZADA SAS. SIGLA DR DIEGO PARRA</t>
  </si>
  <si>
    <t>Cr 19 A No. 82 85 CS 421</t>
  </si>
  <si>
    <t>diegopa_01@hotmail.com</t>
  </si>
  <si>
    <t>Cr 19 A No. 82 85 Cs 421</t>
  </si>
  <si>
    <t>DEULAT S.A.S</t>
  </si>
  <si>
    <t>Calle 127 20 16 Oficina 303</t>
  </si>
  <si>
    <t>gonzalezvonwalter@gmail.com</t>
  </si>
  <si>
    <t>DEULAT KLINIK</t>
  </si>
  <si>
    <t>JUAN CAMILO GONZALEZ VON WALTER</t>
  </si>
  <si>
    <t>Calle 127 #20- 16 Oficina 303</t>
  </si>
  <si>
    <t>PREVENLAB SAS</t>
  </si>
  <si>
    <t>Calle 140 C 94 D 38 Consultorio 202</t>
  </si>
  <si>
    <t>prevencionlaboralmd@gmail.com</t>
  </si>
  <si>
    <t>IPS PREVENLAB</t>
  </si>
  <si>
    <t>FELIPE SEBASTIAN SANCHEZ AREVALO</t>
  </si>
  <si>
    <t>MACADIPO DERMATOLOGIA S.A.S</t>
  </si>
  <si>
    <t>Calle 140 # 11-45 Oficina 419</t>
  </si>
  <si>
    <t>mariadiazdermatologa@gmail.com</t>
  </si>
  <si>
    <t>MARIA CAMILA DIAZ POSADA</t>
  </si>
  <si>
    <t>301 6184519</t>
  </si>
  <si>
    <t>DHI CAPILAR MEDICAL GROUP SAS</t>
  </si>
  <si>
    <t>AVENIDA EL DORADO 69A 51 INTERIOR 3 TORRE B OFICINA 701</t>
  </si>
  <si>
    <t>dhisalitre.auditor@outlook.com</t>
  </si>
  <si>
    <t>GUERRERO &amp; DELGADO AESTHETIC SOLUTIONS SAS</t>
  </si>
  <si>
    <t>AVENIDA CARRERA 19 108 45 OFICINA 201-A</t>
  </si>
  <si>
    <t>j.guerrero1431@gdaestheticsolutions.com</t>
  </si>
  <si>
    <t>DRA LINA DELGADO - MEDICINA ESTETICA, REGENERATIVA Y ANTIENVEJECIMIENTO</t>
  </si>
  <si>
    <t>LINA MARIA DELGADO</t>
  </si>
  <si>
    <t>CR 19 # 108 - 45 OFICINA 201- A</t>
  </si>
  <si>
    <t>ARCE 32 ALTA ESTɔICA DENTAL S.A.S.</t>
  </si>
  <si>
    <t>KR 12 No. 98 64 OF 507 ED. ALTHEA</t>
  </si>
  <si>
    <t>arce32dental@gmail.com</t>
  </si>
  <si>
    <t>LARRY ORTEGA JIMENEZ</t>
  </si>
  <si>
    <t>THERAPIST GROUP IPS SAS</t>
  </si>
  <si>
    <t>CL 93 N 19 - 66 Consultorio 207</t>
  </si>
  <si>
    <t>therapistgroupips@gmail.com</t>
  </si>
  <si>
    <t>https://therapist.com</t>
  </si>
  <si>
    <t>DANIEL VELEZ</t>
  </si>
  <si>
    <t>IPS PACICARE CUIDADO DEL PACIENTE SAS - IPS PACICARE SAS</t>
  </si>
  <si>
    <t>Cr 16 N 84 a 09 Cn 514</t>
  </si>
  <si>
    <t>gloriasuarez893@gmail.com</t>
  </si>
  <si>
    <t>https://pachoncirugiaplastica.com/</t>
  </si>
  <si>
    <t>Gloria Isabel Suarez Varon</t>
  </si>
  <si>
    <t>CALMA2 IPS S.A.S</t>
  </si>
  <si>
    <t>CALLE 126 N. 7-26 CONS. 411</t>
  </si>
  <si>
    <t>calma.sedaciones@gmail.com</t>
  </si>
  <si>
    <t>LORENA MARIA GONZALEZ TORRES</t>
  </si>
  <si>
    <t>CALLE 126 N. 7-26 CON. 411</t>
  </si>
  <si>
    <t>SMILE INC IPS S.A.S - SMILE INC IPS</t>
  </si>
  <si>
    <t>CR 62 # 12 - 45 / 61 LOCAL 306 Y 307 CENTRO COMERCIAL PLAZA CENTRAL</t>
  </si>
  <si>
    <t>gerenciasmileinc@gmail.com</t>
  </si>
  <si>
    <t>CARLOS ANDRES GUZMAN CASTRO</t>
  </si>
  <si>
    <t>CR 62 #12 - 45 / 61 LOCAL 306 Y 307 CENTRO COMERCIAL PLAZA CENTRAL</t>
  </si>
  <si>
    <t>GLOBAL OBESITY INVESTMENTS SAS</t>
  </si>
  <si>
    <t>AK 19 # 114-65 LOCAL 2B PISO 1</t>
  </si>
  <si>
    <t>gerencia1.gog@gmail.com</t>
  </si>
  <si>
    <t>https://gerencia1.gog@gmail.com</t>
  </si>
  <si>
    <t>GLOBAL OBESITY INVESTMENST SAS</t>
  </si>
  <si>
    <t>ANGELA PAOLA SANCHEZ HERRERA</t>
  </si>
  <si>
    <t>SKIN MASTER'S ACADEMY BY CLAUDIA ARENAS S.A.S.</t>
  </si>
  <si>
    <t>Cl 99 No. 48 06 Cs 304</t>
  </si>
  <si>
    <t>skinmastersacademybyclaudiaare@gmail.com</t>
  </si>
  <si>
    <t>CL͎ICA DERMATӌOGICA FIGURA PIEL Y LASER</t>
  </si>
  <si>
    <t>CLAUDIA MARCELA ARENAS SOTO</t>
  </si>
  <si>
    <t>ENDOPLUS SAS</t>
  </si>
  <si>
    <t>CRA. 23 No. 124 - 87 Torre 2 CS. 306 Edificio Zentai</t>
  </si>
  <si>
    <t>endoplusips@hotmail.com</t>
  </si>
  <si>
    <t>HERNANDO KUAN CASAS</t>
  </si>
  <si>
    <t>CRA. 23 No. 124 - 87 TORRE 2 CS.306 Edificio Zentai</t>
  </si>
  <si>
    <t>GRUPO INTEGRAL DE SALUD S.A.S</t>
  </si>
  <si>
    <t>CALLE 140 C # 94 D 38 CONSULTORIO 507</t>
  </si>
  <si>
    <t>uniendoscopia@gmail.com</t>
  </si>
  <si>
    <t>https://uniendoscopia@gmail.com</t>
  </si>
  <si>
    <t>UNIENDOSCOPIA SAS</t>
  </si>
  <si>
    <t>MARIA FERNANDA RODRIGUEZ LORETO</t>
  </si>
  <si>
    <t>UNIENDOSCOPIA RESTREPO</t>
  </si>
  <si>
    <t>Transversal 18 Bis 14 A 21 Sur Piso 2</t>
  </si>
  <si>
    <t>SALUDPEDIA 24/7 SAS</t>
  </si>
  <si>
    <t>CALLE 93B # 16 - 08 CONSULTORIO 203</t>
  </si>
  <si>
    <t>saludpedia24.7@gmail.com</t>
  </si>
  <si>
    <t>SALUDPEDIA 24/7 SAS - SEDE NORTE</t>
  </si>
  <si>
    <t>Angie Marcela Quintero Villamizar</t>
  </si>
  <si>
    <t>DIANA PULGARIN IPS SAS</t>
  </si>
  <si>
    <t>Av 19 # 95-20 Torre Sigma Oficinas 505-506</t>
  </si>
  <si>
    <t>sedebogota@dradianapulgarin.com</t>
  </si>
  <si>
    <t>https://dradianapulgarin.com/</t>
  </si>
  <si>
    <t>DIANA PULGARIN IPS S.A.S SEDE BOGOT|/td&gt;</t>
  </si>
  <si>
    <t>DIANA MARIA PULGARIN MEDINA</t>
  </si>
  <si>
    <t>DR. GUILLERMO BERNAL ESTɔICA Y REHABILITACIӎ ORAL AVANZADA S.A.S.</t>
  </si>
  <si>
    <t>Cr 13 A # 89- 38 Of 510</t>
  </si>
  <si>
    <t>312 4343287</t>
  </si>
  <si>
    <t>ipsguillermobernal@gmail.com</t>
  </si>
  <si>
    <t>Guillermo Bernal Dulcey</t>
  </si>
  <si>
    <t>IPS FERNANDEZ ODONTOLOGIA Y MEDICINA S.A.S</t>
  </si>
  <si>
    <t>CLL 93 A NO. 14 17 OF 406 408</t>
  </si>
  <si>
    <t>ips.fernandezoym@gmail.com</t>
  </si>
  <si>
    <t>JUAN SEBASTIAN FERNANDEZ PARDO</t>
  </si>
  <si>
    <t>SMILE HUB SAS</t>
  </si>
  <si>
    <t>Cl 31 #13 A 51 To 2 Of 115</t>
  </si>
  <si>
    <t>smilehubsas@gmail.com</t>
  </si>
  <si>
    <t>IMNOVA DENT S.A.S.</t>
  </si>
  <si>
    <t>Avenida Carrera 9 #127 C 60. OFICINA 409</t>
  </si>
  <si>
    <t>pamongui78@gmail.com</t>
  </si>
  <si>
    <t>PAOLA ANDREA MONGUI ALBARRACIN</t>
  </si>
  <si>
    <t>AVENICA CARRERA 9 #127 C-60. OFICINA 409</t>
  </si>
  <si>
    <t>CIRCLE DENTAL S.A.S</t>
  </si>
  <si>
    <t>Calle 90 11 A 34 Oficina 206 207 Consultorio 208 209</t>
  </si>
  <si>
    <t>admonmjaramillo@gmail.com</t>
  </si>
  <si>
    <t>MARIA MERCEDES JARAMILLO PIZANO</t>
  </si>
  <si>
    <t>DIONE SKIN CLINIC SAS</t>
  </si>
  <si>
    <t>Ac 127 # 14-54 Of 716 Edificio Gradeco Business Plaza</t>
  </si>
  <si>
    <t>angelahuertas14@hotmail.com</t>
  </si>
  <si>
    <t>https://https</t>
  </si>
  <si>
    <t>DIONE SKIN CLINIC</t>
  </si>
  <si>
    <t>Angela Patricia Huertas Valero</t>
  </si>
  <si>
    <t>ORX CENTRO RADIOLOGICO SAS</t>
  </si>
  <si>
    <t>CL 119#7-14 CONSULTORIO 819</t>
  </si>
  <si>
    <t>orxdental@gmail.com</t>
  </si>
  <si>
    <t>DERNA CAROLINA ANGELUCCI RINCON</t>
  </si>
  <si>
    <t>CENTRO MɄICO IVLU SOCIEDAD POR ACCIONES SIMPLIFICADAS SIGLA: CENTRO MɄICO IVLU S.A.S.</t>
  </si>
  <si>
    <t>Cl 127 A No. 7 19 CS 513</t>
  </si>
  <si>
    <t>centromedicoivlu@gmail.com</t>
  </si>
  <si>
    <t>IVONNE VANESSA CAMACHO VIANCHA</t>
  </si>
  <si>
    <t>CONSULTORIO MɄICO Y ODONTOLӇICO CODENTMED SAS - CODENTMED SAS</t>
  </si>
  <si>
    <t>CARRERA 7 BIS 124 56 / 64 CONSULTORIO 609A</t>
  </si>
  <si>
    <t>codentmed@gmail.com</t>
  </si>
  <si>
    <t>CODENTMED IPS</t>
  </si>
  <si>
    <t>SONIA RUBIELA UNRIZA PUIN</t>
  </si>
  <si>
    <t>RIE SONRISA PERFECTA S.A.S SIGLA: RIE SONRISA PERFECTA</t>
  </si>
  <si>
    <t>Calle 167 62 48 Piso 2 Local 204 Consultorio 2 Consultorio 3 Consultorio 5</t>
  </si>
  <si>
    <t>rie.sonrisa.perfecta@hotmail.com</t>
  </si>
  <si>
    <t>https://0</t>
  </si>
  <si>
    <t>YAINNI PATRICIA AUNTA SANCHEZ</t>
  </si>
  <si>
    <t>Marixa Guerrero Li񥩲o S.A.S</t>
  </si>
  <si>
    <t>Cl 93 No. 19 B - 67 CONSULTORIO 404</t>
  </si>
  <si>
    <t>marixaguerrero@gmail.com</t>
  </si>
  <si>
    <t>https://www.algesia.co/index.html</t>
  </si>
  <si>
    <t>ALGESIA HEALTH CARE</t>
  </si>
  <si>
    <t>AURA MARIXA GUERRERO LIхIRO</t>
  </si>
  <si>
    <t>VISION DENTAL 3D SAS</t>
  </si>
  <si>
    <t>CARRERA 46 # 152 46 LOCAL 2-62</t>
  </si>
  <si>
    <t>GERENCIA@VISIONDENTAL3D.COM.CO</t>
  </si>
  <si>
    <t>MIGUEL ANTONIO ALMENDRALES LLANES</t>
  </si>
  <si>
    <t>SABANA MEDICAL CARE SAS - SIGLA: SABANA MEDICAL CARE SAS</t>
  </si>
  <si>
    <t>CRA 13 N 48- 26 OF 401</t>
  </si>
  <si>
    <t>sabanasalud@icloud.com</t>
  </si>
  <si>
    <t>SABANA MEDICAL CARE SAS</t>
  </si>
  <si>
    <t>MARIA ISABEL MORA MELO</t>
  </si>
  <si>
    <t>CRA 13 N 48-26 OF 401</t>
  </si>
  <si>
    <t>ESCULTORES DE SONRISAS IPS SAS</t>
  </si>
  <si>
    <t>CALLE 127 A N 7 - 19 CONSULTORIO 407</t>
  </si>
  <si>
    <t>crorc@icloud.com</t>
  </si>
  <si>
    <t>CRISTIAN ORTIZ - ESCULTOR DE SONRISAS</t>
  </si>
  <si>
    <t>CRISTIAN ALONSO ORTIZ CANTE</t>
  </si>
  <si>
    <t>Calle 127 A # 7 - 19 Consultorio 407</t>
  </si>
  <si>
    <t>INPROSALUD PLUS S.A.S</t>
  </si>
  <si>
    <t>DIAGONAL 57 C SUR 62 60 LOCAL 303 - Barrio: PASEO DEL RIO</t>
  </si>
  <si>
    <t>calidad@inprosaludplus.com.co</t>
  </si>
  <si>
    <t>https://inprosalud.com.co</t>
  </si>
  <si>
    <t>CRC INPROSALUD PLUS SUR BOGOTA</t>
  </si>
  <si>
    <t>LEIDY PAOLA CASTIBLANCO FAJARDO</t>
  </si>
  <si>
    <t>DIAGONAL 57 C SUR 62 60 LOCAL 303</t>
  </si>
  <si>
    <t>paola.castiblanco@inprosalud.com.co</t>
  </si>
  <si>
    <t>ADRIANA MEDINA ODONTOLOǴ S.A.S</t>
  </si>
  <si>
    <t>Carrera 17 89 31 Oficina 802</t>
  </si>
  <si>
    <t>adrianamedinaortodoncia@gmail.com</t>
  </si>
  <si>
    <t>MOLARA DENTAL STUDIO</t>
  </si>
  <si>
    <t>Adriana Eugenia Medina Rodriguez</t>
  </si>
  <si>
    <t>CENTRO DE ESPECIALIDADES MEDICAS DE LAS AMERICAS CEMLA CORP IPS SAS</t>
  </si>
  <si>
    <t>AC 6 N 69 B 93 Piso 1, 2 y 3</t>
  </si>
  <si>
    <t>GERENCIA.CEMLA@GMAIL.COM</t>
  </si>
  <si>
    <t>https://dermainnova.com.co/</t>
  </si>
  <si>
    <t>CEMLA SEDE NUEVA MARSELLA</t>
  </si>
  <si>
    <t>Raul Nu񥺠Cocunubo</t>
  </si>
  <si>
    <t>CEMLA SEDE SALITRE GRECO</t>
  </si>
  <si>
    <t>Kr 66 A 44- 07</t>
  </si>
  <si>
    <t>BURBANO DENTAL STUDIO IPS SAS</t>
  </si>
  <si>
    <t>CARRERA 17 No. 89 - 31 EDIFICIO GAIA CS 706 707</t>
  </si>
  <si>
    <t>admonburbano@gmail.com</t>
  </si>
  <si>
    <t>DIANA MARIA BURBANO CORAL</t>
  </si>
  <si>
    <t>VITAL AGE S.A.S</t>
  </si>
  <si>
    <t>Diagonal 115 A 60 35</t>
  </si>
  <si>
    <t>https://vitalage2.com</t>
  </si>
  <si>
    <t>Claudia Cristina Novo Oliveira</t>
  </si>
  <si>
    <t>MEDYCARE CLINICA DE OBESIDAD Y PREVENCION CARDIOVASCULAR SAS</t>
  </si>
  <si>
    <t>AV EL DORADO # 69 A 51 IN 3 TO B OF 702</t>
  </si>
  <si>
    <t>medycareobesidad.auditor@outlook.com</t>
  </si>
  <si>
    <t>AV El DORADO # 69 A 51 In 3 TO B OF 702</t>
  </si>
  <si>
    <t>MEDYCARE OBESIDAD - GRAN ESTACION</t>
  </si>
  <si>
    <t>Javier Dario Ruiz Mendoza</t>
  </si>
  <si>
    <t>Carrera 60 24 09 Local 1 11</t>
  </si>
  <si>
    <t>Clinic At Home sas</t>
  </si>
  <si>
    <t>Calle 31 13 A 51 Consultorio 120 Edificio Panorama Parque Central Bavaria</t>
  </si>
  <si>
    <t>clinic.homeips@gmail.com</t>
  </si>
  <si>
    <t>https://clinicathome.com.co</t>
  </si>
  <si>
    <t>FRANCY LICETH JIMENEZ CORTES</t>
  </si>
  <si>
    <t>Clinic.homeips@gmail.com</t>
  </si>
  <si>
    <t>SAMESU IPS MEDICINA LABORAL S.A.S</t>
  </si>
  <si>
    <t>Cl 26 # 69 D 91 To 2 Of 202 A</t>
  </si>
  <si>
    <t>318 9615826</t>
  </si>
  <si>
    <t>medicinalaboral@samesu.com.co</t>
  </si>
  <si>
    <t>https://www.com</t>
  </si>
  <si>
    <t>SAMESU IPS MEDICINA LABORAL S.A.S.</t>
  </si>
  <si>
    <t>ADRIANA DEL PILAR MORALES CASALLAS</t>
  </si>
  <si>
    <t>calidad@samesu.com.co</t>
  </si>
  <si>
    <t>CLINICA ODONTOLOGICA MIL SONRISAS IPS S.A.S.</t>
  </si>
  <si>
    <t>Cl 118 No. 19 52 Cs 506</t>
  </si>
  <si>
    <t>milsonrisasips@gmail.com</t>
  </si>
  <si>
    <t>Sandra Yurani Blanco Pacheco</t>
  </si>
  <si>
    <t>EUROCLINIK SAS</t>
  </si>
  <si>
    <t>Ac 127 No. 14 - 54 LC 307</t>
  </si>
  <si>
    <t>calidadeuroclinik@gmail.com</t>
  </si>
  <si>
    <t>FABIO SEGURA DIAZ</t>
  </si>
  <si>
    <t>AC 127 No. 14 - 54 LC 307</t>
  </si>
  <si>
    <t>EBENEZER MEDICAL CENTER SAS</t>
  </si>
  <si>
    <t>Calle 31 13 A 51 Edificio Panorama Oficina 310</t>
  </si>
  <si>
    <t>direccionadmiebenezer@gmail.com</t>
  </si>
  <si>
    <t>Eliana Andrea Chia Chaves</t>
  </si>
  <si>
    <t>MANOS MAESTRAS S.A.S CIRUǴ ESTɔICA INTEGRAL</t>
  </si>
  <si>
    <t>Avenida Carrera 19 # 95 31 Oficina 205</t>
  </si>
  <si>
    <t>contamanos2021@gmail.com</t>
  </si>
  <si>
    <t>https://https://www.emis.com/php/company-profile/CO/Manos_Maestras_SAS_Cirugia_Estetica_Integral_es_3559790.html</t>
  </si>
  <si>
    <t>MANOS MAESTRAS S.A.S</t>
  </si>
  <si>
    <t>ALEJANDRO DUQUE RESTREPO</t>
  </si>
  <si>
    <t>Avenida Carrera 19 # 95 31 Oficina 205 Cs 205 - 1</t>
  </si>
  <si>
    <t>ODONTOLOǴ CON SENTIDO IPS SAS</t>
  </si>
  <si>
    <t>CL 90#19A-49 CONS 302</t>
  </si>
  <si>
    <t>3104527180-3203066177</t>
  </si>
  <si>
    <t>odontologiaconsentido@gmail.com</t>
  </si>
  <si>
    <t>ODONTOLOGIA CON SENTIDO IPS SAS</t>
  </si>
  <si>
    <t>SANDRA MAYERLY COCA PEс</t>
  </si>
  <si>
    <t>3104527080-3203066177</t>
  </si>
  <si>
    <t>INTERCIRUGIAS BOGOTA IPS SAS</t>
  </si>
  <si>
    <t>Avenida Calle 127 17 A 91 PISO 1</t>
  </si>
  <si>
    <t>intercirugias@gmail.com</t>
  </si>
  <si>
    <t>CLINICA INTERCIRUGIAS BOGOTA</t>
  </si>
  <si>
    <t>CAMILO RAFAEL TORRES RODRIGUEZ</t>
  </si>
  <si>
    <t>SKINPOWER SAS</t>
  </si>
  <si>
    <t>Cll 96 # 10 - 72 Of 502</t>
  </si>
  <si>
    <t>skinpowersas@gmail.com</t>
  </si>
  <si>
    <t>GALENE MEDSKIN INSTITUTE</t>
  </si>
  <si>
    <t>ANGEL CAMILO PEсRANDA URBINA</t>
  </si>
  <si>
    <t>SERENYA IPS S.A.S.</t>
  </si>
  <si>
    <t>CARRERA 18 80 32 PISO 2 CONSULTORIO 212</t>
  </si>
  <si>
    <t>serenyaips@gmail.com</t>
  </si>
  <si>
    <t>MIGUEL ANGEL OSORIO BARBOSA</t>
  </si>
  <si>
    <t>MEDICINA EMPRESARIAL PLUS SAS</t>
  </si>
  <si>
    <t>Calle 30 A 6 22 Oficina 2204</t>
  </si>
  <si>
    <t>medicinaempresarialplus@gmail.com</t>
  </si>
  <si>
    <t>Martha Patricia Lozano Salazar</t>
  </si>
  <si>
    <t>OMNIA MEDICAL CENTER S.A.S SIGLA OMNIA MC</t>
  </si>
  <si>
    <t>Calle 126 No 7 - 52 Consultorio 507</t>
  </si>
  <si>
    <t>omniamcgerencia@gmail.com</t>
  </si>
  <si>
    <t>Leiner Fabian Aroca Maestre</t>
  </si>
  <si>
    <t>CL͎ICA BTS S.A.S.</t>
  </si>
  <si>
    <t>CR 19 NO 89-36 PISO 2 , 3 ZONA A , 4</t>
  </si>
  <si>
    <t>NOTIFICACIONES@BTSCLINICS.COM</t>
  </si>
  <si>
    <t>CERTICONDUCIR IPS SAS</t>
  </si>
  <si>
    <t>Transversal 73 D 38 C 09 S P 1</t>
  </si>
  <si>
    <t>admoncerticonducircrc@gmail.com</t>
  </si>
  <si>
    <t>CRC CERTICONDUCIR IPS SAS</t>
  </si>
  <si>
    <t>JOHAN STEVEN NOVOA BARRETO</t>
  </si>
  <si>
    <t>NOVASTETICA BELLEZA &amp; BIENESTAR INTEGRAL SAS</t>
  </si>
  <si>
    <t>CARRERA 15A # 121 - 12 OF 521</t>
  </si>
  <si>
    <t>gerencia@novastetica.com</t>
  </si>
  <si>
    <t>NOVASTETICA BELLEZA Y BIENESTAR INTEGRAL</t>
  </si>
  <si>
    <t>NELFI VARGAS</t>
  </si>
  <si>
    <t>SEDARE ANESTESIA SAS Sigla: SEDARE ANESTESIA SAS</t>
  </si>
  <si>
    <t>Cr 15 No. 118 41 Of 606</t>
  </si>
  <si>
    <t>sedareanestesiasas@gmail.com</t>
  </si>
  <si>
    <t>https://sedare.com</t>
  </si>
  <si>
    <t>JAMES ORLANDO CONDE MARTINEZ</t>
  </si>
  <si>
    <t>TUS PEDIATRAS SAS</t>
  </si>
  <si>
    <t>Carrera 23 #124 - 87 T2 Consultorio 503</t>
  </si>
  <si>
    <t>caito27@hotmail.com</t>
  </si>
  <si>
    <t>https://tuspediatras.com.co</t>
  </si>
  <si>
    <t>DANIELA SILVA ARDILA</t>
  </si>
  <si>
    <t>CARRERA 23 #124 - 87 T2 Consultorio 503</t>
  </si>
  <si>
    <t>SKINHOUSE CLINIC S.A.S.</t>
  </si>
  <si>
    <t>Carrera 19 84 17 Consultorio 204</t>
  </si>
  <si>
    <t>info@skinhousederma.com</t>
  </si>
  <si>
    <t>Luis Felipe Franco Melgarejo</t>
  </si>
  <si>
    <t>CISNE INVESTIGACIӎ IPS S.A.S</t>
  </si>
  <si>
    <t>Calle 173 A #65-85 Bloque A Piso 1</t>
  </si>
  <si>
    <t>info@cisneinvestigacion.com.co</t>
  </si>
  <si>
    <t>https://grupocisne.org</t>
  </si>
  <si>
    <t>Ana Fernanda Olarte Armenta</t>
  </si>
  <si>
    <t>Calle 173 A #65 - 85 Bloque A Piso 1</t>
  </si>
  <si>
    <t>VERSANIA PRIMERA INFANCIA SAS</t>
  </si>
  <si>
    <t>CALLE 100 # 11 B 67</t>
  </si>
  <si>
    <t>https://www.versania.com</t>
  </si>
  <si>
    <t>VERSANIA NOVA BOGOTA 125</t>
  </si>
  <si>
    <t>FABIAN RICARDO GUEVARA SANTAMARIA</t>
  </si>
  <si>
    <t>CALLE 125 #21 A 61. PISO 5 Y 6</t>
  </si>
  <si>
    <t>GZ Y ASOCIADOS S.A.S.</t>
  </si>
  <si>
    <t>Calle 127 A 7 53 Consultorio 7001 - 7002</t>
  </si>
  <si>
    <t>consult.plasticmd@gmail.com</t>
  </si>
  <si>
    <t>Juan Carlos Zambrano Burgl</t>
  </si>
  <si>
    <t>calle 127 A No. 7 - 53 Consultorios 7001-7002</t>
  </si>
  <si>
    <t>CB VISION S.A.S</t>
  </si>
  <si>
    <t>CR 14 # 99 - 55 0F 403</t>
  </si>
  <si>
    <t>cbvisionoftalmo@gmail.com</t>
  </si>
  <si>
    <t>YENNY LILLIAN HERRERA RODRIGUEZ</t>
  </si>
  <si>
    <t>CR 14 # 99 - 55 OF 403</t>
  </si>
  <si>
    <t>LASER COUNTRY DERMATOLOGIA SAS</t>
  </si>
  <si>
    <t>CR 19 A # 82-85 CS 712-713</t>
  </si>
  <si>
    <t>lasercountrydermatologia@gmail.com</t>
  </si>
  <si>
    <t>LASER COUNTRY</t>
  </si>
  <si>
    <t>ANGELA PATRICIA PEDRAZA GRANADOS</t>
  </si>
  <si>
    <t>IO BIOESTETICA MEDICA S.A.S</t>
  </si>
  <si>
    <t>AK 11 90 55 Piso 3</t>
  </si>
  <si>
    <t>iobioesteticamedica@gmail.com</t>
  </si>
  <si>
    <t>Diana Maria Forero Parra</t>
  </si>
  <si>
    <t>ASIMETRIA CRANEAL COLOMBIA S.A.S.</t>
  </si>
  <si>
    <t>Cr 16 No. 84 A 09 Cs 623 624</t>
  </si>
  <si>
    <t>asimetriacranealcolombia@gmail.com</t>
  </si>
  <si>
    <t>FERNANDO IGNACIO JIMENO JIMENEZ</t>
  </si>
  <si>
    <t>CLINICA DERMATOLOGICA KERALTY S.A.S</t>
  </si>
  <si>
    <t>AC 100 #11B-67</t>
  </si>
  <si>
    <t>https://www.keralty.com</t>
  </si>
  <si>
    <t>CLINICA DERMATOLOGICA 125</t>
  </si>
  <si>
    <t>Daniel Alexander Mendez Rey</t>
  </si>
  <si>
    <t>Calle 125 # 21A-61 PISO 2</t>
  </si>
  <si>
    <t>MEDISAN CALI S.A.S</t>
  </si>
  <si>
    <t>Avenida Carrera 86 # 6 37 Local 285</t>
  </si>
  <si>
    <t>gerenciamedisancali@gmail.com</t>
  </si>
  <si>
    <t>MEDISAN IPS TINTAL</t>
  </si>
  <si>
    <t>ANGEL FABIAN TORRES PEс</t>
  </si>
  <si>
    <t>MEDISAN IPS PLAZA CENTRAL</t>
  </si>
  <si>
    <t>CR 65 No 11 50 Local 107 108</t>
  </si>
  <si>
    <t>3227346843 - 3157694067</t>
  </si>
  <si>
    <t>medisanipscomercial@gmail.com</t>
  </si>
  <si>
    <t>CAMILA NOVOA DENTAL GROUP SAS</t>
  </si>
  <si>
    <t>CR 16 NO. 88 - 81 OF 201 OF 202</t>
  </si>
  <si>
    <t>admon@dracamilanovoa.com</t>
  </si>
  <si>
    <t>MARIA CAMILA NOVOA CADENA</t>
  </si>
  <si>
    <t>JOSE LUIS ESCOBAR IPS S.A.S.</t>
  </si>
  <si>
    <t>CR 7 C BIS # 139 - 18 OF 403</t>
  </si>
  <si>
    <t>ipsjoseluisescobar@gmail.com</t>
  </si>
  <si>
    <t>https://joseluisescobarips.co</t>
  </si>
  <si>
    <t>JOSE LUIS ESCOBAR ESTUPIсN</t>
  </si>
  <si>
    <t>CENTRO INTEGRAL EN SALUD MENTAL Y EMOCIONAL S.A.S SIGLA CIESME S.A.S</t>
  </si>
  <si>
    <t>CARRERA 49A # 94-32 PISO 1 CONSULTORIO 1</t>
  </si>
  <si>
    <t>angie.gonzalez@saludmentalsanamente.com.co</t>
  </si>
  <si>
    <t>ANGIE ROCIO GONZALEZ AHUMADA</t>
  </si>
  <si>
    <t>CLINICA PREVENTIVA DE MEDELLIN S.A.S</t>
  </si>
  <si>
    <t>CALLE 12 B No. 9-40 Piso 4 Local 442-443-444-445</t>
  </si>
  <si>
    <t>SOLUCIONES PREVENTIVAS BOGOT`N</t>
  </si>
  <si>
    <t>WILLIAM CAMILO BERNAL RAMOS</t>
  </si>
  <si>
    <t>SOLUCIONES PREVENTIVAS BOGOT`U</t>
  </si>
  <si>
    <t>Milena Bedoya</t>
  </si>
  <si>
    <t>Calle 119 # 14 -23 Piso 1</t>
  </si>
  <si>
    <t>solucionespreventivas2026@gmail.com</t>
  </si>
  <si>
    <t>CLINICA INTEGRAL DE SALUD S.A.S</t>
  </si>
  <si>
    <t>CARRERA 7C BIS 139 18 EDIFICIO GIA OFICINAS CONSULTORIO 905</t>
  </si>
  <si>
    <t>contacto@clinicaintegraldesalud.co</t>
  </si>
  <si>
    <t>CLINICA INTEGRAL DE SALUD BOGOTA</t>
  </si>
  <si>
    <t>SEBASTIAN BOHORQUEZ CASTRO</t>
  </si>
  <si>
    <t>PELVIC CENTER SAS</t>
  </si>
  <si>
    <t>CL 127 # 19A 10/14/28 CS 212 ACOMEDICA I</t>
  </si>
  <si>
    <t>info@pelviccenter.com.co</t>
  </si>
  <si>
    <t>https://pelviccenter.com.co/</t>
  </si>
  <si>
    <t>RUBEN DARIO ARCILA VALENCIA</t>
  </si>
  <si>
    <t>ETERNA MEDICAL CLINIC S.A.S</t>
  </si>
  <si>
    <t>CLL 117 #6 A-60 Oficina 307</t>
  </si>
  <si>
    <t>falfaro87@gmail.com</t>
  </si>
  <si>
    <t>https://eternamedicalcllinic.com</t>
  </si>
  <si>
    <t>ETERNA MEDICAL CLINIC</t>
  </si>
  <si>
    <t>Freddy Jose Alfaro Martinez</t>
  </si>
  <si>
    <t>CLL 117 #6A-60 Oficina 307</t>
  </si>
  <si>
    <t>Centro de salud y bienestar integral Kairos S.A.S Sigla: SYB KAIROS</t>
  </si>
  <si>
    <t>Av cra 9 # 123-36 of 703</t>
  </si>
  <si>
    <t>vanesuarezg.22@gmail.com</t>
  </si>
  <si>
    <t>Ingrid Vanessa SuᲥz Gonzᬥz</t>
  </si>
  <si>
    <t>CL͎ICA BELLATRIZ SAS</t>
  </si>
  <si>
    <t>Cra 19 # 84 - 17 Piso 6 7 y 8</t>
  </si>
  <si>
    <t>contabilidad@bellatriz.com</t>
  </si>
  <si>
    <t>https://www.bellatriz.com/</t>
  </si>
  <si>
    <t>CLINICA BELLATRIZ COUNTRY</t>
  </si>
  <si>
    <t>LILIANA MEDINA CLAVIJO</t>
  </si>
  <si>
    <t>SALUD MENTAL Y COMUNIDAD SAS</t>
  </si>
  <si>
    <t>KR 16 # 82 - 74 CONSULTORIO 301</t>
  </si>
  <si>
    <t>contacto@sen-p.com</t>
  </si>
  <si>
    <t>https://contacto@sen-p.com</t>
  </si>
  <si>
    <t>CRISTIAN CAMILO VARGAS CAѓN</t>
  </si>
  <si>
    <t>IPS ODONTOLOGICA LUZ HELENA ESQUIVEL HINCAPIE SAS Sigla LUCESQUIVEL S.A.S</t>
  </si>
  <si>
    <t>CALLE 93# 19- 66 CONSULTORIO 204 / 205</t>
  </si>
  <si>
    <t>lucesquivel@lucesquivel.com</t>
  </si>
  <si>
    <t>LHE-LUZ HELENA ESQUIVEL ODONTOLOGIA LASER</t>
  </si>
  <si>
    <t>LUZ HELENA ESQUIVEL HINCAPIE</t>
  </si>
  <si>
    <t>CENTRO MEDICO COMUNITARIO RED SOMOS IPS S.A.S</t>
  </si>
  <si>
    <t>AK 19 # 37 36 P 1</t>
  </si>
  <si>
    <t>administracion@redsomos.org</t>
  </si>
  <si>
    <t>JHON FREDY RAMIREZ CORREA</t>
  </si>
  <si>
    <t>SMERCHZ PAIN BOGOTA IPS SAS</t>
  </si>
  <si>
    <t>CRA 45A 105 24</t>
  </si>
  <si>
    <t>gerenciageneral@smerchz.com</t>
  </si>
  <si>
    <t>https://www.saludsindolor.com/</t>
  </si>
  <si>
    <t>ANDRES FELIPE PALOMINO BAQUERO</t>
  </si>
  <si>
    <t>SAO — migración a Fail Fast (ERP)</t>
  </si>
  <si>
    <t>Empresas (4) — completar nombre y tipo</t>
  </si>
  <si>
    <t>Plantilla: ingresa las 4 empresas de SAO (nombre + tipo). El MRR se calcula solo.</t>
  </si>
  <si>
    <t>Plan de equipo · capacidad para ejecutar</t>
  </si>
  <si>
    <t>Supuestos de capacidad</t>
  </si>
  <si>
    <t>Horas productivas / persona / mes</t>
  </si>
  <si>
    <t>% automatización IA en implementación</t>
  </si>
  <si>
    <t>Horas impl · IPS Nivel 1</t>
  </si>
  <si>
    <t>Horas impl · Transporte TMS</t>
  </si>
  <si>
    <t>Horas impl · Grandes (agente CxP)</t>
  </si>
  <si>
    <t>Horas impl · Migración aliado (contab.)</t>
  </si>
  <si>
    <t>Cierres / mes por vendedor (AE)</t>
  </si>
  <si>
    <t>Equipo de producto (ingenieros, fijo)</t>
  </si>
  <si>
    <t>Costo cargado / persona / mes (USD)</t>
  </si>
  <si>
    <t>Meses del plan</t>
  </si>
  <si>
    <t>Carga de implementación · Fail Fast directo</t>
  </si>
  <si>
    <t>Deploys</t>
  </si>
  <si>
    <t>Horas c/u</t>
  </si>
  <si>
    <t>Horas totales (con IA)</t>
  </si>
  <si>
    <t>Total horas implementación</t>
  </si>
  <si>
    <t>FTE implementación (horas ÷ meses ÷ productivas)</t>
  </si>
  <si>
    <t>Equipo Fail Fast (sin fundadores)</t>
  </si>
  <si>
    <t>Rol</t>
  </si>
  <si>
    <t>FTE</t>
  </si>
  <si>
    <t>Headcount</t>
  </si>
  <si>
    <t>Ventas / AE (IPS+Transp+Grandes)</t>
  </si>
  <si>
    <t>SDR / sales engineer (talleres, demos)</t>
  </si>
  <si>
    <t>Implementación</t>
  </si>
  <si>
    <t>Producto (ingeniería)</t>
  </si>
  <si>
    <t>Total Fail Fast</t>
  </si>
  <si>
    <t>Equipo aliado · Simba (fuera de nómina Fail Fast)</t>
  </si>
  <si>
    <t>Migraciones (Simba)</t>
  </si>
  <si>
    <t>Horas totales (migración × horas × (1-IA))</t>
  </si>
  <si>
    <t>FTE Simba para migración</t>
  </si>
  <si>
    <t>Costo y eficiencia de capital</t>
  </si>
  <si>
    <t>Costo mensual equipo FF</t>
  </si>
  <si>
    <t>MRR plan total (salida)</t>
  </si>
  <si>
    <t>Costo equipo / MRR</t>
  </si>
  <si>
    <t>ARR / persona FF</t>
  </si>
  <si>
    <t>Cómo leerlo</t>
  </si>
  <si>
    <t>•  La PALANCA es el % de automatización IA (B5). Súbelo y caen los implementadores — es tu tesis de margen.</t>
  </si>
  <si>
    <t>•  La migración de aliados la ejecuta Simba con su propio equipo: no suma a la nómina de Fail Fast.</t>
  </si>
  <si>
    <t>•  Secuencia: 1º un closer/sales engineer (libera al fundador). Implementadores según demanda real. Producto nunca se starve.</t>
  </si>
  <si>
    <t>•  A 0% de automatización el equipo es más pesado; con IA en implementación, baja a la mitad. Ese es el caso capital-eficiente.</t>
  </si>
  <si>
    <t>Departamento</t>
  </si>
  <si>
    <t>14545.8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</si>
</sst>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\$#,##0"/>
    <numFmt numFmtId="165" formatCode="\$#,##0;&quot;($&quot;#,##0\)"/>
    <numFmt numFmtId="166" formatCode="0.0%"/>
    <numFmt numFmtId="167" formatCode="0.0"/>
    <numFmt numFmtId="168" formatCode="0.0&quot; m&quot;"/>
    <numFmt numFmtId="169" formatCode="0.0\x"/>
    <numFmt numFmtId="170" formatCode="dd\-mmm"/>
    <numFmt numFmtId="171" formatCode="0.0;\(0.0\)"/>
    <numFmt numFmtId="172" formatCode="dd/mm/yyyy"/>
    <numFmt numFmtId="173" formatCode="d/m/yyyy"/>
  </numFmts>
  <fonts count="31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11.0"/>
      <color theme="1"/>
      <name val="Calibri"/>
    </font>
    <font>
      <sz val="10.0"/>
      <color rgb="FF374151"/>
      <name val="Arial"/>
    </font>
    <font>
      <b/>
      <sz val="12.0"/>
      <color rgb="FF4361FF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i/>
      <sz val="9.0"/>
      <color rgb="FF6B7280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8000"/>
      <name val="Arial"/>
    </font>
    <font>
      <sz val="10.0"/>
      <color rgb="FF0000FF"/>
      <name val="Arial"/>
    </font>
    <font>
      <b/>
      <sz val="11.0"/>
      <color rgb="FFC0392B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5.0"/>
      <color theme="1"/>
      <name val="Arial"/>
    </font>
    <font>
      <color theme="1"/>
      <name val="Calibri"/>
      <scheme val="minor"/>
    </font>
    <font>
      <sz val="7.0"/>
      <color rgb="FF000000"/>
      <name val="Arial"/>
    </font>
    <font>
      <sz val="7.0"/>
      <color theme="1"/>
      <name val="Arial"/>
    </font>
    <font>
      <color rgb="FF000000"/>
      <name val="&quot;Times New Roman&quot;"/>
    </font>
    <font>
      <u/>
      <color rgb="FF0000FF"/>
    </font>
    <font>
      <u/>
      <color rgb="FF0000FF"/>
    </font>
    <font>
      <color rgb="FF000000"/>
      <name val="&quot;Aptos Narrow&quot;"/>
    </font>
    <font>
      <sz val="12.0"/>
      <color rgb="FF000000"/>
      <name val="&quot;Aptos Narrow&quot;"/>
    </font>
    <font>
      <u/>
      <color rgb="FF000000"/>
      <name val="&quot;Aptos Narrow&quot;"/>
    </font>
    <font>
      <u/>
      <color rgb="FF000000"/>
      <name val="&quot;Aptos Narrow&quot;"/>
    </font>
    <font>
      <b/>
      <sz val="11.0"/>
      <color rgb="FF4361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361FF"/>
        <bgColor rgb="FF4361FF"/>
      </patternFill>
    </fill>
    <fill>
      <patternFill patternType="solid">
        <fgColor rgb="FF2E3440"/>
        <bgColor rgb="FF2E3440"/>
      </patternFill>
    </fill>
    <fill>
      <patternFill patternType="solid">
        <fgColor rgb="FF1F2430"/>
        <bgColor rgb="FF1F2430"/>
      </patternFill>
    </fill>
    <fill>
      <patternFill patternType="solid">
        <fgColor rgb="FFFFF2A8"/>
        <bgColor rgb="FFFFF2A8"/>
      </patternFill>
    </fill>
    <fill>
      <patternFill patternType="solid">
        <fgColor rgb="FFFFC7CE"/>
        <bgColor rgb="FFFFC7CE"/>
      </patternFill>
    </fill>
    <fill>
      <patternFill patternType="solid">
        <fgColor rgb="FFC6DFB3"/>
        <bgColor rgb="FFC6DFB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6DBE6"/>
      </left>
      <right style="thin">
        <color rgb="FFD6DBE6"/>
      </right>
      <top style="thin">
        <color rgb="FFD6DBE6"/>
      </top>
      <bottom style="thin">
        <color rgb="FFD6DBE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5" numFmtId="3" xfId="0" applyAlignment="1" applyBorder="1" applyFont="1" applyNumberFormat="1">
      <alignment horizontal="right" shrinkToFit="0" vertical="bottom" wrapText="0"/>
    </xf>
    <xf borderId="4" fillId="0" fontId="5" numFmtId="164" xfId="0" applyAlignment="1" applyBorder="1" applyFont="1" applyNumberFormat="1">
      <alignment horizontal="right" shrinkToFit="0" vertical="bottom" wrapText="0"/>
    </xf>
    <xf borderId="4" fillId="0" fontId="5" numFmtId="165" xfId="0" applyAlignment="1" applyBorder="1" applyFont="1" applyNumberFormat="1">
      <alignment horizontal="right" shrinkToFit="0" vertical="bottom" wrapText="0"/>
    </xf>
    <xf borderId="4" fillId="0" fontId="5" numFmtId="166" xfId="0" applyAlignment="1" applyBorder="1" applyFont="1" applyNumberFormat="1">
      <alignment horizontal="right" shrinkToFit="0" vertical="bottom" wrapText="0"/>
    </xf>
    <xf borderId="4" fillId="0" fontId="5" numFmtId="167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4" fontId="10" numFmtId="0" xfId="0" applyAlignment="1" applyBorder="1" applyFill="1" applyFont="1">
      <alignment shrinkToFit="0" vertical="center" wrapText="1"/>
    </xf>
    <xf borderId="4" fillId="0" fontId="11" numFmtId="0" xfId="0" applyAlignment="1" applyBorder="1" applyFont="1">
      <alignment shrinkToFit="0" vertical="bottom" wrapText="0"/>
    </xf>
    <xf borderId="4" fillId="0" fontId="12" numFmtId="3" xfId="0" applyAlignment="1" applyBorder="1" applyFont="1" applyNumberFormat="1">
      <alignment shrinkToFit="0" vertical="bottom" wrapText="0"/>
    </xf>
    <xf borderId="4" fillId="0" fontId="12" numFmtId="164" xfId="0" applyAlignment="1" applyBorder="1" applyFont="1" applyNumberFormat="1">
      <alignment shrinkToFit="0" vertical="bottom" wrapText="0"/>
    </xf>
    <xf borderId="4" fillId="0" fontId="12" numFmtId="166" xfId="0" applyAlignment="1" applyBorder="1" applyFont="1" applyNumberFormat="1">
      <alignment shrinkToFit="0" vertical="bottom" wrapText="0"/>
    </xf>
    <xf borderId="4" fillId="0" fontId="11" numFmtId="3" xfId="0" applyAlignment="1" applyBorder="1" applyFont="1" applyNumberFormat="1">
      <alignment shrinkToFit="0" vertical="bottom" wrapText="0"/>
    </xf>
    <xf borderId="4" fillId="0" fontId="11" numFmtId="164" xfId="0" applyAlignment="1" applyBorder="1" applyFont="1" applyNumberForma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6" numFmtId="3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6" numFmtId="164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shrinkToFit="0" vertical="bottom" wrapText="0"/>
    </xf>
    <xf borderId="5" fillId="5" fontId="13" numFmtId="164" xfId="0" applyAlignment="1" applyBorder="1" applyFill="1" applyFont="1" applyNumberFormat="1">
      <alignment horizontal="right"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0" fillId="0" fontId="13" numFmtId="166" xfId="0" applyAlignment="1" applyFont="1" applyNumberFormat="1">
      <alignment horizontal="right" shrinkToFit="0" vertical="bottom" wrapText="0"/>
    </xf>
    <xf borderId="5" fillId="5" fontId="13" numFmtId="166" xfId="0" applyAlignment="1" applyBorder="1" applyFont="1" applyNumberFormat="1">
      <alignment horizontal="right" shrinkToFit="0" vertical="bottom" wrapText="0"/>
    </xf>
    <xf borderId="5" fillId="2" fontId="1" numFmtId="0" xfId="0" applyAlignment="1" applyBorder="1" applyFont="1">
      <alignment shrinkToFit="0" vertical="center" wrapText="0"/>
    </xf>
    <xf borderId="4" fillId="0" fontId="11" numFmtId="166" xfId="0" applyAlignment="1" applyBorder="1" applyFont="1" applyNumberFormat="1">
      <alignment shrinkToFit="0" vertical="bottom" wrapText="0"/>
    </xf>
    <xf borderId="4" fillId="0" fontId="11" numFmtId="3" xfId="0" applyAlignment="1" applyBorder="1" applyFont="1" applyNumberFormat="1">
      <alignment horizontal="right" shrinkToFit="0" vertical="bottom" wrapText="0"/>
    </xf>
    <xf borderId="4" fillId="0" fontId="11" numFmtId="164" xfId="0" applyAlignment="1" applyBorder="1" applyFont="1" applyNumberFormat="1">
      <alignment horizontal="right" shrinkToFit="0" vertical="bottom" wrapText="0"/>
    </xf>
    <xf borderId="4" fillId="0" fontId="12" numFmtId="3" xfId="0" applyAlignment="1" applyBorder="1" applyFont="1" applyNumberFormat="1">
      <alignment horizontal="right" shrinkToFit="0" vertical="bottom" wrapText="0"/>
    </xf>
    <xf borderId="4" fillId="0" fontId="11" numFmtId="0" xfId="0" applyAlignment="1" applyBorder="1" applyFont="1">
      <alignment horizontal="right" shrinkToFit="0" vertical="bottom" wrapText="0"/>
    </xf>
    <xf borderId="4" fillId="0" fontId="6" numFmtId="166" xfId="0" applyAlignment="1" applyBorder="1" applyFont="1" applyNumberFormat="1">
      <alignment shrinkToFit="0" vertical="bottom" wrapText="0"/>
    </xf>
    <xf borderId="4" fillId="0" fontId="14" numFmtId="0" xfId="0" applyAlignment="1" applyBorder="1" applyFont="1">
      <alignment shrinkToFit="0" vertical="bottom" wrapText="0"/>
    </xf>
    <xf borderId="4" fillId="6" fontId="14" numFmtId="164" xfId="0" applyAlignment="1" applyBorder="1" applyFill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11" numFmtId="3" xfId="0" applyAlignment="1" applyFont="1" applyNumberFormat="1">
      <alignment shrinkToFit="0" vertical="bottom" wrapText="0"/>
    </xf>
    <xf borderId="0" fillId="0" fontId="12" numFmtId="3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11" numFmtId="168" xfId="0" applyAlignment="1" applyBorder="1" applyFont="1" applyNumberFormat="1">
      <alignment shrinkToFit="0" vertical="bottom" wrapText="0"/>
    </xf>
    <xf borderId="4" fillId="0" fontId="11" numFmtId="169" xfId="0" applyAlignment="1" applyBorder="1" applyFont="1" applyNumberForma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1" numFmtId="167" xfId="0" applyAlignment="1" applyFont="1" applyNumberFormat="1">
      <alignment shrinkToFit="0" vertical="bottom" wrapText="0"/>
    </xf>
    <xf borderId="4" fillId="0" fontId="11" numFmtId="167" xfId="0" applyAlignment="1" applyBorder="1" applyFont="1" applyNumberFormat="1">
      <alignment shrinkToFit="0" vertical="bottom" wrapText="0"/>
    </xf>
    <xf borderId="4" fillId="4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bottom" wrapText="0"/>
    </xf>
    <xf borderId="4" fillId="0" fontId="13" numFmtId="170" xfId="0" applyAlignment="1" applyBorder="1" applyFont="1" applyNumberFormat="1">
      <alignment shrinkToFit="0" vertical="bottom" wrapText="0"/>
    </xf>
    <xf borderId="4" fillId="5" fontId="13" numFmtId="164" xfId="0" applyAlignment="1" applyBorder="1" applyFont="1" applyNumberFormat="1">
      <alignment shrinkToFit="0" vertical="bottom" wrapText="0"/>
    </xf>
    <xf borderId="4" fillId="0" fontId="16" numFmtId="165" xfId="0" applyAlignment="1" applyBorder="1" applyFont="1" applyNumberFormat="1">
      <alignment shrinkToFit="0" vertical="bottom" wrapText="0"/>
    </xf>
    <xf borderId="4" fillId="0" fontId="16" numFmtId="166" xfId="0" applyAlignment="1" applyBorder="1" applyFont="1" applyNumberFormat="1">
      <alignment shrinkToFit="0" vertical="bottom" wrapText="0"/>
    </xf>
    <xf borderId="4" fillId="0" fontId="12" numFmtId="167" xfId="0" applyAlignment="1" applyBorder="1" applyFont="1" applyNumberFormat="1">
      <alignment shrinkToFit="0" vertical="bottom" wrapText="0"/>
    </xf>
    <xf borderId="4" fillId="5" fontId="13" numFmtId="3" xfId="0" applyAlignment="1" applyBorder="1" applyFont="1" applyNumberFormat="1">
      <alignment shrinkToFit="0" vertical="bottom" wrapText="0"/>
    </xf>
    <xf borderId="4" fillId="0" fontId="16" numFmtId="3" xfId="0" applyAlignment="1" applyBorder="1" applyFont="1" applyNumberFormat="1">
      <alignment shrinkToFit="0" vertical="bottom" wrapText="0"/>
    </xf>
    <xf borderId="4" fillId="0" fontId="16" numFmtId="171" xfId="0" applyAlignment="1" applyBorder="1" applyFont="1" applyNumberFormat="1">
      <alignment shrinkToFit="0" vertical="bottom" wrapText="0"/>
    </xf>
    <xf borderId="4" fillId="0" fontId="17" numFmtId="0" xfId="0" applyAlignment="1" applyBorder="1" applyFont="1">
      <alignment horizontal="center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9" numFmtId="0" xfId="0" applyAlignment="1" applyFont="1">
      <alignment shrinkToFit="0" vertical="top" wrapText="1"/>
    </xf>
    <xf borderId="4" fillId="0" fontId="18" numFmtId="0" xfId="0" applyAlignment="1" applyBorder="1" applyFont="1">
      <alignment shrinkToFit="0" vertical="bottom" wrapText="0"/>
    </xf>
    <xf borderId="4" fillId="0" fontId="3" numFmtId="3" xfId="0" applyAlignment="1" applyBorder="1" applyFont="1" applyNumberFormat="1">
      <alignment shrinkToFit="0" vertical="bottom" wrapText="0"/>
    </xf>
    <xf borderId="4" fillId="0" fontId="13" numFmtId="3" xfId="0" applyAlignment="1" applyBorder="1" applyFont="1" applyNumberFormat="1">
      <alignment shrinkToFit="0" vertical="bottom" wrapText="0"/>
    </xf>
    <xf borderId="6" fillId="7" fontId="19" numFmtId="0" xfId="0" applyAlignment="1" applyBorder="1" applyFill="1" applyFont="1">
      <alignment horizontal="left" readingOrder="0"/>
    </xf>
    <xf borderId="6" fillId="7" fontId="19" numFmtId="0" xfId="0" applyAlignment="1" applyBorder="1" applyFont="1">
      <alignment horizontal="left" readingOrder="0" vertical="top"/>
    </xf>
    <xf borderId="6" fillId="7" fontId="19" numFmtId="0" xfId="0" applyAlignment="1" applyBorder="1" applyFont="1">
      <alignment horizontal="center" readingOrder="0"/>
    </xf>
    <xf borderId="6" fillId="7" fontId="19" numFmtId="0" xfId="0" applyAlignment="1" applyBorder="1" applyFont="1">
      <alignment horizontal="center" readingOrder="0" vertical="top"/>
    </xf>
    <xf borderId="0" fillId="0" fontId="20" numFmtId="0" xfId="0" applyAlignment="1" applyFont="1">
      <alignment readingOrder="0"/>
    </xf>
    <xf borderId="6" fillId="0" fontId="21" numFmtId="0" xfId="0" applyAlignment="1" applyBorder="1" applyFont="1">
      <alignment horizontal="right" readingOrder="0" shrinkToFit="0" vertical="top" wrapText="0"/>
    </xf>
    <xf borderId="6" fillId="0" fontId="22" numFmtId="0" xfId="0" applyAlignment="1" applyBorder="1" applyFont="1">
      <alignment horizontal="left" readingOrder="0" vertical="top"/>
    </xf>
    <xf borderId="6" fillId="0" fontId="21" numFmtId="0" xfId="0" applyAlignment="1" applyBorder="1" applyFont="1">
      <alignment horizontal="center" readingOrder="0" shrinkToFit="0" vertical="top" wrapText="0"/>
    </xf>
    <xf borderId="6" fillId="0" fontId="21" numFmtId="172" xfId="0" applyAlignment="1" applyBorder="1" applyFont="1" applyNumberFormat="1">
      <alignment horizontal="center" readingOrder="0" shrinkToFit="0" vertical="top" wrapText="0"/>
    </xf>
    <xf borderId="6" fillId="0" fontId="23" numFmtId="0" xfId="0" applyAlignment="1" applyBorder="1" applyFont="1">
      <alignment horizontal="left" vertical="bottom"/>
    </xf>
    <xf borderId="6" fillId="0" fontId="21" numFmtId="173" xfId="0" applyAlignment="1" applyBorder="1" applyFont="1" applyNumberFormat="1">
      <alignment horizontal="center" readingOrder="0" shrinkToFit="0" vertical="top" wrapText="0"/>
    </xf>
    <xf borderId="7" fillId="0" fontId="21" numFmtId="0" xfId="0" applyAlignment="1" applyBorder="1" applyFont="1">
      <alignment horizontal="right" readingOrder="0" shrinkToFit="0" vertical="top" wrapText="0"/>
    </xf>
    <xf borderId="8" fillId="0" fontId="22" numFmtId="0" xfId="0" applyAlignment="1" applyBorder="1" applyFont="1">
      <alignment horizontal="left" readingOrder="0" vertical="top"/>
    </xf>
    <xf borderId="8" fillId="0" fontId="21" numFmtId="0" xfId="0" applyAlignment="1" applyBorder="1" applyFont="1">
      <alignment horizontal="center" readingOrder="0" shrinkToFit="0" vertical="top" wrapText="0"/>
    </xf>
    <xf borderId="8" fillId="0" fontId="21" numFmtId="0" xfId="0" applyAlignment="1" applyBorder="1" applyFont="1">
      <alignment horizontal="right" readingOrder="0" shrinkToFit="0" vertical="top" wrapText="0"/>
    </xf>
    <xf borderId="8" fillId="0" fontId="21" numFmtId="173" xfId="0" applyAlignment="1" applyBorder="1" applyFont="1" applyNumberFormat="1">
      <alignment horizontal="center" readingOrder="0" shrinkToFit="0" vertical="top" wrapText="0"/>
    </xf>
    <xf borderId="8" fillId="0" fontId="23" numFmtId="0" xfId="0" applyAlignment="1" applyBorder="1" applyFont="1">
      <alignment horizontal="left" vertical="bottom"/>
    </xf>
    <xf borderId="8" fillId="0" fontId="21" numFmtId="172" xfId="0" applyAlignment="1" applyBorder="1" applyFont="1" applyNumberFormat="1">
      <alignment horizontal="center" readingOrder="0" shrinkToFit="0" vertical="top" wrapText="0"/>
    </xf>
    <xf borderId="7" fillId="0" fontId="21" numFmtId="0" xfId="0" applyAlignment="1" applyBorder="1" applyFont="1">
      <alignment horizontal="center" readingOrder="0" shrinkToFit="0" vertical="top" wrapText="0"/>
    </xf>
    <xf borderId="6" fillId="0" fontId="21" numFmtId="0" xfId="0" applyAlignment="1" applyBorder="1" applyFont="1">
      <alignment horizontal="left" readingOrder="0" shrinkToFit="0" vertical="top" wrapText="0"/>
    </xf>
    <xf borderId="6" fillId="0" fontId="21" numFmtId="172" xfId="0" applyAlignment="1" applyBorder="1" applyFont="1" applyNumberFormat="1">
      <alignment horizontal="left" readingOrder="0" shrinkToFit="0" vertical="top" wrapText="0"/>
    </xf>
    <xf borderId="6" fillId="0" fontId="21" numFmtId="0" xfId="0" applyAlignment="1" applyBorder="1" applyFont="1">
      <alignment horizontal="center" readingOrder="0" shrinkToFit="0" wrapText="0"/>
    </xf>
    <xf borderId="6" fillId="0" fontId="22" numFmtId="0" xfId="0" applyAlignment="1" applyBorder="1" applyFont="1">
      <alignment horizontal="left" readingOrder="0"/>
    </xf>
    <xf borderId="6" fillId="0" fontId="21" numFmtId="0" xfId="0" applyAlignment="1" applyBorder="1" applyFont="1">
      <alignment horizontal="right" readingOrder="0" shrinkToFit="0" wrapText="0"/>
    </xf>
    <xf borderId="6" fillId="0" fontId="21" numFmtId="173" xfId="0" applyAlignment="1" applyBorder="1" applyFont="1" applyNumberFormat="1">
      <alignment horizontal="center" readingOrder="0" shrinkToFit="0" wrapText="0"/>
    </xf>
    <xf borderId="6" fillId="0" fontId="21" numFmtId="0" xfId="0" applyAlignment="1" applyBorder="1" applyFont="1">
      <alignment horizontal="left" readingOrder="0" shrinkToFit="0" wrapText="0"/>
    </xf>
    <xf borderId="6" fillId="0" fontId="21" numFmtId="172" xfId="0" applyAlignment="1" applyBorder="1" applyFont="1" applyNumberFormat="1">
      <alignment horizontal="left" readingOrder="0" shrinkToFit="0" wrapText="0"/>
    </xf>
    <xf borderId="6" fillId="0" fontId="21" numFmtId="172" xfId="0" applyAlignment="1" applyBorder="1" applyFont="1" applyNumberFormat="1">
      <alignment horizontal="center" readingOrder="0" shrinkToFit="0" wrapText="0"/>
    </xf>
    <xf borderId="0" fillId="0" fontId="24" numFmtId="0" xfId="0" applyAlignment="1" applyFont="1">
      <alignment readingOrder="0"/>
    </xf>
    <xf quotePrefix="1" borderId="0" fillId="0" fontId="20" numFmtId="0" xfId="0" applyAlignment="1" applyFont="1">
      <alignment readingOrder="0"/>
    </xf>
    <xf borderId="0" fillId="0" fontId="25" numFmtId="0" xfId="0" applyAlignment="1" applyFont="1">
      <alignment readingOrder="0"/>
    </xf>
    <xf borderId="6" fillId="0" fontId="22" numFmtId="0" xfId="0" applyAlignment="1" applyBorder="1" applyFont="1">
      <alignment horizontal="center" readingOrder="0" vertical="top"/>
    </xf>
    <xf borderId="8" fillId="0" fontId="22" numFmtId="0" xfId="0" applyAlignment="1" applyBorder="1" applyFont="1">
      <alignment horizontal="center" readingOrder="0" vertical="top"/>
    </xf>
    <xf borderId="6" fillId="0" fontId="22" numFmtId="0" xfId="0" applyAlignment="1" applyBorder="1" applyFont="1">
      <alignment horizontal="right" readingOrder="0" vertical="top"/>
    </xf>
    <xf borderId="6" fillId="0" fontId="21" numFmtId="173" xfId="0" applyAlignment="1" applyBorder="1" applyFont="1" applyNumberFormat="1">
      <alignment horizontal="left" readingOrder="0" shrinkToFit="0" vertical="top" wrapText="0"/>
    </xf>
    <xf borderId="7" fillId="0" fontId="23" numFmtId="0" xfId="0" applyAlignment="1" applyBorder="1" applyFont="1">
      <alignment horizontal="left" vertical="bottom"/>
    </xf>
    <xf borderId="0" fillId="0" fontId="26" numFmtId="0" xfId="0" applyAlignment="1" applyFont="1">
      <alignment horizontal="left" readingOrder="0" vertical="bottom"/>
    </xf>
    <xf borderId="0" fillId="0" fontId="26" numFmtId="0" xfId="0" applyAlignment="1" applyFont="1">
      <alignment horizontal="left" readingOrder="0" shrinkToFit="0" vertical="bottom" wrapText="1"/>
    </xf>
    <xf borderId="0" fillId="0" fontId="27" numFmtId="0" xfId="0" applyAlignment="1" applyFont="1">
      <alignment vertical="bottom"/>
    </xf>
    <xf borderId="0" fillId="0" fontId="27" numFmtId="0" xfId="0" applyAlignment="1" applyFont="1">
      <alignment shrinkToFit="0" vertical="bottom" wrapText="1"/>
    </xf>
    <xf borderId="0" fillId="0" fontId="28" numFmtId="0" xfId="0" applyAlignment="1" applyFont="1">
      <alignment horizontal="left" readingOrder="0" vertical="bottom"/>
    </xf>
    <xf borderId="0" fillId="0" fontId="29" numFmtId="0" xfId="0" applyAlignment="1" applyFont="1">
      <alignment horizontal="left" readingOrder="0" shrinkToFit="0" vertical="bottom" wrapText="1"/>
    </xf>
    <xf borderId="0" fillId="0" fontId="26" numFmtId="0" xfId="0" applyAlignment="1" applyFont="1">
      <alignment horizontal="left" vertical="bottom"/>
    </xf>
    <xf borderId="4" fillId="0" fontId="13" numFmtId="0" xfId="0" applyAlignment="1" applyBorder="1" applyFon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12" numFmtId="3" xfId="0" applyAlignment="1" applyFont="1" applyNumberFormat="1">
      <alignment horizontal="right" shrinkToFit="0" vertical="bottom" wrapText="0"/>
    </xf>
    <xf borderId="4" fillId="0" fontId="6" numFmtId="167" xfId="0" applyAlignment="1" applyBorder="1" applyFont="1" applyNumberFormat="1">
      <alignment shrinkToFit="0" vertical="bottom" wrapText="0"/>
    </xf>
    <xf borderId="4" fillId="0" fontId="30" numFmtId="3" xfId="0" applyAlignment="1" applyBorder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Gráfico1 Top 10 Departamentos c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Gráfico1 Contribución al Plan d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MRR: plan vs. real (26 semanas)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 MRR</c:v>
          </c:tx>
          <c:spPr>
            <a:ln cmpd="sng" w="19050">
              <a:solidFill>
                <a:srgbClr val="9AA4B2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'Avance semanal'!$A$5:$A$30</c:f>
            </c:strRef>
          </c:cat>
          <c:val>
            <c:numRef>
              <c:f>'Avance semanal'!$C$5:$C$30</c:f>
              <c:numCache/>
            </c:numRef>
          </c:val>
          <c:smooth val="1"/>
        </c:ser>
        <c:axId val="784607648"/>
        <c:axId val="275818214"/>
      </c:lineChart>
      <c:catAx>
        <c:axId val="78460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5818214"/>
      </c:catAx>
      <c:valAx>
        <c:axId val="275818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MRR (USD)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460764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Departamentos con Mayor Número de Empresas de Transporte (TMS)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'Gráfico1 Top 10 Departamentos c'!$B$3</c:f>
            </c:strRef>
          </c:tx>
          <c:spPr>
            <a:solidFill>
              <a:srgbClr val="FF7F0E"/>
            </a:solidFill>
            <a:ln cmpd="sng">
              <a:solidFill>
                <a:srgbClr val="000000"/>
              </a:solidFill>
            </a:ln>
          </c:spPr>
          <c:cat>
            <c:strRef>
              <c:f>'Gráfico1 Top 10 Departamentos c'!$A$4:$A$13</c:f>
            </c:strRef>
          </c:cat>
          <c:val>
            <c:numRef>
              <c:f>'Gráfico1 Top 10 Departamentos c'!$B$4:$B$13</c:f>
              <c:numCache/>
            </c:numRef>
          </c:val>
        </c:ser>
        <c:axId val="1074764880"/>
        <c:axId val="473060758"/>
      </c:barChart>
      <c:catAx>
        <c:axId val="10747648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Dirección Territorial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060758"/>
      </c:catAx>
      <c:valAx>
        <c:axId val="4730607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Empresas Activas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7648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Contribución al Plan de MRR por Segmento (Total: $77,885.8 USD)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'Gráfico1 Contribución al Plan d'!$B$3</c:f>
            </c:strRef>
          </c:tx>
          <c:spPr>
            <a:solidFill>
              <a:srgbClr val="1F77B4"/>
            </a:solidFill>
            <a:ln cmpd="sng">
              <a:solidFill>
                <a:srgbClr val="000000"/>
              </a:solidFill>
            </a:ln>
          </c:spPr>
          <c:cat>
            <c:strRef>
              <c:f>'Gráfico1 Contribución al Plan d'!$A$4:$A$8</c:f>
            </c:strRef>
          </c:cat>
          <c:val>
            <c:numRef>
              <c:f>'Gráfico1 Contribución al Plan d'!$B$4:$B$8</c:f>
              <c:numCache/>
            </c:numRef>
          </c:val>
        </c:ser>
        <c:axId val="962156552"/>
        <c:axId val="937907827"/>
      </c:barChart>
      <c:catAx>
        <c:axId val="9621565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Segmento de 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907827"/>
      </c:catAx>
      <c:valAx>
        <c:axId val="937907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MRR Proyectado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1565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1</xdr:row>
      <xdr:rowOff>38100</xdr:rowOff>
    </xdr:from>
    <xdr:ext cx="6810375" cy="3076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13" displayName="Top_10_Departamentos_con_Mayor_Número_de_Empresas_de_Transporte_TMS_" name="Top_10_Departamentos_con_Mayor_Número_de_Empresas_de_Transporte_TMS_" id="1">
  <tableColumns count="2">
    <tableColumn name="Departamento" id="1"/>
    <tableColumn name="Empresas" id="2"/>
  </tableColumns>
  <tableStyleInfo name="Gráfico1 Top 10 Departamentos c-style" showColumnStripes="0" showFirstColumn="1" showLastColumn="1" showRowStripes="1"/>
</table>
</file>

<file path=xl/tables/table2.xml><?xml version="1.0" encoding="utf-8"?>
<table xmlns="http://schemas.openxmlformats.org/spreadsheetml/2006/main" ref="A3:B8" displayName="Contribución_al_Plan_de_MRR_por_Segmento_Total_77_885.8_USD_" name="Contribución_al_Plan_de_MRR_por_Segmento_Total_77_885.8_USD_" id="2">
  <tableColumns count="2">
    <tableColumn name="Segmento" id="1"/>
    <tableColumn name="MRR" id="2"/>
  </tableColumns>
  <tableStyleInfo name="Gráfico1 Contribución al Plan 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tgscolombia.com" TargetMode="External"/><Relationship Id="rId22" Type="http://schemas.openxmlformats.org/officeDocument/2006/relationships/hyperlink" Target="http://www.ctcsas.com" TargetMode="External"/><Relationship Id="rId21" Type="http://schemas.openxmlformats.org/officeDocument/2006/relationships/hyperlink" Target="http://www.aeromensajeria.com" TargetMode="External"/><Relationship Id="rId24" Type="http://schemas.openxmlformats.org/officeDocument/2006/relationships/hyperlink" Target="http://www.taxisverdes.net" TargetMode="External"/><Relationship Id="rId23" Type="http://schemas.openxmlformats.org/officeDocument/2006/relationships/hyperlink" Target="http://www.multilinea.co" TargetMode="External"/><Relationship Id="rId1" Type="http://schemas.openxmlformats.org/officeDocument/2006/relationships/hyperlink" Target="http://www.trans-autoalfan.com/" TargetMode="External"/><Relationship Id="rId2" Type="http://schemas.openxmlformats.org/officeDocument/2006/relationships/hyperlink" Target="http://www.cargamudanzas.com/" TargetMode="External"/><Relationship Id="rId3" Type="http://schemas.openxmlformats.org/officeDocument/2006/relationships/hyperlink" Target="http://www.humadea.com.co/" TargetMode="External"/><Relationship Id="rId4" Type="http://schemas.openxmlformats.org/officeDocument/2006/relationships/hyperlink" Target="http://www.cootranszipa.com.co/" TargetMode="External"/><Relationship Id="rId9" Type="http://schemas.openxmlformats.org/officeDocument/2006/relationships/hyperlink" Target="http://www.aldialogistica.com/" TargetMode="External"/><Relationship Id="rId26" Type="http://schemas.openxmlformats.org/officeDocument/2006/relationships/hyperlink" Target="http://www.loadcargo.com" TargetMode="External"/><Relationship Id="rId25" Type="http://schemas.openxmlformats.org/officeDocument/2006/relationships/hyperlink" Target="http://www.coltanques.com.co" TargetMode="External"/><Relationship Id="rId28" Type="http://schemas.openxmlformats.org/officeDocument/2006/relationships/drawing" Target="../drawings/drawing11.xml"/><Relationship Id="rId27" Type="http://schemas.openxmlformats.org/officeDocument/2006/relationships/hyperlink" Target="http://www.unatrans.com" TargetMode="External"/><Relationship Id="rId5" Type="http://schemas.openxmlformats.org/officeDocument/2006/relationships/hyperlink" Target="http://www.suramericanadetransportes.com/" TargetMode="External"/><Relationship Id="rId6" Type="http://schemas.openxmlformats.org/officeDocument/2006/relationships/hyperlink" Target="http://www.concarga.co/" TargetMode="External"/><Relationship Id="rId7" Type="http://schemas.openxmlformats.org/officeDocument/2006/relationships/hyperlink" Target="http://www.tcnltda.com/" TargetMode="External"/><Relationship Id="rId8" Type="http://schemas.openxmlformats.org/officeDocument/2006/relationships/hyperlink" Target="http://www.enerpetrolsa.com/" TargetMode="External"/><Relationship Id="rId11" Type="http://schemas.openxmlformats.org/officeDocument/2006/relationships/hyperlink" Target="http://www.litecar.com/" TargetMode="External"/><Relationship Id="rId10" Type="http://schemas.openxmlformats.org/officeDocument/2006/relationships/hyperlink" Target="http://www.inantra.com/" TargetMode="External"/><Relationship Id="rId13" Type="http://schemas.openxmlformats.org/officeDocument/2006/relationships/hyperlink" Target="http://www.galotrans.com/" TargetMode="External"/><Relationship Id="rId12" Type="http://schemas.openxmlformats.org/officeDocument/2006/relationships/hyperlink" Target="http://www.transjoalco.com.co/" TargetMode="External"/><Relationship Id="rId15" Type="http://schemas.openxmlformats.org/officeDocument/2006/relationships/hyperlink" Target="http://www.serviclientemundoexpress.com/" TargetMode="External"/><Relationship Id="rId14" Type="http://schemas.openxmlformats.org/officeDocument/2006/relationships/hyperlink" Target="http://www.transduartesa.com/" TargetMode="External"/><Relationship Id="rId17" Type="http://schemas.openxmlformats.org/officeDocument/2006/relationships/hyperlink" Target="http://www.aldialogistica.com/" TargetMode="External"/><Relationship Id="rId16" Type="http://schemas.openxmlformats.org/officeDocument/2006/relationships/hyperlink" Target="http://www.coordinadora.com/" TargetMode="External"/><Relationship Id="rId19" Type="http://schemas.openxmlformats.org/officeDocument/2006/relationships/hyperlink" Target="http://www.eagletourlines.com.co" TargetMode="External"/><Relationship Id="rId18" Type="http://schemas.openxmlformats.org/officeDocument/2006/relationships/hyperlink" Target="http://www.envia.co/" TargetMode="Externa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audifonosalcira.com" TargetMode="External"/><Relationship Id="rId194" Type="http://schemas.openxmlformats.org/officeDocument/2006/relationships/hyperlink" Target="http://www.alangonzalez.com" TargetMode="External"/><Relationship Id="rId193" Type="http://schemas.openxmlformats.org/officeDocument/2006/relationships/hyperlink" Target="http://www.mariabahamon.com" TargetMode="External"/><Relationship Id="rId192" Type="http://schemas.openxmlformats.org/officeDocument/2006/relationships/hyperlink" Target="http://www.hemato-oncologos.com" TargetMode="External"/><Relationship Id="rId191" Type="http://schemas.openxmlformats.org/officeDocument/2006/relationships/hyperlink" Target="http://www.helpharma.com.co" TargetMode="External"/><Relationship Id="rId187" Type="http://schemas.openxmlformats.org/officeDocument/2006/relationships/hyperlink" Target="http://meide.com.co" TargetMode="External"/><Relationship Id="rId186" Type="http://schemas.openxmlformats.org/officeDocument/2006/relationships/hyperlink" Target="http://www.ambulanciasaereasdecolombia.com" TargetMode="External"/><Relationship Id="rId185" Type="http://schemas.openxmlformats.org/officeDocument/2006/relationships/hyperlink" Target="https://bienestarips.com/" TargetMode="External"/><Relationship Id="rId184" Type="http://schemas.openxmlformats.org/officeDocument/2006/relationships/hyperlink" Target="http://www.ligacancercolombia.org" TargetMode="External"/><Relationship Id="rId189" Type="http://schemas.openxmlformats.org/officeDocument/2006/relationships/hyperlink" Target="http://www.medicarte.net" TargetMode="External"/><Relationship Id="rId188" Type="http://schemas.openxmlformats.org/officeDocument/2006/relationships/hyperlink" Target="http://www.aliviamos.com" TargetMode="External"/><Relationship Id="rId183" Type="http://schemas.openxmlformats.org/officeDocument/2006/relationships/hyperlink" Target="http://www.cirurobotica.com" TargetMode="External"/><Relationship Id="rId182" Type="http://schemas.openxmlformats.org/officeDocument/2006/relationships/hyperlink" Target="http://orlaudio.co" TargetMode="External"/><Relationship Id="rId181" Type="http://schemas.openxmlformats.org/officeDocument/2006/relationships/hyperlink" Target="https://www.healthyrent.co" TargetMode="External"/><Relationship Id="rId180" Type="http://schemas.openxmlformats.org/officeDocument/2006/relationships/hyperlink" Target="http://www.gastromedicall.com" TargetMode="External"/><Relationship Id="rId176" Type="http://schemas.openxmlformats.org/officeDocument/2006/relationships/hyperlink" Target="http://www.avenirsalud.com" TargetMode="External"/><Relationship Id="rId297" Type="http://schemas.openxmlformats.org/officeDocument/2006/relationships/hyperlink" Target="http://www.uroclinic.co" TargetMode="External"/><Relationship Id="rId175" Type="http://schemas.openxmlformats.org/officeDocument/2006/relationships/hyperlink" Target="http://www.bostonmedical.com.co" TargetMode="External"/><Relationship Id="rId296" Type="http://schemas.openxmlformats.org/officeDocument/2006/relationships/hyperlink" Target="http://www.clinicametco.com" TargetMode="External"/><Relationship Id="rId174" Type="http://schemas.openxmlformats.org/officeDocument/2006/relationships/hyperlink" Target="https://www.fundacionsaluddelosandes.org/" TargetMode="External"/><Relationship Id="rId295" Type="http://schemas.openxmlformats.org/officeDocument/2006/relationships/hyperlink" Target="http://www.docencasa.com" TargetMode="External"/><Relationship Id="rId173" Type="http://schemas.openxmlformats.org/officeDocument/2006/relationships/hyperlink" Target="https://proservanda.co/inicio-pro" TargetMode="External"/><Relationship Id="rId294" Type="http://schemas.openxmlformats.org/officeDocument/2006/relationships/hyperlink" Target="http://www.homemedicalcare.co" TargetMode="External"/><Relationship Id="rId179" Type="http://schemas.openxmlformats.org/officeDocument/2006/relationships/hyperlink" Target="http://www.institutopiel.com" TargetMode="External"/><Relationship Id="rId178" Type="http://schemas.openxmlformats.org/officeDocument/2006/relationships/hyperlink" Target="http://www.fisioplus.co" TargetMode="External"/><Relationship Id="rId299" Type="http://schemas.openxmlformats.org/officeDocument/2006/relationships/hyperlink" Target="http://www.mhsbogota.com.co" TargetMode="External"/><Relationship Id="rId177" Type="http://schemas.openxmlformats.org/officeDocument/2006/relationships/hyperlink" Target="http://www.cardiocolombia.com.co" TargetMode="External"/><Relationship Id="rId298" Type="http://schemas.openxmlformats.org/officeDocument/2006/relationships/hyperlink" Target="http://www.ladentisteria.com.co" TargetMode="External"/><Relationship Id="rId198" Type="http://schemas.openxmlformats.org/officeDocument/2006/relationships/hyperlink" Target="http://www.clinicaodontologicaami.com" TargetMode="External"/><Relationship Id="rId197" Type="http://schemas.openxmlformats.org/officeDocument/2006/relationships/hyperlink" Target="http://www.camiloprieto.com" TargetMode="External"/><Relationship Id="rId196" Type="http://schemas.openxmlformats.org/officeDocument/2006/relationships/hyperlink" Target="http://www.renerodriguezmd.com" TargetMode="External"/><Relationship Id="rId195" Type="http://schemas.openxmlformats.org/officeDocument/2006/relationships/hyperlink" Target="https://multihealthsas.com" TargetMode="External"/><Relationship Id="rId199" Type="http://schemas.openxmlformats.org/officeDocument/2006/relationships/hyperlink" Target="http://www.oncolife.com.co" TargetMode="External"/><Relationship Id="rId150" Type="http://schemas.openxmlformats.org/officeDocument/2006/relationships/hyperlink" Target="http://empresalud.com.co" TargetMode="External"/><Relationship Id="rId271" Type="http://schemas.openxmlformats.org/officeDocument/2006/relationships/hyperlink" Target="http://www.assoltda.com/" TargetMode="External"/><Relationship Id="rId392" Type="http://schemas.openxmlformats.org/officeDocument/2006/relationships/hyperlink" Target="http://www.neuromedica.com.co" TargetMode="External"/><Relationship Id="rId270" Type="http://schemas.openxmlformats.org/officeDocument/2006/relationships/hyperlink" Target="http://www.asoderconsultoresas.com" TargetMode="External"/><Relationship Id="rId391" Type="http://schemas.openxmlformats.org/officeDocument/2006/relationships/hyperlink" Target="https://visiontotalsas.com.co" TargetMode="External"/><Relationship Id="rId390" Type="http://schemas.openxmlformats.org/officeDocument/2006/relationships/hyperlink" Target="https://cptrascender.com/" TargetMode="External"/><Relationship Id="rId1" Type="http://schemas.openxmlformats.org/officeDocument/2006/relationships/hyperlink" Target="http://www.sonria.com.co" TargetMode="External"/><Relationship Id="rId2" Type="http://schemas.openxmlformats.org/officeDocument/2006/relationships/hyperlink" Target="http://www.opticadrmendez.com" TargetMode="External"/><Relationship Id="rId3" Type="http://schemas.openxmlformats.org/officeDocument/2006/relationships/hyperlink" Target="http://www.aconino.org/" TargetMode="External"/><Relationship Id="rId149" Type="http://schemas.openxmlformats.org/officeDocument/2006/relationships/hyperlink" Target="http://giovannibojanini.co/" TargetMode="External"/><Relationship Id="rId4" Type="http://schemas.openxmlformats.org/officeDocument/2006/relationships/hyperlink" Target="http://www.bodytech.com.co" TargetMode="External"/><Relationship Id="rId148" Type="http://schemas.openxmlformats.org/officeDocument/2006/relationships/hyperlink" Target="https://fundem-co.org/" TargetMode="External"/><Relationship Id="rId269" Type="http://schemas.openxmlformats.org/officeDocument/2006/relationships/hyperlink" Target="http://www.malodental.com.co" TargetMode="External"/><Relationship Id="rId9" Type="http://schemas.openxmlformats.org/officeDocument/2006/relationships/hyperlink" Target="http://www.epilepsia.org" TargetMode="External"/><Relationship Id="rId143" Type="http://schemas.openxmlformats.org/officeDocument/2006/relationships/hyperlink" Target="http://www.depiel.com" TargetMode="External"/><Relationship Id="rId264" Type="http://schemas.openxmlformats.org/officeDocument/2006/relationships/hyperlink" Target="https://www.iships.co" TargetMode="External"/><Relationship Id="rId385" Type="http://schemas.openxmlformats.org/officeDocument/2006/relationships/hyperlink" Target="https://www.coronapass.com.co/" TargetMode="External"/><Relationship Id="rId142" Type="http://schemas.openxmlformats.org/officeDocument/2006/relationships/hyperlink" Target="http://www.investigacionuniendo.com" TargetMode="External"/><Relationship Id="rId263" Type="http://schemas.openxmlformats.org/officeDocument/2006/relationships/hyperlink" Target="http://www.clinicanogales.com" TargetMode="External"/><Relationship Id="rId384" Type="http://schemas.openxmlformats.org/officeDocument/2006/relationships/hyperlink" Target="http://www.redhumana.co" TargetMode="External"/><Relationship Id="rId141" Type="http://schemas.openxmlformats.org/officeDocument/2006/relationships/hyperlink" Target="http://www.corpoalegria.org" TargetMode="External"/><Relationship Id="rId262" Type="http://schemas.openxmlformats.org/officeDocument/2006/relationships/hyperlink" Target="http://www.emanuelips.com/" TargetMode="External"/><Relationship Id="rId383" Type="http://schemas.openxmlformats.org/officeDocument/2006/relationships/hyperlink" Target="http://www.grupoavaler.com" TargetMode="External"/><Relationship Id="rId140" Type="http://schemas.openxmlformats.org/officeDocument/2006/relationships/hyperlink" Target="http://www.facebook.com/clinicasbf" TargetMode="External"/><Relationship Id="rId261" Type="http://schemas.openxmlformats.org/officeDocument/2006/relationships/hyperlink" Target="https://www.elcentrodelossentidos.com" TargetMode="External"/><Relationship Id="rId382" Type="http://schemas.openxmlformats.org/officeDocument/2006/relationships/hyperlink" Target="https://gerardoherrera.com" TargetMode="External"/><Relationship Id="rId5" Type="http://schemas.openxmlformats.org/officeDocument/2006/relationships/hyperlink" Target="http://www.pregencolombia.com" TargetMode="External"/><Relationship Id="rId147" Type="http://schemas.openxmlformats.org/officeDocument/2006/relationships/hyperlink" Target="http://www.caimed.com" TargetMode="External"/><Relationship Id="rId268" Type="http://schemas.openxmlformats.org/officeDocument/2006/relationships/hyperlink" Target="http://www.maplerespiratory.co" TargetMode="External"/><Relationship Id="rId389" Type="http://schemas.openxmlformats.org/officeDocument/2006/relationships/hyperlink" Target="https://mtdom.com/" TargetMode="External"/><Relationship Id="rId6" Type="http://schemas.openxmlformats.org/officeDocument/2006/relationships/hyperlink" Target="http://www.barraquer.com.co" TargetMode="External"/><Relationship Id="rId146" Type="http://schemas.openxmlformats.org/officeDocument/2006/relationships/hyperlink" Target="http://www.evolutionk.com" TargetMode="External"/><Relationship Id="rId267" Type="http://schemas.openxmlformats.org/officeDocument/2006/relationships/hyperlink" Target="http://www.unidadso.com.co" TargetMode="External"/><Relationship Id="rId388" Type="http://schemas.openxmlformats.org/officeDocument/2006/relationships/hyperlink" Target="http://www.clinicadeespecialidadesquirurgicas.com" TargetMode="External"/><Relationship Id="rId7" Type="http://schemas.openxmlformats.org/officeDocument/2006/relationships/hyperlink" Target="https://unidaddeneurologia.com" TargetMode="External"/><Relationship Id="rId145" Type="http://schemas.openxmlformats.org/officeDocument/2006/relationships/hyperlink" Target="http://www.soleecenfermeria.com" TargetMode="External"/><Relationship Id="rId266" Type="http://schemas.openxmlformats.org/officeDocument/2006/relationships/hyperlink" Target="http://www.qdata.com.co" TargetMode="External"/><Relationship Id="rId387" Type="http://schemas.openxmlformats.org/officeDocument/2006/relationships/hyperlink" Target="http://www.sanarhealthcare.co" TargetMode="External"/><Relationship Id="rId8" Type="http://schemas.openxmlformats.org/officeDocument/2006/relationships/hyperlink" Target="http://www.cenfma.com" TargetMode="External"/><Relationship Id="rId144" Type="http://schemas.openxmlformats.org/officeDocument/2006/relationships/hyperlink" Target="http://www.orthoespecialistas.com" TargetMode="External"/><Relationship Id="rId265" Type="http://schemas.openxmlformats.org/officeDocument/2006/relationships/hyperlink" Target="http://www.clinicasfa.com" TargetMode="External"/><Relationship Id="rId386" Type="http://schemas.openxmlformats.org/officeDocument/2006/relationships/hyperlink" Target="http://www.bienaventuranzaips.com" TargetMode="External"/><Relationship Id="rId260" Type="http://schemas.openxmlformats.org/officeDocument/2006/relationships/hyperlink" Target="http://www.clinicalacolina.com" TargetMode="External"/><Relationship Id="rId381" Type="http://schemas.openxmlformats.org/officeDocument/2006/relationships/hyperlink" Target="http://www.colsanitas.com" TargetMode="External"/><Relationship Id="rId380" Type="http://schemas.openxmlformats.org/officeDocument/2006/relationships/hyperlink" Target="http://ubimed.com.co" TargetMode="External"/><Relationship Id="rId139" Type="http://schemas.openxmlformats.org/officeDocument/2006/relationships/hyperlink" Target="http://www.terapiasbogota.com" TargetMode="External"/><Relationship Id="rId138" Type="http://schemas.openxmlformats.org/officeDocument/2006/relationships/hyperlink" Target="http://www.glambulancias.com" TargetMode="External"/><Relationship Id="rId259" Type="http://schemas.openxmlformats.org/officeDocument/2006/relationships/hyperlink" Target="http://www.ayudaclinica.com" TargetMode="External"/><Relationship Id="rId137" Type="http://schemas.openxmlformats.org/officeDocument/2006/relationships/hyperlink" Target="http://www.lopmanplus.com" TargetMode="External"/><Relationship Id="rId258" Type="http://schemas.openxmlformats.org/officeDocument/2006/relationships/hyperlink" Target="http://www.solucionesdiagnosticas3d.com" TargetMode="External"/><Relationship Id="rId379" Type="http://schemas.openxmlformats.org/officeDocument/2006/relationships/hyperlink" Target="http://www.praxisaludips.com" TargetMode="External"/><Relationship Id="rId132" Type="http://schemas.openxmlformats.org/officeDocument/2006/relationships/hyperlink" Target="http://www.fomaci.com" TargetMode="External"/><Relationship Id="rId253" Type="http://schemas.openxmlformats.org/officeDocument/2006/relationships/hyperlink" Target="http://www.inocolombia.com" TargetMode="External"/><Relationship Id="rId374" Type="http://schemas.openxmlformats.org/officeDocument/2006/relationships/hyperlink" Target="http://www.marlonbecerra.co" TargetMode="External"/><Relationship Id="rId495" Type="http://schemas.openxmlformats.org/officeDocument/2006/relationships/hyperlink" Target="https://www.doctormartinprato.com" TargetMode="External"/><Relationship Id="rId131" Type="http://schemas.openxmlformats.org/officeDocument/2006/relationships/hyperlink" Target="http://www.radacassab.com" TargetMode="External"/><Relationship Id="rId252" Type="http://schemas.openxmlformats.org/officeDocument/2006/relationships/hyperlink" Target="http://www.helpocupacional.com.co" TargetMode="External"/><Relationship Id="rId373" Type="http://schemas.openxmlformats.org/officeDocument/2006/relationships/hyperlink" Target="https://nuarabelleza.com/" TargetMode="External"/><Relationship Id="rId494" Type="http://schemas.openxmlformats.org/officeDocument/2006/relationships/hyperlink" Target="https://www.aliviamedicalcenter.com" TargetMode="External"/><Relationship Id="rId130" Type="http://schemas.openxmlformats.org/officeDocument/2006/relationships/hyperlink" Target="http://www.iroradiologiaoral.com" TargetMode="External"/><Relationship Id="rId251" Type="http://schemas.openxmlformats.org/officeDocument/2006/relationships/hyperlink" Target="http://www.widexcolombia.com" TargetMode="External"/><Relationship Id="rId372" Type="http://schemas.openxmlformats.org/officeDocument/2006/relationships/hyperlink" Target="http://www.synlab.co" TargetMode="External"/><Relationship Id="rId493" Type="http://schemas.openxmlformats.org/officeDocument/2006/relationships/hyperlink" Target="https://clubser.com" TargetMode="External"/><Relationship Id="rId250" Type="http://schemas.openxmlformats.org/officeDocument/2006/relationships/hyperlink" Target="http://www.psq.com" TargetMode="External"/><Relationship Id="rId371" Type="http://schemas.openxmlformats.org/officeDocument/2006/relationships/hyperlink" Target="http://www.healthgroup.com.co" TargetMode="External"/><Relationship Id="rId492" Type="http://schemas.openxmlformats.org/officeDocument/2006/relationships/hyperlink" Target="https://equilibriumips.com" TargetMode="External"/><Relationship Id="rId136" Type="http://schemas.openxmlformats.org/officeDocument/2006/relationships/hyperlink" Target="http://www.lopmanplus.com" TargetMode="External"/><Relationship Id="rId257" Type="http://schemas.openxmlformats.org/officeDocument/2006/relationships/hyperlink" Target="http://www.neuronabebe.com" TargetMode="External"/><Relationship Id="rId378" Type="http://schemas.openxmlformats.org/officeDocument/2006/relationships/hyperlink" Target="http://www.enfercare.com.co" TargetMode="External"/><Relationship Id="rId499" Type="http://schemas.openxmlformats.org/officeDocument/2006/relationships/hyperlink" Target="https://www.clinicajunisa.com" TargetMode="External"/><Relationship Id="rId135" Type="http://schemas.openxmlformats.org/officeDocument/2006/relationships/hyperlink" Target="http://www.infortec.com.co" TargetMode="External"/><Relationship Id="rId256" Type="http://schemas.openxmlformats.org/officeDocument/2006/relationships/hyperlink" Target="http://www.infectoclinicos.co" TargetMode="External"/><Relationship Id="rId377" Type="http://schemas.openxmlformats.org/officeDocument/2006/relationships/hyperlink" Target="https://www.movilmedica.com" TargetMode="External"/><Relationship Id="rId498" Type="http://schemas.openxmlformats.org/officeDocument/2006/relationships/hyperlink" Target="https://vidsancol.com" TargetMode="External"/><Relationship Id="rId134" Type="http://schemas.openxmlformats.org/officeDocument/2006/relationships/hyperlink" Target="http://www.clinicadentalsantabarbara.com" TargetMode="External"/><Relationship Id="rId255" Type="http://schemas.openxmlformats.org/officeDocument/2006/relationships/hyperlink" Target="https://international.davita.com/co/" TargetMode="External"/><Relationship Id="rId376" Type="http://schemas.openxmlformats.org/officeDocument/2006/relationships/hyperlink" Target="http://www.isehealth.com.co" TargetMode="External"/><Relationship Id="rId497" Type="http://schemas.openxmlformats.org/officeDocument/2006/relationships/hyperlink" Target="https://na" TargetMode="External"/><Relationship Id="rId133" Type="http://schemas.openxmlformats.org/officeDocument/2006/relationships/hyperlink" Target="https://biotecgen.com.co" TargetMode="External"/><Relationship Id="rId254" Type="http://schemas.openxmlformats.org/officeDocument/2006/relationships/hyperlink" Target="http://www.innovalasercenter.com" TargetMode="External"/><Relationship Id="rId375" Type="http://schemas.openxmlformats.org/officeDocument/2006/relationships/hyperlink" Target="https://www.aequi.com.co" TargetMode="External"/><Relationship Id="rId496" Type="http://schemas.openxmlformats.org/officeDocument/2006/relationships/hyperlink" Target="https://www.santevitips.com.co/" TargetMode="External"/><Relationship Id="rId172" Type="http://schemas.openxmlformats.org/officeDocument/2006/relationships/hyperlink" Target="http://www.odontoavanzada.com" TargetMode="External"/><Relationship Id="rId293" Type="http://schemas.openxmlformats.org/officeDocument/2006/relationships/hyperlink" Target="http://www.alejandroorozco.com" TargetMode="External"/><Relationship Id="rId171" Type="http://schemas.openxmlformats.org/officeDocument/2006/relationships/hyperlink" Target="http://www.encasasalud.com" TargetMode="External"/><Relationship Id="rId292" Type="http://schemas.openxmlformats.org/officeDocument/2006/relationships/hyperlink" Target="http://www.estrategiasensalud.com.co" TargetMode="External"/><Relationship Id="rId170" Type="http://schemas.openxmlformats.org/officeDocument/2006/relationships/hyperlink" Target="http://www.clinicasdianthe.com" TargetMode="External"/><Relationship Id="rId291" Type="http://schemas.openxmlformats.org/officeDocument/2006/relationships/hyperlink" Target="http://www.omdplus.com" TargetMode="External"/><Relationship Id="rId290" Type="http://schemas.openxmlformats.org/officeDocument/2006/relationships/hyperlink" Target="http://www.aepsi.com.co" TargetMode="External"/><Relationship Id="rId165" Type="http://schemas.openxmlformats.org/officeDocument/2006/relationships/hyperlink" Target="http://www.naturalbodycenter.com" TargetMode="External"/><Relationship Id="rId286" Type="http://schemas.openxmlformats.org/officeDocument/2006/relationships/hyperlink" Target="http://www.emotionfitcenter.com" TargetMode="External"/><Relationship Id="rId164" Type="http://schemas.openxmlformats.org/officeDocument/2006/relationships/hyperlink" Target="http://www.oxiayuda.net" TargetMode="External"/><Relationship Id="rId285" Type="http://schemas.openxmlformats.org/officeDocument/2006/relationships/hyperlink" Target="http://www.lesionespigmentadas.com" TargetMode="External"/><Relationship Id="rId163" Type="http://schemas.openxmlformats.org/officeDocument/2006/relationships/hyperlink" Target="http://www.institutodelcorazon.com" TargetMode="External"/><Relationship Id="rId284" Type="http://schemas.openxmlformats.org/officeDocument/2006/relationships/hyperlink" Target="http://www.protegerhealthcare.com" TargetMode="External"/><Relationship Id="rId162" Type="http://schemas.openxmlformats.org/officeDocument/2006/relationships/hyperlink" Target="https://www.vihonco.com" TargetMode="External"/><Relationship Id="rId283" Type="http://schemas.openxmlformats.org/officeDocument/2006/relationships/hyperlink" Target="http://avanzarips.com.co" TargetMode="External"/><Relationship Id="rId169" Type="http://schemas.openxmlformats.org/officeDocument/2006/relationships/hyperlink" Target="https://www.smvital-health.com.co/" TargetMode="External"/><Relationship Id="rId168" Type="http://schemas.openxmlformats.org/officeDocument/2006/relationships/hyperlink" Target="http://www.bancodecelulas.com" TargetMode="External"/><Relationship Id="rId289" Type="http://schemas.openxmlformats.org/officeDocument/2006/relationships/hyperlink" Target="http://www.dentix.co" TargetMode="External"/><Relationship Id="rId167" Type="http://schemas.openxmlformats.org/officeDocument/2006/relationships/hyperlink" Target="http://www.cemdi.net.co" TargetMode="External"/><Relationship Id="rId288" Type="http://schemas.openxmlformats.org/officeDocument/2006/relationships/hyperlink" Target="http://www.tuips.com.co" TargetMode="External"/><Relationship Id="rId166" Type="http://schemas.openxmlformats.org/officeDocument/2006/relationships/hyperlink" Target="http://www.piesalud.net" TargetMode="External"/><Relationship Id="rId287" Type="http://schemas.openxmlformats.org/officeDocument/2006/relationships/hyperlink" Target="http://www.ceneh.com" TargetMode="External"/><Relationship Id="rId161" Type="http://schemas.openxmlformats.org/officeDocument/2006/relationships/hyperlink" Target="http://www.inmugencorp.com" TargetMode="External"/><Relationship Id="rId282" Type="http://schemas.openxmlformats.org/officeDocument/2006/relationships/hyperlink" Target="http://www.crcocupacional.com" TargetMode="External"/><Relationship Id="rId160" Type="http://schemas.openxmlformats.org/officeDocument/2006/relationships/hyperlink" Target="http://www.saiadltda.com" TargetMode="External"/><Relationship Id="rId281" Type="http://schemas.openxmlformats.org/officeDocument/2006/relationships/hyperlink" Target="http://www.lorenavejarano.com" TargetMode="External"/><Relationship Id="rId280" Type="http://schemas.openxmlformats.org/officeDocument/2006/relationships/hyperlink" Target="http://fisiorad.com.co" TargetMode="External"/><Relationship Id="rId159" Type="http://schemas.openxmlformats.org/officeDocument/2006/relationships/hyperlink" Target="http://www.neurorehabilitar.com" TargetMode="External"/><Relationship Id="rId154" Type="http://schemas.openxmlformats.org/officeDocument/2006/relationships/hyperlink" Target="http://www.soskids.net" TargetMode="External"/><Relationship Id="rId275" Type="http://schemas.openxmlformats.org/officeDocument/2006/relationships/hyperlink" Target="http://www.janethacosta.gov.co" TargetMode="External"/><Relationship Id="rId396" Type="http://schemas.openxmlformats.org/officeDocument/2006/relationships/hyperlink" Target="http://www.ipscdo.com.co" TargetMode="External"/><Relationship Id="rId153" Type="http://schemas.openxmlformats.org/officeDocument/2006/relationships/hyperlink" Target="http://www.audiosaludintegral.com" TargetMode="External"/><Relationship Id="rId274" Type="http://schemas.openxmlformats.org/officeDocument/2006/relationships/hyperlink" Target="http://www.laboralhealth.com" TargetMode="External"/><Relationship Id="rId395" Type="http://schemas.openxmlformats.org/officeDocument/2006/relationships/hyperlink" Target="https://www.clinicasodontofamily.com" TargetMode="External"/><Relationship Id="rId152" Type="http://schemas.openxmlformats.org/officeDocument/2006/relationships/hyperlink" Target="http://www.goleman.com.co" TargetMode="External"/><Relationship Id="rId273" Type="http://schemas.openxmlformats.org/officeDocument/2006/relationships/hyperlink" Target="https://www.yahoo.com" TargetMode="External"/><Relationship Id="rId394" Type="http://schemas.openxmlformats.org/officeDocument/2006/relationships/hyperlink" Target="https://wizz.life" TargetMode="External"/><Relationship Id="rId151" Type="http://schemas.openxmlformats.org/officeDocument/2006/relationships/hyperlink" Target="http://www.viva1a.com.co" TargetMode="External"/><Relationship Id="rId272" Type="http://schemas.openxmlformats.org/officeDocument/2006/relationships/hyperlink" Target="http://www.clinicadelpieyspa.com" TargetMode="External"/><Relationship Id="rId393" Type="http://schemas.openxmlformats.org/officeDocument/2006/relationships/hyperlink" Target="http://www.groupmedicalhealth.com" TargetMode="External"/><Relationship Id="rId158" Type="http://schemas.openxmlformats.org/officeDocument/2006/relationships/hyperlink" Target="http://www.colcharter.com" TargetMode="External"/><Relationship Id="rId279" Type="http://schemas.openxmlformats.org/officeDocument/2006/relationships/hyperlink" Target="https://www.unimossalud.com" TargetMode="External"/><Relationship Id="rId157" Type="http://schemas.openxmlformats.org/officeDocument/2006/relationships/hyperlink" Target="http://www.forjaempresas.com" TargetMode="External"/><Relationship Id="rId278" Type="http://schemas.openxmlformats.org/officeDocument/2006/relationships/hyperlink" Target="http://www.artmedica.com.co" TargetMode="External"/><Relationship Id="rId399" Type="http://schemas.openxmlformats.org/officeDocument/2006/relationships/hyperlink" Target="http://www.examinarte.com" TargetMode="External"/><Relationship Id="rId156" Type="http://schemas.openxmlformats.org/officeDocument/2006/relationships/hyperlink" Target="http://www.fundacionsextosentido.org" TargetMode="External"/><Relationship Id="rId277" Type="http://schemas.openxmlformats.org/officeDocument/2006/relationships/hyperlink" Target="http://www.fabricadesonrisas.net" TargetMode="External"/><Relationship Id="rId398" Type="http://schemas.openxmlformats.org/officeDocument/2006/relationships/hyperlink" Target="https://www.fisiobogota.com" TargetMode="External"/><Relationship Id="rId155" Type="http://schemas.openxmlformats.org/officeDocument/2006/relationships/hyperlink" Target="https://ultigen.com.co" TargetMode="External"/><Relationship Id="rId276" Type="http://schemas.openxmlformats.org/officeDocument/2006/relationships/hyperlink" Target="http://www.colcuidar.com" TargetMode="External"/><Relationship Id="rId397" Type="http://schemas.openxmlformats.org/officeDocument/2006/relationships/hyperlink" Target="https://www.medialivio.com" TargetMode="External"/><Relationship Id="rId40" Type="http://schemas.openxmlformats.org/officeDocument/2006/relationships/hyperlink" Target="http://www.dinamicaips.com.co" TargetMode="External"/><Relationship Id="rId42" Type="http://schemas.openxmlformats.org/officeDocument/2006/relationships/hyperlink" Target="https://www.shaio.org/" TargetMode="External"/><Relationship Id="rId41" Type="http://schemas.openxmlformats.org/officeDocument/2006/relationships/hyperlink" Target="http://www.enfaso.com" TargetMode="External"/><Relationship Id="rId44" Type="http://schemas.openxmlformats.org/officeDocument/2006/relationships/hyperlink" Target="http://www.labgomezvesga.com" TargetMode="External"/><Relationship Id="rId43" Type="http://schemas.openxmlformats.org/officeDocument/2006/relationships/hyperlink" Target="http://www.analizarlab.com" TargetMode="External"/><Relationship Id="rId46" Type="http://schemas.openxmlformats.org/officeDocument/2006/relationships/hyperlink" Target="https://fundaciondavidrestrepo.com.co" TargetMode="External"/><Relationship Id="rId45" Type="http://schemas.openxmlformats.org/officeDocument/2006/relationships/hyperlink" Target="https://soandes.com.co/" TargetMode="External"/><Relationship Id="rId509" Type="http://schemas.openxmlformats.org/officeDocument/2006/relationships/hyperlink" Target="https://www.quironprevencion.com" TargetMode="External"/><Relationship Id="rId508" Type="http://schemas.openxmlformats.org/officeDocument/2006/relationships/hyperlink" Target="https://www.botoshop.com" TargetMode="External"/><Relationship Id="rId503" Type="http://schemas.openxmlformats.org/officeDocument/2006/relationships/hyperlink" Target="https://am1.myprofessionalmail.com/" TargetMode="External"/><Relationship Id="rId502" Type="http://schemas.openxmlformats.org/officeDocument/2006/relationships/hyperlink" Target="https://www.aequsstmedicinapreventiva.com/" TargetMode="External"/><Relationship Id="rId501" Type="http://schemas.openxmlformats.org/officeDocument/2006/relationships/hyperlink" Target="https://fono-care.com" TargetMode="External"/><Relationship Id="rId500" Type="http://schemas.openxmlformats.org/officeDocument/2006/relationships/hyperlink" Target="https://advancederma.com" TargetMode="External"/><Relationship Id="rId507" Type="http://schemas.openxmlformats.org/officeDocument/2006/relationships/hyperlink" Target="https://genmedis.com/" TargetMode="External"/><Relationship Id="rId506" Type="http://schemas.openxmlformats.org/officeDocument/2006/relationships/hyperlink" Target="https://na" TargetMode="External"/><Relationship Id="rId505" Type="http://schemas.openxmlformats.org/officeDocument/2006/relationships/hyperlink" Target="https://www.radiomedicsolutions.com" TargetMode="External"/><Relationship Id="rId504" Type="http://schemas.openxmlformats.org/officeDocument/2006/relationships/hyperlink" Target="https://www.sbsurgerycenter.com" TargetMode="External"/><Relationship Id="rId48" Type="http://schemas.openxmlformats.org/officeDocument/2006/relationships/hyperlink" Target="http://www.lablih.net" TargetMode="External"/><Relationship Id="rId47" Type="http://schemas.openxmlformats.org/officeDocument/2006/relationships/hyperlink" Target="http://www.serviterapias.com" TargetMode="External"/><Relationship Id="rId49" Type="http://schemas.openxmlformats.org/officeDocument/2006/relationships/hyperlink" Target="http://www.opticaalemanash.com" TargetMode="External"/><Relationship Id="rId31" Type="http://schemas.openxmlformats.org/officeDocument/2006/relationships/hyperlink" Target="http://www.vacunacionide.com" TargetMode="External"/><Relationship Id="rId30" Type="http://schemas.openxmlformats.org/officeDocument/2006/relationships/hyperlink" Target="http://www.lafont.com.co" TargetMode="External"/><Relationship Id="rId33" Type="http://schemas.openxmlformats.org/officeDocument/2006/relationships/hyperlink" Target="http://www.sosaludvisual.com" TargetMode="External"/><Relationship Id="rId32" Type="http://schemas.openxmlformats.org/officeDocument/2006/relationships/hyperlink" Target="http://www.ueoftalmologicos.com.co" TargetMode="External"/><Relationship Id="rId35" Type="http://schemas.openxmlformats.org/officeDocument/2006/relationships/hyperlink" Target="http://www.umedips.com" TargetMode="External"/><Relationship Id="rId34" Type="http://schemas.openxmlformats.org/officeDocument/2006/relationships/hyperlink" Target="http://www.fsfb.org.co" TargetMode="External"/><Relationship Id="rId37" Type="http://schemas.openxmlformats.org/officeDocument/2006/relationships/hyperlink" Target="https://cllapaz.com.co" TargetMode="External"/><Relationship Id="rId36" Type="http://schemas.openxmlformats.org/officeDocument/2006/relationships/hyperlink" Target="https://laboratoriocolcan.com/" TargetMode="External"/><Relationship Id="rId39" Type="http://schemas.openxmlformats.org/officeDocument/2006/relationships/hyperlink" Target="https://ums.com.co/" TargetMode="External"/><Relationship Id="rId38" Type="http://schemas.openxmlformats.org/officeDocument/2006/relationships/hyperlink" Target="http://www.endocentroltda.com" TargetMode="External"/><Relationship Id="rId20" Type="http://schemas.openxmlformats.org/officeDocument/2006/relationships/hyperlink" Target="http://www.labopat.com.co" TargetMode="External"/><Relationship Id="rId22" Type="http://schemas.openxmlformats.org/officeDocument/2006/relationships/hyperlink" Target="http://www.fundaciondelquemado.org" TargetMode="External"/><Relationship Id="rId21" Type="http://schemas.openxmlformats.org/officeDocument/2006/relationships/hyperlink" Target="http://www.cmlafacultad.com" TargetMode="External"/><Relationship Id="rId24" Type="http://schemas.openxmlformats.org/officeDocument/2006/relationships/hyperlink" Target="http://www.rxcountry.com" TargetMode="External"/><Relationship Id="rId23" Type="http://schemas.openxmlformats.org/officeDocument/2006/relationships/hyperlink" Target="http://www.fertilidadpma.com" TargetMode="External"/><Relationship Id="rId409" Type="http://schemas.openxmlformats.org/officeDocument/2006/relationships/hyperlink" Target="https://www.estratego.com" TargetMode="External"/><Relationship Id="rId404" Type="http://schemas.openxmlformats.org/officeDocument/2006/relationships/hyperlink" Target="https://rehabilitacionbaruch.com/" TargetMode="External"/><Relationship Id="rId525" Type="http://schemas.openxmlformats.org/officeDocument/2006/relationships/hyperlink" Target="https://wellness-health.com.co/" TargetMode="External"/><Relationship Id="rId403" Type="http://schemas.openxmlformats.org/officeDocument/2006/relationships/hyperlink" Target="https://clinicacolsanitas.com" TargetMode="External"/><Relationship Id="rId524" Type="http://schemas.openxmlformats.org/officeDocument/2006/relationships/hyperlink" Target="https://n.a" TargetMode="External"/><Relationship Id="rId402" Type="http://schemas.openxmlformats.org/officeDocument/2006/relationships/hyperlink" Target="https://www.cosmosspport.com.co" TargetMode="External"/><Relationship Id="rId523" Type="http://schemas.openxmlformats.org/officeDocument/2006/relationships/hyperlink" Target="https://www.instagram.com/wellness_ips?igsh=MTdicDM3c3ZqdThuZQ==" TargetMode="External"/><Relationship Id="rId401" Type="http://schemas.openxmlformats.org/officeDocument/2006/relationships/hyperlink" Target="https://parasanarte.co" TargetMode="External"/><Relationship Id="rId522" Type="http://schemas.openxmlformats.org/officeDocument/2006/relationships/hyperlink" Target="https://www.instagram.com/dramilenherrera/reels/" TargetMode="External"/><Relationship Id="rId408" Type="http://schemas.openxmlformats.org/officeDocument/2006/relationships/hyperlink" Target="https://na" TargetMode="External"/><Relationship Id="rId529" Type="http://schemas.openxmlformats.org/officeDocument/2006/relationships/hyperlink" Target="https://na" TargetMode="External"/><Relationship Id="rId407" Type="http://schemas.openxmlformats.org/officeDocument/2006/relationships/hyperlink" Target="https://ciruplastica.com.co" TargetMode="External"/><Relationship Id="rId528" Type="http://schemas.openxmlformats.org/officeDocument/2006/relationships/hyperlink" Target="https://na" TargetMode="External"/><Relationship Id="rId406" Type="http://schemas.openxmlformats.org/officeDocument/2006/relationships/hyperlink" Target="https://cromamedicalipssas" TargetMode="External"/><Relationship Id="rId527" Type="http://schemas.openxmlformats.org/officeDocument/2006/relationships/hyperlink" Target="https://www.saludhorisoes.com/" TargetMode="External"/><Relationship Id="rId405" Type="http://schemas.openxmlformats.org/officeDocument/2006/relationships/hyperlink" Target="https://www.facebook.com/Fisio-Pelvic-LUNA-IPS-SAS-177139020418631" TargetMode="External"/><Relationship Id="rId526" Type="http://schemas.openxmlformats.org/officeDocument/2006/relationships/hyperlink" Target="https://www.curelatam.com/" TargetMode="External"/><Relationship Id="rId26" Type="http://schemas.openxmlformats.org/officeDocument/2006/relationships/hyperlink" Target="http://www.espinosagomez.com" TargetMode="External"/><Relationship Id="rId25" Type="http://schemas.openxmlformats.org/officeDocument/2006/relationships/hyperlink" Target="http://www.centrocardiobogota.com" TargetMode="External"/><Relationship Id="rId28" Type="http://schemas.openxmlformats.org/officeDocument/2006/relationships/hyperlink" Target="http://www.asonest.org" TargetMode="External"/><Relationship Id="rId27" Type="http://schemas.openxmlformats.org/officeDocument/2006/relationships/hyperlink" Target="http://www.rmcs.com.co" TargetMode="External"/><Relationship Id="rId400" Type="http://schemas.openxmlformats.org/officeDocument/2006/relationships/hyperlink" Target="https://www.odontologiacoga.com" TargetMode="External"/><Relationship Id="rId521" Type="http://schemas.openxmlformats.org/officeDocument/2006/relationships/hyperlink" Target="https://sergioyalexandrarada.com/" TargetMode="External"/><Relationship Id="rId29" Type="http://schemas.openxmlformats.org/officeDocument/2006/relationships/hyperlink" Target="http://www.visualpoint.com" TargetMode="External"/><Relationship Id="rId520" Type="http://schemas.openxmlformats.org/officeDocument/2006/relationships/hyperlink" Target="https://belaser.com.co" TargetMode="External"/><Relationship Id="rId11" Type="http://schemas.openxmlformats.org/officeDocument/2006/relationships/hyperlink" Target="https://diagnosticoocular.com/" TargetMode="External"/><Relationship Id="rId10" Type="http://schemas.openxmlformats.org/officeDocument/2006/relationships/hyperlink" Target="http://www.fisioavanzada.com.co" TargetMode="External"/><Relationship Id="rId13" Type="http://schemas.openxmlformats.org/officeDocument/2006/relationships/hyperlink" Target="http://www.idime.com.co" TargetMode="External"/><Relationship Id="rId12" Type="http://schemas.openxmlformats.org/officeDocument/2006/relationships/hyperlink" Target="http://www.idime.com.co" TargetMode="External"/><Relationship Id="rId519" Type="http://schemas.openxmlformats.org/officeDocument/2006/relationships/hyperlink" Target="https://tuoido.com/" TargetMode="External"/><Relationship Id="rId514" Type="http://schemas.openxmlformats.org/officeDocument/2006/relationships/hyperlink" Target="https://www.jsportmedicine.com.co" TargetMode="External"/><Relationship Id="rId513" Type="http://schemas.openxmlformats.org/officeDocument/2006/relationships/hyperlink" Target="https://www.psicotools.com.co/" TargetMode="External"/><Relationship Id="rId512" Type="http://schemas.openxmlformats.org/officeDocument/2006/relationships/hyperlink" Target="https://www.dentalexperience.com.co/" TargetMode="External"/><Relationship Id="rId511" Type="http://schemas.openxmlformats.org/officeDocument/2006/relationships/hyperlink" Target="https://www.zeissvisioncenter.com/es_co/unicentro-bogota.html" TargetMode="External"/><Relationship Id="rId518" Type="http://schemas.openxmlformats.org/officeDocument/2006/relationships/hyperlink" Target="https://www.harmonyestetic.com" TargetMode="External"/><Relationship Id="rId517" Type="http://schemas.openxmlformats.org/officeDocument/2006/relationships/hyperlink" Target="https://valessio.co" TargetMode="External"/><Relationship Id="rId516" Type="http://schemas.openxmlformats.org/officeDocument/2006/relationships/hyperlink" Target="https://www.sandrarias.com/" TargetMode="External"/><Relationship Id="rId515" Type="http://schemas.openxmlformats.org/officeDocument/2006/relationships/hyperlink" Target="https://monreal.com.co/" TargetMode="External"/><Relationship Id="rId15" Type="http://schemas.openxmlformats.org/officeDocument/2006/relationships/hyperlink" Target="http://www.clinicasep.com" TargetMode="External"/><Relationship Id="rId14" Type="http://schemas.openxmlformats.org/officeDocument/2006/relationships/hyperlink" Target="https://integramedicacolombia.com" TargetMode="External"/><Relationship Id="rId17" Type="http://schemas.openxmlformats.org/officeDocument/2006/relationships/hyperlink" Target="http://www.evolucionar.com.co" TargetMode="External"/><Relationship Id="rId16" Type="http://schemas.openxmlformats.org/officeDocument/2006/relationships/hyperlink" Target="http://www.proseguir.org" TargetMode="External"/><Relationship Id="rId19" Type="http://schemas.openxmlformats.org/officeDocument/2006/relationships/hyperlink" Target="http://optilaser.com.co/" TargetMode="External"/><Relationship Id="rId510" Type="http://schemas.openxmlformats.org/officeDocument/2006/relationships/hyperlink" Target="https://globalneuro.care" TargetMode="External"/><Relationship Id="rId18" Type="http://schemas.openxmlformats.org/officeDocument/2006/relationships/hyperlink" Target="http://www.zephia1a.com/pw/" TargetMode="External"/><Relationship Id="rId84" Type="http://schemas.openxmlformats.org/officeDocument/2006/relationships/hyperlink" Target="http://www.husi.org.co" TargetMode="External"/><Relationship Id="rId83" Type="http://schemas.openxmlformats.org/officeDocument/2006/relationships/hyperlink" Target="http://www.rmsanjose.com" TargetMode="External"/><Relationship Id="rId86" Type="http://schemas.openxmlformats.org/officeDocument/2006/relationships/hyperlink" Target="http://www.corsanemos.com" TargetMode="External"/><Relationship Id="rId85" Type="http://schemas.openxmlformats.org/officeDocument/2006/relationships/hyperlink" Target="http://www.virreysolisips.com" TargetMode="External"/><Relationship Id="rId88" Type="http://schemas.openxmlformats.org/officeDocument/2006/relationships/hyperlink" Target="http://www.evolution.com.co" TargetMode="External"/><Relationship Id="rId87" Type="http://schemas.openxmlformats.org/officeDocument/2006/relationships/hyperlink" Target="http://www.clinicadeloccidente.com" TargetMode="External"/><Relationship Id="rId89" Type="http://schemas.openxmlformats.org/officeDocument/2006/relationships/hyperlink" Target="https://davita.com.co/" TargetMode="External"/><Relationship Id="rId80" Type="http://schemas.openxmlformats.org/officeDocument/2006/relationships/hyperlink" Target="http://www.colsanitas.com.co" TargetMode="External"/><Relationship Id="rId82" Type="http://schemas.openxmlformats.org/officeDocument/2006/relationships/hyperlink" Target="http://www.laboratorio-gilete.com" TargetMode="External"/><Relationship Id="rId81" Type="http://schemas.openxmlformats.org/officeDocument/2006/relationships/hyperlink" Target="http://www.servimedips.com" TargetMode="External"/><Relationship Id="rId73" Type="http://schemas.openxmlformats.org/officeDocument/2006/relationships/hyperlink" Target="http://www.ligacontraelcancer.com.co" TargetMode="External"/><Relationship Id="rId72" Type="http://schemas.openxmlformats.org/officeDocument/2006/relationships/hyperlink" Target="http://www.clinicapalermo.com.co" TargetMode="External"/><Relationship Id="rId75" Type="http://schemas.openxmlformats.org/officeDocument/2006/relationships/hyperlink" Target="http://www.profamilia.org.co" TargetMode="External"/><Relationship Id="rId74" Type="http://schemas.openxmlformats.org/officeDocument/2006/relationships/hyperlink" Target="http://www.fundacionludus.org" TargetMode="External"/><Relationship Id="rId77" Type="http://schemas.openxmlformats.org/officeDocument/2006/relationships/hyperlink" Target="http://www.cardioinfantil.org" TargetMode="External"/><Relationship Id="rId76" Type="http://schemas.openxmlformats.org/officeDocument/2006/relationships/hyperlink" Target="https://clinicajuanncorpas.com/" TargetMode="External"/><Relationship Id="rId79" Type="http://schemas.openxmlformats.org/officeDocument/2006/relationships/hyperlink" Target="http://www.clinicadelseno.com" TargetMode="External"/><Relationship Id="rId78" Type="http://schemas.openxmlformats.org/officeDocument/2006/relationships/hyperlink" Target="http://www.cro.com.co" TargetMode="External"/><Relationship Id="rId71" Type="http://schemas.openxmlformats.org/officeDocument/2006/relationships/hyperlink" Target="http://www.clinicapalermo.com.co" TargetMode="External"/><Relationship Id="rId70" Type="http://schemas.openxmlformats.org/officeDocument/2006/relationships/hyperlink" Target="http://www.marlonbecerra.co" TargetMode="External"/><Relationship Id="rId62" Type="http://schemas.openxmlformats.org/officeDocument/2006/relationships/hyperlink" Target="https://www.colsubsidio.com/" TargetMode="External"/><Relationship Id="rId61" Type="http://schemas.openxmlformats.org/officeDocument/2006/relationships/hyperlink" Target="http://fanacolomsat.net.co" TargetMode="External"/><Relationship Id="rId64" Type="http://schemas.openxmlformats.org/officeDocument/2006/relationships/hyperlink" Target="http://www.eusalud.com" TargetMode="External"/><Relationship Id="rId63" Type="http://schemas.openxmlformats.org/officeDocument/2006/relationships/hyperlink" Target="http://www.ocupacionaljb.com" TargetMode="External"/><Relationship Id="rId66" Type="http://schemas.openxmlformats.org/officeDocument/2006/relationships/hyperlink" Target="http://www.hospitaldesanjose.org.co" TargetMode="External"/><Relationship Id="rId65" Type="http://schemas.openxmlformats.org/officeDocument/2006/relationships/hyperlink" Target="http://www.lospisingos.com" TargetMode="External"/><Relationship Id="rId68" Type="http://schemas.openxmlformats.org/officeDocument/2006/relationships/hyperlink" Target="https://grupocisne.org/" TargetMode="External"/><Relationship Id="rId67" Type="http://schemas.openxmlformats.org/officeDocument/2006/relationships/hyperlink" Target="http://www.vanudeips.net" TargetMode="External"/><Relationship Id="rId60" Type="http://schemas.openxmlformats.org/officeDocument/2006/relationships/hyperlink" Target="http://www.adnanalisislabs.com" TargetMode="External"/><Relationship Id="rId69" Type="http://schemas.openxmlformats.org/officeDocument/2006/relationships/hyperlink" Target="http://www.orientame.org.co" TargetMode="External"/><Relationship Id="rId51" Type="http://schemas.openxmlformats.org/officeDocument/2006/relationships/hyperlink" Target="http://www.fundacionliberate.org.co" TargetMode="External"/><Relationship Id="rId50" Type="http://schemas.openxmlformats.org/officeDocument/2006/relationships/hyperlink" Target="http://www.compensar.com" TargetMode="External"/><Relationship Id="rId53" Type="http://schemas.openxmlformats.org/officeDocument/2006/relationships/hyperlink" Target="http://www.qualitas-salud.com" TargetMode="External"/><Relationship Id="rId52" Type="http://schemas.openxmlformats.org/officeDocument/2006/relationships/hyperlink" Target="http://www.clinicanueva.com" TargetMode="External"/><Relationship Id="rId55" Type="http://schemas.openxmlformats.org/officeDocument/2006/relationships/hyperlink" Target="https://www.oicradiologia.com/" TargetMode="External"/><Relationship Id="rId54" Type="http://schemas.openxmlformats.org/officeDocument/2006/relationships/hyperlink" Target="http://www.ojoslasercenter.com" TargetMode="External"/><Relationship Id="rId57" Type="http://schemas.openxmlformats.org/officeDocument/2006/relationships/hyperlink" Target="https://laclinicaodontologica.com/" TargetMode="External"/><Relationship Id="rId56" Type="http://schemas.openxmlformats.org/officeDocument/2006/relationships/hyperlink" Target="http://www.fisulab.org" TargetMode="External"/><Relationship Id="rId59" Type="http://schemas.openxmlformats.org/officeDocument/2006/relationships/hyperlink" Target="http://www.percoden.com" TargetMode="External"/><Relationship Id="rId58" Type="http://schemas.openxmlformats.org/officeDocument/2006/relationships/hyperlink" Target="https://clinicalasabana.com" TargetMode="External"/><Relationship Id="rId107" Type="http://schemas.openxmlformats.org/officeDocument/2006/relationships/hyperlink" Target="http://www.medilaboral.com" TargetMode="External"/><Relationship Id="rId228" Type="http://schemas.openxmlformats.org/officeDocument/2006/relationships/hyperlink" Target="http://www.tusalud.com.co" TargetMode="External"/><Relationship Id="rId349" Type="http://schemas.openxmlformats.org/officeDocument/2006/relationships/hyperlink" Target="http://www.u-fit.com.co" TargetMode="External"/><Relationship Id="rId106" Type="http://schemas.openxmlformats.org/officeDocument/2006/relationships/hyperlink" Target="http://www.ipspraxis.com" TargetMode="External"/><Relationship Id="rId227" Type="http://schemas.openxmlformats.org/officeDocument/2006/relationships/hyperlink" Target="http://www.wt-assist.com" TargetMode="External"/><Relationship Id="rId348" Type="http://schemas.openxmlformats.org/officeDocument/2006/relationships/hyperlink" Target="http://www.cornel.com.co" TargetMode="External"/><Relationship Id="rId469" Type="http://schemas.openxmlformats.org/officeDocument/2006/relationships/hyperlink" Target="https://sothysaludips.com/" TargetMode="External"/><Relationship Id="rId105" Type="http://schemas.openxmlformats.org/officeDocument/2006/relationships/hyperlink" Target="https://smilequalitysas" TargetMode="External"/><Relationship Id="rId226" Type="http://schemas.openxmlformats.org/officeDocument/2006/relationships/hyperlink" Target="http://www.dentistforkids.com.co" TargetMode="External"/><Relationship Id="rId347" Type="http://schemas.openxmlformats.org/officeDocument/2006/relationships/hyperlink" Target="http://www.rmcs.com.co" TargetMode="External"/><Relationship Id="rId468" Type="http://schemas.openxmlformats.org/officeDocument/2006/relationships/hyperlink" Target="https://www.belmedicina.com" TargetMode="External"/><Relationship Id="rId104" Type="http://schemas.openxmlformats.org/officeDocument/2006/relationships/hyperlink" Target="http://www.unincca.edu.co" TargetMode="External"/><Relationship Id="rId225" Type="http://schemas.openxmlformats.org/officeDocument/2006/relationships/hyperlink" Target="http://www.marlonbecerrasas.com" TargetMode="External"/><Relationship Id="rId346" Type="http://schemas.openxmlformats.org/officeDocument/2006/relationships/hyperlink" Target="http://cyglocolombia.com" TargetMode="External"/><Relationship Id="rId467" Type="http://schemas.openxmlformats.org/officeDocument/2006/relationships/hyperlink" Target="https://airad.com" TargetMode="External"/><Relationship Id="rId109" Type="http://schemas.openxmlformats.org/officeDocument/2006/relationships/hyperlink" Target="http://www.centrodecontroldecancer.com" TargetMode="External"/><Relationship Id="rId108" Type="http://schemas.openxmlformats.org/officeDocument/2006/relationships/hyperlink" Target="http://www.umiemergencias.com" TargetMode="External"/><Relationship Id="rId229" Type="http://schemas.openxmlformats.org/officeDocument/2006/relationships/hyperlink" Target="http://www.ital-lent.com" TargetMode="External"/><Relationship Id="rId220" Type="http://schemas.openxmlformats.org/officeDocument/2006/relationships/hyperlink" Target="http://www.somnomedica.co" TargetMode="External"/><Relationship Id="rId341" Type="http://schemas.openxmlformats.org/officeDocument/2006/relationships/hyperlink" Target="https://www.tadashiamericas.com/" TargetMode="External"/><Relationship Id="rId462" Type="http://schemas.openxmlformats.org/officeDocument/2006/relationships/hyperlink" Target="https://www.demlaser.com/" TargetMode="External"/><Relationship Id="rId583" Type="http://schemas.openxmlformats.org/officeDocument/2006/relationships/hyperlink" Target="https://www.bellatriz.com/" TargetMode="External"/><Relationship Id="rId340" Type="http://schemas.openxmlformats.org/officeDocument/2006/relationships/hyperlink" Target="https://www.mediarte.com" TargetMode="External"/><Relationship Id="rId461" Type="http://schemas.openxmlformats.org/officeDocument/2006/relationships/hyperlink" Target="https://d" TargetMode="External"/><Relationship Id="rId582" Type="http://schemas.openxmlformats.org/officeDocument/2006/relationships/hyperlink" Target="https://eternamedicalcllinic.com" TargetMode="External"/><Relationship Id="rId460" Type="http://schemas.openxmlformats.org/officeDocument/2006/relationships/hyperlink" Target="https://www.clinicaodontologicaantonnyvasquez" TargetMode="External"/><Relationship Id="rId581" Type="http://schemas.openxmlformats.org/officeDocument/2006/relationships/hyperlink" Target="https://pelviccenter.com.co/" TargetMode="External"/><Relationship Id="rId580" Type="http://schemas.openxmlformats.org/officeDocument/2006/relationships/hyperlink" Target="https://joseluisescobarips.co" TargetMode="External"/><Relationship Id="rId103" Type="http://schemas.openxmlformats.org/officeDocument/2006/relationships/hyperlink" Target="http://www.laboratorioechavarria.com" TargetMode="External"/><Relationship Id="rId224" Type="http://schemas.openxmlformats.org/officeDocument/2006/relationships/hyperlink" Target="http://www.aerosanidadsas.com" TargetMode="External"/><Relationship Id="rId345" Type="http://schemas.openxmlformats.org/officeDocument/2006/relationships/hyperlink" Target="https://ipsdetodos.com/" TargetMode="External"/><Relationship Id="rId466" Type="http://schemas.openxmlformats.org/officeDocument/2006/relationships/hyperlink" Target="https://www.sonomedics.com.co" TargetMode="External"/><Relationship Id="rId102" Type="http://schemas.openxmlformats.org/officeDocument/2006/relationships/hyperlink" Target="http://www.cayre.co" TargetMode="External"/><Relationship Id="rId223" Type="http://schemas.openxmlformats.org/officeDocument/2006/relationships/hyperlink" Target="http://kangaroo.javeriana.edu.co" TargetMode="External"/><Relationship Id="rId344" Type="http://schemas.openxmlformats.org/officeDocument/2006/relationships/hyperlink" Target="http://www.clinicacuabal.com" TargetMode="External"/><Relationship Id="rId465" Type="http://schemas.openxmlformats.org/officeDocument/2006/relationships/hyperlink" Target="https://www.symmetry.com" TargetMode="External"/><Relationship Id="rId101" Type="http://schemas.openxmlformats.org/officeDocument/2006/relationships/hyperlink" Target="http://www.laboratorioclinicobiolab.com" TargetMode="External"/><Relationship Id="rId222" Type="http://schemas.openxmlformats.org/officeDocument/2006/relationships/hyperlink" Target="http://www.vainplasticdentistry.com" TargetMode="External"/><Relationship Id="rId343" Type="http://schemas.openxmlformats.org/officeDocument/2006/relationships/hyperlink" Target="https://www.neurofamilia.com" TargetMode="External"/><Relationship Id="rId464" Type="http://schemas.openxmlformats.org/officeDocument/2006/relationships/hyperlink" Target="https://sandrapoveda.com" TargetMode="External"/><Relationship Id="rId585" Type="http://schemas.openxmlformats.org/officeDocument/2006/relationships/drawing" Target="../drawings/drawing12.xml"/><Relationship Id="rId100" Type="http://schemas.openxmlformats.org/officeDocument/2006/relationships/hyperlink" Target="http://www.famicareclinicadia.com" TargetMode="External"/><Relationship Id="rId221" Type="http://schemas.openxmlformats.org/officeDocument/2006/relationships/hyperlink" Target="http://www.uniepilepsias.com" TargetMode="External"/><Relationship Id="rId342" Type="http://schemas.openxmlformats.org/officeDocument/2006/relationships/hyperlink" Target="https://multiterapias.com.co" TargetMode="External"/><Relationship Id="rId463" Type="http://schemas.openxmlformats.org/officeDocument/2006/relationships/hyperlink" Target="https://versania.com" TargetMode="External"/><Relationship Id="rId584" Type="http://schemas.openxmlformats.org/officeDocument/2006/relationships/hyperlink" Target="https://www.saludsindolor.com/" TargetMode="External"/><Relationship Id="rId217" Type="http://schemas.openxmlformats.org/officeDocument/2006/relationships/hyperlink" Target="http://www.solucionesdiagnosticas3d" TargetMode="External"/><Relationship Id="rId338" Type="http://schemas.openxmlformats.org/officeDocument/2006/relationships/hyperlink" Target="http://www.clinicarenovar.com" TargetMode="External"/><Relationship Id="rId459" Type="http://schemas.openxmlformats.org/officeDocument/2006/relationships/hyperlink" Target="https://ipsradiologicaog.webnode.com.co/" TargetMode="External"/><Relationship Id="rId216" Type="http://schemas.openxmlformats.org/officeDocument/2006/relationships/hyperlink" Target="https://www.npmedicalips.com" TargetMode="External"/><Relationship Id="rId337" Type="http://schemas.openxmlformats.org/officeDocument/2006/relationships/hyperlink" Target="http://www.unitox.com" TargetMode="External"/><Relationship Id="rId458" Type="http://schemas.openxmlformats.org/officeDocument/2006/relationships/hyperlink" Target="https://braincognitiva.com/" TargetMode="External"/><Relationship Id="rId579" Type="http://schemas.openxmlformats.org/officeDocument/2006/relationships/hyperlink" Target="https://www.keralty.com" TargetMode="External"/><Relationship Id="rId215" Type="http://schemas.openxmlformats.org/officeDocument/2006/relationships/hyperlink" Target="http://www.inea.com.co" TargetMode="External"/><Relationship Id="rId336" Type="http://schemas.openxmlformats.org/officeDocument/2006/relationships/hyperlink" Target="http://www.starksmartgym.com.co" TargetMode="External"/><Relationship Id="rId457" Type="http://schemas.openxmlformats.org/officeDocument/2006/relationships/hyperlink" Target="https://tlimagen.com" TargetMode="External"/><Relationship Id="rId578" Type="http://schemas.openxmlformats.org/officeDocument/2006/relationships/hyperlink" Target="https://www.versania.com" TargetMode="External"/><Relationship Id="rId214" Type="http://schemas.openxmlformats.org/officeDocument/2006/relationships/hyperlink" Target="http://www.ced24horas.com" TargetMode="External"/><Relationship Id="rId335" Type="http://schemas.openxmlformats.org/officeDocument/2006/relationships/hyperlink" Target="http://gastricare.net" TargetMode="External"/><Relationship Id="rId456" Type="http://schemas.openxmlformats.org/officeDocument/2006/relationships/hyperlink" Target="https://www.aeromas.com.co" TargetMode="External"/><Relationship Id="rId577" Type="http://schemas.openxmlformats.org/officeDocument/2006/relationships/hyperlink" Target="https://grupocisne.org" TargetMode="External"/><Relationship Id="rId219" Type="http://schemas.openxmlformats.org/officeDocument/2006/relationships/hyperlink" Target="http://www.inser.com.co" TargetMode="External"/><Relationship Id="rId218" Type="http://schemas.openxmlformats.org/officeDocument/2006/relationships/hyperlink" Target="http://www.bocanova.com.co" TargetMode="External"/><Relationship Id="rId339" Type="http://schemas.openxmlformats.org/officeDocument/2006/relationships/hyperlink" Target="http://www.cencardio.com" TargetMode="External"/><Relationship Id="rId330" Type="http://schemas.openxmlformats.org/officeDocument/2006/relationships/hyperlink" Target="http://www.renconsultores.com.co" TargetMode="External"/><Relationship Id="rId451" Type="http://schemas.openxmlformats.org/officeDocument/2006/relationships/hyperlink" Target="https://www.innovargestion.com" TargetMode="External"/><Relationship Id="rId572" Type="http://schemas.openxmlformats.org/officeDocument/2006/relationships/hyperlink" Target="https://www.com" TargetMode="External"/><Relationship Id="rId450" Type="http://schemas.openxmlformats.org/officeDocument/2006/relationships/hyperlink" Target="https://www.jrdiagnostic.com" TargetMode="External"/><Relationship Id="rId571" Type="http://schemas.openxmlformats.org/officeDocument/2006/relationships/hyperlink" Target="https://clinicathome.com.co" TargetMode="External"/><Relationship Id="rId570" Type="http://schemas.openxmlformats.org/officeDocument/2006/relationships/hyperlink" Target="https://vitalage2.com" TargetMode="External"/><Relationship Id="rId213" Type="http://schemas.openxmlformats.org/officeDocument/2006/relationships/hyperlink" Target="http://www.sies.com.co" TargetMode="External"/><Relationship Id="rId334" Type="http://schemas.openxmlformats.org/officeDocument/2006/relationships/hyperlink" Target="http://www.medicalenergy.co" TargetMode="External"/><Relationship Id="rId455" Type="http://schemas.openxmlformats.org/officeDocument/2006/relationships/hyperlink" Target="https://tumedicoencasaips.com" TargetMode="External"/><Relationship Id="rId576" Type="http://schemas.openxmlformats.org/officeDocument/2006/relationships/hyperlink" Target="https://tuspediatras.com.co" TargetMode="External"/><Relationship Id="rId212" Type="http://schemas.openxmlformats.org/officeDocument/2006/relationships/hyperlink" Target="http://www.ortodonciayaba.com" TargetMode="External"/><Relationship Id="rId333" Type="http://schemas.openxmlformats.org/officeDocument/2006/relationships/hyperlink" Target="http://www.seintsas.com" TargetMode="External"/><Relationship Id="rId454" Type="http://schemas.openxmlformats.org/officeDocument/2006/relationships/hyperlink" Target="http://www.starkey.com.co" TargetMode="External"/><Relationship Id="rId575" Type="http://schemas.openxmlformats.org/officeDocument/2006/relationships/hyperlink" Target="https://sedare.com" TargetMode="External"/><Relationship Id="rId211" Type="http://schemas.openxmlformats.org/officeDocument/2006/relationships/hyperlink" Target="http://www.endoger.com" TargetMode="External"/><Relationship Id="rId332" Type="http://schemas.openxmlformats.org/officeDocument/2006/relationships/hyperlink" Target="http://www.gaes.co" TargetMode="External"/><Relationship Id="rId453" Type="http://schemas.openxmlformats.org/officeDocument/2006/relationships/hyperlink" Target="https://jaasiel.com.co/" TargetMode="External"/><Relationship Id="rId574" Type="http://schemas.openxmlformats.org/officeDocument/2006/relationships/hyperlink" Target="https://na" TargetMode="External"/><Relationship Id="rId210" Type="http://schemas.openxmlformats.org/officeDocument/2006/relationships/hyperlink" Target="http://www.fundacionsurcos.org" TargetMode="External"/><Relationship Id="rId331" Type="http://schemas.openxmlformats.org/officeDocument/2006/relationships/hyperlink" Target="http://www.logrosips.com" TargetMode="External"/><Relationship Id="rId452" Type="http://schemas.openxmlformats.org/officeDocument/2006/relationships/hyperlink" Target="https://www.saludmasin.co" TargetMode="External"/><Relationship Id="rId573" Type="http://schemas.openxmlformats.org/officeDocument/2006/relationships/hyperlink" Target="https://na" TargetMode="External"/><Relationship Id="rId370" Type="http://schemas.openxmlformats.org/officeDocument/2006/relationships/hyperlink" Target="http://www.cuidarhqs.com.co" TargetMode="External"/><Relationship Id="rId491" Type="http://schemas.openxmlformats.org/officeDocument/2006/relationships/hyperlink" Target="https://galenia.co" TargetMode="External"/><Relationship Id="rId490" Type="http://schemas.openxmlformats.org/officeDocument/2006/relationships/hyperlink" Target="https://www.cantik.com.co" TargetMode="External"/><Relationship Id="rId129" Type="http://schemas.openxmlformats.org/officeDocument/2006/relationships/hyperlink" Target="http://www.clinisurips.com" TargetMode="External"/><Relationship Id="rId128" Type="http://schemas.openxmlformats.org/officeDocument/2006/relationships/hyperlink" Target="http://www.atryscolombia.com" TargetMode="External"/><Relationship Id="rId249" Type="http://schemas.openxmlformats.org/officeDocument/2006/relationships/hyperlink" Target="http://www.draluzmarinadiaz.com" TargetMode="External"/><Relationship Id="rId127" Type="http://schemas.openxmlformats.org/officeDocument/2006/relationships/hyperlink" Target="http://www.colsanitas.com.co" TargetMode="External"/><Relationship Id="rId248" Type="http://schemas.openxmlformats.org/officeDocument/2006/relationships/hyperlink" Target="http://www.ipssaludintegralsabana.com" TargetMode="External"/><Relationship Id="rId369" Type="http://schemas.openxmlformats.org/officeDocument/2006/relationships/hyperlink" Target="http://www.fundacionlaluz.co" TargetMode="External"/><Relationship Id="rId126" Type="http://schemas.openxmlformats.org/officeDocument/2006/relationships/hyperlink" Target="http://www.medsport.com.co" TargetMode="External"/><Relationship Id="rId247" Type="http://schemas.openxmlformats.org/officeDocument/2006/relationships/hyperlink" Target="http://www.fisios.com.co" TargetMode="External"/><Relationship Id="rId368" Type="http://schemas.openxmlformats.org/officeDocument/2006/relationships/hyperlink" Target="http://www.novasmile.com" TargetMode="External"/><Relationship Id="rId489" Type="http://schemas.openxmlformats.org/officeDocument/2006/relationships/hyperlink" Target="https://radiologia" TargetMode="External"/><Relationship Id="rId121" Type="http://schemas.openxmlformats.org/officeDocument/2006/relationships/hyperlink" Target="http://www.arcangeles.org" TargetMode="External"/><Relationship Id="rId242" Type="http://schemas.openxmlformats.org/officeDocument/2006/relationships/hyperlink" Target="http://franciahermidaips.com.co" TargetMode="External"/><Relationship Id="rId363" Type="http://schemas.openxmlformats.org/officeDocument/2006/relationships/hyperlink" Target="http://www.clinicalatoscana.com.co" TargetMode="External"/><Relationship Id="rId484" Type="http://schemas.openxmlformats.org/officeDocument/2006/relationships/hyperlink" Target="https://nt" TargetMode="External"/><Relationship Id="rId120" Type="http://schemas.openxmlformats.org/officeDocument/2006/relationships/hyperlink" Target="http://www.emuracenter.org" TargetMode="External"/><Relationship Id="rId241" Type="http://schemas.openxmlformats.org/officeDocument/2006/relationships/hyperlink" Target="http://www.lafamvisioncenter.com.co" TargetMode="External"/><Relationship Id="rId362" Type="http://schemas.openxmlformats.org/officeDocument/2006/relationships/hyperlink" Target="http://www.neurofamilia.com.co" TargetMode="External"/><Relationship Id="rId483" Type="http://schemas.openxmlformats.org/officeDocument/2006/relationships/hyperlink" Target="https://n/a" TargetMode="External"/><Relationship Id="rId240" Type="http://schemas.openxmlformats.org/officeDocument/2006/relationships/hyperlink" Target="http://www.proyectarsalud.com" TargetMode="External"/><Relationship Id="rId361" Type="http://schemas.openxmlformats.org/officeDocument/2006/relationships/hyperlink" Target="https://www.clinicaswhite.com/" TargetMode="External"/><Relationship Id="rId482" Type="http://schemas.openxmlformats.org/officeDocument/2006/relationships/hyperlink" Target="https://isama.com.co" TargetMode="External"/><Relationship Id="rId360" Type="http://schemas.openxmlformats.org/officeDocument/2006/relationships/hyperlink" Target="http://www.bioarray.es" TargetMode="External"/><Relationship Id="rId481" Type="http://schemas.openxmlformats.org/officeDocument/2006/relationships/hyperlink" Target="https://autoimmunity.com.co" TargetMode="External"/><Relationship Id="rId125" Type="http://schemas.openxmlformats.org/officeDocument/2006/relationships/hyperlink" Target="http://www.cifel.co" TargetMode="External"/><Relationship Id="rId246" Type="http://schemas.openxmlformats.org/officeDocument/2006/relationships/hyperlink" Target="http://www.corpoopat.com" TargetMode="External"/><Relationship Id="rId367" Type="http://schemas.openxmlformats.org/officeDocument/2006/relationships/hyperlink" Target="https://smaclinica.com/" TargetMode="External"/><Relationship Id="rId488" Type="http://schemas.openxmlformats.org/officeDocument/2006/relationships/hyperlink" Target="https://www.rebornmedicinaestetica.com" TargetMode="External"/><Relationship Id="rId124" Type="http://schemas.openxmlformats.org/officeDocument/2006/relationships/hyperlink" Target="https://ortocid.com/" TargetMode="External"/><Relationship Id="rId245" Type="http://schemas.openxmlformats.org/officeDocument/2006/relationships/hyperlink" Target="http://www.integralsolutionssd.com" TargetMode="External"/><Relationship Id="rId366" Type="http://schemas.openxmlformats.org/officeDocument/2006/relationships/hyperlink" Target="http://www.lasertam.co" TargetMode="External"/><Relationship Id="rId487" Type="http://schemas.openxmlformats.org/officeDocument/2006/relationships/hyperlink" Target="https://neurotherapy.com.co/" TargetMode="External"/><Relationship Id="rId123" Type="http://schemas.openxmlformats.org/officeDocument/2006/relationships/hyperlink" Target="http://www.colsanitas.com" TargetMode="External"/><Relationship Id="rId244" Type="http://schemas.openxmlformats.org/officeDocument/2006/relationships/hyperlink" Target="https://christussinergia.com/" TargetMode="External"/><Relationship Id="rId365" Type="http://schemas.openxmlformats.org/officeDocument/2006/relationships/hyperlink" Target="https://medikplus.com.co/" TargetMode="External"/><Relationship Id="rId486" Type="http://schemas.openxmlformats.org/officeDocument/2006/relationships/hyperlink" Target="https://ikiskinexperts.com" TargetMode="External"/><Relationship Id="rId122" Type="http://schemas.openxmlformats.org/officeDocument/2006/relationships/hyperlink" Target="http://www.sanisaludencasa.com.co" TargetMode="External"/><Relationship Id="rId243" Type="http://schemas.openxmlformats.org/officeDocument/2006/relationships/hyperlink" Target="http://www.dentisalud.com.co" TargetMode="External"/><Relationship Id="rId364" Type="http://schemas.openxmlformats.org/officeDocument/2006/relationships/hyperlink" Target="http://www.neuroavanzar.com" TargetMode="External"/><Relationship Id="rId485" Type="http://schemas.openxmlformats.org/officeDocument/2006/relationships/hyperlink" Target="https://dualsense.com.co" TargetMode="External"/><Relationship Id="rId95" Type="http://schemas.openxmlformats.org/officeDocument/2006/relationships/hyperlink" Target="http://www.cendiatra.com" TargetMode="External"/><Relationship Id="rId94" Type="http://schemas.openxmlformats.org/officeDocument/2006/relationships/hyperlink" Target="http://www.ipssanluis.com" TargetMode="External"/><Relationship Id="rId97" Type="http://schemas.openxmlformats.org/officeDocument/2006/relationships/hyperlink" Target="http://www.osl.com.co" TargetMode="External"/><Relationship Id="rId96" Type="http://schemas.openxmlformats.org/officeDocument/2006/relationships/hyperlink" Target="http://www.adom.com.co" TargetMode="External"/><Relationship Id="rId99" Type="http://schemas.openxmlformats.org/officeDocument/2006/relationships/hyperlink" Target="https://mtgaliano.com/" TargetMode="External"/><Relationship Id="rId480" Type="http://schemas.openxmlformats.org/officeDocument/2006/relationships/hyperlink" Target="https://www.mentalhealthips.com" TargetMode="External"/><Relationship Id="rId98" Type="http://schemas.openxmlformats.org/officeDocument/2006/relationships/hyperlink" Target="http://www.acudirltda.com" TargetMode="External"/><Relationship Id="rId91" Type="http://schemas.openxmlformats.org/officeDocument/2006/relationships/hyperlink" Target="http://www.entornoycia.co" TargetMode="External"/><Relationship Id="rId90" Type="http://schemas.openxmlformats.org/officeDocument/2006/relationships/hyperlink" Target="http://www.bogotalaser.com" TargetMode="External"/><Relationship Id="rId93" Type="http://schemas.openxmlformats.org/officeDocument/2006/relationships/hyperlink" Target="http://www.emermedica.com.co" TargetMode="External"/><Relationship Id="rId92" Type="http://schemas.openxmlformats.org/officeDocument/2006/relationships/hyperlink" Target="http://www.geneticamolecular.co" TargetMode="External"/><Relationship Id="rId118" Type="http://schemas.openxmlformats.org/officeDocument/2006/relationships/hyperlink" Target="http://www.hospitalinfatildesanjose.org.co" TargetMode="External"/><Relationship Id="rId239" Type="http://schemas.openxmlformats.org/officeDocument/2006/relationships/hyperlink" Target="http://www.ceren.co" TargetMode="External"/><Relationship Id="rId117" Type="http://schemas.openxmlformats.org/officeDocument/2006/relationships/hyperlink" Target="http://www.electrofisiatria.com" TargetMode="External"/><Relationship Id="rId238" Type="http://schemas.openxmlformats.org/officeDocument/2006/relationships/hyperlink" Target="http://www.unidiagnostico.com.co" TargetMode="External"/><Relationship Id="rId359" Type="http://schemas.openxmlformats.org/officeDocument/2006/relationships/hyperlink" Target="https://enlacelabcolombia.com/2021/" TargetMode="External"/><Relationship Id="rId116" Type="http://schemas.openxmlformats.org/officeDocument/2006/relationships/hyperlink" Target="http://www.audiocom-ips.com" TargetMode="External"/><Relationship Id="rId237" Type="http://schemas.openxmlformats.org/officeDocument/2006/relationships/hyperlink" Target="http://www.mediglobal.co" TargetMode="External"/><Relationship Id="rId358" Type="http://schemas.openxmlformats.org/officeDocument/2006/relationships/hyperlink" Target="http://www.healthsupport.com.co" TargetMode="External"/><Relationship Id="rId479" Type="http://schemas.openxmlformats.org/officeDocument/2006/relationships/hyperlink" Target="https://www.hanniamurra.co" TargetMode="External"/><Relationship Id="rId115" Type="http://schemas.openxmlformats.org/officeDocument/2006/relationships/hyperlink" Target="http://www.lacasadebill.net" TargetMode="External"/><Relationship Id="rId236" Type="http://schemas.openxmlformats.org/officeDocument/2006/relationships/hyperlink" Target="http://www.eugin.com.co" TargetMode="External"/><Relationship Id="rId357" Type="http://schemas.openxmlformats.org/officeDocument/2006/relationships/hyperlink" Target="https://celagem.com/" TargetMode="External"/><Relationship Id="rId478" Type="http://schemas.openxmlformats.org/officeDocument/2006/relationships/hyperlink" Target="https://www.salinmips.com" TargetMode="External"/><Relationship Id="rId119" Type="http://schemas.openxmlformats.org/officeDocument/2006/relationships/hyperlink" Target="http://www.gmo.com.co" TargetMode="External"/><Relationship Id="rId110" Type="http://schemas.openxmlformats.org/officeDocument/2006/relationships/hyperlink" Target="http://www.colombianadetrasplantes.com" TargetMode="External"/><Relationship Id="rId231" Type="http://schemas.openxmlformats.org/officeDocument/2006/relationships/hyperlink" Target="http://familymedicalips.com/" TargetMode="External"/><Relationship Id="rId352" Type="http://schemas.openxmlformats.org/officeDocument/2006/relationships/hyperlink" Target="http://evolucia.com.co" TargetMode="External"/><Relationship Id="rId473" Type="http://schemas.openxmlformats.org/officeDocument/2006/relationships/hyperlink" Target="https://www.semperlaser.com/es/depilacion-laser" TargetMode="External"/><Relationship Id="rId230" Type="http://schemas.openxmlformats.org/officeDocument/2006/relationships/hyperlink" Target="http://www.evenmec.com" TargetMode="External"/><Relationship Id="rId351" Type="http://schemas.openxmlformats.org/officeDocument/2006/relationships/hyperlink" Target="https://cidegen.com/" TargetMode="External"/><Relationship Id="rId472" Type="http://schemas.openxmlformats.org/officeDocument/2006/relationships/hyperlink" Target="https://www.aussantpharma.com/" TargetMode="External"/><Relationship Id="rId350" Type="http://schemas.openxmlformats.org/officeDocument/2006/relationships/hyperlink" Target="https://cumbrecolombia.com" TargetMode="External"/><Relationship Id="rId471" Type="http://schemas.openxmlformats.org/officeDocument/2006/relationships/hyperlink" Target="https://www.imedh.com.co" TargetMode="External"/><Relationship Id="rId470" Type="http://schemas.openxmlformats.org/officeDocument/2006/relationships/hyperlink" Target="https://conexus-group.com" TargetMode="External"/><Relationship Id="rId114" Type="http://schemas.openxmlformats.org/officeDocument/2006/relationships/hyperlink" Target="http://www.cedhi.com" TargetMode="External"/><Relationship Id="rId235" Type="http://schemas.openxmlformats.org/officeDocument/2006/relationships/hyperlink" Target="http://www.odontoamiga.com" TargetMode="External"/><Relationship Id="rId356" Type="http://schemas.openxmlformats.org/officeDocument/2006/relationships/hyperlink" Target="https://www.ottobock.com" TargetMode="External"/><Relationship Id="rId477" Type="http://schemas.openxmlformats.org/officeDocument/2006/relationships/hyperlink" Target="https://lecmac.com" TargetMode="External"/><Relationship Id="rId113" Type="http://schemas.openxmlformats.org/officeDocument/2006/relationships/hyperlink" Target="http://www.ayudasauditivas.com" TargetMode="External"/><Relationship Id="rId234" Type="http://schemas.openxmlformats.org/officeDocument/2006/relationships/hyperlink" Target="http://www.colmedicos.com" TargetMode="External"/><Relationship Id="rId355" Type="http://schemas.openxmlformats.org/officeDocument/2006/relationships/hyperlink" Target="https://adlaboratoriosas.wixsite.com/misitio" TargetMode="External"/><Relationship Id="rId476" Type="http://schemas.openxmlformats.org/officeDocument/2006/relationships/hyperlink" Target="https://laclinicadentalcolombia.com.co" TargetMode="External"/><Relationship Id="rId112" Type="http://schemas.openxmlformats.org/officeDocument/2006/relationships/hyperlink" Target="http://www.fundacionsiam.org" TargetMode="External"/><Relationship Id="rId233" Type="http://schemas.openxmlformats.org/officeDocument/2006/relationships/hyperlink" Target="http://www.alexllanos.com" TargetMode="External"/><Relationship Id="rId354" Type="http://schemas.openxmlformats.org/officeDocument/2006/relationships/hyperlink" Target="http://www.adqlife.com" TargetMode="External"/><Relationship Id="rId475" Type="http://schemas.openxmlformats.org/officeDocument/2006/relationships/hyperlink" Target="https://creemosenti.com" TargetMode="External"/><Relationship Id="rId111" Type="http://schemas.openxmlformats.org/officeDocument/2006/relationships/hyperlink" Target="http://www.oyg.com.co" TargetMode="External"/><Relationship Id="rId232" Type="http://schemas.openxmlformats.org/officeDocument/2006/relationships/hyperlink" Target="http://vidamedicalips.com" TargetMode="External"/><Relationship Id="rId353" Type="http://schemas.openxmlformats.org/officeDocument/2006/relationships/hyperlink" Target="http://www.medimovilips.com" TargetMode="External"/><Relationship Id="rId474" Type="http://schemas.openxmlformats.org/officeDocument/2006/relationships/hyperlink" Target="https://www.clinicamafra.com" TargetMode="External"/><Relationship Id="rId305" Type="http://schemas.openxmlformats.org/officeDocument/2006/relationships/hyperlink" Target="http://www.quironips.co" TargetMode="External"/><Relationship Id="rId426" Type="http://schemas.openxmlformats.org/officeDocument/2006/relationships/hyperlink" Target="https://www.ipsensalud.com.co/pagina/index.php" TargetMode="External"/><Relationship Id="rId547" Type="http://schemas.openxmlformats.org/officeDocument/2006/relationships/hyperlink" Target="https://www.instagram.com/normacardenas.opt?igsh=zdizaxb4y3awmmv0" TargetMode="External"/><Relationship Id="rId304" Type="http://schemas.openxmlformats.org/officeDocument/2006/relationships/hyperlink" Target="http://www.medicglobalips.com.co" TargetMode="External"/><Relationship Id="rId425" Type="http://schemas.openxmlformats.org/officeDocument/2006/relationships/hyperlink" Target="https://www.domsalud.com/" TargetMode="External"/><Relationship Id="rId546" Type="http://schemas.openxmlformats.org/officeDocument/2006/relationships/hyperlink" Target="https://doctoramonicabotero.com/" TargetMode="External"/><Relationship Id="rId303" Type="http://schemas.openxmlformats.org/officeDocument/2006/relationships/hyperlink" Target="http://www.clinicadelcolon.com" TargetMode="External"/><Relationship Id="rId424" Type="http://schemas.openxmlformats.org/officeDocument/2006/relationships/hyperlink" Target="https://meditet.com" TargetMode="External"/><Relationship Id="rId545" Type="http://schemas.openxmlformats.org/officeDocument/2006/relationships/hyperlink" Target="https://fertilitydreams.co/es/" TargetMode="External"/><Relationship Id="rId302" Type="http://schemas.openxmlformats.org/officeDocument/2006/relationships/hyperlink" Target="http://www.coltherapy.com" TargetMode="External"/><Relationship Id="rId423" Type="http://schemas.openxmlformats.org/officeDocument/2006/relationships/hyperlink" Target="https://www.carpegroup.co" TargetMode="External"/><Relationship Id="rId544" Type="http://schemas.openxmlformats.org/officeDocument/2006/relationships/hyperlink" Target="https://www.redspire.co" TargetMode="External"/><Relationship Id="rId309" Type="http://schemas.openxmlformats.org/officeDocument/2006/relationships/hyperlink" Target="http://www.cepasaludips.com" TargetMode="External"/><Relationship Id="rId308" Type="http://schemas.openxmlformats.org/officeDocument/2006/relationships/hyperlink" Target="http://www.compcasalud.com" TargetMode="External"/><Relationship Id="rId429" Type="http://schemas.openxmlformats.org/officeDocument/2006/relationships/hyperlink" Target="https://na" TargetMode="External"/><Relationship Id="rId307" Type="http://schemas.openxmlformats.org/officeDocument/2006/relationships/hyperlink" Target="http://www.gestionmedicaensalud.com" TargetMode="External"/><Relationship Id="rId428" Type="http://schemas.openxmlformats.org/officeDocument/2006/relationships/hyperlink" Target="https://instagram.com/goi_ips_?utm_medium=copy_link" TargetMode="External"/><Relationship Id="rId549" Type="http://schemas.openxmlformats.org/officeDocument/2006/relationships/hyperlink" Target="https://na" TargetMode="External"/><Relationship Id="rId306" Type="http://schemas.openxmlformats.org/officeDocument/2006/relationships/hyperlink" Target="http://www.drhelpsas.com" TargetMode="External"/><Relationship Id="rId427" Type="http://schemas.openxmlformats.org/officeDocument/2006/relationships/hyperlink" Target="https://www.acousticsystem.com" TargetMode="External"/><Relationship Id="rId548" Type="http://schemas.openxmlformats.org/officeDocument/2006/relationships/hyperlink" Target="https://www.lessencebeautycenter.com" TargetMode="External"/><Relationship Id="rId301" Type="http://schemas.openxmlformats.org/officeDocument/2006/relationships/hyperlink" Target="http://www.christiansalazar.com" TargetMode="External"/><Relationship Id="rId422" Type="http://schemas.openxmlformats.org/officeDocument/2006/relationships/hyperlink" Target="https://www.clinicaunisabana.edu.co/nuestra-clinica/" TargetMode="External"/><Relationship Id="rId543" Type="http://schemas.openxmlformats.org/officeDocument/2006/relationships/hyperlink" Target="https://workers.com.co" TargetMode="External"/><Relationship Id="rId300" Type="http://schemas.openxmlformats.org/officeDocument/2006/relationships/hyperlink" Target="http://www.gnostika.co" TargetMode="External"/><Relationship Id="rId421" Type="http://schemas.openxmlformats.org/officeDocument/2006/relationships/hyperlink" Target="https://www.cuidarplusips.com" TargetMode="External"/><Relationship Id="rId542" Type="http://schemas.openxmlformats.org/officeDocument/2006/relationships/hyperlink" Target="https://noaplica.com" TargetMode="External"/><Relationship Id="rId420" Type="http://schemas.openxmlformats.org/officeDocument/2006/relationships/hyperlink" Target="https://www.tusaludlaboralipsas.com" TargetMode="External"/><Relationship Id="rId541" Type="http://schemas.openxmlformats.org/officeDocument/2006/relationships/hyperlink" Target="https://apoyoensaludintegral.com" TargetMode="External"/><Relationship Id="rId540" Type="http://schemas.openxmlformats.org/officeDocument/2006/relationships/hyperlink" Target="https://senyix" TargetMode="External"/><Relationship Id="rId415" Type="http://schemas.openxmlformats.org/officeDocument/2006/relationships/hyperlink" Target="https://elitecosmeticdental.com" TargetMode="External"/><Relationship Id="rId536" Type="http://schemas.openxmlformats.org/officeDocument/2006/relationships/hyperlink" Target="https://carolinasolorzano.co/" TargetMode="External"/><Relationship Id="rId414" Type="http://schemas.openxmlformats.org/officeDocument/2006/relationships/hyperlink" Target="https://www.a-prueba.com" TargetMode="External"/><Relationship Id="rId535" Type="http://schemas.openxmlformats.org/officeDocument/2006/relationships/hyperlink" Target="https://saludylaser.co/" TargetMode="External"/><Relationship Id="rId413" Type="http://schemas.openxmlformats.org/officeDocument/2006/relationships/hyperlink" Target="https://www.oralgreen.com.co" TargetMode="External"/><Relationship Id="rId534" Type="http://schemas.openxmlformats.org/officeDocument/2006/relationships/hyperlink" Target="https://saludamav.com/" TargetMode="External"/><Relationship Id="rId412" Type="http://schemas.openxmlformats.org/officeDocument/2006/relationships/hyperlink" Target="https://www.sisoips.com" TargetMode="External"/><Relationship Id="rId533" Type="http://schemas.openxmlformats.org/officeDocument/2006/relationships/hyperlink" Target="https://www.facebook.com/andeslasercenter/" TargetMode="External"/><Relationship Id="rId419" Type="http://schemas.openxmlformats.org/officeDocument/2006/relationships/hyperlink" Target="https://www.newdayips.co" TargetMode="External"/><Relationship Id="rId418" Type="http://schemas.openxmlformats.org/officeDocument/2006/relationships/hyperlink" Target="https://nueva.oxi50.com.co" TargetMode="External"/><Relationship Id="rId539" Type="http://schemas.openxmlformats.org/officeDocument/2006/relationships/hyperlink" Target="https://udiamips.com" TargetMode="External"/><Relationship Id="rId417" Type="http://schemas.openxmlformats.org/officeDocument/2006/relationships/hyperlink" Target="https://www.ipswellnesshealth.com" TargetMode="External"/><Relationship Id="rId538" Type="http://schemas.openxmlformats.org/officeDocument/2006/relationships/hyperlink" Target="https://www.skinandbeauty.com.co/" TargetMode="External"/><Relationship Id="rId416" Type="http://schemas.openxmlformats.org/officeDocument/2006/relationships/hyperlink" Target="https://www.ocupasalud.com" TargetMode="External"/><Relationship Id="rId537" Type="http://schemas.openxmlformats.org/officeDocument/2006/relationships/hyperlink" Target="https://pdi-ia.com" TargetMode="External"/><Relationship Id="rId411" Type="http://schemas.openxmlformats.org/officeDocument/2006/relationships/hyperlink" Target="https://ambusanar.com" TargetMode="External"/><Relationship Id="rId532" Type="http://schemas.openxmlformats.org/officeDocument/2006/relationships/hyperlink" Target="https://w.app/abodontologia" TargetMode="External"/><Relationship Id="rId410" Type="http://schemas.openxmlformats.org/officeDocument/2006/relationships/hyperlink" Target="https://saludllanosips.com" TargetMode="External"/><Relationship Id="rId531" Type="http://schemas.openxmlformats.org/officeDocument/2006/relationships/hyperlink" Target="https://larsaludbogota" TargetMode="External"/><Relationship Id="rId530" Type="http://schemas.openxmlformats.org/officeDocument/2006/relationships/hyperlink" Target="https://labexpert.com" TargetMode="External"/><Relationship Id="rId206" Type="http://schemas.openxmlformats.org/officeDocument/2006/relationships/hyperlink" Target="https://medicentrofamiliarips.com/" TargetMode="External"/><Relationship Id="rId327" Type="http://schemas.openxmlformats.org/officeDocument/2006/relationships/hyperlink" Target="http://www.grammo.org" TargetMode="External"/><Relationship Id="rId448" Type="http://schemas.openxmlformats.org/officeDocument/2006/relationships/hyperlink" Target="http://clinicaparamo.com/" TargetMode="External"/><Relationship Id="rId569" Type="http://schemas.openxmlformats.org/officeDocument/2006/relationships/hyperlink" Target="https://dermainnova.com.co/" TargetMode="External"/><Relationship Id="rId205" Type="http://schemas.openxmlformats.org/officeDocument/2006/relationships/hyperlink" Target="http://www.mmsaludocupacional.com" TargetMode="External"/><Relationship Id="rId326" Type="http://schemas.openxmlformats.org/officeDocument/2006/relationships/hyperlink" Target="https://medicalltda.com.co" TargetMode="External"/><Relationship Id="rId447" Type="http://schemas.openxmlformats.org/officeDocument/2006/relationships/hyperlink" Target="https://na" TargetMode="External"/><Relationship Id="rId568" Type="http://schemas.openxmlformats.org/officeDocument/2006/relationships/hyperlink" Target="https://inprosalud.com.co" TargetMode="External"/><Relationship Id="rId204" Type="http://schemas.openxmlformats.org/officeDocument/2006/relationships/hyperlink" Target="http://www.aesthetic.com" TargetMode="External"/><Relationship Id="rId325" Type="http://schemas.openxmlformats.org/officeDocument/2006/relationships/hyperlink" Target="http://www.protegerips.com" TargetMode="External"/><Relationship Id="rId446" Type="http://schemas.openxmlformats.org/officeDocument/2006/relationships/hyperlink" Target="https://grupoceipas.com" TargetMode="External"/><Relationship Id="rId567" Type="http://schemas.openxmlformats.org/officeDocument/2006/relationships/hyperlink" Target="https://na" TargetMode="External"/><Relationship Id="rId203" Type="http://schemas.openxmlformats.org/officeDocument/2006/relationships/hyperlink" Target="http://www.ophthalmos-ltda.com" TargetMode="External"/><Relationship Id="rId324" Type="http://schemas.openxmlformats.org/officeDocument/2006/relationships/hyperlink" Target="http://www.omnisalud.co" TargetMode="External"/><Relationship Id="rId445" Type="http://schemas.openxmlformats.org/officeDocument/2006/relationships/hyperlink" Target="https://cticsarmientoangulo.org/" TargetMode="External"/><Relationship Id="rId566" Type="http://schemas.openxmlformats.org/officeDocument/2006/relationships/hyperlink" Target="https://www.algesia.co/index.html" TargetMode="External"/><Relationship Id="rId209" Type="http://schemas.openxmlformats.org/officeDocument/2006/relationships/hyperlink" Target="http://www.hairdoctors.com.co" TargetMode="External"/><Relationship Id="rId208" Type="http://schemas.openxmlformats.org/officeDocument/2006/relationships/hyperlink" Target="http://www.biomab.co" TargetMode="External"/><Relationship Id="rId329" Type="http://schemas.openxmlformats.org/officeDocument/2006/relationships/hyperlink" Target="http://www.comerbas.com" TargetMode="External"/><Relationship Id="rId207" Type="http://schemas.openxmlformats.org/officeDocument/2006/relationships/hyperlink" Target="http://www.centrointernacionaldeespecialistas.com" TargetMode="External"/><Relationship Id="rId328" Type="http://schemas.openxmlformats.org/officeDocument/2006/relationships/hyperlink" Target="http://www.ciudadoptica.net" TargetMode="External"/><Relationship Id="rId449" Type="http://schemas.openxmlformats.org/officeDocument/2006/relationships/hyperlink" Target="https://na" TargetMode="External"/><Relationship Id="rId440" Type="http://schemas.openxmlformats.org/officeDocument/2006/relationships/hyperlink" Target="https://imeips.1doc3.com/" TargetMode="External"/><Relationship Id="rId561" Type="http://schemas.openxmlformats.org/officeDocument/2006/relationships/hyperlink" Target="https://pachoncirugiaplastica.com/" TargetMode="External"/><Relationship Id="rId560" Type="http://schemas.openxmlformats.org/officeDocument/2006/relationships/hyperlink" Target="https://therapist.com" TargetMode="External"/><Relationship Id="rId202" Type="http://schemas.openxmlformats.org/officeDocument/2006/relationships/hyperlink" Target="http://www.demenciasemanuel.com/" TargetMode="External"/><Relationship Id="rId323" Type="http://schemas.openxmlformats.org/officeDocument/2006/relationships/hyperlink" Target="http://www.saludvitalips.com" TargetMode="External"/><Relationship Id="rId444" Type="http://schemas.openxmlformats.org/officeDocument/2006/relationships/hyperlink" Target="https://celbritymedicalcenter.com" TargetMode="External"/><Relationship Id="rId565" Type="http://schemas.openxmlformats.org/officeDocument/2006/relationships/hyperlink" Target="about:blank" TargetMode="External"/><Relationship Id="rId201" Type="http://schemas.openxmlformats.org/officeDocument/2006/relationships/hyperlink" Target="http://www.dentoanalisis3d.com" TargetMode="External"/><Relationship Id="rId322" Type="http://schemas.openxmlformats.org/officeDocument/2006/relationships/hyperlink" Target="http://www.cimaalturas.com" TargetMode="External"/><Relationship Id="rId443" Type="http://schemas.openxmlformats.org/officeDocument/2006/relationships/hyperlink" Target="https://enfermeras.co/" TargetMode="External"/><Relationship Id="rId564" Type="http://schemas.openxmlformats.org/officeDocument/2006/relationships/hyperlink" Target="https://https" TargetMode="External"/><Relationship Id="rId200" Type="http://schemas.openxmlformats.org/officeDocument/2006/relationships/hyperlink" Target="http://www.insightpsicologia.net" TargetMode="External"/><Relationship Id="rId321" Type="http://schemas.openxmlformats.org/officeDocument/2006/relationships/hyperlink" Target="http://opticlinicas.com.co" TargetMode="External"/><Relationship Id="rId442" Type="http://schemas.openxmlformats.org/officeDocument/2006/relationships/hyperlink" Target="https://www.ortoptica.net/" TargetMode="External"/><Relationship Id="rId563" Type="http://schemas.openxmlformats.org/officeDocument/2006/relationships/hyperlink" Target="https://dradianapulgarin.com/" TargetMode="External"/><Relationship Id="rId320" Type="http://schemas.openxmlformats.org/officeDocument/2006/relationships/hyperlink" Target="http://www.godoctor.com.co" TargetMode="External"/><Relationship Id="rId441" Type="http://schemas.openxmlformats.org/officeDocument/2006/relationships/hyperlink" Target="https://www.hiife.com.co" TargetMode="External"/><Relationship Id="rId562" Type="http://schemas.openxmlformats.org/officeDocument/2006/relationships/hyperlink" Target="https://na" TargetMode="External"/><Relationship Id="rId316" Type="http://schemas.openxmlformats.org/officeDocument/2006/relationships/hyperlink" Target="http://www.dentica.com.co" TargetMode="External"/><Relationship Id="rId437" Type="http://schemas.openxmlformats.org/officeDocument/2006/relationships/hyperlink" Target="https://n/A" TargetMode="External"/><Relationship Id="rId558" Type="http://schemas.openxmlformats.org/officeDocument/2006/relationships/hyperlink" Target="https://na" TargetMode="External"/><Relationship Id="rId315" Type="http://schemas.openxmlformats.org/officeDocument/2006/relationships/hyperlink" Target="http://www.clinicasbuitrago.com" TargetMode="External"/><Relationship Id="rId436" Type="http://schemas.openxmlformats.org/officeDocument/2006/relationships/hyperlink" Target="https://notiene" TargetMode="External"/><Relationship Id="rId557" Type="http://schemas.openxmlformats.org/officeDocument/2006/relationships/hyperlink" Target="https://saludvitalips.com.co" TargetMode="External"/><Relationship Id="rId314" Type="http://schemas.openxmlformats.org/officeDocument/2006/relationships/hyperlink" Target="http://www.clinicaproyectarte.com" TargetMode="External"/><Relationship Id="rId435" Type="http://schemas.openxmlformats.org/officeDocument/2006/relationships/hyperlink" Target="https://www.gemssa.co" TargetMode="External"/><Relationship Id="rId556" Type="http://schemas.openxmlformats.org/officeDocument/2006/relationships/hyperlink" Target="https://socjips.com.co" TargetMode="External"/><Relationship Id="rId313" Type="http://schemas.openxmlformats.org/officeDocument/2006/relationships/hyperlink" Target="http://www.sedoanestesia.com" TargetMode="External"/><Relationship Id="rId434" Type="http://schemas.openxmlformats.org/officeDocument/2006/relationships/hyperlink" Target="http://www.medicidsas.com/new/" TargetMode="External"/><Relationship Id="rId555" Type="http://schemas.openxmlformats.org/officeDocument/2006/relationships/hyperlink" Target="https://nt" TargetMode="External"/><Relationship Id="rId319" Type="http://schemas.openxmlformats.org/officeDocument/2006/relationships/hyperlink" Target="http://www.clinicacolombianadecirugiaplastica.com" TargetMode="External"/><Relationship Id="rId318" Type="http://schemas.openxmlformats.org/officeDocument/2006/relationships/hyperlink" Target="http://www.gastroadvanced.com" TargetMode="External"/><Relationship Id="rId439" Type="http://schemas.openxmlformats.org/officeDocument/2006/relationships/hyperlink" Target="https://sanjosedelsursalud.co/" TargetMode="External"/><Relationship Id="rId317" Type="http://schemas.openxmlformats.org/officeDocument/2006/relationships/hyperlink" Target="http://www.findolor.com" TargetMode="External"/><Relationship Id="rId438" Type="http://schemas.openxmlformats.org/officeDocument/2006/relationships/hyperlink" Target="https://citimedicalips" TargetMode="External"/><Relationship Id="rId559" Type="http://schemas.openxmlformats.org/officeDocument/2006/relationships/hyperlink" Target="https://na" TargetMode="External"/><Relationship Id="rId550" Type="http://schemas.openxmlformats.org/officeDocument/2006/relationships/hyperlink" Target="https://drayadiragrimaldos.com/" TargetMode="External"/><Relationship Id="rId312" Type="http://schemas.openxmlformats.org/officeDocument/2006/relationships/hyperlink" Target="https://heli.com.co/" TargetMode="External"/><Relationship Id="rId433" Type="http://schemas.openxmlformats.org/officeDocument/2006/relationships/hyperlink" Target="https://girbro.co/" TargetMode="External"/><Relationship Id="rId554" Type="http://schemas.openxmlformats.org/officeDocument/2006/relationships/hyperlink" Target="https://www.dreamssedaciones.com" TargetMode="External"/><Relationship Id="rId311" Type="http://schemas.openxmlformats.org/officeDocument/2006/relationships/hyperlink" Target="http://www.hepatologo.com" TargetMode="External"/><Relationship Id="rId432" Type="http://schemas.openxmlformats.org/officeDocument/2006/relationships/hyperlink" Target="https://www.proambulancias.ips.com" TargetMode="External"/><Relationship Id="rId553" Type="http://schemas.openxmlformats.org/officeDocument/2006/relationships/hyperlink" Target="https://primeroips.com.co" TargetMode="External"/><Relationship Id="rId310" Type="http://schemas.openxmlformats.org/officeDocument/2006/relationships/hyperlink" Target="http://www.oralhome.com.co" TargetMode="External"/><Relationship Id="rId431" Type="http://schemas.openxmlformats.org/officeDocument/2006/relationships/hyperlink" Target="https://serviciosmedicosprioritarios.com.co" TargetMode="External"/><Relationship Id="rId552" Type="http://schemas.openxmlformats.org/officeDocument/2006/relationships/hyperlink" Target="https://adrianavenegas.com" TargetMode="External"/><Relationship Id="rId430" Type="http://schemas.openxmlformats.org/officeDocument/2006/relationships/hyperlink" Target="https://orientarkids.com" TargetMode="External"/><Relationship Id="rId551" Type="http://schemas.openxmlformats.org/officeDocument/2006/relationships/hyperlink" Target="https://auralcolombia.com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3" width="4.0"/>
    <col customWidth="1" min="4" max="10" width="12.0"/>
    <col customWidth="1" min="11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</row>
    <row r="4" ht="19.5" customHeight="1">
      <c r="A4" s="5" t="s">
        <v>1</v>
      </c>
      <c r="B4" s="6">
        <f>COUNT('Avance semanal'!D5:D30)</f>
        <v>0</v>
      </c>
      <c r="C4" s="4"/>
      <c r="D4" s="4"/>
      <c r="E4" s="4"/>
      <c r="F4" s="4"/>
      <c r="G4" s="4"/>
      <c r="H4" s="4"/>
      <c r="I4" s="4"/>
      <c r="J4" s="4"/>
    </row>
    <row r="5" ht="19.5" customHeight="1">
      <c r="A5" s="5" t="s">
        <v>2</v>
      </c>
      <c r="B5" s="7">
        <f>IFERROR(LOOKUP(2,1/('Avance semanal'!$D$5:$D$30&lt;&gt;""),'Avance semanal'!$D$5:$D$30),Supuestos!B7)</f>
        <v>20000</v>
      </c>
      <c r="C5" s="4"/>
      <c r="D5" s="4"/>
      <c r="E5" s="4"/>
      <c r="F5" s="4"/>
      <c r="G5" s="4"/>
      <c r="H5" s="4"/>
      <c r="I5" s="4"/>
      <c r="J5" s="4"/>
    </row>
    <row r="6" ht="19.5" customHeight="1">
      <c r="A6" s="5" t="s">
        <v>3</v>
      </c>
      <c r="B6" s="7">
        <f>IFERROR(LOOKUP(2,1/('Avance semanal'!$D$5:$D$30&lt;&gt;""),'Avance semanal'!$C$5:$C$30),Supuestos!B7)</f>
        <v>20000</v>
      </c>
      <c r="C6" s="4"/>
      <c r="D6" s="4"/>
      <c r="E6" s="4"/>
      <c r="F6" s="4"/>
      <c r="G6" s="4"/>
      <c r="H6" s="4"/>
      <c r="I6" s="4"/>
      <c r="J6" s="4"/>
    </row>
    <row r="7" ht="19.5" customHeight="1">
      <c r="A7" s="5" t="s">
        <v>4</v>
      </c>
      <c r="B7" s="8">
        <f>B5-B6</f>
        <v>0</v>
      </c>
      <c r="C7" s="4"/>
      <c r="D7" s="4"/>
      <c r="E7" s="4"/>
      <c r="F7" s="4"/>
      <c r="G7" s="4"/>
      <c r="H7" s="4"/>
      <c r="I7" s="4"/>
      <c r="J7" s="4"/>
    </row>
    <row r="8" ht="19.5" customHeight="1">
      <c r="A8" s="5" t="s">
        <v>5</v>
      </c>
      <c r="B8" s="9">
        <f>B5/Supuestos!B8</f>
        <v>0.2</v>
      </c>
      <c r="C8" s="4"/>
      <c r="D8" s="4"/>
      <c r="E8" s="4"/>
      <c r="F8" s="4"/>
      <c r="G8" s="4"/>
      <c r="H8" s="4"/>
      <c r="I8" s="4"/>
      <c r="J8" s="4"/>
    </row>
    <row r="9" ht="19.5" customHeight="1">
      <c r="A9" s="5" t="s">
        <v>6</v>
      </c>
      <c r="B9" s="9" t="str">
        <f>IFERROR(LOOKUP(2,1/('Avance semanal'!$G$5:$G$30&lt;&gt;""),'Avance semanal'!$G$5:$G$30),"")</f>
        <v/>
      </c>
      <c r="C9" s="4"/>
      <c r="D9" s="4"/>
      <c r="E9" s="4"/>
      <c r="F9" s="4"/>
      <c r="G9" s="4"/>
      <c r="H9" s="4"/>
      <c r="I9" s="4"/>
      <c r="J9" s="4"/>
    </row>
    <row r="10" ht="19.5" customHeight="1">
      <c r="A10" s="5" t="s">
        <v>7</v>
      </c>
      <c r="B10" s="9">
        <f>'Rampa 6 meses (YC)'!B3</f>
        <v>0.0638575051</v>
      </c>
      <c r="C10" s="4"/>
      <c r="D10" s="4"/>
      <c r="E10" s="4"/>
      <c r="F10" s="4"/>
      <c r="G10" s="4"/>
      <c r="H10" s="4"/>
      <c r="I10" s="4"/>
      <c r="J10" s="4"/>
    </row>
    <row r="11" ht="19.5" customHeight="1">
      <c r="A11" s="5" t="s">
        <v>8</v>
      </c>
      <c r="B11" s="6">
        <f>SUM('Avance semanal'!L5:L30)</f>
        <v>0</v>
      </c>
      <c r="C11" s="4"/>
      <c r="D11" s="4"/>
      <c r="E11" s="4"/>
      <c r="F11" s="4"/>
      <c r="G11" s="4"/>
      <c r="H11" s="4"/>
      <c r="I11" s="4"/>
      <c r="J11" s="4"/>
    </row>
    <row r="12" ht="19.5" customHeight="1">
      <c r="A12" s="5" t="s">
        <v>9</v>
      </c>
      <c r="B12" s="10">
        <f>IFERROR(LOOKUP(2,1/('Avance semanal'!$D$5:$D$30&lt;&gt;""),'Avance semanal'!$H$5:$H$30),0)</f>
        <v>0</v>
      </c>
      <c r="C12" s="4"/>
      <c r="D12" s="4"/>
      <c r="E12" s="4"/>
      <c r="F12" s="4"/>
      <c r="G12" s="4"/>
      <c r="H12" s="4"/>
      <c r="I12" s="4"/>
      <c r="J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5.0" customHeight="1">
      <c r="A14" s="11" t="s">
        <v>10</v>
      </c>
      <c r="B14" s="12" t="str">
        <f>IF(B4=0,"Sin datos",IF(B5&gt;=B6,"EN META",IF(B5&gt;=0.9*B6,"VIGILAR","ATRASADO")))</f>
        <v>Sin datos</v>
      </c>
      <c r="C14" s="4"/>
      <c r="D14" s="4"/>
      <c r="E14" s="4"/>
      <c r="F14" s="4"/>
      <c r="G14" s="4"/>
      <c r="H14" s="4"/>
      <c r="I14" s="4"/>
      <c r="J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.0" customHeight="1">
      <c r="A16" s="13" t="s">
        <v>11</v>
      </c>
      <c r="B16" s="2"/>
      <c r="C16" s="2"/>
      <c r="D16" s="2"/>
      <c r="E16" s="2"/>
      <c r="F16" s="2"/>
      <c r="G16" s="2"/>
      <c r="H16" s="2"/>
      <c r="I16" s="2"/>
      <c r="J16" s="3"/>
    </row>
    <row r="17" ht="15.0" customHeight="1">
      <c r="A17" s="14" t="s">
        <v>12</v>
      </c>
    </row>
    <row r="18" ht="15.0" customHeight="1">
      <c r="A18" s="14" t="s">
        <v>13</v>
      </c>
    </row>
    <row r="19" ht="15.0" customHeight="1">
      <c r="A19" s="14" t="s">
        <v>14</v>
      </c>
    </row>
    <row r="20" ht="15.0" customHeight="1">
      <c r="A20" s="14" t="s">
        <v>15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6">
    <mergeCell ref="A1:J1"/>
    <mergeCell ref="A16:J16"/>
    <mergeCell ref="A17:J17"/>
    <mergeCell ref="A18:J18"/>
    <mergeCell ref="A19:J19"/>
    <mergeCell ref="A20:J20"/>
  </mergeCells>
  <conditionalFormatting sqref="B14">
    <cfRule type="cellIs" dxfId="0" priority="1" operator="equal">
      <formula>"EN META"</formula>
    </cfRule>
  </conditionalFormatting>
  <conditionalFormatting sqref="B14">
    <cfRule type="cellIs" dxfId="1" priority="2" operator="equal">
      <formula>"VIGILAR"</formula>
    </cfRule>
  </conditionalFormatting>
  <conditionalFormatting sqref="B14">
    <cfRule type="cellIs" dxfId="2" priority="3" operator="equal">
      <formula>"ATRASADO"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15.0"/>
    <col customWidth="1" min="4" max="4" width="14.0"/>
    <col customWidth="1" min="5" max="5" width="17.0"/>
    <col customWidth="1" min="6" max="6" width="15.0"/>
    <col customWidth="1" min="7" max="26" width="8.71"/>
  </cols>
  <sheetData>
    <row r="1" ht="24.0" customHeight="1">
      <c r="A1" s="1" t="s">
        <v>16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 ht="23.25" customHeight="1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</row>
    <row r="4" ht="15.0" customHeight="1">
      <c r="A4" s="16" t="s">
        <v>23</v>
      </c>
      <c r="B4" s="17">
        <f>'Simba (aliado)'!B15</f>
        <v>159</v>
      </c>
      <c r="C4" s="18">
        <f>'Simba (aliado)'!D15</f>
        <v>24243</v>
      </c>
      <c r="D4" s="19">
        <f>'Simba (aliado)'!B8</f>
        <v>0.6</v>
      </c>
      <c r="E4" s="20">
        <f t="shared" ref="E4:E5" si="1">ROUND(B4*D4,0)</f>
        <v>95</v>
      </c>
      <c r="F4" s="21">
        <f t="shared" ref="F4:F5" si="2">C4*D4</f>
        <v>14545.8</v>
      </c>
    </row>
    <row r="5" ht="15.0" customHeight="1">
      <c r="A5" s="16" t="s">
        <v>24</v>
      </c>
      <c r="B5" s="17">
        <f>'SAO (aliado)'!C16</f>
        <v>0</v>
      </c>
      <c r="C5" s="18">
        <f>'SAO (aliado)'!E16</f>
        <v>0</v>
      </c>
      <c r="D5" s="19">
        <f>'SAO (aliado)'!B8</f>
        <v>0.6</v>
      </c>
      <c r="E5" s="20">
        <f t="shared" si="1"/>
        <v>0</v>
      </c>
      <c r="F5" s="21">
        <f t="shared" si="2"/>
        <v>0</v>
      </c>
    </row>
    <row r="6" ht="15.0" customHeight="1">
      <c r="A6" s="22" t="s">
        <v>25</v>
      </c>
      <c r="B6" s="23">
        <f>SUM(B4:B5)</f>
        <v>159</v>
      </c>
      <c r="C6" s="24"/>
      <c r="D6" s="24"/>
      <c r="E6" s="23">
        <f t="shared" ref="E6:F6" si="3">SUM(E4:E5)</f>
        <v>95</v>
      </c>
      <c r="F6" s="25">
        <f t="shared" si="3"/>
        <v>14545.8</v>
      </c>
    </row>
    <row r="7">
      <c r="A7" s="4"/>
      <c r="B7" s="4"/>
      <c r="C7" s="4"/>
      <c r="D7" s="4"/>
      <c r="E7" s="4"/>
      <c r="F7" s="4"/>
    </row>
    <row r="8" ht="15.0" customHeight="1">
      <c r="A8" s="13" t="s">
        <v>26</v>
      </c>
      <c r="B8" s="2"/>
      <c r="C8" s="2"/>
      <c r="D8" s="2"/>
      <c r="E8" s="2"/>
      <c r="F8" s="3"/>
    </row>
    <row r="9" ht="15.0" customHeight="1">
      <c r="A9" s="14" t="s">
        <v>27</v>
      </c>
    </row>
    <row r="10" ht="15.0" customHeight="1">
      <c r="A10" s="14" t="s">
        <v>28</v>
      </c>
    </row>
    <row r="11" ht="15.0" customHeight="1">
      <c r="A11" s="14" t="s">
        <v>29</v>
      </c>
    </row>
    <row r="12" ht="15.0" customHeight="1">
      <c r="A12" s="14" t="s">
        <v>30</v>
      </c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6">
    <mergeCell ref="A1:F1"/>
    <mergeCell ref="A8:F8"/>
    <mergeCell ref="A9:F9"/>
    <mergeCell ref="A10:F10"/>
    <mergeCell ref="A11:F11"/>
    <mergeCell ref="A12:F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4.0"/>
    <col customWidth="1" min="4" max="4" width="46.0"/>
    <col customWidth="1" min="5" max="26" width="8.71"/>
  </cols>
  <sheetData>
    <row r="1" ht="25.5" customHeight="1">
      <c r="A1" s="1" t="s">
        <v>31</v>
      </c>
      <c r="B1" s="2"/>
      <c r="C1" s="2"/>
      <c r="D1" s="3"/>
    </row>
    <row r="2">
      <c r="A2" s="4"/>
      <c r="B2" s="4"/>
      <c r="C2" s="4"/>
      <c r="D2" s="4"/>
    </row>
    <row r="3" ht="19.5" customHeight="1">
      <c r="A3" s="5" t="s">
        <v>32</v>
      </c>
      <c r="B3" s="7">
        <f>Supuestos!B8</f>
        <v>100000</v>
      </c>
      <c r="C3" s="4"/>
      <c r="D3" s="4"/>
    </row>
    <row r="4" ht="19.5" customHeight="1">
      <c r="A4" s="5" t="s">
        <v>33</v>
      </c>
      <c r="B4" s="7">
        <f>Supuestos!B7</f>
        <v>20000</v>
      </c>
      <c r="C4" s="4"/>
      <c r="D4" s="4"/>
    </row>
    <row r="5" ht="19.5" customHeight="1">
      <c r="A5" s="5" t="s">
        <v>7</v>
      </c>
      <c r="B5" s="9">
        <f>'Rampa 6 meses (YC)'!B3</f>
        <v>0.0638575051</v>
      </c>
      <c r="C5" s="4"/>
      <c r="D5" s="4"/>
    </row>
    <row r="6" ht="19.5" customHeight="1">
      <c r="A6" s="5" t="s">
        <v>34</v>
      </c>
      <c r="B6" s="10">
        <f>'Puente a 100K'!B9/Supuestos!B5</f>
        <v>28.33333333</v>
      </c>
      <c r="C6" s="4"/>
      <c r="D6" s="4"/>
    </row>
    <row r="7" ht="19.5" customHeight="1">
      <c r="A7" s="5" t="s">
        <v>35</v>
      </c>
      <c r="B7" s="6">
        <f>'Puente a 100K'!B9</f>
        <v>170</v>
      </c>
      <c r="C7" s="4"/>
      <c r="D7" s="4"/>
    </row>
    <row r="8" ht="19.5" customHeight="1">
      <c r="A8" s="5" t="s">
        <v>36</v>
      </c>
      <c r="B8" s="7">
        <f>'Unit economics'!B7</f>
        <v>704.1764706</v>
      </c>
      <c r="C8" s="4"/>
      <c r="D8" s="4"/>
    </row>
    <row r="9" ht="19.5" customHeight="1">
      <c r="A9" s="5" t="s">
        <v>37</v>
      </c>
      <c r="B9" s="9">
        <f>Supuestos!B43</f>
        <v>1.15</v>
      </c>
      <c r="C9" s="4"/>
      <c r="D9" s="4"/>
    </row>
    <row r="10" ht="19.5" customHeight="1">
      <c r="A10" s="5" t="s">
        <v>38</v>
      </c>
      <c r="B10" s="9">
        <f>Supuestos!B42</f>
        <v>0.03</v>
      </c>
      <c r="C10" s="4"/>
      <c r="D10" s="4"/>
    </row>
    <row r="11" ht="15.0" customHeight="1">
      <c r="A11" s="5" t="s">
        <v>39</v>
      </c>
      <c r="B11" s="7">
        <f>'Puente a 100K'!D9</f>
        <v>77885.8</v>
      </c>
      <c r="C11" s="4"/>
      <c r="D11" s="4"/>
    </row>
    <row r="12" ht="15.0" customHeight="1">
      <c r="A12" s="13" t="s">
        <v>40</v>
      </c>
      <c r="B12" s="2"/>
      <c r="C12" s="2"/>
      <c r="D12" s="3"/>
    </row>
    <row r="13" ht="15.0" customHeight="1">
      <c r="A13" s="14" t="s">
        <v>41</v>
      </c>
    </row>
    <row r="14" ht="15.0" customHeight="1">
      <c r="A14" s="14" t="s">
        <v>42</v>
      </c>
    </row>
    <row r="15" ht="15.0" customHeight="1">
      <c r="A15" s="14" t="s">
        <v>43</v>
      </c>
    </row>
    <row r="16" ht="15.0" customHeight="1">
      <c r="A16" s="14" t="s">
        <v>44</v>
      </c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6">
    <mergeCell ref="A1:D1"/>
    <mergeCell ref="A12:D12"/>
    <mergeCell ref="A13:D13"/>
    <mergeCell ref="A14:D14"/>
    <mergeCell ref="A15:D15"/>
    <mergeCell ref="A16:D1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4.0"/>
    <col customWidth="1" min="3" max="3" width="10.0"/>
    <col customWidth="1" min="4" max="4" width="52.0"/>
    <col customWidth="1" min="5" max="26" width="8.71"/>
  </cols>
  <sheetData>
    <row r="1" ht="24.0" customHeight="1">
      <c r="A1" s="1" t="s">
        <v>45</v>
      </c>
      <c r="B1" s="2"/>
      <c r="C1" s="2"/>
      <c r="D1" s="3"/>
    </row>
    <row r="2">
      <c r="A2" s="4"/>
      <c r="B2" s="4"/>
      <c r="C2" s="4"/>
      <c r="D2" s="4"/>
    </row>
    <row r="3" ht="15.0" customHeight="1">
      <c r="A3" s="13" t="s">
        <v>46</v>
      </c>
      <c r="B3" s="2"/>
      <c r="C3" s="2"/>
      <c r="D3" s="3"/>
    </row>
    <row r="4" ht="15.0" customHeight="1">
      <c r="A4" s="26" t="s">
        <v>47</v>
      </c>
      <c r="B4" s="27">
        <v>4000.0</v>
      </c>
      <c r="C4" s="14" t="s">
        <v>48</v>
      </c>
      <c r="D4" s="14"/>
    </row>
    <row r="5" ht="15.0" customHeight="1">
      <c r="A5" s="26" t="s">
        <v>49</v>
      </c>
      <c r="B5" s="27">
        <v>6.0</v>
      </c>
      <c r="C5" s="14" t="s">
        <v>50</v>
      </c>
      <c r="D5" s="14"/>
    </row>
    <row r="6" ht="15.0" customHeight="1">
      <c r="A6" s="26" t="s">
        <v>51</v>
      </c>
      <c r="B6" s="27">
        <v>26.0</v>
      </c>
      <c r="C6" s="14" t="s">
        <v>52</v>
      </c>
      <c r="D6" s="14"/>
    </row>
    <row r="7" ht="15.0" customHeight="1">
      <c r="A7" s="26" t="s">
        <v>53</v>
      </c>
      <c r="B7" s="28">
        <v>20000.0</v>
      </c>
      <c r="C7" s="14" t="s">
        <v>54</v>
      </c>
      <c r="D7" s="14" t="s">
        <v>55</v>
      </c>
    </row>
    <row r="8" ht="15.0" customHeight="1">
      <c r="A8" s="26" t="s">
        <v>56</v>
      </c>
      <c r="B8" s="29">
        <v>100000.0</v>
      </c>
      <c r="C8" s="14" t="s">
        <v>54</v>
      </c>
      <c r="D8" s="14" t="s">
        <v>57</v>
      </c>
    </row>
    <row r="9" ht="15.0" customHeight="1">
      <c r="A9" s="4"/>
      <c r="B9" s="4"/>
      <c r="C9" s="4"/>
      <c r="D9" s="4"/>
    </row>
    <row r="10" ht="15.0" customHeight="1">
      <c r="A10" s="13" t="s">
        <v>58</v>
      </c>
      <c r="B10" s="2"/>
      <c r="C10" s="2"/>
      <c r="D10" s="3"/>
    </row>
    <row r="11" ht="15.0" customHeight="1">
      <c r="A11" s="26" t="s">
        <v>59</v>
      </c>
      <c r="B11" s="30">
        <v>0.05</v>
      </c>
      <c r="C11" s="14"/>
      <c r="D11" s="14"/>
    </row>
    <row r="12" ht="15.0" customHeight="1">
      <c r="A12" s="26" t="s">
        <v>60</v>
      </c>
      <c r="B12" s="30">
        <v>0.4</v>
      </c>
      <c r="C12" s="14"/>
      <c r="D12" s="14"/>
    </row>
    <row r="13" ht="15.0" customHeight="1">
      <c r="A13" s="26" t="s">
        <v>61</v>
      </c>
      <c r="B13" s="30">
        <v>0.6</v>
      </c>
      <c r="C13" s="14"/>
      <c r="D13" s="14"/>
    </row>
    <row r="14" ht="15.0" customHeight="1">
      <c r="A14" s="26" t="s">
        <v>62</v>
      </c>
      <c r="B14" s="30">
        <v>0.25</v>
      </c>
      <c r="C14" s="14"/>
      <c r="D14" s="14" t="s">
        <v>63</v>
      </c>
    </row>
    <row r="15" ht="15.0" customHeight="1">
      <c r="A15" s="26" t="s">
        <v>64</v>
      </c>
      <c r="B15" s="30">
        <v>0.28</v>
      </c>
      <c r="C15" s="14"/>
      <c r="D15" s="14" t="s">
        <v>65</v>
      </c>
    </row>
    <row r="16" ht="15.0" customHeight="1">
      <c r="A16" s="4"/>
      <c r="B16" s="4"/>
      <c r="C16" s="4"/>
      <c r="D16" s="4"/>
    </row>
    <row r="17" ht="15.0" customHeight="1">
      <c r="A17" s="13" t="s">
        <v>66</v>
      </c>
      <c r="B17" s="2"/>
      <c r="C17" s="2"/>
      <c r="D17" s="3"/>
    </row>
    <row r="18" ht="15.0" customHeight="1">
      <c r="A18" s="26" t="s">
        <v>67</v>
      </c>
      <c r="B18" s="27">
        <v>2650.0</v>
      </c>
      <c r="C18" s="14" t="s">
        <v>68</v>
      </c>
      <c r="D18" s="14" t="s">
        <v>69</v>
      </c>
    </row>
    <row r="19" ht="15.0" customHeight="1">
      <c r="A19" s="26" t="s">
        <v>70</v>
      </c>
      <c r="B19" s="31">
        <v>0.55</v>
      </c>
      <c r="C19" s="14"/>
      <c r="D19" s="14" t="s">
        <v>71</v>
      </c>
    </row>
    <row r="20" ht="15.0" customHeight="1">
      <c r="A20" s="26" t="s">
        <v>72</v>
      </c>
      <c r="B20" s="31">
        <v>0.8</v>
      </c>
      <c r="C20" s="14"/>
      <c r="D20" s="14" t="s">
        <v>71</v>
      </c>
    </row>
    <row r="21" ht="15.0" customHeight="1">
      <c r="A21" s="26" t="s">
        <v>73</v>
      </c>
      <c r="B21" s="27">
        <v>40.0</v>
      </c>
      <c r="C21" s="14" t="s">
        <v>74</v>
      </c>
      <c r="D21" s="14"/>
    </row>
    <row r="22" ht="15.0" customHeight="1">
      <c r="A22" s="26" t="s">
        <v>75</v>
      </c>
      <c r="B22" s="29">
        <v>400.0</v>
      </c>
      <c r="C22" s="14" t="s">
        <v>54</v>
      </c>
      <c r="D22" s="14"/>
    </row>
    <row r="23" ht="15.0" customHeight="1">
      <c r="A23" s="26" t="s">
        <v>76</v>
      </c>
      <c r="B23" s="27">
        <v>10.0</v>
      </c>
      <c r="C23" s="14" t="s">
        <v>74</v>
      </c>
      <c r="D23" s="14" t="s">
        <v>77</v>
      </c>
    </row>
    <row r="24" ht="15.0" customHeight="1">
      <c r="A24" s="26" t="s">
        <v>78</v>
      </c>
      <c r="B24" s="29">
        <v>3833.0</v>
      </c>
      <c r="C24" s="14" t="s">
        <v>54</v>
      </c>
      <c r="D24" s="14"/>
    </row>
    <row r="25" ht="15.0" customHeight="1">
      <c r="A25" s="26" t="s">
        <v>79</v>
      </c>
      <c r="B25" s="29">
        <v>827.0</v>
      </c>
      <c r="C25" s="14" t="s">
        <v>54</v>
      </c>
      <c r="D25" s="14"/>
    </row>
    <row r="26" ht="15.0" customHeight="1">
      <c r="A26" s="4"/>
      <c r="B26" s="4"/>
      <c r="C26" s="4"/>
      <c r="D26" s="4"/>
    </row>
    <row r="27" ht="15.0" customHeight="1">
      <c r="A27" s="13" t="s">
        <v>80</v>
      </c>
      <c r="B27" s="2"/>
      <c r="C27" s="2"/>
      <c r="D27" s="3"/>
    </row>
    <row r="28" ht="15.0" customHeight="1">
      <c r="A28" s="26" t="s">
        <v>81</v>
      </c>
      <c r="B28" s="27">
        <v>825.0</v>
      </c>
      <c r="C28" s="14" t="s">
        <v>68</v>
      </c>
      <c r="D28" s="14" t="s">
        <v>82</v>
      </c>
    </row>
    <row r="29" ht="15.0" customHeight="1">
      <c r="A29" s="26" t="s">
        <v>83</v>
      </c>
      <c r="B29" s="27">
        <v>20.0</v>
      </c>
      <c r="C29" s="14" t="s">
        <v>74</v>
      </c>
      <c r="D29" s="14"/>
    </row>
    <row r="30" ht="15.0" customHeight="1">
      <c r="A30" s="26" t="s">
        <v>84</v>
      </c>
      <c r="B30" s="29">
        <v>992.0</v>
      </c>
      <c r="C30" s="14" t="s">
        <v>54</v>
      </c>
      <c r="D30" s="14"/>
    </row>
    <row r="31" ht="15.0" customHeight="1">
      <c r="A31" s="26" t="s">
        <v>85</v>
      </c>
      <c r="B31" s="29">
        <v>650.0</v>
      </c>
      <c r="C31" s="14" t="s">
        <v>54</v>
      </c>
      <c r="D31" s="14"/>
    </row>
    <row r="32" ht="15.0" customHeight="1">
      <c r="A32" s="4"/>
      <c r="B32" s="4"/>
      <c r="C32" s="4"/>
      <c r="D32" s="4"/>
    </row>
    <row r="33" ht="15.0" customHeight="1">
      <c r="A33" s="13" t="s">
        <v>86</v>
      </c>
      <c r="B33" s="2"/>
      <c r="C33" s="2"/>
      <c r="D33" s="3"/>
    </row>
    <row r="34" ht="15.0" customHeight="1">
      <c r="A34" s="26" t="s">
        <v>87</v>
      </c>
      <c r="B34" s="27">
        <v>4000.0</v>
      </c>
      <c r="C34" s="14" t="s">
        <v>68</v>
      </c>
      <c r="D34" s="14" t="s">
        <v>88</v>
      </c>
    </row>
    <row r="35" ht="15.0" customHeight="1">
      <c r="A35" s="26" t="s">
        <v>83</v>
      </c>
      <c r="B35" s="27">
        <v>15.0</v>
      </c>
      <c r="C35" s="14" t="s">
        <v>74</v>
      </c>
      <c r="D35" s="14"/>
    </row>
    <row r="36" ht="15.0" customHeight="1">
      <c r="A36" s="26" t="s">
        <v>84</v>
      </c>
      <c r="B36" s="29">
        <v>1500.0</v>
      </c>
      <c r="C36" s="14" t="s">
        <v>54</v>
      </c>
      <c r="D36" s="14"/>
    </row>
    <row r="37" ht="15.0" customHeight="1">
      <c r="A37" s="26" t="s">
        <v>85</v>
      </c>
      <c r="B37" s="29">
        <v>367.0</v>
      </c>
      <c r="C37" s="14" t="s">
        <v>54</v>
      </c>
      <c r="D37" s="14"/>
    </row>
    <row r="38" ht="15.0" customHeight="1">
      <c r="A38" s="4"/>
      <c r="B38" s="4"/>
      <c r="C38" s="4"/>
      <c r="D38" s="4"/>
    </row>
    <row r="39" ht="15.0" customHeight="1">
      <c r="A39" s="13" t="s">
        <v>89</v>
      </c>
      <c r="B39" s="2"/>
      <c r="C39" s="2"/>
      <c r="D39" s="3"/>
    </row>
    <row r="40" ht="15.0" customHeight="1">
      <c r="A40" s="26" t="s">
        <v>90</v>
      </c>
      <c r="B40" s="29">
        <v>5000.0</v>
      </c>
      <c r="C40" s="14" t="s">
        <v>54</v>
      </c>
      <c r="D40" s="14"/>
    </row>
    <row r="41" ht="15.0" customHeight="1">
      <c r="A41" s="26" t="s">
        <v>91</v>
      </c>
      <c r="B41" s="30">
        <v>0.75</v>
      </c>
      <c r="C41" s="14"/>
      <c r="D41" s="14"/>
    </row>
    <row r="42" ht="15.0" customHeight="1">
      <c r="A42" s="26" t="s">
        <v>38</v>
      </c>
      <c r="B42" s="31">
        <v>0.03</v>
      </c>
      <c r="C42" s="14"/>
      <c r="D42" s="14" t="s">
        <v>71</v>
      </c>
    </row>
    <row r="43" ht="15.0" customHeight="1">
      <c r="A43" s="26" t="s">
        <v>37</v>
      </c>
      <c r="B43" s="30">
        <v>1.15</v>
      </c>
      <c r="C43" s="14"/>
      <c r="D43" s="1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7">
    <mergeCell ref="A1:D1"/>
    <mergeCell ref="A3:D3"/>
    <mergeCell ref="A10:D10"/>
    <mergeCell ref="A17:D17"/>
    <mergeCell ref="A27:D27"/>
    <mergeCell ref="A33:D33"/>
    <mergeCell ref="A39:D3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4.0"/>
    <col customWidth="1" min="4" max="4" width="16.0"/>
    <col customWidth="1" min="5" max="5" width="12.0"/>
    <col customWidth="1" min="6" max="26" width="8.71"/>
  </cols>
  <sheetData>
    <row r="1" ht="24.0" customHeight="1">
      <c r="A1" s="32" t="s">
        <v>92</v>
      </c>
      <c r="B1" s="4"/>
      <c r="C1" s="4"/>
      <c r="D1" s="4"/>
      <c r="E1" s="4"/>
    </row>
    <row r="2">
      <c r="A2" s="4"/>
      <c r="B2" s="4"/>
      <c r="C2" s="4"/>
      <c r="D2" s="4"/>
      <c r="E2" s="4"/>
    </row>
    <row r="3" ht="15.0" customHeight="1">
      <c r="A3" s="15" t="s">
        <v>93</v>
      </c>
      <c r="B3" s="15" t="s">
        <v>94</v>
      </c>
      <c r="C3" s="15" t="s">
        <v>84</v>
      </c>
      <c r="D3" s="15" t="s">
        <v>95</v>
      </c>
      <c r="E3" s="15" t="s">
        <v>96</v>
      </c>
      <c r="F3" s="26"/>
    </row>
    <row r="4" ht="15.0" customHeight="1">
      <c r="A4" s="16" t="s">
        <v>97</v>
      </c>
      <c r="B4" s="17">
        <f>Supuestos!B35</f>
        <v>15</v>
      </c>
      <c r="C4" s="18">
        <f>Supuestos!B36</f>
        <v>1500</v>
      </c>
      <c r="D4" s="21">
        <f t="shared" ref="D4:D6" si="1">B4*C4</f>
        <v>22500</v>
      </c>
      <c r="E4" s="33">
        <f t="shared" ref="E4:E9" si="2">D4/$D$9</f>
        <v>0.288884495</v>
      </c>
      <c r="F4" s="26"/>
    </row>
    <row r="5" ht="15.0" customHeight="1">
      <c r="A5" s="16" t="s">
        <v>98</v>
      </c>
      <c r="B5" s="17">
        <f>Supuestos!B29</f>
        <v>20</v>
      </c>
      <c r="C5" s="18">
        <f>Supuestos!B30</f>
        <v>992</v>
      </c>
      <c r="D5" s="21">
        <f t="shared" si="1"/>
        <v>19840</v>
      </c>
      <c r="E5" s="33">
        <f t="shared" si="2"/>
        <v>0.254731928</v>
      </c>
      <c r="F5" s="26"/>
    </row>
    <row r="6" ht="15.0" customHeight="1">
      <c r="A6" s="16" t="s">
        <v>99</v>
      </c>
      <c r="B6" s="17">
        <f>Supuestos!B21</f>
        <v>40</v>
      </c>
      <c r="C6" s="18">
        <f>Supuestos!B22</f>
        <v>400</v>
      </c>
      <c r="D6" s="21">
        <f t="shared" si="1"/>
        <v>16000</v>
      </c>
      <c r="E6" s="33">
        <f t="shared" si="2"/>
        <v>0.2054289742</v>
      </c>
      <c r="F6" s="26"/>
    </row>
    <row r="7" ht="15.0" customHeight="1">
      <c r="A7" s="16" t="s">
        <v>100</v>
      </c>
      <c r="B7" s="34" t="s">
        <v>101</v>
      </c>
      <c r="C7" s="35" t="s">
        <v>101</v>
      </c>
      <c r="D7" s="18">
        <f>Supuestos!B40</f>
        <v>5000</v>
      </c>
      <c r="E7" s="33">
        <f t="shared" si="2"/>
        <v>0.06419655444</v>
      </c>
      <c r="F7" s="26"/>
    </row>
    <row r="8" ht="15.0" customHeight="1">
      <c r="A8" s="16" t="s">
        <v>102</v>
      </c>
      <c r="B8" s="36">
        <f>'Aliados — resumen'!E6</f>
        <v>95</v>
      </c>
      <c r="C8" s="37" t="s">
        <v>101</v>
      </c>
      <c r="D8" s="18">
        <f>'Aliados — resumen'!F6</f>
        <v>14545.8</v>
      </c>
      <c r="E8" s="33">
        <f t="shared" si="2"/>
        <v>0.1867580483</v>
      </c>
      <c r="F8" s="26"/>
    </row>
    <row r="9" ht="15.0" customHeight="1">
      <c r="A9" s="22" t="s">
        <v>103</v>
      </c>
      <c r="B9" s="23">
        <f>SUM(B4:B6)+B8</f>
        <v>170</v>
      </c>
      <c r="C9" s="16"/>
      <c r="D9" s="25">
        <f>SUM(D4:D8)</f>
        <v>77885.8</v>
      </c>
      <c r="E9" s="38">
        <f t="shared" si="2"/>
        <v>1</v>
      </c>
      <c r="F9" s="26"/>
    </row>
    <row r="10" ht="15.0" customHeight="1">
      <c r="A10" s="26"/>
      <c r="B10" s="26"/>
      <c r="C10" s="26"/>
      <c r="D10" s="26"/>
      <c r="E10" s="26"/>
      <c r="F10" s="26"/>
    </row>
    <row r="11" ht="15.0" customHeight="1">
      <c r="A11" s="16" t="s">
        <v>104</v>
      </c>
      <c r="B11" s="26"/>
      <c r="C11" s="26"/>
      <c r="D11" s="18">
        <f>Supuestos!B8</f>
        <v>100000</v>
      </c>
      <c r="E11" s="26"/>
      <c r="F11" s="26"/>
    </row>
    <row r="12" ht="15.0" customHeight="1">
      <c r="A12" s="39" t="s">
        <v>105</v>
      </c>
      <c r="B12" s="26"/>
      <c r="C12" s="26"/>
      <c r="D12" s="40">
        <f>D11-D9</f>
        <v>22114.2</v>
      </c>
      <c r="E12" s="26"/>
      <c r="F12" s="26"/>
    </row>
    <row r="13" ht="15.0" customHeight="1">
      <c r="A13" s="16" t="s">
        <v>106</v>
      </c>
      <c r="B13" s="26"/>
      <c r="C13" s="26"/>
      <c r="D13" s="33">
        <f>D9/D11</f>
        <v>0.778858</v>
      </c>
      <c r="E13" s="26"/>
      <c r="F13" s="26"/>
    </row>
    <row r="14" ht="15.0" customHeight="1">
      <c r="A14" s="26"/>
      <c r="B14" s="26"/>
      <c r="C14" s="26"/>
      <c r="D14" s="26"/>
      <c r="E14" s="26"/>
      <c r="F14" s="26"/>
    </row>
    <row r="15" ht="15.0" customHeight="1">
      <c r="A15" s="13" t="s">
        <v>107</v>
      </c>
      <c r="B15" s="2"/>
      <c r="C15" s="2"/>
      <c r="D15" s="2"/>
      <c r="E15" s="3"/>
      <c r="F15" s="26"/>
    </row>
    <row r="16" ht="15.0" customHeight="1">
      <c r="A16" s="26" t="s">
        <v>108</v>
      </c>
      <c r="B16" s="26"/>
      <c r="C16" s="26"/>
      <c r="D16" s="41">
        <f>(D11-D4-D5-D7)/Supuestos!B21</f>
        <v>1316.5</v>
      </c>
      <c r="E16" s="14" t="s">
        <v>109</v>
      </c>
      <c r="F16" s="26"/>
    </row>
    <row r="17" ht="15.0" customHeight="1">
      <c r="A17" s="26" t="s">
        <v>110</v>
      </c>
      <c r="B17" s="26"/>
      <c r="C17" s="26"/>
      <c r="D17" s="42">
        <f>(D11-D4-D5-D7)/Supuestos!B22</f>
        <v>131.65</v>
      </c>
      <c r="E17" s="14" t="s">
        <v>111</v>
      </c>
      <c r="F17" s="26"/>
    </row>
    <row r="18" ht="15.0" customHeight="1">
      <c r="A18" s="26"/>
      <c r="B18" s="26"/>
      <c r="C18" s="26"/>
      <c r="D18" s="26"/>
      <c r="E18" s="26"/>
      <c r="F18" s="26"/>
    </row>
    <row r="19" ht="15.0" customHeight="1">
      <c r="A19" s="13" t="s">
        <v>112</v>
      </c>
      <c r="B19" s="2"/>
      <c r="C19" s="2"/>
      <c r="D19" s="2"/>
      <c r="E19" s="3"/>
      <c r="F19" s="26"/>
    </row>
    <row r="20" ht="15.0" customHeight="1">
      <c r="A20" s="26" t="s">
        <v>113</v>
      </c>
      <c r="B20" s="43">
        <f>Supuestos!B23</f>
        <v>10</v>
      </c>
      <c r="C20" s="44">
        <f>Supuestos!B24</f>
        <v>3833</v>
      </c>
      <c r="D20" s="41">
        <f>B20*C20</f>
        <v>38330</v>
      </c>
      <c r="E20" s="14" t="s">
        <v>114</v>
      </c>
      <c r="F20" s="26"/>
    </row>
    <row r="21" ht="15.0" customHeight="1">
      <c r="A21" s="26"/>
      <c r="B21" s="26"/>
      <c r="C21" s="26"/>
      <c r="D21" s="26"/>
      <c r="E21" s="26"/>
      <c r="F21" s="26"/>
    </row>
    <row r="22" ht="15.0" customHeight="1">
      <c r="A22" s="26"/>
      <c r="B22" s="26"/>
      <c r="C22" s="26"/>
      <c r="D22" s="26"/>
      <c r="E22" s="26"/>
      <c r="F22" s="26"/>
    </row>
    <row r="23" ht="15.0" customHeight="1">
      <c r="A23" s="26"/>
      <c r="B23" s="26"/>
      <c r="C23" s="26"/>
      <c r="D23" s="26"/>
      <c r="E23" s="26"/>
      <c r="F23" s="26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2">
    <mergeCell ref="A15:E15"/>
    <mergeCell ref="A19:E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5" width="12.0"/>
    <col customWidth="1" min="6" max="6" width="20.0"/>
    <col customWidth="1" min="7" max="7" width="40.0"/>
    <col customWidth="1" min="8" max="26" width="8.71"/>
  </cols>
  <sheetData>
    <row r="1" ht="24.0" customHeight="1">
      <c r="A1" s="1" t="s">
        <v>115</v>
      </c>
      <c r="B1" s="2"/>
      <c r="C1" s="2"/>
      <c r="D1" s="2"/>
      <c r="E1" s="2"/>
      <c r="F1" s="2"/>
      <c r="G1" s="3"/>
    </row>
    <row r="2">
      <c r="A2" s="4"/>
      <c r="B2" s="4"/>
      <c r="C2" s="4"/>
      <c r="D2" s="4"/>
      <c r="E2" s="4"/>
      <c r="F2" s="4"/>
      <c r="G2" s="4"/>
    </row>
    <row r="3" ht="23.25" customHeight="1">
      <c r="A3" s="15" t="s">
        <v>116</v>
      </c>
      <c r="B3" s="15" t="s">
        <v>117</v>
      </c>
      <c r="C3" s="15" t="s">
        <v>118</v>
      </c>
      <c r="D3" s="15" t="s">
        <v>119</v>
      </c>
      <c r="E3" s="15" t="s">
        <v>120</v>
      </c>
      <c r="F3" s="15" t="s">
        <v>121</v>
      </c>
      <c r="G3" s="15" t="s">
        <v>122</v>
      </c>
    </row>
    <row r="4" ht="15.0" customHeight="1">
      <c r="A4" s="16" t="s">
        <v>123</v>
      </c>
      <c r="B4" s="20">
        <f>Supuestos!B18*Supuestos!B19*Supuestos!B20</f>
        <v>1166</v>
      </c>
      <c r="C4" s="20">
        <f>Supuestos!B21</f>
        <v>40</v>
      </c>
      <c r="D4" s="33">
        <f t="shared" ref="D4:D6" si="1">C4/B4</f>
        <v>0.03430531732</v>
      </c>
      <c r="E4" s="16" t="s">
        <v>124</v>
      </c>
      <c r="F4" s="20">
        <f>C4/Supuestos!B15</f>
        <v>142.8571429</v>
      </c>
      <c r="G4" s="45" t="s">
        <v>125</v>
      </c>
    </row>
    <row r="5" ht="15.0" customHeight="1">
      <c r="A5" s="16" t="s">
        <v>126</v>
      </c>
      <c r="B5" s="17">
        <f>Supuestos!B28</f>
        <v>825</v>
      </c>
      <c r="C5" s="17">
        <f>Supuestos!B29</f>
        <v>20</v>
      </c>
      <c r="D5" s="33">
        <f t="shared" si="1"/>
        <v>0.02424242424</v>
      </c>
      <c r="E5" s="16" t="s">
        <v>127</v>
      </c>
      <c r="F5" s="20">
        <f>C5/(Supuestos!B14*Supuestos!B12*Supuestos!B13)</f>
        <v>333.3333333</v>
      </c>
      <c r="G5" s="45" t="s">
        <v>128</v>
      </c>
    </row>
    <row r="6" ht="15.0" customHeight="1">
      <c r="A6" s="16" t="s">
        <v>129</v>
      </c>
      <c r="B6" s="17">
        <f>Supuestos!B34</f>
        <v>4000</v>
      </c>
      <c r="C6" s="17">
        <f>Supuestos!B35</f>
        <v>15</v>
      </c>
      <c r="D6" s="33">
        <f t="shared" si="1"/>
        <v>0.00375</v>
      </c>
      <c r="E6" s="16" t="s">
        <v>127</v>
      </c>
      <c r="F6" s="20">
        <f>C6/(Supuestos!B14*Supuestos!B12*Supuestos!B13)</f>
        <v>250</v>
      </c>
      <c r="G6" s="45" t="s">
        <v>130</v>
      </c>
    </row>
    <row r="7">
      <c r="A7" s="4"/>
      <c r="B7" s="4"/>
      <c r="C7" s="4"/>
      <c r="D7" s="4"/>
      <c r="E7" s="4"/>
      <c r="F7" s="4"/>
      <c r="G7" s="4"/>
    </row>
    <row r="8" ht="15.0" customHeight="1">
      <c r="A8" s="14" t="s">
        <v>131</v>
      </c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2">
    <mergeCell ref="A1:G1"/>
    <mergeCell ref="A8:G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3" width="12.0"/>
    <col customWidth="1" min="4" max="4" width="10.0"/>
    <col customWidth="1" min="5" max="7" width="14.0"/>
    <col customWidth="1" min="8" max="8" width="12.0"/>
    <col customWidth="1" min="9" max="26" width="8.71"/>
  </cols>
  <sheetData>
    <row r="1" ht="24.0" customHeight="1">
      <c r="A1" s="1" t="s">
        <v>132</v>
      </c>
      <c r="B1" s="2"/>
      <c r="C1" s="2"/>
      <c r="D1" s="2"/>
      <c r="E1" s="2"/>
      <c r="F1" s="2"/>
      <c r="G1" s="2"/>
      <c r="H1" s="3"/>
    </row>
    <row r="2">
      <c r="A2" s="4"/>
      <c r="B2" s="4"/>
      <c r="C2" s="4"/>
      <c r="D2" s="4"/>
      <c r="E2" s="4"/>
      <c r="F2" s="4"/>
      <c r="G2" s="4"/>
      <c r="H2" s="4"/>
    </row>
    <row r="3" ht="15.0" customHeight="1">
      <c r="A3" s="15" t="s">
        <v>93</v>
      </c>
      <c r="B3" s="15" t="s">
        <v>85</v>
      </c>
      <c r="C3" s="15" t="s">
        <v>84</v>
      </c>
      <c r="D3" s="15" t="s">
        <v>133</v>
      </c>
      <c r="E3" s="15" t="s">
        <v>134</v>
      </c>
      <c r="F3" s="15" t="s">
        <v>135</v>
      </c>
      <c r="G3" s="15" t="s">
        <v>136</v>
      </c>
      <c r="H3" s="15" t="s">
        <v>137</v>
      </c>
    </row>
    <row r="4" ht="15.0" customHeight="1">
      <c r="A4" s="16" t="s">
        <v>97</v>
      </c>
      <c r="B4" s="18">
        <f>Supuestos!B37</f>
        <v>367</v>
      </c>
      <c r="C4" s="18">
        <f>Supuestos!B36</f>
        <v>1500</v>
      </c>
      <c r="D4" s="19">
        <f>Supuestos!B41</f>
        <v>0.75</v>
      </c>
      <c r="E4" s="21">
        <f t="shared" ref="E4:E6" si="1">C4*D4</f>
        <v>1125</v>
      </c>
      <c r="F4" s="46">
        <f t="shared" ref="F4:F6" si="2">B4/E4</f>
        <v>0.3262222222</v>
      </c>
      <c r="G4" s="21">
        <f>E4/Supuestos!B42</f>
        <v>37500</v>
      </c>
      <c r="H4" s="47">
        <f t="shared" ref="H4:H6" si="3">G4/B4</f>
        <v>102.1798365</v>
      </c>
    </row>
    <row r="5" ht="15.0" customHeight="1">
      <c r="A5" s="16" t="s">
        <v>98</v>
      </c>
      <c r="B5" s="18">
        <f>Supuestos!B31</f>
        <v>650</v>
      </c>
      <c r="C5" s="18">
        <f>Supuestos!B30</f>
        <v>992</v>
      </c>
      <c r="D5" s="19">
        <f>Supuestos!B41</f>
        <v>0.75</v>
      </c>
      <c r="E5" s="21">
        <f t="shared" si="1"/>
        <v>744</v>
      </c>
      <c r="F5" s="46">
        <f t="shared" si="2"/>
        <v>0.873655914</v>
      </c>
      <c r="G5" s="21">
        <f>E5/Supuestos!B42</f>
        <v>24800</v>
      </c>
      <c r="H5" s="47">
        <f t="shared" si="3"/>
        <v>38.15384615</v>
      </c>
    </row>
    <row r="6" ht="15.0" customHeight="1">
      <c r="A6" s="16" t="s">
        <v>138</v>
      </c>
      <c r="B6" s="18">
        <f>Supuestos!B25</f>
        <v>827</v>
      </c>
      <c r="C6" s="18">
        <f>Supuestos!B22</f>
        <v>400</v>
      </c>
      <c r="D6" s="19">
        <f>Supuestos!B41</f>
        <v>0.75</v>
      </c>
      <c r="E6" s="21">
        <f t="shared" si="1"/>
        <v>300</v>
      </c>
      <c r="F6" s="46">
        <f t="shared" si="2"/>
        <v>2.756666667</v>
      </c>
      <c r="G6" s="21">
        <f>E6/Supuestos!B42</f>
        <v>10000</v>
      </c>
      <c r="H6" s="47">
        <f t="shared" si="3"/>
        <v>12.09189843</v>
      </c>
    </row>
    <row r="7" ht="15.0" customHeight="1">
      <c r="A7" s="22" t="s">
        <v>139</v>
      </c>
      <c r="B7" s="25">
        <f>(Supuestos!B35*Supuestos!B37+Supuestos!B29*Supuestos!B31+(Supuestos!B21+Supuestos!B23)*Supuestos!B25)/(Supuestos!B35+Supuestos!B29+Supuestos!B21+Supuestos!B23)</f>
        <v>704.1764706</v>
      </c>
      <c r="C7" s="24"/>
      <c r="D7" s="24"/>
      <c r="E7" s="24"/>
      <c r="F7" s="24"/>
      <c r="G7" s="24"/>
      <c r="H7" s="24"/>
    </row>
    <row r="8">
      <c r="A8" s="4"/>
      <c r="B8" s="4"/>
      <c r="C8" s="4"/>
      <c r="D8" s="4"/>
      <c r="E8" s="4"/>
      <c r="F8" s="4"/>
      <c r="G8" s="4"/>
      <c r="H8" s="4"/>
    </row>
    <row r="9" ht="15.0" customHeight="1">
      <c r="A9" s="14" t="s">
        <v>140</v>
      </c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2">
    <mergeCell ref="A1:H1"/>
    <mergeCell ref="A9:H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6" width="16.0"/>
    <col customWidth="1" min="7" max="26" width="8.71"/>
  </cols>
  <sheetData>
    <row r="1" ht="24.0" customHeight="1">
      <c r="A1" s="1" t="s">
        <v>141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 ht="15.0" customHeight="1">
      <c r="A3" s="26" t="s">
        <v>142</v>
      </c>
      <c r="B3" s="48">
        <f>(Supuestos!B8/Supuestos!B7)^(1/Supuestos!B6)-1</f>
        <v>0.0638575051</v>
      </c>
      <c r="C3" s="14" t="s">
        <v>143</v>
      </c>
      <c r="D3" s="4"/>
      <c r="E3" s="4"/>
      <c r="F3" s="4"/>
    </row>
    <row r="4" ht="15.0" customHeight="1">
      <c r="A4" s="26" t="s">
        <v>144</v>
      </c>
      <c r="B4" s="48">
        <f>(Supuestos!B8/Supuestos!B7)^(1/Supuestos!B5)-1</f>
        <v>0.307660486</v>
      </c>
      <c r="C4" s="4"/>
      <c r="D4" s="4"/>
      <c r="E4" s="4"/>
      <c r="F4" s="4"/>
    </row>
    <row r="5" ht="15.0" customHeight="1">
      <c r="A5" s="26" t="s">
        <v>145</v>
      </c>
      <c r="B5" s="49">
        <f>'Puente a 100K'!B9/Supuestos!B5</f>
        <v>28.33333333</v>
      </c>
      <c r="C5" s="4"/>
      <c r="D5" s="4"/>
      <c r="E5" s="4"/>
      <c r="F5" s="4"/>
    </row>
    <row r="6" ht="15.0" customHeight="1">
      <c r="A6" s="26" t="s">
        <v>146</v>
      </c>
      <c r="B6" s="41">
        <f>(('Puente a 100K'!D9-Supuestos!B40))/'Puente a 100K'!B9</f>
        <v>428.74</v>
      </c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 ht="15.0" customHeight="1">
      <c r="A8" s="15" t="s">
        <v>147</v>
      </c>
      <c r="B8" s="15" t="s">
        <v>148</v>
      </c>
      <c r="C8" s="15" t="s">
        <v>149</v>
      </c>
      <c r="D8" s="15" t="s">
        <v>150</v>
      </c>
      <c r="E8" s="15" t="s">
        <v>151</v>
      </c>
      <c r="F8" s="15" t="s">
        <v>152</v>
      </c>
    </row>
    <row r="9" ht="15.0" customHeight="1">
      <c r="A9" s="16">
        <v>0.0</v>
      </c>
      <c r="B9" s="18">
        <f>Supuestos!B7</f>
        <v>20000</v>
      </c>
      <c r="C9" s="24"/>
      <c r="D9" s="24"/>
      <c r="E9" s="24"/>
      <c r="F9" s="33">
        <f>B9/Supuestos!B8</f>
        <v>0.2</v>
      </c>
    </row>
    <row r="10" ht="15.0" customHeight="1">
      <c r="A10" s="16">
        <v>1.0</v>
      </c>
      <c r="B10" s="21">
        <f>Supuestos!$B$7*(1+$B$4)^A10</f>
        <v>26153.20972</v>
      </c>
      <c r="C10" s="21">
        <f t="shared" ref="C10:C15" si="1">B10-B9</f>
        <v>6153.20972</v>
      </c>
      <c r="D10" s="50">
        <f t="shared" ref="D10:D15" si="2">C10/$B$6</f>
        <v>14.35184429</v>
      </c>
      <c r="E10" s="50">
        <f t="shared" ref="E10:E15" si="3">SUM($D$10:D10)</f>
        <v>14.35184429</v>
      </c>
      <c r="F10" s="33">
        <f>B10/Supuestos!$B$8</f>
        <v>0.2615320972</v>
      </c>
    </row>
    <row r="11" ht="15.0" customHeight="1">
      <c r="A11" s="16">
        <v>2.0</v>
      </c>
      <c r="B11" s="21">
        <f>Supuestos!$B$7*(1+$B$4)^A11</f>
        <v>34199.51893</v>
      </c>
      <c r="C11" s="21">
        <f t="shared" si="1"/>
        <v>8046.309213</v>
      </c>
      <c r="D11" s="50">
        <f t="shared" si="2"/>
        <v>18.76733968</v>
      </c>
      <c r="E11" s="50">
        <f t="shared" si="3"/>
        <v>33.11918397</v>
      </c>
      <c r="F11" s="33">
        <f>B11/Supuestos!$B$8</f>
        <v>0.3419951893</v>
      </c>
    </row>
    <row r="12" ht="15.0" customHeight="1">
      <c r="A12" s="16">
        <v>3.0</v>
      </c>
      <c r="B12" s="21">
        <f>Supuestos!$B$7*(1+$B$4)^A12</f>
        <v>44721.35955</v>
      </c>
      <c r="C12" s="21">
        <f t="shared" si="1"/>
        <v>10521.84062</v>
      </c>
      <c r="D12" s="50">
        <f t="shared" si="2"/>
        <v>24.54130852</v>
      </c>
      <c r="E12" s="50">
        <f t="shared" si="3"/>
        <v>57.66049249</v>
      </c>
      <c r="F12" s="33">
        <f>B12/Supuestos!$B$8</f>
        <v>0.4472135955</v>
      </c>
    </row>
    <row r="13" ht="15.0" customHeight="1">
      <c r="A13" s="16">
        <v>4.0</v>
      </c>
      <c r="B13" s="21">
        <f>Supuestos!$B$7*(1+$B$4)^A13</f>
        <v>58480.35476</v>
      </c>
      <c r="C13" s="21">
        <f t="shared" si="1"/>
        <v>13758.99521</v>
      </c>
      <c r="D13" s="50">
        <f t="shared" si="2"/>
        <v>32.09169943</v>
      </c>
      <c r="E13" s="50">
        <f t="shared" si="3"/>
        <v>89.75219192</v>
      </c>
      <c r="F13" s="33">
        <f>B13/Supuestos!$B$8</f>
        <v>0.5848035476</v>
      </c>
    </row>
    <row r="14" ht="15.0" customHeight="1">
      <c r="A14" s="16">
        <v>5.0</v>
      </c>
      <c r="B14" s="21">
        <f>Supuestos!$B$7*(1+$B$4)^A14</f>
        <v>76472.44913</v>
      </c>
      <c r="C14" s="21">
        <f t="shared" si="1"/>
        <v>17992.09437</v>
      </c>
      <c r="D14" s="50">
        <f t="shared" si="2"/>
        <v>41.96504728</v>
      </c>
      <c r="E14" s="50">
        <f t="shared" si="3"/>
        <v>131.7172392</v>
      </c>
      <c r="F14" s="33">
        <f>B14/Supuestos!$B$8</f>
        <v>0.7647244913</v>
      </c>
    </row>
    <row r="15" ht="15.0" customHeight="1">
      <c r="A15" s="16">
        <v>6.0</v>
      </c>
      <c r="B15" s="21">
        <f>Supuestos!$B$7*(1+$B$4)^A15</f>
        <v>100000</v>
      </c>
      <c r="C15" s="21">
        <f t="shared" si="1"/>
        <v>23527.55087</v>
      </c>
      <c r="D15" s="50">
        <f t="shared" si="2"/>
        <v>54.87603412</v>
      </c>
      <c r="E15" s="50">
        <f t="shared" si="3"/>
        <v>186.5932733</v>
      </c>
      <c r="F15" s="33">
        <f>B15/Supuestos!$B$8</f>
        <v>1</v>
      </c>
    </row>
    <row r="16">
      <c r="A16" s="4"/>
      <c r="B16" s="4"/>
      <c r="C16" s="4"/>
      <c r="D16" s="4"/>
      <c r="E16" s="4"/>
      <c r="F16" s="4"/>
    </row>
    <row r="17" ht="15.0" customHeight="1">
      <c r="A17" s="14" t="s">
        <v>153</v>
      </c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F1"/>
    <mergeCell ref="A17:F17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4" width="13.0"/>
    <col customWidth="1" min="5" max="5" width="12.0"/>
    <col customWidth="1" min="6" max="6" width="11.0"/>
    <col customWidth="1" min="7" max="7" width="10.0"/>
    <col customWidth="1" min="8" max="8" width="12.0"/>
    <col customWidth="1" min="9" max="12" width="9.0"/>
    <col customWidth="1" min="13" max="14" width="11.0"/>
    <col customWidth="1" min="15" max="15" width="13.0"/>
    <col customWidth="1" min="16" max="26" width="8.71"/>
  </cols>
  <sheetData>
    <row r="1" ht="24.0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0" customHeight="1">
      <c r="A2" s="14" t="s">
        <v>155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21.75" customHeight="1">
      <c r="A4" s="51" t="s">
        <v>156</v>
      </c>
      <c r="B4" s="51" t="s">
        <v>157</v>
      </c>
      <c r="C4" s="51" t="s">
        <v>158</v>
      </c>
      <c r="D4" s="51" t="s">
        <v>159</v>
      </c>
      <c r="E4" s="51" t="s">
        <v>160</v>
      </c>
      <c r="F4" s="51" t="s">
        <v>161</v>
      </c>
      <c r="G4" s="51" t="s">
        <v>162</v>
      </c>
      <c r="H4" s="51" t="s">
        <v>163</v>
      </c>
      <c r="I4" s="51" t="s">
        <v>164</v>
      </c>
      <c r="J4" s="51" t="s">
        <v>165</v>
      </c>
      <c r="K4" s="51" t="s">
        <v>166</v>
      </c>
      <c r="L4" s="51" t="s">
        <v>167</v>
      </c>
      <c r="M4" s="51" t="s">
        <v>168</v>
      </c>
      <c r="N4" s="51" t="s">
        <v>169</v>
      </c>
      <c r="O4" s="51" t="s">
        <v>170</v>
      </c>
    </row>
    <row r="5" ht="15.0" customHeight="1">
      <c r="A5" s="52">
        <v>1.0</v>
      </c>
      <c r="B5" s="53"/>
      <c r="C5" s="18">
        <f>Supuestos!$B$7*(1+'Rampa 6 meses (YC)'!$B$3)^A5</f>
        <v>21277.1501</v>
      </c>
      <c r="D5" s="54"/>
      <c r="E5" s="55" t="str">
        <f t="shared" ref="E5:E30" si="1">IF(D5="","",D5-C5)</f>
        <v/>
      </c>
      <c r="F5" s="56" t="str">
        <f>IF(D5="","",D5/Supuestos!$B$8)</f>
        <v/>
      </c>
      <c r="G5" s="56" t="str">
        <f>IF(OR(D5="",Supuestos!$B$7=""),"",D5/Supuestos!$B$7-1)</f>
        <v/>
      </c>
      <c r="H5" s="57">
        <f>ROUND((C5-Supuestos!$B$7)/(Supuestos!$B$8-Supuestos!$B$7)*'Puente a 100K'!$B$9,1)</f>
        <v>2.7</v>
      </c>
      <c r="I5" s="58"/>
      <c r="J5" s="58"/>
      <c r="K5" s="58"/>
      <c r="L5" s="59">
        <f t="shared" ref="L5:L30" si="2">SUM(I5:K5)</f>
        <v>0</v>
      </c>
      <c r="M5" s="59" t="str">
        <f t="shared" ref="M5:M30" si="3">IF(D5="","",SUM($L$5:L5))</f>
        <v/>
      </c>
      <c r="N5" s="60" t="str">
        <f t="shared" ref="N5:N30" si="4">IF(D5="","",M5-H5)</f>
        <v/>
      </c>
      <c r="O5" s="61" t="str">
        <f t="shared" ref="O5:O30" si="5">IF(D5="","",IF(D5&gt;=C5,"En meta",IF(D5&gt;=0.9*C5,"Vigilar","Atrasado")))</f>
        <v/>
      </c>
    </row>
    <row r="6" ht="15.0" customHeight="1">
      <c r="A6" s="52">
        <v>2.0</v>
      </c>
      <c r="B6" s="53"/>
      <c r="C6" s="18">
        <f>Supuestos!$B$7*(1+'Rampa 6 meses (YC)'!$B$3)^A6</f>
        <v>22635.85582</v>
      </c>
      <c r="D6" s="54"/>
      <c r="E6" s="55" t="str">
        <f t="shared" si="1"/>
        <v/>
      </c>
      <c r="F6" s="56" t="str">
        <f>IF(D6="","",D6/Supuestos!$B$8)</f>
        <v/>
      </c>
      <c r="G6" s="56" t="str">
        <f t="shared" ref="G6:G30" si="6">IF(OR(D6="",D5=""),"",D6/D5-1)</f>
        <v/>
      </c>
      <c r="H6" s="57">
        <f>ROUND((C6-Supuestos!$B$7)/(Supuestos!$B$8-Supuestos!$B$7)*'Puente a 100K'!$B$9,1)</f>
        <v>5.6</v>
      </c>
      <c r="I6" s="58"/>
      <c r="J6" s="58"/>
      <c r="K6" s="58"/>
      <c r="L6" s="59">
        <f t="shared" si="2"/>
        <v>0</v>
      </c>
      <c r="M6" s="59" t="str">
        <f t="shared" si="3"/>
        <v/>
      </c>
      <c r="N6" s="60" t="str">
        <f t="shared" si="4"/>
        <v/>
      </c>
      <c r="O6" s="61" t="str">
        <f t="shared" si="5"/>
        <v/>
      </c>
    </row>
    <row r="7" ht="15.0" customHeight="1">
      <c r="A7" s="52">
        <v>3.0</v>
      </c>
      <c r="B7" s="53"/>
      <c r="C7" s="18">
        <f>Supuestos!$B$7*(1+'Rampa 6 meses (YC)'!$B$3)^A7</f>
        <v>24081.3251</v>
      </c>
      <c r="D7" s="54"/>
      <c r="E7" s="55" t="str">
        <f t="shared" si="1"/>
        <v/>
      </c>
      <c r="F7" s="56" t="str">
        <f>IF(D7="","",D7/Supuestos!$B$8)</f>
        <v/>
      </c>
      <c r="G7" s="56" t="str">
        <f t="shared" si="6"/>
        <v/>
      </c>
      <c r="H7" s="57">
        <f>ROUND((C7-Supuestos!$B$7)/(Supuestos!$B$8-Supuestos!$B$7)*'Puente a 100K'!$B$9,1)</f>
        <v>8.7</v>
      </c>
      <c r="I7" s="58"/>
      <c r="J7" s="58"/>
      <c r="K7" s="58"/>
      <c r="L7" s="59">
        <f t="shared" si="2"/>
        <v>0</v>
      </c>
      <c r="M7" s="59" t="str">
        <f t="shared" si="3"/>
        <v/>
      </c>
      <c r="N7" s="60" t="str">
        <f t="shared" si="4"/>
        <v/>
      </c>
      <c r="O7" s="61" t="str">
        <f t="shared" si="5"/>
        <v/>
      </c>
    </row>
    <row r="8" ht="15.0" customHeight="1">
      <c r="A8" s="52">
        <v>4.0</v>
      </c>
      <c r="B8" s="53"/>
      <c r="C8" s="18">
        <f>Supuestos!$B$7*(1+'Rampa 6 meses (YC)'!$B$3)^A8</f>
        <v>25619.09844</v>
      </c>
      <c r="D8" s="54"/>
      <c r="E8" s="55" t="str">
        <f t="shared" si="1"/>
        <v/>
      </c>
      <c r="F8" s="56" t="str">
        <f>IF(D8="","",D8/Supuestos!$B$8)</f>
        <v/>
      </c>
      <c r="G8" s="56" t="str">
        <f t="shared" si="6"/>
        <v/>
      </c>
      <c r="H8" s="57">
        <f>ROUND((C8-Supuestos!$B$7)/(Supuestos!$B$8-Supuestos!$B$7)*'Puente a 100K'!$B$9,1)</f>
        <v>11.9</v>
      </c>
      <c r="I8" s="58"/>
      <c r="J8" s="58"/>
      <c r="K8" s="58"/>
      <c r="L8" s="59">
        <f t="shared" si="2"/>
        <v>0</v>
      </c>
      <c r="M8" s="59" t="str">
        <f t="shared" si="3"/>
        <v/>
      </c>
      <c r="N8" s="60" t="str">
        <f t="shared" si="4"/>
        <v/>
      </c>
      <c r="O8" s="61" t="str">
        <f t="shared" si="5"/>
        <v/>
      </c>
    </row>
    <row r="9" ht="15.0" customHeight="1">
      <c r="A9" s="52">
        <v>5.0</v>
      </c>
      <c r="B9" s="53"/>
      <c r="C9" s="18">
        <f>Supuestos!$B$7*(1+'Rampa 6 meses (YC)'!$B$3)^A9</f>
        <v>27255.07015</v>
      </c>
      <c r="D9" s="54"/>
      <c r="E9" s="55" t="str">
        <f t="shared" si="1"/>
        <v/>
      </c>
      <c r="F9" s="56" t="str">
        <f>IF(D9="","",D9/Supuestos!$B$8)</f>
        <v/>
      </c>
      <c r="G9" s="56" t="str">
        <f t="shared" si="6"/>
        <v/>
      </c>
      <c r="H9" s="57">
        <f>ROUND((C9-Supuestos!$B$7)/(Supuestos!$B$8-Supuestos!$B$7)*'Puente a 100K'!$B$9,1)</f>
        <v>15.4</v>
      </c>
      <c r="I9" s="58"/>
      <c r="J9" s="58"/>
      <c r="K9" s="58"/>
      <c r="L9" s="59">
        <f t="shared" si="2"/>
        <v>0</v>
      </c>
      <c r="M9" s="59" t="str">
        <f t="shared" si="3"/>
        <v/>
      </c>
      <c r="N9" s="60" t="str">
        <f t="shared" si="4"/>
        <v/>
      </c>
      <c r="O9" s="61" t="str">
        <f t="shared" si="5"/>
        <v/>
      </c>
    </row>
    <row r="10" ht="15.0" customHeight="1">
      <c r="A10" s="52">
        <v>6.0</v>
      </c>
      <c r="B10" s="53"/>
      <c r="C10" s="18">
        <f>Supuestos!$B$7*(1+'Rampa 6 meses (YC)'!$B$3)^A10</f>
        <v>28995.51093</v>
      </c>
      <c r="D10" s="54"/>
      <c r="E10" s="55" t="str">
        <f t="shared" si="1"/>
        <v/>
      </c>
      <c r="F10" s="56" t="str">
        <f>IF(D10="","",D10/Supuestos!$B$8)</f>
        <v/>
      </c>
      <c r="G10" s="56" t="str">
        <f t="shared" si="6"/>
        <v/>
      </c>
      <c r="H10" s="57">
        <f>ROUND((C10-Supuestos!$B$7)/(Supuestos!$B$8-Supuestos!$B$7)*'Puente a 100K'!$B$9,1)</f>
        <v>19.1</v>
      </c>
      <c r="I10" s="58"/>
      <c r="J10" s="58"/>
      <c r="K10" s="58"/>
      <c r="L10" s="59">
        <f t="shared" si="2"/>
        <v>0</v>
      </c>
      <c r="M10" s="59" t="str">
        <f t="shared" si="3"/>
        <v/>
      </c>
      <c r="N10" s="60" t="str">
        <f t="shared" si="4"/>
        <v/>
      </c>
      <c r="O10" s="61" t="str">
        <f t="shared" si="5"/>
        <v/>
      </c>
    </row>
    <row r="11" ht="15.0" customHeight="1">
      <c r="A11" s="52">
        <v>7.0</v>
      </c>
      <c r="B11" s="53"/>
      <c r="C11" s="18">
        <f>Supuestos!$B$7*(1+'Rampa 6 meses (YC)'!$B$3)^A11</f>
        <v>30847.09192</v>
      </c>
      <c r="D11" s="54"/>
      <c r="E11" s="55" t="str">
        <f t="shared" si="1"/>
        <v/>
      </c>
      <c r="F11" s="56" t="str">
        <f>IF(D11="","",D11/Supuestos!$B$8)</f>
        <v/>
      </c>
      <c r="G11" s="56" t="str">
        <f t="shared" si="6"/>
        <v/>
      </c>
      <c r="H11" s="57">
        <f>ROUND((C11-Supuestos!$B$7)/(Supuestos!$B$8-Supuestos!$B$7)*'Puente a 100K'!$B$9,1)</f>
        <v>23.1</v>
      </c>
      <c r="I11" s="58"/>
      <c r="J11" s="58"/>
      <c r="K11" s="58"/>
      <c r="L11" s="59">
        <f t="shared" si="2"/>
        <v>0</v>
      </c>
      <c r="M11" s="59" t="str">
        <f t="shared" si="3"/>
        <v/>
      </c>
      <c r="N11" s="60" t="str">
        <f t="shared" si="4"/>
        <v/>
      </c>
      <c r="O11" s="61" t="str">
        <f t="shared" si="5"/>
        <v/>
      </c>
    </row>
    <row r="12" ht="15.0" customHeight="1">
      <c r="A12" s="52">
        <v>8.0</v>
      </c>
      <c r="B12" s="53"/>
      <c r="C12" s="18">
        <f>Supuestos!$B$7*(1+'Rampa 6 meses (YC)'!$B$3)^A12</f>
        <v>32816.91025</v>
      </c>
      <c r="D12" s="54"/>
      <c r="E12" s="55" t="str">
        <f t="shared" si="1"/>
        <v/>
      </c>
      <c r="F12" s="56" t="str">
        <f>IF(D12="","",D12/Supuestos!$B$8)</f>
        <v/>
      </c>
      <c r="G12" s="56" t="str">
        <f t="shared" si="6"/>
        <v/>
      </c>
      <c r="H12" s="57">
        <f>ROUND((C12-Supuestos!$B$7)/(Supuestos!$B$8-Supuestos!$B$7)*'Puente a 100K'!$B$9,1)</f>
        <v>27.2</v>
      </c>
      <c r="I12" s="58"/>
      <c r="J12" s="58"/>
      <c r="K12" s="58"/>
      <c r="L12" s="59">
        <f t="shared" si="2"/>
        <v>0</v>
      </c>
      <c r="M12" s="59" t="str">
        <f t="shared" si="3"/>
        <v/>
      </c>
      <c r="N12" s="60" t="str">
        <f t="shared" si="4"/>
        <v/>
      </c>
      <c r="O12" s="61" t="str">
        <f t="shared" si="5"/>
        <v/>
      </c>
    </row>
    <row r="13" ht="15.0" customHeight="1">
      <c r="A13" s="52">
        <v>9.0</v>
      </c>
      <c r="B13" s="53"/>
      <c r="C13" s="18">
        <f>Supuestos!$B$7*(1+'Rampa 6 meses (YC)'!$B$3)^A13</f>
        <v>34912.51626</v>
      </c>
      <c r="D13" s="54"/>
      <c r="E13" s="55" t="str">
        <f t="shared" si="1"/>
        <v/>
      </c>
      <c r="F13" s="56" t="str">
        <f>IF(D13="","",D13/Supuestos!$B$8)</f>
        <v/>
      </c>
      <c r="G13" s="56" t="str">
        <f t="shared" si="6"/>
        <v/>
      </c>
      <c r="H13" s="57">
        <f>ROUND((C13-Supuestos!$B$7)/(Supuestos!$B$8-Supuestos!$B$7)*'Puente a 100K'!$B$9,1)</f>
        <v>31.7</v>
      </c>
      <c r="I13" s="58"/>
      <c r="J13" s="58"/>
      <c r="K13" s="58"/>
      <c r="L13" s="59">
        <f t="shared" si="2"/>
        <v>0</v>
      </c>
      <c r="M13" s="59" t="str">
        <f t="shared" si="3"/>
        <v/>
      </c>
      <c r="N13" s="60" t="str">
        <f t="shared" si="4"/>
        <v/>
      </c>
      <c r="O13" s="61" t="str">
        <f t="shared" si="5"/>
        <v/>
      </c>
    </row>
    <row r="14" ht="15.0" customHeight="1">
      <c r="A14" s="52">
        <v>10.0</v>
      </c>
      <c r="B14" s="53"/>
      <c r="C14" s="18">
        <f>Supuestos!$B$7*(1+'Rampa 6 meses (YC)'!$B$3)^A14</f>
        <v>37141.94245</v>
      </c>
      <c r="D14" s="54"/>
      <c r="E14" s="55" t="str">
        <f t="shared" si="1"/>
        <v/>
      </c>
      <c r="F14" s="56" t="str">
        <f>IF(D14="","",D14/Supuestos!$B$8)</f>
        <v/>
      </c>
      <c r="G14" s="56" t="str">
        <f t="shared" si="6"/>
        <v/>
      </c>
      <c r="H14" s="57">
        <f>ROUND((C14-Supuestos!$B$7)/(Supuestos!$B$8-Supuestos!$B$7)*'Puente a 100K'!$B$9,1)</f>
        <v>36.4</v>
      </c>
      <c r="I14" s="58"/>
      <c r="J14" s="58"/>
      <c r="K14" s="58"/>
      <c r="L14" s="59">
        <f t="shared" si="2"/>
        <v>0</v>
      </c>
      <c r="M14" s="59" t="str">
        <f t="shared" si="3"/>
        <v/>
      </c>
      <c r="N14" s="60" t="str">
        <f t="shared" si="4"/>
        <v/>
      </c>
      <c r="O14" s="61" t="str">
        <f t="shared" si="5"/>
        <v/>
      </c>
    </row>
    <row r="15" ht="15.0" customHeight="1">
      <c r="A15" s="52">
        <v>11.0</v>
      </c>
      <c r="B15" s="53"/>
      <c r="C15" s="18">
        <f>Supuestos!$B$7*(1+'Rampa 6 meses (YC)'!$B$3)^A15</f>
        <v>39513.73423</v>
      </c>
      <c r="D15" s="54"/>
      <c r="E15" s="55" t="str">
        <f t="shared" si="1"/>
        <v/>
      </c>
      <c r="F15" s="56" t="str">
        <f>IF(D15="","",D15/Supuestos!$B$8)</f>
        <v/>
      </c>
      <c r="G15" s="56" t="str">
        <f t="shared" si="6"/>
        <v/>
      </c>
      <c r="H15" s="57">
        <f>ROUND((C15-Supuestos!$B$7)/(Supuestos!$B$8-Supuestos!$B$7)*'Puente a 100K'!$B$9,1)</f>
        <v>41.5</v>
      </c>
      <c r="I15" s="58"/>
      <c r="J15" s="58"/>
      <c r="K15" s="58"/>
      <c r="L15" s="59">
        <f t="shared" si="2"/>
        <v>0</v>
      </c>
      <c r="M15" s="59" t="str">
        <f t="shared" si="3"/>
        <v/>
      </c>
      <c r="N15" s="60" t="str">
        <f t="shared" si="4"/>
        <v/>
      </c>
      <c r="O15" s="61" t="str">
        <f t="shared" si="5"/>
        <v/>
      </c>
    </row>
    <row r="16" ht="15.0" customHeight="1">
      <c r="A16" s="52">
        <v>12.0</v>
      </c>
      <c r="B16" s="53"/>
      <c r="C16" s="18">
        <f>Supuestos!$B$7*(1+'Rampa 6 meses (YC)'!$B$3)^A16</f>
        <v>42036.98271</v>
      </c>
      <c r="D16" s="54"/>
      <c r="E16" s="55" t="str">
        <f t="shared" si="1"/>
        <v/>
      </c>
      <c r="F16" s="56" t="str">
        <f>IF(D16="","",D16/Supuestos!$B$8)</f>
        <v/>
      </c>
      <c r="G16" s="56" t="str">
        <f t="shared" si="6"/>
        <v/>
      </c>
      <c r="H16" s="57">
        <f>ROUND((C16-Supuestos!$B$7)/(Supuestos!$B$8-Supuestos!$B$7)*'Puente a 100K'!$B$9,1)</f>
        <v>46.8</v>
      </c>
      <c r="I16" s="58"/>
      <c r="J16" s="58"/>
      <c r="K16" s="58"/>
      <c r="L16" s="59">
        <f t="shared" si="2"/>
        <v>0</v>
      </c>
      <c r="M16" s="59" t="str">
        <f t="shared" si="3"/>
        <v/>
      </c>
      <c r="N16" s="60" t="str">
        <f t="shared" si="4"/>
        <v/>
      </c>
      <c r="O16" s="61" t="str">
        <f t="shared" si="5"/>
        <v/>
      </c>
    </row>
    <row r="17" ht="15.0" customHeight="1">
      <c r="A17" s="52">
        <v>13.0</v>
      </c>
      <c r="B17" s="53"/>
      <c r="C17" s="18">
        <f>Supuestos!$B$7*(1+'Rampa 6 meses (YC)'!$B$3)^A17</f>
        <v>44721.35955</v>
      </c>
      <c r="D17" s="54"/>
      <c r="E17" s="55" t="str">
        <f t="shared" si="1"/>
        <v/>
      </c>
      <c r="F17" s="56" t="str">
        <f>IF(D17="","",D17/Supuestos!$B$8)</f>
        <v/>
      </c>
      <c r="G17" s="56" t="str">
        <f t="shared" si="6"/>
        <v/>
      </c>
      <c r="H17" s="57">
        <f>ROUND((C17-Supuestos!$B$7)/(Supuestos!$B$8-Supuestos!$B$7)*'Puente a 100K'!$B$9,1)</f>
        <v>52.5</v>
      </c>
      <c r="I17" s="58"/>
      <c r="J17" s="58"/>
      <c r="K17" s="58"/>
      <c r="L17" s="59">
        <f t="shared" si="2"/>
        <v>0</v>
      </c>
      <c r="M17" s="59" t="str">
        <f t="shared" si="3"/>
        <v/>
      </c>
      <c r="N17" s="60" t="str">
        <f t="shared" si="4"/>
        <v/>
      </c>
      <c r="O17" s="61" t="str">
        <f t="shared" si="5"/>
        <v/>
      </c>
    </row>
    <row r="18" ht="15.0" customHeight="1">
      <c r="A18" s="52">
        <v>14.0</v>
      </c>
      <c r="B18" s="53"/>
      <c r="C18" s="18">
        <f>Supuestos!$B$7*(1+'Rampa 6 meses (YC)'!$B$3)^A18</f>
        <v>47577.154</v>
      </c>
      <c r="D18" s="54"/>
      <c r="E18" s="55" t="str">
        <f t="shared" si="1"/>
        <v/>
      </c>
      <c r="F18" s="56" t="str">
        <f>IF(D18="","",D18/Supuestos!$B$8)</f>
        <v/>
      </c>
      <c r="G18" s="56" t="str">
        <f t="shared" si="6"/>
        <v/>
      </c>
      <c r="H18" s="57">
        <f>ROUND((C18-Supuestos!$B$7)/(Supuestos!$B$8-Supuestos!$B$7)*'Puente a 100K'!$B$9,1)</f>
        <v>58.6</v>
      </c>
      <c r="I18" s="58"/>
      <c r="J18" s="58"/>
      <c r="K18" s="58"/>
      <c r="L18" s="59">
        <f t="shared" si="2"/>
        <v>0</v>
      </c>
      <c r="M18" s="59" t="str">
        <f t="shared" si="3"/>
        <v/>
      </c>
      <c r="N18" s="60" t="str">
        <f t="shared" si="4"/>
        <v/>
      </c>
      <c r="O18" s="61" t="str">
        <f t="shared" si="5"/>
        <v/>
      </c>
    </row>
    <row r="19" ht="15.0" customHeight="1">
      <c r="A19" s="52">
        <v>15.0</v>
      </c>
      <c r="B19" s="53"/>
      <c r="C19" s="18">
        <f>Supuestos!$B$7*(1+'Rampa 6 meses (YC)'!$B$3)^A19</f>
        <v>50615.31235</v>
      </c>
      <c r="D19" s="54"/>
      <c r="E19" s="55" t="str">
        <f t="shared" si="1"/>
        <v/>
      </c>
      <c r="F19" s="56" t="str">
        <f>IF(D19="","",D19/Supuestos!$B$8)</f>
        <v/>
      </c>
      <c r="G19" s="56" t="str">
        <f t="shared" si="6"/>
        <v/>
      </c>
      <c r="H19" s="57">
        <f>ROUND((C19-Supuestos!$B$7)/(Supuestos!$B$8-Supuestos!$B$7)*'Puente a 100K'!$B$9,1)</f>
        <v>65.1</v>
      </c>
      <c r="I19" s="58"/>
      <c r="J19" s="58"/>
      <c r="K19" s="58"/>
      <c r="L19" s="59">
        <f t="shared" si="2"/>
        <v>0</v>
      </c>
      <c r="M19" s="59" t="str">
        <f t="shared" si="3"/>
        <v/>
      </c>
      <c r="N19" s="60" t="str">
        <f t="shared" si="4"/>
        <v/>
      </c>
      <c r="O19" s="61" t="str">
        <f t="shared" si="5"/>
        <v/>
      </c>
    </row>
    <row r="20" ht="15.0" customHeight="1">
      <c r="A20" s="52">
        <v>16.0</v>
      </c>
      <c r="B20" s="53"/>
      <c r="C20" s="18">
        <f>Supuestos!$B$7*(1+'Rampa 6 meses (YC)'!$B$3)^A20</f>
        <v>53847.47992</v>
      </c>
      <c r="D20" s="54"/>
      <c r="E20" s="55" t="str">
        <f t="shared" si="1"/>
        <v/>
      </c>
      <c r="F20" s="56" t="str">
        <f>IF(D20="","",D20/Supuestos!$B$8)</f>
        <v/>
      </c>
      <c r="G20" s="56" t="str">
        <f t="shared" si="6"/>
        <v/>
      </c>
      <c r="H20" s="57">
        <f>ROUND((C20-Supuestos!$B$7)/(Supuestos!$B$8-Supuestos!$B$7)*'Puente a 100K'!$B$9,1)</f>
        <v>71.9</v>
      </c>
      <c r="I20" s="58"/>
      <c r="J20" s="58"/>
      <c r="K20" s="58"/>
      <c r="L20" s="59">
        <f t="shared" si="2"/>
        <v>0</v>
      </c>
      <c r="M20" s="59" t="str">
        <f t="shared" si="3"/>
        <v/>
      </c>
      <c r="N20" s="60" t="str">
        <f t="shared" si="4"/>
        <v/>
      </c>
      <c r="O20" s="61" t="str">
        <f t="shared" si="5"/>
        <v/>
      </c>
    </row>
    <row r="21" ht="15.0" customHeight="1">
      <c r="A21" s="52">
        <v>17.0</v>
      </c>
      <c r="B21" s="53"/>
      <c r="C21" s="18">
        <f>Supuestos!$B$7*(1+'Rampa 6 meses (YC)'!$B$3)^A21</f>
        <v>57286.04564</v>
      </c>
      <c r="D21" s="54"/>
      <c r="E21" s="55" t="str">
        <f t="shared" si="1"/>
        <v/>
      </c>
      <c r="F21" s="56" t="str">
        <f>IF(D21="","",D21/Supuestos!$B$8)</f>
        <v/>
      </c>
      <c r="G21" s="56" t="str">
        <f t="shared" si="6"/>
        <v/>
      </c>
      <c r="H21" s="57">
        <f>ROUND((C21-Supuestos!$B$7)/(Supuestos!$B$8-Supuestos!$B$7)*'Puente a 100K'!$B$9,1)</f>
        <v>79.2</v>
      </c>
      <c r="I21" s="58"/>
      <c r="J21" s="58"/>
      <c r="K21" s="58"/>
      <c r="L21" s="59">
        <f t="shared" si="2"/>
        <v>0</v>
      </c>
      <c r="M21" s="59" t="str">
        <f t="shared" si="3"/>
        <v/>
      </c>
      <c r="N21" s="60" t="str">
        <f t="shared" si="4"/>
        <v/>
      </c>
      <c r="O21" s="61" t="str">
        <f t="shared" si="5"/>
        <v/>
      </c>
    </row>
    <row r="22" ht="15.0" customHeight="1">
      <c r="A22" s="52">
        <v>18.0</v>
      </c>
      <c r="B22" s="53"/>
      <c r="C22" s="18">
        <f>Supuestos!$B$7*(1+'Rampa 6 meses (YC)'!$B$3)^A22</f>
        <v>60944.18959</v>
      </c>
      <c r="D22" s="54"/>
      <c r="E22" s="55" t="str">
        <f t="shared" si="1"/>
        <v/>
      </c>
      <c r="F22" s="56" t="str">
        <f>IF(D22="","",D22/Supuestos!$B$8)</f>
        <v/>
      </c>
      <c r="G22" s="56" t="str">
        <f t="shared" si="6"/>
        <v/>
      </c>
      <c r="H22" s="57">
        <f>ROUND((C22-Supuestos!$B$7)/(Supuestos!$B$8-Supuestos!$B$7)*'Puente a 100K'!$B$9,1)</f>
        <v>87</v>
      </c>
      <c r="I22" s="58"/>
      <c r="J22" s="58"/>
      <c r="K22" s="58"/>
      <c r="L22" s="59">
        <f t="shared" si="2"/>
        <v>0</v>
      </c>
      <c r="M22" s="59" t="str">
        <f t="shared" si="3"/>
        <v/>
      </c>
      <c r="N22" s="60" t="str">
        <f t="shared" si="4"/>
        <v/>
      </c>
      <c r="O22" s="61" t="str">
        <f t="shared" si="5"/>
        <v/>
      </c>
    </row>
    <row r="23" ht="15.0" customHeight="1">
      <c r="A23" s="52">
        <v>19.0</v>
      </c>
      <c r="B23" s="53"/>
      <c r="C23" s="18">
        <f>Supuestos!$B$7*(1+'Rampa 6 meses (YC)'!$B$3)^A23</f>
        <v>64835.93349</v>
      </c>
      <c r="D23" s="54"/>
      <c r="E23" s="55" t="str">
        <f t="shared" si="1"/>
        <v/>
      </c>
      <c r="F23" s="56" t="str">
        <f>IF(D23="","",D23/Supuestos!$B$8)</f>
        <v/>
      </c>
      <c r="G23" s="56" t="str">
        <f t="shared" si="6"/>
        <v/>
      </c>
      <c r="H23" s="57">
        <f>ROUND((C23-Supuestos!$B$7)/(Supuestos!$B$8-Supuestos!$B$7)*'Puente a 100K'!$B$9,1)</f>
        <v>95.3</v>
      </c>
      <c r="I23" s="58"/>
      <c r="J23" s="58"/>
      <c r="K23" s="58"/>
      <c r="L23" s="59">
        <f t="shared" si="2"/>
        <v>0</v>
      </c>
      <c r="M23" s="59" t="str">
        <f t="shared" si="3"/>
        <v/>
      </c>
      <c r="N23" s="60" t="str">
        <f t="shared" si="4"/>
        <v/>
      </c>
      <c r="O23" s="61" t="str">
        <f t="shared" si="5"/>
        <v/>
      </c>
    </row>
    <row r="24" ht="15.0" customHeight="1">
      <c r="A24" s="52">
        <v>20.0</v>
      </c>
      <c r="B24" s="53"/>
      <c r="C24" s="18">
        <f>Supuestos!$B$7*(1+'Rampa 6 meses (YC)'!$B$3)^A24</f>
        <v>68976.19444</v>
      </c>
      <c r="D24" s="54"/>
      <c r="E24" s="55" t="str">
        <f t="shared" si="1"/>
        <v/>
      </c>
      <c r="F24" s="56" t="str">
        <f>IF(D24="","",D24/Supuestos!$B$8)</f>
        <v/>
      </c>
      <c r="G24" s="56" t="str">
        <f t="shared" si="6"/>
        <v/>
      </c>
      <c r="H24" s="57">
        <f>ROUND((C24-Supuestos!$B$7)/(Supuestos!$B$8-Supuestos!$B$7)*'Puente a 100K'!$B$9,1)</f>
        <v>104.1</v>
      </c>
      <c r="I24" s="58"/>
      <c r="J24" s="58"/>
      <c r="K24" s="58"/>
      <c r="L24" s="59">
        <f t="shared" si="2"/>
        <v>0</v>
      </c>
      <c r="M24" s="59" t="str">
        <f t="shared" si="3"/>
        <v/>
      </c>
      <c r="N24" s="60" t="str">
        <f t="shared" si="4"/>
        <v/>
      </c>
      <c r="O24" s="61" t="str">
        <f t="shared" si="5"/>
        <v/>
      </c>
    </row>
    <row r="25" ht="15.0" customHeight="1">
      <c r="A25" s="52">
        <v>21.0</v>
      </c>
      <c r="B25" s="53"/>
      <c r="C25" s="18">
        <f>Supuestos!$B$7*(1+'Rampa 6 meses (YC)'!$B$3)^A25</f>
        <v>73380.84213</v>
      </c>
      <c r="D25" s="54"/>
      <c r="E25" s="55" t="str">
        <f t="shared" si="1"/>
        <v/>
      </c>
      <c r="F25" s="56" t="str">
        <f>IF(D25="","",D25/Supuestos!$B$8)</f>
        <v/>
      </c>
      <c r="G25" s="56" t="str">
        <f t="shared" si="6"/>
        <v/>
      </c>
      <c r="H25" s="57">
        <f>ROUND((C25-Supuestos!$B$7)/(Supuestos!$B$8-Supuestos!$B$7)*'Puente a 100K'!$B$9,1)</f>
        <v>113.4</v>
      </c>
      <c r="I25" s="58"/>
      <c r="J25" s="58"/>
      <c r="K25" s="58"/>
      <c r="L25" s="59">
        <f t="shared" si="2"/>
        <v>0</v>
      </c>
      <c r="M25" s="59" t="str">
        <f t="shared" si="3"/>
        <v/>
      </c>
      <c r="N25" s="60" t="str">
        <f t="shared" si="4"/>
        <v/>
      </c>
      <c r="O25" s="61" t="str">
        <f t="shared" si="5"/>
        <v/>
      </c>
    </row>
    <row r="26" ht="15.0" customHeight="1">
      <c r="A26" s="52">
        <v>22.0</v>
      </c>
      <c r="B26" s="53"/>
      <c r="C26" s="18">
        <f>Supuestos!$B$7*(1+'Rampa 6 meses (YC)'!$B$3)^A26</f>
        <v>78066.75963</v>
      </c>
      <c r="D26" s="54"/>
      <c r="E26" s="55" t="str">
        <f t="shared" si="1"/>
        <v/>
      </c>
      <c r="F26" s="56" t="str">
        <f>IF(D26="","",D26/Supuestos!$B$8)</f>
        <v/>
      </c>
      <c r="G26" s="56" t="str">
        <f t="shared" si="6"/>
        <v/>
      </c>
      <c r="H26" s="57">
        <f>ROUND((C26-Supuestos!$B$7)/(Supuestos!$B$8-Supuestos!$B$7)*'Puente a 100K'!$B$9,1)</f>
        <v>123.4</v>
      </c>
      <c r="I26" s="58"/>
      <c r="J26" s="58"/>
      <c r="K26" s="58"/>
      <c r="L26" s="59">
        <f t="shared" si="2"/>
        <v>0</v>
      </c>
      <c r="M26" s="59" t="str">
        <f t="shared" si="3"/>
        <v/>
      </c>
      <c r="N26" s="60" t="str">
        <f t="shared" si="4"/>
        <v/>
      </c>
      <c r="O26" s="61" t="str">
        <f t="shared" si="5"/>
        <v/>
      </c>
    </row>
    <row r="27" ht="15.0" customHeight="1">
      <c r="A27" s="52">
        <v>23.0</v>
      </c>
      <c r="B27" s="53"/>
      <c r="C27" s="18">
        <f>Supuestos!$B$7*(1+'Rampa 6 meses (YC)'!$B$3)^A27</f>
        <v>83051.90813</v>
      </c>
      <c r="D27" s="54"/>
      <c r="E27" s="55" t="str">
        <f t="shared" si="1"/>
        <v/>
      </c>
      <c r="F27" s="56" t="str">
        <f>IF(D27="","",D27/Supuestos!$B$8)</f>
        <v/>
      </c>
      <c r="G27" s="56" t="str">
        <f t="shared" si="6"/>
        <v/>
      </c>
      <c r="H27" s="57">
        <f>ROUND((C27-Supuestos!$B$7)/(Supuestos!$B$8-Supuestos!$B$7)*'Puente a 100K'!$B$9,1)</f>
        <v>134</v>
      </c>
      <c r="I27" s="58"/>
      <c r="J27" s="58"/>
      <c r="K27" s="58"/>
      <c r="L27" s="59">
        <f t="shared" si="2"/>
        <v>0</v>
      </c>
      <c r="M27" s="59" t="str">
        <f t="shared" si="3"/>
        <v/>
      </c>
      <c r="N27" s="60" t="str">
        <f t="shared" si="4"/>
        <v/>
      </c>
      <c r="O27" s="61" t="str">
        <f t="shared" si="5"/>
        <v/>
      </c>
    </row>
    <row r="28" ht="15.0" customHeight="1">
      <c r="A28" s="52">
        <v>24.0</v>
      </c>
      <c r="B28" s="53"/>
      <c r="C28" s="18">
        <f>Supuestos!$B$7*(1+'Rampa 6 meses (YC)'!$B$3)^A28</f>
        <v>88355.39578</v>
      </c>
      <c r="D28" s="54"/>
      <c r="E28" s="55" t="str">
        <f t="shared" si="1"/>
        <v/>
      </c>
      <c r="F28" s="56" t="str">
        <f>IF(D28="","",D28/Supuestos!$B$8)</f>
        <v/>
      </c>
      <c r="G28" s="56" t="str">
        <f t="shared" si="6"/>
        <v/>
      </c>
      <c r="H28" s="57">
        <f>ROUND((C28-Supuestos!$B$7)/(Supuestos!$B$8-Supuestos!$B$7)*'Puente a 100K'!$B$9,1)</f>
        <v>145.3</v>
      </c>
      <c r="I28" s="58"/>
      <c r="J28" s="58"/>
      <c r="K28" s="58"/>
      <c r="L28" s="59">
        <f t="shared" si="2"/>
        <v>0</v>
      </c>
      <c r="M28" s="59" t="str">
        <f t="shared" si="3"/>
        <v/>
      </c>
      <c r="N28" s="60" t="str">
        <f t="shared" si="4"/>
        <v/>
      </c>
      <c r="O28" s="61" t="str">
        <f t="shared" si="5"/>
        <v/>
      </c>
    </row>
    <row r="29" ht="15.0" customHeight="1">
      <c r="A29" s="52">
        <v>25.0</v>
      </c>
      <c r="B29" s="53"/>
      <c r="C29" s="18">
        <f>Supuestos!$B$7*(1+'Rampa 6 meses (YC)'!$B$3)^A29</f>
        <v>93997.55091</v>
      </c>
      <c r="D29" s="54"/>
      <c r="E29" s="55" t="str">
        <f t="shared" si="1"/>
        <v/>
      </c>
      <c r="F29" s="56" t="str">
        <f>IF(D29="","",D29/Supuestos!$B$8)</f>
        <v/>
      </c>
      <c r="G29" s="56" t="str">
        <f t="shared" si="6"/>
        <v/>
      </c>
      <c r="H29" s="57">
        <f>ROUND((C29-Supuestos!$B$7)/(Supuestos!$B$8-Supuestos!$B$7)*'Puente a 100K'!$B$9,1)</f>
        <v>157.2</v>
      </c>
      <c r="I29" s="58"/>
      <c r="J29" s="58"/>
      <c r="K29" s="58"/>
      <c r="L29" s="59">
        <f t="shared" si="2"/>
        <v>0</v>
      </c>
      <c r="M29" s="59" t="str">
        <f t="shared" si="3"/>
        <v/>
      </c>
      <c r="N29" s="60" t="str">
        <f t="shared" si="4"/>
        <v/>
      </c>
      <c r="O29" s="61" t="str">
        <f t="shared" si="5"/>
        <v/>
      </c>
    </row>
    <row r="30" ht="15.0" customHeight="1">
      <c r="A30" s="52">
        <v>26.0</v>
      </c>
      <c r="B30" s="53"/>
      <c r="C30" s="18">
        <f>Supuestos!$B$7*(1+'Rampa 6 meses (YC)'!$B$3)^A30</f>
        <v>100000</v>
      </c>
      <c r="D30" s="54"/>
      <c r="E30" s="55" t="str">
        <f t="shared" si="1"/>
        <v/>
      </c>
      <c r="F30" s="56" t="str">
        <f>IF(D30="","",D30/Supuestos!$B$8)</f>
        <v/>
      </c>
      <c r="G30" s="56" t="str">
        <f t="shared" si="6"/>
        <v/>
      </c>
      <c r="H30" s="57">
        <f>ROUND((C30-Supuestos!$B$7)/(Supuestos!$B$8-Supuestos!$B$7)*'Puente a 100K'!$B$9,1)</f>
        <v>170</v>
      </c>
      <c r="I30" s="58"/>
      <c r="J30" s="58"/>
      <c r="K30" s="58"/>
      <c r="L30" s="59">
        <f t="shared" si="2"/>
        <v>0</v>
      </c>
      <c r="M30" s="59" t="str">
        <f t="shared" si="3"/>
        <v/>
      </c>
      <c r="N30" s="60" t="str">
        <f t="shared" si="4"/>
        <v/>
      </c>
      <c r="O30" s="61" t="str">
        <f t="shared" si="5"/>
        <v/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mergeCells count="2">
    <mergeCell ref="A1:O1"/>
    <mergeCell ref="A2:O2"/>
  </mergeCells>
  <conditionalFormatting sqref="O5:O30">
    <cfRule type="cellIs" dxfId="0" priority="1" operator="equal">
      <formula>"En meta"</formula>
    </cfRule>
  </conditionalFormatting>
  <conditionalFormatting sqref="O5:O30">
    <cfRule type="cellIs" dxfId="1" priority="2" operator="equal">
      <formula>"Vigilar"</formula>
    </cfRule>
  </conditionalFormatting>
  <conditionalFormatting sqref="O5:O30">
    <cfRule type="cellIs" dxfId="2" priority="3" operator="equal">
      <formula>"Atrasado"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/>
  <cols>
    <col customWidth="1" min="1" max="1" width="46.0"/>
    <col customWidth="1" min="2" max="3" width="11.0"/>
    <col customWidth="1" min="4" max="4" width="14.0"/>
    <col customWidth="1" min="5" max="6" width="10.0"/>
    <col customWidth="1" min="7" max="7" width="11.0"/>
    <col customWidth="1" min="8" max="26" width="8.71"/>
  </cols>
  <sheetData>
    <row r="1" ht="24.0" customHeight="1">
      <c r="A1" s="1" t="s">
        <v>171</v>
      </c>
      <c r="B1" s="2"/>
      <c r="C1" s="2"/>
      <c r="D1" s="2"/>
      <c r="E1" s="2"/>
      <c r="F1" s="2"/>
      <c r="G1" s="3"/>
    </row>
    <row r="2">
      <c r="A2" s="4"/>
      <c r="B2" s="4"/>
      <c r="C2" s="4"/>
      <c r="D2" s="4"/>
      <c r="E2" s="4"/>
      <c r="F2" s="4"/>
      <c r="G2" s="4"/>
    </row>
    <row r="3" ht="15.0" customHeight="1">
      <c r="A3" s="13" t="s">
        <v>172</v>
      </c>
      <c r="B3" s="2"/>
      <c r="C3" s="2"/>
      <c r="D3" s="2"/>
      <c r="E3" s="2"/>
      <c r="F3" s="2"/>
      <c r="G3" s="3"/>
    </row>
    <row r="4" ht="15.0" customHeight="1">
      <c r="A4" s="26" t="s">
        <v>173</v>
      </c>
      <c r="B4" s="29">
        <v>49.0</v>
      </c>
      <c r="C4" s="4"/>
      <c r="D4" s="4"/>
      <c r="E4" s="4"/>
      <c r="F4" s="4"/>
      <c r="G4" s="4"/>
    </row>
    <row r="5" ht="15.0" customHeight="1">
      <c r="A5" s="26" t="s">
        <v>174</v>
      </c>
      <c r="B5" s="29">
        <v>79.0</v>
      </c>
      <c r="C5" s="4"/>
      <c r="D5" s="4"/>
      <c r="E5" s="4"/>
      <c r="F5" s="4"/>
      <c r="G5" s="4"/>
    </row>
    <row r="6" ht="15.0" customHeight="1">
      <c r="A6" s="26" t="s">
        <v>175</v>
      </c>
      <c r="B6" s="29">
        <v>99.0</v>
      </c>
      <c r="C6" s="4"/>
      <c r="D6" s="4"/>
      <c r="E6" s="4"/>
      <c r="F6" s="4"/>
      <c r="G6" s="4"/>
    </row>
    <row r="7" ht="15.0" customHeight="1">
      <c r="A7" s="26" t="s">
        <v>176</v>
      </c>
      <c r="B7" s="27">
        <v>3.0</v>
      </c>
      <c r="C7" s="4"/>
      <c r="D7" s="4"/>
      <c r="E7" s="4"/>
      <c r="F7" s="4"/>
      <c r="G7" s="4"/>
    </row>
    <row r="8" ht="15.0" customHeight="1">
      <c r="A8" s="26" t="s">
        <v>177</v>
      </c>
      <c r="B8" s="31">
        <v>0.6</v>
      </c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 ht="15.0" customHeight="1">
      <c r="A10" s="13" t="s">
        <v>178</v>
      </c>
      <c r="B10" s="2"/>
      <c r="C10" s="2"/>
      <c r="D10" s="2"/>
      <c r="E10" s="2"/>
      <c r="F10" s="2"/>
      <c r="G10" s="3"/>
    </row>
    <row r="11" ht="15.0" customHeight="1">
      <c r="A11" s="15" t="s">
        <v>179</v>
      </c>
      <c r="B11" s="15" t="s">
        <v>18</v>
      </c>
      <c r="C11" s="15" t="s">
        <v>180</v>
      </c>
      <c r="D11" s="15" t="s">
        <v>19</v>
      </c>
      <c r="E11" s="4"/>
      <c r="F11" s="4"/>
      <c r="G11" s="4"/>
    </row>
    <row r="12" ht="15.0" customHeight="1">
      <c r="A12" s="16" t="s">
        <v>181</v>
      </c>
      <c r="B12" s="20">
        <f>COUNTIF($D$22:$D$400,"Contabilidad")</f>
        <v>152</v>
      </c>
      <c r="C12" s="21">
        <f>$B$4</f>
        <v>49</v>
      </c>
      <c r="D12" s="21">
        <f>SUMIF($D$22:$D$400,"Contabilidad",$G$22:$G$400)</f>
        <v>22344</v>
      </c>
      <c r="E12" s="4"/>
      <c r="F12" s="4"/>
      <c r="G12" s="4"/>
    </row>
    <row r="13" ht="15.0" customHeight="1">
      <c r="A13" s="16" t="s">
        <v>182</v>
      </c>
      <c r="B13" s="20">
        <f>COUNTIF($D$22:$D$400,"Salud")</f>
        <v>3</v>
      </c>
      <c r="C13" s="21">
        <f>$B$5</f>
        <v>79</v>
      </c>
      <c r="D13" s="21">
        <f>SUMIF($D$22:$D$400,"Salud",$G$22:$G$400)</f>
        <v>711</v>
      </c>
      <c r="E13" s="4"/>
      <c r="F13" s="4"/>
      <c r="G13" s="4"/>
    </row>
    <row r="14" ht="15.0" customHeight="1">
      <c r="A14" s="16" t="s">
        <v>183</v>
      </c>
      <c r="B14" s="20">
        <f>COUNTIF($D$22:$D$400,"TMS")</f>
        <v>4</v>
      </c>
      <c r="C14" s="21">
        <f>$B$6</f>
        <v>99</v>
      </c>
      <c r="D14" s="21">
        <f>SUMIF($D$22:$D$400,"TMS",$G$22:$G$400)</f>
        <v>1188</v>
      </c>
      <c r="E14" s="4"/>
      <c r="F14" s="4"/>
      <c r="G14" s="4"/>
    </row>
    <row r="15" ht="15.0" customHeight="1">
      <c r="A15" s="22" t="s">
        <v>25</v>
      </c>
      <c r="B15" s="23">
        <f>SUM(B12:B14)</f>
        <v>159</v>
      </c>
      <c r="C15" s="24"/>
      <c r="D15" s="25">
        <f>SUM(D12:D14)</f>
        <v>24243</v>
      </c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 ht="15.0" customHeight="1">
      <c r="A17" s="11" t="s">
        <v>184</v>
      </c>
      <c r="B17" s="62">
        <f>D15*B8</f>
        <v>14545.8</v>
      </c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 ht="15.0" customHeight="1">
      <c r="A19" s="63" t="s">
        <v>185</v>
      </c>
    </row>
    <row r="20" ht="15.0" customHeight="1"/>
    <row r="21" ht="15.0" customHeight="1">
      <c r="A21" s="15" t="s">
        <v>186</v>
      </c>
      <c r="B21" s="15" t="s">
        <v>187</v>
      </c>
      <c r="C21" s="15" t="s">
        <v>188</v>
      </c>
      <c r="D21" s="15" t="s">
        <v>179</v>
      </c>
      <c r="E21" s="15" t="s">
        <v>189</v>
      </c>
      <c r="F21" s="15" t="s">
        <v>180</v>
      </c>
      <c r="G21" s="15" t="s">
        <v>95</v>
      </c>
    </row>
    <row r="22" ht="15.0" customHeight="1">
      <c r="A22" s="64" t="s">
        <v>190</v>
      </c>
      <c r="B22" s="65">
        <v>96276.0</v>
      </c>
      <c r="C22" s="65">
        <v>96275.0</v>
      </c>
      <c r="D22" s="64" t="s">
        <v>181</v>
      </c>
      <c r="E22" s="66">
        <v>3.0</v>
      </c>
      <c r="F22" s="21">
        <f t="shared" ref="F22:F180" si="1">IF(D22="Salud",$B$5,IF(D22="TMS",$B$6,$B$4))</f>
        <v>49</v>
      </c>
      <c r="G22" s="21">
        <f t="shared" ref="G22:G180" si="2">E22*F22</f>
        <v>147</v>
      </c>
    </row>
    <row r="23" ht="15.0" customHeight="1">
      <c r="A23" s="64" t="s">
        <v>191</v>
      </c>
      <c r="B23" s="65">
        <v>980.0</v>
      </c>
      <c r="C23" s="65">
        <v>925.0</v>
      </c>
      <c r="D23" s="64" t="s">
        <v>181</v>
      </c>
      <c r="E23" s="66">
        <v>3.0</v>
      </c>
      <c r="F23" s="21">
        <f t="shared" si="1"/>
        <v>49</v>
      </c>
      <c r="G23" s="21">
        <f t="shared" si="2"/>
        <v>147</v>
      </c>
    </row>
    <row r="24" ht="15.0" customHeight="1">
      <c r="A24" s="64" t="s">
        <v>192</v>
      </c>
      <c r="B24" s="65">
        <v>85.0</v>
      </c>
      <c r="C24" s="65">
        <v>65.0</v>
      </c>
      <c r="D24" s="64" t="s">
        <v>181</v>
      </c>
      <c r="E24" s="66">
        <v>3.0</v>
      </c>
      <c r="F24" s="21">
        <f t="shared" si="1"/>
        <v>49</v>
      </c>
      <c r="G24" s="21">
        <f t="shared" si="2"/>
        <v>147</v>
      </c>
    </row>
    <row r="25" ht="15.0" customHeight="1">
      <c r="A25" s="64" t="s">
        <v>193</v>
      </c>
      <c r="B25" s="65">
        <v>36.0</v>
      </c>
      <c r="C25" s="65">
        <v>13.0</v>
      </c>
      <c r="D25" s="64" t="s">
        <v>181</v>
      </c>
      <c r="E25" s="66">
        <v>3.0</v>
      </c>
      <c r="F25" s="21">
        <f t="shared" si="1"/>
        <v>49</v>
      </c>
      <c r="G25" s="21">
        <f t="shared" si="2"/>
        <v>147</v>
      </c>
    </row>
    <row r="26" ht="15.0" customHeight="1">
      <c r="A26" s="64" t="s">
        <v>194</v>
      </c>
      <c r="B26" s="65">
        <v>36.0</v>
      </c>
      <c r="C26" s="65">
        <v>11.0</v>
      </c>
      <c r="D26" s="64" t="s">
        <v>181</v>
      </c>
      <c r="E26" s="66">
        <v>3.0</v>
      </c>
      <c r="F26" s="21">
        <f t="shared" si="1"/>
        <v>49</v>
      </c>
      <c r="G26" s="21">
        <f t="shared" si="2"/>
        <v>147</v>
      </c>
    </row>
    <row r="27" ht="15.0" customHeight="1">
      <c r="A27" s="64" t="s">
        <v>195</v>
      </c>
      <c r="B27" s="65">
        <v>6.0</v>
      </c>
      <c r="C27" s="65">
        <v>2.0</v>
      </c>
      <c r="D27" s="64" t="s">
        <v>181</v>
      </c>
      <c r="E27" s="66">
        <v>3.0</v>
      </c>
      <c r="F27" s="21">
        <f t="shared" si="1"/>
        <v>49</v>
      </c>
      <c r="G27" s="21">
        <f t="shared" si="2"/>
        <v>147</v>
      </c>
    </row>
    <row r="28" ht="15.0" customHeight="1">
      <c r="A28" s="64" t="s">
        <v>196</v>
      </c>
      <c r="B28" s="65">
        <v>6.0</v>
      </c>
      <c r="C28" s="65">
        <v>2.0</v>
      </c>
      <c r="D28" s="64" t="s">
        <v>181</v>
      </c>
      <c r="E28" s="66">
        <v>3.0</v>
      </c>
      <c r="F28" s="21">
        <f t="shared" si="1"/>
        <v>49</v>
      </c>
      <c r="G28" s="21">
        <f t="shared" si="2"/>
        <v>147</v>
      </c>
    </row>
    <row r="29" ht="15.0" customHeight="1">
      <c r="A29" s="64" t="s">
        <v>197</v>
      </c>
      <c r="B29" s="65">
        <v>4.0</v>
      </c>
      <c r="C29" s="65">
        <v>2.0</v>
      </c>
      <c r="D29" s="64" t="s">
        <v>181</v>
      </c>
      <c r="E29" s="66">
        <v>3.0</v>
      </c>
      <c r="F29" s="21">
        <f t="shared" si="1"/>
        <v>49</v>
      </c>
      <c r="G29" s="21">
        <f t="shared" si="2"/>
        <v>147</v>
      </c>
    </row>
    <row r="30" ht="15.0" customHeight="1">
      <c r="A30" s="64" t="s">
        <v>198</v>
      </c>
      <c r="B30" s="65">
        <v>3.0</v>
      </c>
      <c r="C30" s="65">
        <v>3.0</v>
      </c>
      <c r="D30" s="64" t="s">
        <v>181</v>
      </c>
      <c r="E30" s="66">
        <v>3.0</v>
      </c>
      <c r="F30" s="21">
        <f t="shared" si="1"/>
        <v>49</v>
      </c>
      <c r="G30" s="21">
        <f t="shared" si="2"/>
        <v>147</v>
      </c>
    </row>
    <row r="31" ht="15.0" customHeight="1">
      <c r="A31" s="64" t="s">
        <v>199</v>
      </c>
      <c r="B31" s="65">
        <v>2.0</v>
      </c>
      <c r="C31" s="65">
        <v>2.0</v>
      </c>
      <c r="D31" s="64" t="s">
        <v>181</v>
      </c>
      <c r="E31" s="66">
        <v>3.0</v>
      </c>
      <c r="F31" s="21">
        <f t="shared" si="1"/>
        <v>49</v>
      </c>
      <c r="G31" s="21">
        <f t="shared" si="2"/>
        <v>147</v>
      </c>
    </row>
    <row r="32" ht="15.0" customHeight="1">
      <c r="A32" s="64" t="s">
        <v>200</v>
      </c>
      <c r="B32" s="65">
        <v>2.0</v>
      </c>
      <c r="C32" s="65">
        <v>1.0</v>
      </c>
      <c r="D32" s="64" t="s">
        <v>181</v>
      </c>
      <c r="E32" s="66">
        <v>3.0</v>
      </c>
      <c r="F32" s="21">
        <f t="shared" si="1"/>
        <v>49</v>
      </c>
      <c r="G32" s="21">
        <f t="shared" si="2"/>
        <v>147</v>
      </c>
    </row>
    <row r="33" ht="15.0" customHeight="1">
      <c r="A33" s="64" t="s">
        <v>201</v>
      </c>
      <c r="B33" s="65">
        <v>1.0</v>
      </c>
      <c r="C33" s="65">
        <v>1.0</v>
      </c>
      <c r="D33" s="64" t="s">
        <v>181</v>
      </c>
      <c r="E33" s="66">
        <v>3.0</v>
      </c>
      <c r="F33" s="21">
        <f t="shared" si="1"/>
        <v>49</v>
      </c>
      <c r="G33" s="21">
        <f t="shared" si="2"/>
        <v>147</v>
      </c>
    </row>
    <row r="34" ht="15.0" customHeight="1">
      <c r="A34" s="64" t="s">
        <v>202</v>
      </c>
      <c r="B34" s="65">
        <v>379.0</v>
      </c>
      <c r="C34" s="65">
        <v>76.0</v>
      </c>
      <c r="D34" s="64" t="s">
        <v>181</v>
      </c>
      <c r="E34" s="66">
        <v>3.0</v>
      </c>
      <c r="F34" s="21">
        <f t="shared" si="1"/>
        <v>49</v>
      </c>
      <c r="G34" s="21">
        <f t="shared" si="2"/>
        <v>147</v>
      </c>
    </row>
    <row r="35" ht="15.0" customHeight="1">
      <c r="A35" s="64" t="s">
        <v>203</v>
      </c>
      <c r="B35" s="65">
        <v>52.0</v>
      </c>
      <c r="C35" s="65">
        <v>31.0</v>
      </c>
      <c r="D35" s="64" t="s">
        <v>181</v>
      </c>
      <c r="E35" s="66">
        <v>3.0</v>
      </c>
      <c r="F35" s="21">
        <f t="shared" si="1"/>
        <v>49</v>
      </c>
      <c r="G35" s="21">
        <f t="shared" si="2"/>
        <v>147</v>
      </c>
    </row>
    <row r="36" ht="15.0" customHeight="1">
      <c r="A36" s="64" t="s">
        <v>204</v>
      </c>
      <c r="B36" s="65">
        <v>73.0</v>
      </c>
      <c r="C36" s="65">
        <v>11.0</v>
      </c>
      <c r="D36" s="64" t="s">
        <v>181</v>
      </c>
      <c r="E36" s="66">
        <v>3.0</v>
      </c>
      <c r="F36" s="21">
        <f t="shared" si="1"/>
        <v>49</v>
      </c>
      <c r="G36" s="21">
        <f t="shared" si="2"/>
        <v>147</v>
      </c>
    </row>
    <row r="37" ht="15.0" customHeight="1">
      <c r="A37" s="64" t="s">
        <v>205</v>
      </c>
      <c r="B37" s="65">
        <v>24.0</v>
      </c>
      <c r="C37" s="65">
        <v>8.0</v>
      </c>
      <c r="D37" s="64" t="s">
        <v>181</v>
      </c>
      <c r="E37" s="66">
        <v>3.0</v>
      </c>
      <c r="F37" s="21">
        <f t="shared" si="1"/>
        <v>49</v>
      </c>
      <c r="G37" s="21">
        <f t="shared" si="2"/>
        <v>147</v>
      </c>
    </row>
    <row r="38" ht="15.0" customHeight="1">
      <c r="A38" s="64" t="s">
        <v>206</v>
      </c>
      <c r="B38" s="65">
        <v>151.0</v>
      </c>
      <c r="C38" s="65">
        <v>11.0</v>
      </c>
      <c r="D38" s="64" t="s">
        <v>181</v>
      </c>
      <c r="E38" s="66">
        <v>3.0</v>
      </c>
      <c r="F38" s="21">
        <f t="shared" si="1"/>
        <v>49</v>
      </c>
      <c r="G38" s="21">
        <f t="shared" si="2"/>
        <v>147</v>
      </c>
    </row>
    <row r="39" ht="15.0" customHeight="1">
      <c r="A39" s="64" t="s">
        <v>207</v>
      </c>
      <c r="B39" s="65">
        <v>306.0</v>
      </c>
      <c r="C39" s="65">
        <v>62.0</v>
      </c>
      <c r="D39" s="64" t="s">
        <v>181</v>
      </c>
      <c r="E39" s="66">
        <v>3.0</v>
      </c>
      <c r="F39" s="21">
        <f t="shared" si="1"/>
        <v>49</v>
      </c>
      <c r="G39" s="21">
        <f t="shared" si="2"/>
        <v>147</v>
      </c>
    </row>
    <row r="40" ht="15.0" customHeight="1">
      <c r="A40" s="64" t="s">
        <v>208</v>
      </c>
      <c r="B40" s="65">
        <v>68.0</v>
      </c>
      <c r="C40" s="65">
        <v>12.0</v>
      </c>
      <c r="D40" s="64" t="s">
        <v>181</v>
      </c>
      <c r="E40" s="66">
        <v>3.0</v>
      </c>
      <c r="F40" s="21">
        <f t="shared" si="1"/>
        <v>49</v>
      </c>
      <c r="G40" s="21">
        <f t="shared" si="2"/>
        <v>147</v>
      </c>
    </row>
    <row r="41" ht="15.0" customHeight="1">
      <c r="A41" s="64" t="s">
        <v>209</v>
      </c>
      <c r="B41" s="65">
        <v>68.0</v>
      </c>
      <c r="C41" s="65">
        <v>10.0</v>
      </c>
      <c r="D41" s="64" t="s">
        <v>181</v>
      </c>
      <c r="E41" s="66">
        <v>3.0</v>
      </c>
      <c r="F41" s="21">
        <f t="shared" si="1"/>
        <v>49</v>
      </c>
      <c r="G41" s="21">
        <f t="shared" si="2"/>
        <v>147</v>
      </c>
    </row>
    <row r="42" ht="15.0" customHeight="1">
      <c r="A42" s="64" t="s">
        <v>210</v>
      </c>
      <c r="B42" s="65">
        <v>48.0</v>
      </c>
      <c r="C42" s="65">
        <v>12.0</v>
      </c>
      <c r="D42" s="64" t="s">
        <v>181</v>
      </c>
      <c r="E42" s="66">
        <v>3.0</v>
      </c>
      <c r="F42" s="21">
        <f t="shared" si="1"/>
        <v>49</v>
      </c>
      <c r="G42" s="21">
        <f t="shared" si="2"/>
        <v>147</v>
      </c>
    </row>
    <row r="43" ht="15.0" customHeight="1">
      <c r="A43" s="64" t="s">
        <v>211</v>
      </c>
      <c r="B43" s="65">
        <v>7.0</v>
      </c>
      <c r="C43" s="65">
        <v>2.0</v>
      </c>
      <c r="D43" s="64" t="s">
        <v>181</v>
      </c>
      <c r="E43" s="66">
        <v>3.0</v>
      </c>
      <c r="F43" s="21">
        <f t="shared" si="1"/>
        <v>49</v>
      </c>
      <c r="G43" s="21">
        <f t="shared" si="2"/>
        <v>147</v>
      </c>
    </row>
    <row r="44" ht="15.0" customHeight="1">
      <c r="A44" s="64" t="s">
        <v>212</v>
      </c>
      <c r="B44" s="65">
        <v>164.0</v>
      </c>
      <c r="C44" s="65">
        <v>69.0</v>
      </c>
      <c r="D44" s="64" t="s">
        <v>181</v>
      </c>
      <c r="E44" s="66">
        <v>3.0</v>
      </c>
      <c r="F44" s="21">
        <f t="shared" si="1"/>
        <v>49</v>
      </c>
      <c r="G44" s="21">
        <f t="shared" si="2"/>
        <v>147</v>
      </c>
    </row>
    <row r="45" ht="15.0" customHeight="1">
      <c r="A45" s="64" t="s">
        <v>213</v>
      </c>
      <c r="B45" s="65">
        <v>138.0</v>
      </c>
      <c r="C45" s="65">
        <v>29.0</v>
      </c>
      <c r="D45" s="64" t="s">
        <v>181</v>
      </c>
      <c r="E45" s="66">
        <v>3.0</v>
      </c>
      <c r="F45" s="21">
        <f t="shared" si="1"/>
        <v>49</v>
      </c>
      <c r="G45" s="21">
        <f t="shared" si="2"/>
        <v>147</v>
      </c>
    </row>
    <row r="46" ht="15.0" customHeight="1">
      <c r="A46" s="64" t="s">
        <v>214</v>
      </c>
      <c r="B46" s="65">
        <v>30.0</v>
      </c>
      <c r="C46" s="65">
        <v>30.0</v>
      </c>
      <c r="D46" s="64" t="s">
        <v>181</v>
      </c>
      <c r="E46" s="66">
        <v>3.0</v>
      </c>
      <c r="F46" s="21">
        <f t="shared" si="1"/>
        <v>49</v>
      </c>
      <c r="G46" s="21">
        <f t="shared" si="2"/>
        <v>147</v>
      </c>
    </row>
    <row r="47" ht="15.0" customHeight="1">
      <c r="A47" s="64" t="s">
        <v>215</v>
      </c>
      <c r="B47" s="65">
        <v>23.0</v>
      </c>
      <c r="C47" s="65">
        <v>23.0</v>
      </c>
      <c r="D47" s="64" t="s">
        <v>181</v>
      </c>
      <c r="E47" s="66">
        <v>3.0</v>
      </c>
      <c r="F47" s="21">
        <f t="shared" si="1"/>
        <v>49</v>
      </c>
      <c r="G47" s="21">
        <f t="shared" si="2"/>
        <v>147</v>
      </c>
    </row>
    <row r="48" ht="15.0" customHeight="1">
      <c r="A48" s="64" t="s">
        <v>216</v>
      </c>
      <c r="B48" s="65">
        <v>246.0</v>
      </c>
      <c r="C48" s="65">
        <v>22.0</v>
      </c>
      <c r="D48" s="64" t="s">
        <v>181</v>
      </c>
      <c r="E48" s="66">
        <v>3.0</v>
      </c>
      <c r="F48" s="21">
        <f t="shared" si="1"/>
        <v>49</v>
      </c>
      <c r="G48" s="21">
        <f t="shared" si="2"/>
        <v>147</v>
      </c>
    </row>
    <row r="49" ht="15.0" customHeight="1">
      <c r="A49" s="64" t="s">
        <v>217</v>
      </c>
      <c r="B49" s="65">
        <v>99.0</v>
      </c>
      <c r="C49" s="65">
        <v>40.0</v>
      </c>
      <c r="D49" s="64" t="s">
        <v>181</v>
      </c>
      <c r="E49" s="66">
        <v>3.0</v>
      </c>
      <c r="F49" s="21">
        <f t="shared" si="1"/>
        <v>49</v>
      </c>
      <c r="G49" s="21">
        <f t="shared" si="2"/>
        <v>147</v>
      </c>
    </row>
    <row r="50" ht="15.0" customHeight="1">
      <c r="A50" s="64" t="s">
        <v>218</v>
      </c>
      <c r="B50" s="65">
        <v>102.0</v>
      </c>
      <c r="C50" s="65">
        <v>16.0</v>
      </c>
      <c r="D50" s="64" t="s">
        <v>181</v>
      </c>
      <c r="E50" s="66">
        <v>3.0</v>
      </c>
      <c r="F50" s="21">
        <f t="shared" si="1"/>
        <v>49</v>
      </c>
      <c r="G50" s="21">
        <f t="shared" si="2"/>
        <v>147</v>
      </c>
    </row>
    <row r="51" ht="15.0" customHeight="1">
      <c r="A51" s="64" t="s">
        <v>219</v>
      </c>
      <c r="B51" s="65">
        <v>69.0</v>
      </c>
      <c r="C51" s="65">
        <v>16.0</v>
      </c>
      <c r="D51" s="64" t="s">
        <v>181</v>
      </c>
      <c r="E51" s="66">
        <v>3.0</v>
      </c>
      <c r="F51" s="21">
        <f t="shared" si="1"/>
        <v>49</v>
      </c>
      <c r="G51" s="21">
        <f t="shared" si="2"/>
        <v>147</v>
      </c>
    </row>
    <row r="52" ht="15.0" customHeight="1">
      <c r="A52" s="64" t="s">
        <v>220</v>
      </c>
      <c r="B52" s="65">
        <v>62.0</v>
      </c>
      <c r="C52" s="65">
        <v>22.0</v>
      </c>
      <c r="D52" s="64" t="s">
        <v>181</v>
      </c>
      <c r="E52" s="66">
        <v>3.0</v>
      </c>
      <c r="F52" s="21">
        <f t="shared" si="1"/>
        <v>49</v>
      </c>
      <c r="G52" s="21">
        <f t="shared" si="2"/>
        <v>147</v>
      </c>
    </row>
    <row r="53" ht="15.0" customHeight="1">
      <c r="A53" s="64" t="s">
        <v>221</v>
      </c>
      <c r="B53" s="65">
        <v>41.0</v>
      </c>
      <c r="C53" s="65">
        <v>9.0</v>
      </c>
      <c r="D53" s="64" t="s">
        <v>181</v>
      </c>
      <c r="E53" s="66">
        <v>3.0</v>
      </c>
      <c r="F53" s="21">
        <f t="shared" si="1"/>
        <v>49</v>
      </c>
      <c r="G53" s="21">
        <f t="shared" si="2"/>
        <v>147</v>
      </c>
    </row>
    <row r="54" ht="15.0" customHeight="1">
      <c r="A54" s="64" t="s">
        <v>222</v>
      </c>
      <c r="B54" s="65">
        <v>229.0</v>
      </c>
      <c r="C54" s="65">
        <v>86.0</v>
      </c>
      <c r="D54" s="64" t="s">
        <v>181</v>
      </c>
      <c r="E54" s="66">
        <v>3.0</v>
      </c>
      <c r="F54" s="21">
        <f t="shared" si="1"/>
        <v>49</v>
      </c>
      <c r="G54" s="21">
        <f t="shared" si="2"/>
        <v>147</v>
      </c>
    </row>
    <row r="55" ht="15.0" customHeight="1">
      <c r="A55" s="64" t="s">
        <v>223</v>
      </c>
      <c r="B55" s="65">
        <v>196.0</v>
      </c>
      <c r="C55" s="65">
        <v>78.0</v>
      </c>
      <c r="D55" s="64" t="s">
        <v>181</v>
      </c>
      <c r="E55" s="66">
        <v>3.0</v>
      </c>
      <c r="F55" s="21">
        <f t="shared" si="1"/>
        <v>49</v>
      </c>
      <c r="G55" s="21">
        <f t="shared" si="2"/>
        <v>147</v>
      </c>
    </row>
    <row r="56" ht="15.0" customHeight="1">
      <c r="A56" s="64" t="s">
        <v>224</v>
      </c>
      <c r="B56" s="65">
        <v>50.0</v>
      </c>
      <c r="C56" s="65">
        <v>29.0</v>
      </c>
      <c r="D56" s="64" t="s">
        <v>181</v>
      </c>
      <c r="E56" s="66">
        <v>3.0</v>
      </c>
      <c r="F56" s="21">
        <f t="shared" si="1"/>
        <v>49</v>
      </c>
      <c r="G56" s="21">
        <f t="shared" si="2"/>
        <v>147</v>
      </c>
    </row>
    <row r="57" ht="15.0" customHeight="1">
      <c r="A57" s="64" t="s">
        <v>225</v>
      </c>
      <c r="B57" s="65">
        <v>158.0</v>
      </c>
      <c r="C57" s="65">
        <v>58.0</v>
      </c>
      <c r="D57" s="64" t="s">
        <v>181</v>
      </c>
      <c r="E57" s="66">
        <v>3.0</v>
      </c>
      <c r="F57" s="21">
        <f t="shared" si="1"/>
        <v>49</v>
      </c>
      <c r="G57" s="21">
        <f t="shared" si="2"/>
        <v>147</v>
      </c>
    </row>
    <row r="58" ht="15.0" customHeight="1">
      <c r="A58" s="64" t="s">
        <v>226</v>
      </c>
      <c r="B58" s="65">
        <v>55.0</v>
      </c>
      <c r="C58" s="65">
        <v>50.0</v>
      </c>
      <c r="D58" s="64" t="s">
        <v>181</v>
      </c>
      <c r="E58" s="66">
        <v>3.0</v>
      </c>
      <c r="F58" s="21">
        <f t="shared" si="1"/>
        <v>49</v>
      </c>
      <c r="G58" s="21">
        <f t="shared" si="2"/>
        <v>147</v>
      </c>
    </row>
    <row r="59" ht="15.0" customHeight="1">
      <c r="A59" s="64" t="s">
        <v>227</v>
      </c>
      <c r="B59" s="65">
        <v>947.0</v>
      </c>
      <c r="C59" s="65">
        <v>161.0</v>
      </c>
      <c r="D59" s="64" t="s">
        <v>181</v>
      </c>
      <c r="E59" s="66">
        <v>3.0</v>
      </c>
      <c r="F59" s="21">
        <f t="shared" si="1"/>
        <v>49</v>
      </c>
      <c r="G59" s="21">
        <f t="shared" si="2"/>
        <v>147</v>
      </c>
    </row>
    <row r="60" ht="15.0" customHeight="1">
      <c r="A60" s="64" t="s">
        <v>228</v>
      </c>
      <c r="B60" s="65">
        <v>465.0</v>
      </c>
      <c r="C60" s="65">
        <v>114.0</v>
      </c>
      <c r="D60" s="64" t="s">
        <v>181</v>
      </c>
      <c r="E60" s="66">
        <v>3.0</v>
      </c>
      <c r="F60" s="21">
        <f t="shared" si="1"/>
        <v>49</v>
      </c>
      <c r="G60" s="21">
        <f t="shared" si="2"/>
        <v>147</v>
      </c>
    </row>
    <row r="61" ht="15.0" customHeight="1">
      <c r="A61" s="64" t="s">
        <v>229</v>
      </c>
      <c r="B61" s="65">
        <v>159.0</v>
      </c>
      <c r="C61" s="65">
        <v>26.0</v>
      </c>
      <c r="D61" s="64" t="s">
        <v>181</v>
      </c>
      <c r="E61" s="66">
        <v>3.0</v>
      </c>
      <c r="F61" s="21">
        <f t="shared" si="1"/>
        <v>49</v>
      </c>
      <c r="G61" s="21">
        <f t="shared" si="2"/>
        <v>147</v>
      </c>
    </row>
    <row r="62" ht="15.0" customHeight="1">
      <c r="A62" s="64" t="s">
        <v>230</v>
      </c>
      <c r="B62" s="65">
        <v>102.0</v>
      </c>
      <c r="C62" s="65">
        <v>22.0</v>
      </c>
      <c r="D62" s="64" t="s">
        <v>181</v>
      </c>
      <c r="E62" s="66">
        <v>3.0</v>
      </c>
      <c r="F62" s="21">
        <f t="shared" si="1"/>
        <v>49</v>
      </c>
      <c r="G62" s="21">
        <f t="shared" si="2"/>
        <v>147</v>
      </c>
    </row>
    <row r="63" ht="15.0" customHeight="1">
      <c r="A63" s="64" t="s">
        <v>231</v>
      </c>
      <c r="B63" s="65">
        <v>402.0</v>
      </c>
      <c r="C63" s="65">
        <v>281.0</v>
      </c>
      <c r="D63" s="64" t="s">
        <v>181</v>
      </c>
      <c r="E63" s="66">
        <v>3.0</v>
      </c>
      <c r="F63" s="21">
        <f t="shared" si="1"/>
        <v>49</v>
      </c>
      <c r="G63" s="21">
        <f t="shared" si="2"/>
        <v>147</v>
      </c>
    </row>
    <row r="64" ht="15.0" customHeight="1">
      <c r="A64" s="64" t="s">
        <v>232</v>
      </c>
      <c r="B64" s="65">
        <v>353.0</v>
      </c>
      <c r="C64" s="65">
        <v>58.0</v>
      </c>
      <c r="D64" s="64" t="s">
        <v>181</v>
      </c>
      <c r="E64" s="66">
        <v>3.0</v>
      </c>
      <c r="F64" s="21">
        <f t="shared" si="1"/>
        <v>49</v>
      </c>
      <c r="G64" s="21">
        <f t="shared" si="2"/>
        <v>147</v>
      </c>
    </row>
    <row r="65" ht="15.0" customHeight="1">
      <c r="A65" s="64" t="s">
        <v>233</v>
      </c>
      <c r="B65" s="65">
        <v>228.0</v>
      </c>
      <c r="C65" s="65">
        <v>82.0</v>
      </c>
      <c r="D65" s="64" t="s">
        <v>181</v>
      </c>
      <c r="E65" s="66">
        <v>3.0</v>
      </c>
      <c r="F65" s="21">
        <f t="shared" si="1"/>
        <v>49</v>
      </c>
      <c r="G65" s="21">
        <f t="shared" si="2"/>
        <v>147</v>
      </c>
    </row>
    <row r="66" ht="15.0" customHeight="1">
      <c r="A66" s="64" t="s">
        <v>234</v>
      </c>
      <c r="B66" s="65">
        <v>1413.0</v>
      </c>
      <c r="C66" s="65">
        <v>621.0</v>
      </c>
      <c r="D66" s="64" t="s">
        <v>181</v>
      </c>
      <c r="E66" s="66">
        <v>3.0</v>
      </c>
      <c r="F66" s="21">
        <f t="shared" si="1"/>
        <v>49</v>
      </c>
      <c r="G66" s="21">
        <f t="shared" si="2"/>
        <v>147</v>
      </c>
    </row>
    <row r="67" ht="15.0" customHeight="1">
      <c r="A67" s="64" t="s">
        <v>235</v>
      </c>
      <c r="B67" s="65">
        <v>215.0</v>
      </c>
      <c r="C67" s="65">
        <v>30.0</v>
      </c>
      <c r="D67" s="64" t="s">
        <v>181</v>
      </c>
      <c r="E67" s="66">
        <v>3.0</v>
      </c>
      <c r="F67" s="21">
        <f t="shared" si="1"/>
        <v>49</v>
      </c>
      <c r="G67" s="21">
        <f t="shared" si="2"/>
        <v>147</v>
      </c>
    </row>
    <row r="68" ht="15.0" customHeight="1">
      <c r="A68" s="64" t="s">
        <v>236</v>
      </c>
      <c r="B68" s="65">
        <v>1912.0</v>
      </c>
      <c r="C68" s="65">
        <v>281.0</v>
      </c>
      <c r="D68" s="64" t="s">
        <v>181</v>
      </c>
      <c r="E68" s="66">
        <v>3.0</v>
      </c>
      <c r="F68" s="21">
        <f t="shared" si="1"/>
        <v>49</v>
      </c>
      <c r="G68" s="21">
        <f t="shared" si="2"/>
        <v>147</v>
      </c>
    </row>
    <row r="69" ht="15.0" customHeight="1">
      <c r="A69" s="64" t="s">
        <v>237</v>
      </c>
      <c r="B69" s="65">
        <v>452.0</v>
      </c>
      <c r="C69" s="65">
        <v>384.0</v>
      </c>
      <c r="D69" s="64" t="s">
        <v>181</v>
      </c>
      <c r="E69" s="66">
        <v>3.0</v>
      </c>
      <c r="F69" s="21">
        <f t="shared" si="1"/>
        <v>49</v>
      </c>
      <c r="G69" s="21">
        <f t="shared" si="2"/>
        <v>147</v>
      </c>
    </row>
    <row r="70" ht="15.0" customHeight="1">
      <c r="A70" s="64" t="s">
        <v>238</v>
      </c>
      <c r="B70" s="65">
        <v>156.0</v>
      </c>
      <c r="C70" s="65">
        <v>65.0</v>
      </c>
      <c r="D70" s="64" t="s">
        <v>181</v>
      </c>
      <c r="E70" s="66">
        <v>3.0</v>
      </c>
      <c r="F70" s="21">
        <f t="shared" si="1"/>
        <v>49</v>
      </c>
      <c r="G70" s="21">
        <f t="shared" si="2"/>
        <v>147</v>
      </c>
    </row>
    <row r="71" ht="15.0" customHeight="1">
      <c r="A71" s="64" t="s">
        <v>239</v>
      </c>
      <c r="B71" s="65">
        <v>2.0</v>
      </c>
      <c r="C71" s="65">
        <v>2.0</v>
      </c>
      <c r="D71" s="64" t="s">
        <v>181</v>
      </c>
      <c r="E71" s="66">
        <v>3.0</v>
      </c>
      <c r="F71" s="21">
        <f t="shared" si="1"/>
        <v>49</v>
      </c>
      <c r="G71" s="21">
        <f t="shared" si="2"/>
        <v>147</v>
      </c>
    </row>
    <row r="72" ht="15.0" customHeight="1">
      <c r="A72" s="64" t="s">
        <v>240</v>
      </c>
      <c r="B72" s="65">
        <v>16.0</v>
      </c>
      <c r="C72" s="65">
        <v>8.0</v>
      </c>
      <c r="D72" s="64" t="s">
        <v>181</v>
      </c>
      <c r="E72" s="66">
        <v>3.0</v>
      </c>
      <c r="F72" s="21">
        <f t="shared" si="1"/>
        <v>49</v>
      </c>
      <c r="G72" s="21">
        <f t="shared" si="2"/>
        <v>147</v>
      </c>
    </row>
    <row r="73" ht="15.0" customHeight="1">
      <c r="A73" s="64" t="s">
        <v>241</v>
      </c>
      <c r="B73" s="65">
        <v>139.0</v>
      </c>
      <c r="C73" s="65">
        <v>17.0</v>
      </c>
      <c r="D73" s="64" t="s">
        <v>181</v>
      </c>
      <c r="E73" s="66">
        <v>3.0</v>
      </c>
      <c r="F73" s="21">
        <f t="shared" si="1"/>
        <v>49</v>
      </c>
      <c r="G73" s="21">
        <f t="shared" si="2"/>
        <v>147</v>
      </c>
    </row>
    <row r="74" ht="15.0" customHeight="1">
      <c r="A74" s="64" t="s">
        <v>242</v>
      </c>
      <c r="B74" s="65">
        <v>605.0</v>
      </c>
      <c r="C74" s="65">
        <v>127.0</v>
      </c>
      <c r="D74" s="64" t="s">
        <v>181</v>
      </c>
      <c r="E74" s="66">
        <v>3.0</v>
      </c>
      <c r="F74" s="21">
        <f t="shared" si="1"/>
        <v>49</v>
      </c>
      <c r="G74" s="21">
        <f t="shared" si="2"/>
        <v>147</v>
      </c>
    </row>
    <row r="75" ht="15.0" customHeight="1">
      <c r="A75" s="64" t="s">
        <v>243</v>
      </c>
      <c r="B75" s="65">
        <v>13939.0</v>
      </c>
      <c r="C75" s="65">
        <v>8984.0</v>
      </c>
      <c r="D75" s="64" t="s">
        <v>181</v>
      </c>
      <c r="E75" s="66">
        <v>3.0</v>
      </c>
      <c r="F75" s="21">
        <f t="shared" si="1"/>
        <v>49</v>
      </c>
      <c r="G75" s="21">
        <f t="shared" si="2"/>
        <v>147</v>
      </c>
    </row>
    <row r="76" ht="15.0" customHeight="1">
      <c r="A76" s="64" t="s">
        <v>244</v>
      </c>
      <c r="B76" s="65">
        <v>1083.0</v>
      </c>
      <c r="C76" s="65">
        <v>170.0</v>
      </c>
      <c r="D76" s="64" t="s">
        <v>181</v>
      </c>
      <c r="E76" s="66">
        <v>3.0</v>
      </c>
      <c r="F76" s="21">
        <f t="shared" si="1"/>
        <v>49</v>
      </c>
      <c r="G76" s="21">
        <f t="shared" si="2"/>
        <v>147</v>
      </c>
    </row>
    <row r="77" ht="15.0" customHeight="1">
      <c r="A77" s="64" t="s">
        <v>245</v>
      </c>
      <c r="B77" s="65">
        <v>103.0</v>
      </c>
      <c r="C77" s="65">
        <v>29.0</v>
      </c>
      <c r="D77" s="64" t="s">
        <v>181</v>
      </c>
      <c r="E77" s="66">
        <v>3.0</v>
      </c>
      <c r="F77" s="21">
        <f t="shared" si="1"/>
        <v>49</v>
      </c>
      <c r="G77" s="21">
        <f t="shared" si="2"/>
        <v>147</v>
      </c>
    </row>
    <row r="78" ht="15.0" customHeight="1">
      <c r="A78" s="64" t="s">
        <v>246</v>
      </c>
      <c r="B78" s="65">
        <v>869.0</v>
      </c>
      <c r="C78" s="65">
        <v>189.0</v>
      </c>
      <c r="D78" s="64" t="s">
        <v>181</v>
      </c>
      <c r="E78" s="66">
        <v>3.0</v>
      </c>
      <c r="F78" s="21">
        <f t="shared" si="1"/>
        <v>49</v>
      </c>
      <c r="G78" s="21">
        <f t="shared" si="2"/>
        <v>147</v>
      </c>
    </row>
    <row r="79" ht="15.0" customHeight="1">
      <c r="A79" s="64" t="s">
        <v>247</v>
      </c>
      <c r="B79" s="65">
        <v>1012.0</v>
      </c>
      <c r="C79" s="65">
        <v>170.0</v>
      </c>
      <c r="D79" s="64" t="s">
        <v>181</v>
      </c>
      <c r="E79" s="66">
        <v>3.0</v>
      </c>
      <c r="F79" s="21">
        <f t="shared" si="1"/>
        <v>49</v>
      </c>
      <c r="G79" s="21">
        <f t="shared" si="2"/>
        <v>147</v>
      </c>
    </row>
    <row r="80" ht="15.0" customHeight="1">
      <c r="A80" s="64" t="s">
        <v>248</v>
      </c>
      <c r="B80" s="65">
        <v>4227.0</v>
      </c>
      <c r="C80" s="65">
        <v>925.0</v>
      </c>
      <c r="D80" s="64" t="s">
        <v>181</v>
      </c>
      <c r="E80" s="66">
        <v>3.0</v>
      </c>
      <c r="F80" s="21">
        <f t="shared" si="1"/>
        <v>49</v>
      </c>
      <c r="G80" s="21">
        <f t="shared" si="2"/>
        <v>147</v>
      </c>
    </row>
    <row r="81" ht="15.0" customHeight="1">
      <c r="A81" s="64" t="s">
        <v>249</v>
      </c>
      <c r="B81" s="65">
        <v>2010.0</v>
      </c>
      <c r="C81" s="65">
        <v>1143.0</v>
      </c>
      <c r="D81" s="64" t="s">
        <v>181</v>
      </c>
      <c r="E81" s="66">
        <v>3.0</v>
      </c>
      <c r="F81" s="21">
        <f t="shared" si="1"/>
        <v>49</v>
      </c>
      <c r="G81" s="21">
        <f t="shared" si="2"/>
        <v>147</v>
      </c>
    </row>
    <row r="82" ht="15.0" customHeight="1">
      <c r="A82" s="64" t="s">
        <v>250</v>
      </c>
      <c r="B82" s="65">
        <v>3952.0</v>
      </c>
      <c r="C82" s="65">
        <v>1165.0</v>
      </c>
      <c r="D82" s="64" t="s">
        <v>181</v>
      </c>
      <c r="E82" s="66">
        <v>3.0</v>
      </c>
      <c r="F82" s="21">
        <f t="shared" si="1"/>
        <v>49</v>
      </c>
      <c r="G82" s="21">
        <f t="shared" si="2"/>
        <v>147</v>
      </c>
    </row>
    <row r="83" ht="15.0" customHeight="1">
      <c r="A83" s="64" t="s">
        <v>251</v>
      </c>
      <c r="B83" s="65">
        <v>1033.0</v>
      </c>
      <c r="C83" s="65">
        <v>309.0</v>
      </c>
      <c r="D83" s="64" t="s">
        <v>181</v>
      </c>
      <c r="E83" s="66">
        <v>3.0</v>
      </c>
      <c r="F83" s="21">
        <f t="shared" si="1"/>
        <v>49</v>
      </c>
      <c r="G83" s="21">
        <f t="shared" si="2"/>
        <v>147</v>
      </c>
    </row>
    <row r="84" ht="15.0" customHeight="1">
      <c r="A84" s="64" t="s">
        <v>252</v>
      </c>
      <c r="B84" s="65">
        <v>529.0</v>
      </c>
      <c r="C84" s="65">
        <v>185.0</v>
      </c>
      <c r="D84" s="64" t="s">
        <v>181</v>
      </c>
      <c r="E84" s="66">
        <v>3.0</v>
      </c>
      <c r="F84" s="21">
        <f t="shared" si="1"/>
        <v>49</v>
      </c>
      <c r="G84" s="21">
        <f t="shared" si="2"/>
        <v>147</v>
      </c>
    </row>
    <row r="85" ht="15.0" customHeight="1">
      <c r="A85" s="64" t="s">
        <v>253</v>
      </c>
      <c r="B85" s="65">
        <v>2279.0</v>
      </c>
      <c r="C85" s="65">
        <v>597.0</v>
      </c>
      <c r="D85" s="64" t="s">
        <v>181</v>
      </c>
      <c r="E85" s="66">
        <v>3.0</v>
      </c>
      <c r="F85" s="21">
        <f t="shared" si="1"/>
        <v>49</v>
      </c>
      <c r="G85" s="21">
        <f t="shared" si="2"/>
        <v>147</v>
      </c>
    </row>
    <row r="86" ht="15.0" customHeight="1">
      <c r="A86" s="64" t="s">
        <v>254</v>
      </c>
      <c r="B86" s="65">
        <v>1649.0</v>
      </c>
      <c r="C86" s="65">
        <v>364.0</v>
      </c>
      <c r="D86" s="64" t="s">
        <v>181</v>
      </c>
      <c r="E86" s="66">
        <v>3.0</v>
      </c>
      <c r="F86" s="21">
        <f t="shared" si="1"/>
        <v>49</v>
      </c>
      <c r="G86" s="21">
        <f t="shared" si="2"/>
        <v>147</v>
      </c>
    </row>
    <row r="87" ht="15.0" customHeight="1">
      <c r="A87" s="64" t="s">
        <v>255</v>
      </c>
      <c r="B87" s="65">
        <v>80.0</v>
      </c>
      <c r="C87" s="65">
        <v>26.0</v>
      </c>
      <c r="D87" s="64" t="s">
        <v>181</v>
      </c>
      <c r="E87" s="66">
        <v>3.0</v>
      </c>
      <c r="F87" s="21">
        <f t="shared" si="1"/>
        <v>49</v>
      </c>
      <c r="G87" s="21">
        <f t="shared" si="2"/>
        <v>147</v>
      </c>
    </row>
    <row r="88" ht="15.0" customHeight="1">
      <c r="A88" s="64" t="s">
        <v>256</v>
      </c>
      <c r="B88" s="65">
        <v>531.0</v>
      </c>
      <c r="C88" s="65">
        <v>103.0</v>
      </c>
      <c r="D88" s="64" t="s">
        <v>181</v>
      </c>
      <c r="E88" s="66">
        <v>3.0</v>
      </c>
      <c r="F88" s="21">
        <f t="shared" si="1"/>
        <v>49</v>
      </c>
      <c r="G88" s="21">
        <f t="shared" si="2"/>
        <v>147</v>
      </c>
    </row>
    <row r="89" ht="15.0" customHeight="1">
      <c r="A89" s="64" t="s">
        <v>257</v>
      </c>
      <c r="B89" s="65">
        <v>161.0</v>
      </c>
      <c r="C89" s="65">
        <v>52.0</v>
      </c>
      <c r="D89" s="64" t="s">
        <v>181</v>
      </c>
      <c r="E89" s="66">
        <v>3.0</v>
      </c>
      <c r="F89" s="21">
        <f t="shared" si="1"/>
        <v>49</v>
      </c>
      <c r="G89" s="21">
        <f t="shared" si="2"/>
        <v>147</v>
      </c>
    </row>
    <row r="90" ht="15.0" customHeight="1">
      <c r="A90" s="64" t="s">
        <v>258</v>
      </c>
      <c r="B90" s="65">
        <v>209.0</v>
      </c>
      <c r="C90" s="65">
        <v>27.0</v>
      </c>
      <c r="D90" s="64" t="s">
        <v>181</v>
      </c>
      <c r="E90" s="66">
        <v>3.0</v>
      </c>
      <c r="F90" s="21">
        <f t="shared" si="1"/>
        <v>49</v>
      </c>
      <c r="G90" s="21">
        <f t="shared" si="2"/>
        <v>147</v>
      </c>
    </row>
    <row r="91" ht="15.0" customHeight="1">
      <c r="A91" s="64" t="s">
        <v>259</v>
      </c>
      <c r="B91" s="65">
        <v>216.0</v>
      </c>
      <c r="C91" s="65">
        <v>139.0</v>
      </c>
      <c r="D91" s="64" t="s">
        <v>181</v>
      </c>
      <c r="E91" s="66">
        <v>3.0</v>
      </c>
      <c r="F91" s="21">
        <f t="shared" si="1"/>
        <v>49</v>
      </c>
      <c r="G91" s="21">
        <f t="shared" si="2"/>
        <v>147</v>
      </c>
    </row>
    <row r="92" ht="15.0" customHeight="1">
      <c r="A92" s="64" t="s">
        <v>260</v>
      </c>
      <c r="B92" s="65">
        <v>656.0</v>
      </c>
      <c r="C92" s="65">
        <v>144.0</v>
      </c>
      <c r="D92" s="64" t="s">
        <v>181</v>
      </c>
      <c r="E92" s="66">
        <v>3.0</v>
      </c>
      <c r="F92" s="21">
        <f t="shared" si="1"/>
        <v>49</v>
      </c>
      <c r="G92" s="21">
        <f t="shared" si="2"/>
        <v>147</v>
      </c>
    </row>
    <row r="93" ht="15.0" customHeight="1">
      <c r="A93" s="64" t="s">
        <v>261</v>
      </c>
      <c r="B93" s="65">
        <v>250.0</v>
      </c>
      <c r="C93" s="65">
        <v>53.0</v>
      </c>
      <c r="D93" s="64" t="s">
        <v>181</v>
      </c>
      <c r="E93" s="66">
        <v>3.0</v>
      </c>
      <c r="F93" s="21">
        <f t="shared" si="1"/>
        <v>49</v>
      </c>
      <c r="G93" s="21">
        <f t="shared" si="2"/>
        <v>147</v>
      </c>
    </row>
    <row r="94" ht="15.0" customHeight="1">
      <c r="A94" s="64" t="s">
        <v>262</v>
      </c>
      <c r="B94" s="65">
        <v>253.0</v>
      </c>
      <c r="C94" s="65">
        <v>110.0</v>
      </c>
      <c r="D94" s="64" t="s">
        <v>181</v>
      </c>
      <c r="E94" s="66">
        <v>3.0</v>
      </c>
      <c r="F94" s="21">
        <f t="shared" si="1"/>
        <v>49</v>
      </c>
      <c r="G94" s="21">
        <f t="shared" si="2"/>
        <v>147</v>
      </c>
    </row>
    <row r="95" ht="15.0" customHeight="1">
      <c r="A95" s="64" t="s">
        <v>263</v>
      </c>
      <c r="B95" s="65">
        <v>1133.0</v>
      </c>
      <c r="C95" s="65">
        <v>219.0</v>
      </c>
      <c r="D95" s="64" t="s">
        <v>181</v>
      </c>
      <c r="E95" s="66">
        <v>3.0</v>
      </c>
      <c r="F95" s="21">
        <f t="shared" si="1"/>
        <v>49</v>
      </c>
      <c r="G95" s="21">
        <f t="shared" si="2"/>
        <v>147</v>
      </c>
    </row>
    <row r="96" ht="15.0" customHeight="1">
      <c r="A96" s="64" t="s">
        <v>264</v>
      </c>
      <c r="B96" s="65">
        <v>1014.0</v>
      </c>
      <c r="C96" s="65">
        <v>233.0</v>
      </c>
      <c r="D96" s="64" t="s">
        <v>181</v>
      </c>
      <c r="E96" s="66">
        <v>3.0</v>
      </c>
      <c r="F96" s="21">
        <f t="shared" si="1"/>
        <v>49</v>
      </c>
      <c r="G96" s="21">
        <f t="shared" si="2"/>
        <v>147</v>
      </c>
    </row>
    <row r="97" ht="15.0" customHeight="1">
      <c r="A97" s="64" t="s">
        <v>265</v>
      </c>
      <c r="B97" s="65">
        <v>431.0</v>
      </c>
      <c r="C97" s="65">
        <v>44.0</v>
      </c>
      <c r="D97" s="64" t="s">
        <v>181</v>
      </c>
      <c r="E97" s="66">
        <v>3.0</v>
      </c>
      <c r="F97" s="21">
        <f t="shared" si="1"/>
        <v>49</v>
      </c>
      <c r="G97" s="21">
        <f t="shared" si="2"/>
        <v>147</v>
      </c>
    </row>
    <row r="98" ht="15.0" customHeight="1">
      <c r="A98" s="64" t="s">
        <v>266</v>
      </c>
      <c r="B98" s="65">
        <v>182.0</v>
      </c>
      <c r="C98" s="65">
        <v>19.0</v>
      </c>
      <c r="D98" s="64" t="s">
        <v>181</v>
      </c>
      <c r="E98" s="66">
        <v>3.0</v>
      </c>
      <c r="F98" s="21">
        <f t="shared" si="1"/>
        <v>49</v>
      </c>
      <c r="G98" s="21">
        <f t="shared" si="2"/>
        <v>147</v>
      </c>
    </row>
    <row r="99" ht="15.0" customHeight="1">
      <c r="A99" s="64" t="s">
        <v>267</v>
      </c>
      <c r="B99" s="65">
        <v>506.0</v>
      </c>
      <c r="C99" s="65">
        <v>45.0</v>
      </c>
      <c r="D99" s="64" t="s">
        <v>181</v>
      </c>
      <c r="E99" s="66">
        <v>3.0</v>
      </c>
      <c r="F99" s="21">
        <f t="shared" si="1"/>
        <v>49</v>
      </c>
      <c r="G99" s="21">
        <f t="shared" si="2"/>
        <v>147</v>
      </c>
    </row>
    <row r="100" ht="15.0" customHeight="1">
      <c r="A100" s="64" t="s">
        <v>268</v>
      </c>
      <c r="B100" s="65">
        <v>2939.0</v>
      </c>
      <c r="C100" s="65">
        <v>702.0</v>
      </c>
      <c r="D100" s="64" t="s">
        <v>181</v>
      </c>
      <c r="E100" s="66">
        <v>3.0</v>
      </c>
      <c r="F100" s="21">
        <f t="shared" si="1"/>
        <v>49</v>
      </c>
      <c r="G100" s="21">
        <f t="shared" si="2"/>
        <v>147</v>
      </c>
    </row>
    <row r="101" ht="15.0" customHeight="1">
      <c r="A101" s="64" t="s">
        <v>269</v>
      </c>
      <c r="B101" s="65">
        <v>91.0</v>
      </c>
      <c r="C101" s="65">
        <v>38.0</v>
      </c>
      <c r="D101" s="64" t="s">
        <v>181</v>
      </c>
      <c r="E101" s="66">
        <v>3.0</v>
      </c>
      <c r="F101" s="21">
        <f t="shared" si="1"/>
        <v>49</v>
      </c>
      <c r="G101" s="21">
        <f t="shared" si="2"/>
        <v>147</v>
      </c>
    </row>
    <row r="102" ht="15.0" customHeight="1">
      <c r="A102" s="64" t="s">
        <v>270</v>
      </c>
      <c r="B102" s="65">
        <v>321.0</v>
      </c>
      <c r="C102" s="65">
        <v>124.0</v>
      </c>
      <c r="D102" s="64" t="s">
        <v>181</v>
      </c>
      <c r="E102" s="66">
        <v>3.0</v>
      </c>
      <c r="F102" s="21">
        <f t="shared" si="1"/>
        <v>49</v>
      </c>
      <c r="G102" s="21">
        <f t="shared" si="2"/>
        <v>147</v>
      </c>
    </row>
    <row r="103" ht="15.0" customHeight="1">
      <c r="A103" s="64" t="s">
        <v>271</v>
      </c>
      <c r="B103" s="65">
        <v>548.0</v>
      </c>
      <c r="C103" s="65">
        <v>83.0</v>
      </c>
      <c r="D103" s="64" t="s">
        <v>181</v>
      </c>
      <c r="E103" s="66">
        <v>3.0</v>
      </c>
      <c r="F103" s="21">
        <f t="shared" si="1"/>
        <v>49</v>
      </c>
      <c r="G103" s="21">
        <f t="shared" si="2"/>
        <v>147</v>
      </c>
    </row>
    <row r="104" ht="15.0" customHeight="1">
      <c r="A104" s="64" t="s">
        <v>272</v>
      </c>
      <c r="B104" s="65">
        <v>189.0</v>
      </c>
      <c r="C104" s="65">
        <v>65.0</v>
      </c>
      <c r="D104" s="64" t="s">
        <v>181</v>
      </c>
      <c r="E104" s="66">
        <v>3.0</v>
      </c>
      <c r="F104" s="21">
        <f t="shared" si="1"/>
        <v>49</v>
      </c>
      <c r="G104" s="21">
        <f t="shared" si="2"/>
        <v>147</v>
      </c>
    </row>
    <row r="105" ht="15.0" customHeight="1">
      <c r="A105" s="64" t="s">
        <v>273</v>
      </c>
      <c r="B105" s="65">
        <v>118.0</v>
      </c>
      <c r="C105" s="65">
        <v>32.0</v>
      </c>
      <c r="D105" s="64" t="s">
        <v>181</v>
      </c>
      <c r="E105" s="66">
        <v>3.0</v>
      </c>
      <c r="F105" s="21">
        <f t="shared" si="1"/>
        <v>49</v>
      </c>
      <c r="G105" s="21">
        <f t="shared" si="2"/>
        <v>147</v>
      </c>
    </row>
    <row r="106" ht="15.0" customHeight="1">
      <c r="A106" s="64" t="s">
        <v>274</v>
      </c>
      <c r="B106" s="65">
        <v>295.0</v>
      </c>
      <c r="C106" s="65">
        <v>72.0</v>
      </c>
      <c r="D106" s="64" t="s">
        <v>181</v>
      </c>
      <c r="E106" s="66">
        <v>3.0</v>
      </c>
      <c r="F106" s="21">
        <f t="shared" si="1"/>
        <v>49</v>
      </c>
      <c r="G106" s="21">
        <f t="shared" si="2"/>
        <v>147</v>
      </c>
    </row>
    <row r="107" ht="15.0" customHeight="1">
      <c r="A107" s="64" t="s">
        <v>275</v>
      </c>
      <c r="B107" s="65">
        <v>1001.0</v>
      </c>
      <c r="C107" s="65">
        <v>191.0</v>
      </c>
      <c r="D107" s="64" t="s">
        <v>181</v>
      </c>
      <c r="E107" s="66">
        <v>3.0</v>
      </c>
      <c r="F107" s="21">
        <f t="shared" si="1"/>
        <v>49</v>
      </c>
      <c r="G107" s="21">
        <f t="shared" si="2"/>
        <v>147</v>
      </c>
    </row>
    <row r="108" ht="15.0" customHeight="1">
      <c r="A108" s="64" t="s">
        <v>276</v>
      </c>
      <c r="B108" s="65">
        <v>96.0</v>
      </c>
      <c r="C108" s="65">
        <v>76.0</v>
      </c>
      <c r="D108" s="64" t="s">
        <v>183</v>
      </c>
      <c r="E108" s="66">
        <v>3.0</v>
      </c>
      <c r="F108" s="21">
        <f t="shared" si="1"/>
        <v>99</v>
      </c>
      <c r="G108" s="21">
        <f t="shared" si="2"/>
        <v>297</v>
      </c>
    </row>
    <row r="109" ht="15.0" customHeight="1">
      <c r="A109" s="64" t="s">
        <v>277</v>
      </c>
      <c r="B109" s="65">
        <v>404.0</v>
      </c>
      <c r="C109" s="65">
        <v>27.0</v>
      </c>
      <c r="D109" s="64" t="s">
        <v>181</v>
      </c>
      <c r="E109" s="66">
        <v>3.0</v>
      </c>
      <c r="F109" s="21">
        <f t="shared" si="1"/>
        <v>49</v>
      </c>
      <c r="G109" s="21">
        <f t="shared" si="2"/>
        <v>147</v>
      </c>
    </row>
    <row r="110" ht="15.0" customHeight="1">
      <c r="A110" s="64" t="s">
        <v>278</v>
      </c>
      <c r="B110" s="65">
        <v>430.0</v>
      </c>
      <c r="C110" s="65">
        <v>179.0</v>
      </c>
      <c r="D110" s="64" t="s">
        <v>181</v>
      </c>
      <c r="E110" s="66">
        <v>3.0</v>
      </c>
      <c r="F110" s="21">
        <f t="shared" si="1"/>
        <v>49</v>
      </c>
      <c r="G110" s="21">
        <f t="shared" si="2"/>
        <v>147</v>
      </c>
    </row>
    <row r="111" ht="15.0" customHeight="1">
      <c r="A111" s="64" t="s">
        <v>279</v>
      </c>
      <c r="B111" s="65">
        <v>1259.0</v>
      </c>
      <c r="C111" s="65">
        <v>1204.0</v>
      </c>
      <c r="D111" s="64" t="s">
        <v>181</v>
      </c>
      <c r="E111" s="66">
        <v>3.0</v>
      </c>
      <c r="F111" s="21">
        <f t="shared" si="1"/>
        <v>49</v>
      </c>
      <c r="G111" s="21">
        <f t="shared" si="2"/>
        <v>147</v>
      </c>
    </row>
    <row r="112" ht="15.0" customHeight="1">
      <c r="A112" s="64" t="s">
        <v>280</v>
      </c>
      <c r="B112" s="65">
        <v>246.0</v>
      </c>
      <c r="C112" s="65">
        <v>27.0</v>
      </c>
      <c r="D112" s="64" t="s">
        <v>181</v>
      </c>
      <c r="E112" s="66">
        <v>3.0</v>
      </c>
      <c r="F112" s="21">
        <f t="shared" si="1"/>
        <v>49</v>
      </c>
      <c r="G112" s="21">
        <f t="shared" si="2"/>
        <v>147</v>
      </c>
    </row>
    <row r="113" ht="15.0" customHeight="1">
      <c r="A113" s="64" t="s">
        <v>281</v>
      </c>
      <c r="B113" s="65">
        <v>113.0</v>
      </c>
      <c r="C113" s="65">
        <v>75.0</v>
      </c>
      <c r="D113" s="64" t="s">
        <v>181</v>
      </c>
      <c r="E113" s="66">
        <v>3.0</v>
      </c>
      <c r="F113" s="21">
        <f t="shared" si="1"/>
        <v>49</v>
      </c>
      <c r="G113" s="21">
        <f t="shared" si="2"/>
        <v>147</v>
      </c>
    </row>
    <row r="114" ht="15.0" customHeight="1">
      <c r="A114" s="64" t="s">
        <v>282</v>
      </c>
      <c r="B114" s="65">
        <v>95.0</v>
      </c>
      <c r="C114" s="65">
        <v>95.0</v>
      </c>
      <c r="D114" s="64" t="s">
        <v>183</v>
      </c>
      <c r="E114" s="66">
        <v>3.0</v>
      </c>
      <c r="F114" s="21">
        <f t="shared" si="1"/>
        <v>99</v>
      </c>
      <c r="G114" s="21">
        <f t="shared" si="2"/>
        <v>297</v>
      </c>
    </row>
    <row r="115" ht="15.0" customHeight="1">
      <c r="A115" s="64" t="s">
        <v>283</v>
      </c>
      <c r="B115" s="65">
        <v>92.0</v>
      </c>
      <c r="C115" s="65">
        <v>81.0</v>
      </c>
      <c r="D115" s="64" t="s">
        <v>183</v>
      </c>
      <c r="E115" s="66">
        <v>3.0</v>
      </c>
      <c r="F115" s="21">
        <f t="shared" si="1"/>
        <v>99</v>
      </c>
      <c r="G115" s="21">
        <f t="shared" si="2"/>
        <v>297</v>
      </c>
    </row>
    <row r="116" ht="15.0" customHeight="1">
      <c r="A116" s="64" t="s">
        <v>284</v>
      </c>
      <c r="B116" s="65">
        <v>894.0</v>
      </c>
      <c r="C116" s="65">
        <v>723.0</v>
      </c>
      <c r="D116" s="64" t="s">
        <v>183</v>
      </c>
      <c r="E116" s="66">
        <v>3.0</v>
      </c>
      <c r="F116" s="21">
        <f t="shared" si="1"/>
        <v>99</v>
      </c>
      <c r="G116" s="21">
        <f t="shared" si="2"/>
        <v>297</v>
      </c>
    </row>
    <row r="117" ht="15.0" customHeight="1">
      <c r="A117" s="64" t="s">
        <v>285</v>
      </c>
      <c r="B117" s="65">
        <v>134.0</v>
      </c>
      <c r="C117" s="65">
        <v>74.0</v>
      </c>
      <c r="D117" s="64" t="s">
        <v>181</v>
      </c>
      <c r="E117" s="66">
        <v>3.0</v>
      </c>
      <c r="F117" s="21">
        <f t="shared" si="1"/>
        <v>49</v>
      </c>
      <c r="G117" s="21">
        <f t="shared" si="2"/>
        <v>147</v>
      </c>
    </row>
    <row r="118" ht="15.0" customHeight="1">
      <c r="A118" s="64" t="s">
        <v>286</v>
      </c>
      <c r="B118" s="65">
        <v>487.0</v>
      </c>
      <c r="C118" s="65">
        <v>188.0</v>
      </c>
      <c r="D118" s="64" t="s">
        <v>181</v>
      </c>
      <c r="E118" s="66">
        <v>3.0</v>
      </c>
      <c r="F118" s="21">
        <f t="shared" si="1"/>
        <v>49</v>
      </c>
      <c r="G118" s="21">
        <f t="shared" si="2"/>
        <v>147</v>
      </c>
    </row>
    <row r="119" ht="15.0" customHeight="1">
      <c r="A119" s="64" t="s">
        <v>287</v>
      </c>
      <c r="B119" s="65">
        <v>2380.0</v>
      </c>
      <c r="C119" s="65">
        <v>326.0</v>
      </c>
      <c r="D119" s="64" t="s">
        <v>181</v>
      </c>
      <c r="E119" s="66">
        <v>3.0</v>
      </c>
      <c r="F119" s="21">
        <f t="shared" si="1"/>
        <v>49</v>
      </c>
      <c r="G119" s="21">
        <f t="shared" si="2"/>
        <v>147</v>
      </c>
    </row>
    <row r="120" ht="15.0" customHeight="1">
      <c r="A120" s="64" t="s">
        <v>288</v>
      </c>
      <c r="B120" s="65">
        <v>88.0</v>
      </c>
      <c r="C120" s="65">
        <v>28.0</v>
      </c>
      <c r="D120" s="64" t="s">
        <v>181</v>
      </c>
      <c r="E120" s="66">
        <v>3.0</v>
      </c>
      <c r="F120" s="21">
        <f t="shared" si="1"/>
        <v>49</v>
      </c>
      <c r="G120" s="21">
        <f t="shared" si="2"/>
        <v>147</v>
      </c>
    </row>
    <row r="121" ht="15.0" customHeight="1">
      <c r="A121" s="64" t="s">
        <v>289</v>
      </c>
      <c r="B121" s="65">
        <v>88.0</v>
      </c>
      <c r="C121" s="65">
        <v>28.0</v>
      </c>
      <c r="D121" s="64" t="s">
        <v>181</v>
      </c>
      <c r="E121" s="66">
        <v>3.0</v>
      </c>
      <c r="F121" s="21">
        <f t="shared" si="1"/>
        <v>49</v>
      </c>
      <c r="G121" s="21">
        <f t="shared" si="2"/>
        <v>147</v>
      </c>
    </row>
    <row r="122" ht="15.0" customHeight="1">
      <c r="A122" s="64" t="s">
        <v>290</v>
      </c>
      <c r="B122" s="65">
        <v>101.0</v>
      </c>
      <c r="C122" s="65">
        <v>49.0</v>
      </c>
      <c r="D122" s="64" t="s">
        <v>181</v>
      </c>
      <c r="E122" s="66">
        <v>3.0</v>
      </c>
      <c r="F122" s="21">
        <f t="shared" si="1"/>
        <v>49</v>
      </c>
      <c r="G122" s="21">
        <f t="shared" si="2"/>
        <v>147</v>
      </c>
    </row>
    <row r="123" ht="15.0" customHeight="1">
      <c r="A123" s="64" t="s">
        <v>291</v>
      </c>
      <c r="B123" s="65">
        <v>69.0</v>
      </c>
      <c r="C123" s="65">
        <v>37.0</v>
      </c>
      <c r="D123" s="64" t="s">
        <v>181</v>
      </c>
      <c r="E123" s="66">
        <v>3.0</v>
      </c>
      <c r="F123" s="21">
        <f t="shared" si="1"/>
        <v>49</v>
      </c>
      <c r="G123" s="21">
        <f t="shared" si="2"/>
        <v>147</v>
      </c>
    </row>
    <row r="124" ht="15.0" customHeight="1">
      <c r="A124" s="64" t="s">
        <v>292</v>
      </c>
      <c r="B124" s="65">
        <v>12.0</v>
      </c>
      <c r="C124" s="65">
        <v>12.0</v>
      </c>
      <c r="D124" s="64" t="s">
        <v>181</v>
      </c>
      <c r="E124" s="66">
        <v>3.0</v>
      </c>
      <c r="F124" s="21">
        <f t="shared" si="1"/>
        <v>49</v>
      </c>
      <c r="G124" s="21">
        <f t="shared" si="2"/>
        <v>147</v>
      </c>
    </row>
    <row r="125" ht="15.0" customHeight="1">
      <c r="A125" s="64" t="s">
        <v>293</v>
      </c>
      <c r="B125" s="65">
        <v>263.0</v>
      </c>
      <c r="C125" s="65">
        <v>23.0</v>
      </c>
      <c r="D125" s="64" t="s">
        <v>181</v>
      </c>
      <c r="E125" s="66">
        <v>3.0</v>
      </c>
      <c r="F125" s="21">
        <f t="shared" si="1"/>
        <v>49</v>
      </c>
      <c r="G125" s="21">
        <f t="shared" si="2"/>
        <v>147</v>
      </c>
    </row>
    <row r="126" ht="15.0" customHeight="1">
      <c r="A126" s="64" t="s">
        <v>294</v>
      </c>
      <c r="B126" s="65">
        <v>113.0</v>
      </c>
      <c r="C126" s="65">
        <v>40.0</v>
      </c>
      <c r="D126" s="64" t="s">
        <v>181</v>
      </c>
      <c r="E126" s="66">
        <v>3.0</v>
      </c>
      <c r="F126" s="21">
        <f t="shared" si="1"/>
        <v>49</v>
      </c>
      <c r="G126" s="21">
        <f t="shared" si="2"/>
        <v>147</v>
      </c>
    </row>
    <row r="127" ht="15.0" customHeight="1">
      <c r="A127" s="64" t="s">
        <v>295</v>
      </c>
      <c r="B127" s="65">
        <v>255.0</v>
      </c>
      <c r="C127" s="65">
        <v>43.0</v>
      </c>
      <c r="D127" s="64" t="s">
        <v>181</v>
      </c>
      <c r="E127" s="66">
        <v>3.0</v>
      </c>
      <c r="F127" s="21">
        <f t="shared" si="1"/>
        <v>49</v>
      </c>
      <c r="G127" s="21">
        <f t="shared" si="2"/>
        <v>147</v>
      </c>
    </row>
    <row r="128" ht="15.0" customHeight="1">
      <c r="A128" s="64" t="s">
        <v>296</v>
      </c>
      <c r="B128" s="65">
        <v>1344.0</v>
      </c>
      <c r="C128" s="65">
        <v>227.0</v>
      </c>
      <c r="D128" s="64" t="s">
        <v>181</v>
      </c>
      <c r="E128" s="66">
        <v>3.0</v>
      </c>
      <c r="F128" s="21">
        <f t="shared" si="1"/>
        <v>49</v>
      </c>
      <c r="G128" s="21">
        <f t="shared" si="2"/>
        <v>147</v>
      </c>
    </row>
    <row r="129" ht="15.0" customHeight="1">
      <c r="A129" s="64" t="s">
        <v>297</v>
      </c>
      <c r="B129" s="65">
        <v>1064.0</v>
      </c>
      <c r="C129" s="65">
        <v>270.0</v>
      </c>
      <c r="D129" s="64" t="s">
        <v>181</v>
      </c>
      <c r="E129" s="66">
        <v>3.0</v>
      </c>
      <c r="F129" s="21">
        <f t="shared" si="1"/>
        <v>49</v>
      </c>
      <c r="G129" s="21">
        <f t="shared" si="2"/>
        <v>147</v>
      </c>
    </row>
    <row r="130" ht="15.0" customHeight="1">
      <c r="A130" s="64" t="s">
        <v>298</v>
      </c>
      <c r="B130" s="65">
        <v>1116.0</v>
      </c>
      <c r="C130" s="65">
        <v>252.0</v>
      </c>
      <c r="D130" s="64" t="s">
        <v>181</v>
      </c>
      <c r="E130" s="66">
        <v>3.0</v>
      </c>
      <c r="F130" s="21">
        <f t="shared" si="1"/>
        <v>49</v>
      </c>
      <c r="G130" s="21">
        <f t="shared" si="2"/>
        <v>147</v>
      </c>
    </row>
    <row r="131" ht="15.0" customHeight="1">
      <c r="A131" s="64" t="s">
        <v>299</v>
      </c>
      <c r="B131" s="65">
        <v>1547.0</v>
      </c>
      <c r="C131" s="65">
        <v>648.0</v>
      </c>
      <c r="D131" s="64" t="s">
        <v>181</v>
      </c>
      <c r="E131" s="66">
        <v>3.0</v>
      </c>
      <c r="F131" s="21">
        <f t="shared" si="1"/>
        <v>49</v>
      </c>
      <c r="G131" s="21">
        <f t="shared" si="2"/>
        <v>147</v>
      </c>
    </row>
    <row r="132" ht="15.0" customHeight="1">
      <c r="A132" s="64" t="s">
        <v>300</v>
      </c>
      <c r="B132" s="65">
        <v>488.0</v>
      </c>
      <c r="C132" s="65">
        <v>62.0</v>
      </c>
      <c r="D132" s="64" t="s">
        <v>181</v>
      </c>
      <c r="E132" s="66">
        <v>3.0</v>
      </c>
      <c r="F132" s="21">
        <f t="shared" si="1"/>
        <v>49</v>
      </c>
      <c r="G132" s="21">
        <f t="shared" si="2"/>
        <v>147</v>
      </c>
    </row>
    <row r="133" ht="15.0" customHeight="1">
      <c r="A133" s="64" t="s">
        <v>301</v>
      </c>
      <c r="B133" s="65">
        <v>1004.0</v>
      </c>
      <c r="C133" s="65">
        <v>153.0</v>
      </c>
      <c r="D133" s="64" t="s">
        <v>181</v>
      </c>
      <c r="E133" s="66">
        <v>3.0</v>
      </c>
      <c r="F133" s="21">
        <f t="shared" si="1"/>
        <v>49</v>
      </c>
      <c r="G133" s="21">
        <f t="shared" si="2"/>
        <v>147</v>
      </c>
    </row>
    <row r="134" ht="15.0" customHeight="1">
      <c r="A134" s="64" t="s">
        <v>302</v>
      </c>
      <c r="B134" s="65">
        <v>6419.0</v>
      </c>
      <c r="C134" s="65">
        <v>1806.0</v>
      </c>
      <c r="D134" s="64" t="s">
        <v>181</v>
      </c>
      <c r="E134" s="66">
        <v>3.0</v>
      </c>
      <c r="F134" s="21">
        <f t="shared" si="1"/>
        <v>49</v>
      </c>
      <c r="G134" s="21">
        <f t="shared" si="2"/>
        <v>147</v>
      </c>
    </row>
    <row r="135" ht="15.0" customHeight="1">
      <c r="A135" s="64" t="s">
        <v>303</v>
      </c>
      <c r="B135" s="65">
        <v>804.0</v>
      </c>
      <c r="C135" s="65">
        <v>181.0</v>
      </c>
      <c r="D135" s="64" t="s">
        <v>181</v>
      </c>
      <c r="E135" s="66">
        <v>3.0</v>
      </c>
      <c r="F135" s="21">
        <f t="shared" si="1"/>
        <v>49</v>
      </c>
      <c r="G135" s="21">
        <f t="shared" si="2"/>
        <v>147</v>
      </c>
    </row>
    <row r="136" ht="15.0" customHeight="1">
      <c r="A136" s="64" t="s">
        <v>304</v>
      </c>
      <c r="B136" s="65">
        <v>193.0</v>
      </c>
      <c r="C136" s="65">
        <v>34.0</v>
      </c>
      <c r="D136" s="64" t="s">
        <v>181</v>
      </c>
      <c r="E136" s="66">
        <v>3.0</v>
      </c>
      <c r="F136" s="21">
        <f t="shared" si="1"/>
        <v>49</v>
      </c>
      <c r="G136" s="21">
        <f t="shared" si="2"/>
        <v>147</v>
      </c>
    </row>
    <row r="137" ht="15.0" customHeight="1">
      <c r="A137" s="64" t="s">
        <v>305</v>
      </c>
      <c r="B137" s="65">
        <v>94.0</v>
      </c>
      <c r="C137" s="65">
        <v>51.0</v>
      </c>
      <c r="D137" s="64" t="s">
        <v>181</v>
      </c>
      <c r="E137" s="66">
        <v>3.0</v>
      </c>
      <c r="F137" s="21">
        <f t="shared" si="1"/>
        <v>49</v>
      </c>
      <c r="G137" s="21">
        <f t="shared" si="2"/>
        <v>147</v>
      </c>
    </row>
    <row r="138" ht="15.0" customHeight="1">
      <c r="A138" s="64" t="s">
        <v>306</v>
      </c>
      <c r="B138" s="65">
        <v>62.0</v>
      </c>
      <c r="C138" s="65">
        <v>55.0</v>
      </c>
      <c r="D138" s="64" t="s">
        <v>181</v>
      </c>
      <c r="E138" s="66">
        <v>3.0</v>
      </c>
      <c r="F138" s="21">
        <f t="shared" si="1"/>
        <v>49</v>
      </c>
      <c r="G138" s="21">
        <f t="shared" si="2"/>
        <v>147</v>
      </c>
    </row>
    <row r="139" ht="15.0" customHeight="1">
      <c r="A139" s="64" t="s">
        <v>307</v>
      </c>
      <c r="B139" s="65">
        <v>449.0</v>
      </c>
      <c r="C139" s="65">
        <v>78.0</v>
      </c>
      <c r="D139" s="64" t="s">
        <v>181</v>
      </c>
      <c r="E139" s="66">
        <v>3.0</v>
      </c>
      <c r="F139" s="21">
        <f t="shared" si="1"/>
        <v>49</v>
      </c>
      <c r="G139" s="21">
        <f t="shared" si="2"/>
        <v>147</v>
      </c>
    </row>
    <row r="140" ht="15.0" customHeight="1">
      <c r="A140" s="64" t="s">
        <v>308</v>
      </c>
      <c r="B140" s="65">
        <v>2133.0</v>
      </c>
      <c r="C140" s="65">
        <v>332.0</v>
      </c>
      <c r="D140" s="64" t="s">
        <v>181</v>
      </c>
      <c r="E140" s="66">
        <v>3.0</v>
      </c>
      <c r="F140" s="21">
        <f t="shared" si="1"/>
        <v>49</v>
      </c>
      <c r="G140" s="21">
        <f t="shared" si="2"/>
        <v>147</v>
      </c>
    </row>
    <row r="141" ht="15.0" customHeight="1">
      <c r="A141" s="64" t="s">
        <v>309</v>
      </c>
      <c r="B141" s="65">
        <v>558.0</v>
      </c>
      <c r="C141" s="65">
        <v>190.0</v>
      </c>
      <c r="D141" s="64" t="s">
        <v>181</v>
      </c>
      <c r="E141" s="66">
        <v>3.0</v>
      </c>
      <c r="F141" s="21">
        <f t="shared" si="1"/>
        <v>49</v>
      </c>
      <c r="G141" s="21">
        <f t="shared" si="2"/>
        <v>147</v>
      </c>
    </row>
    <row r="142" ht="15.0" customHeight="1">
      <c r="A142" s="64" t="s">
        <v>310</v>
      </c>
      <c r="B142" s="65">
        <v>37.0</v>
      </c>
      <c r="C142" s="65">
        <v>37.0</v>
      </c>
      <c r="D142" s="64" t="s">
        <v>182</v>
      </c>
      <c r="E142" s="66">
        <v>3.0</v>
      </c>
      <c r="F142" s="21">
        <f t="shared" si="1"/>
        <v>79</v>
      </c>
      <c r="G142" s="21">
        <f t="shared" si="2"/>
        <v>237</v>
      </c>
    </row>
    <row r="143" ht="15.0" customHeight="1">
      <c r="A143" s="64" t="s">
        <v>311</v>
      </c>
      <c r="B143" s="65">
        <v>139.0</v>
      </c>
      <c r="C143" s="65">
        <v>21.0</v>
      </c>
      <c r="D143" s="64" t="s">
        <v>181</v>
      </c>
      <c r="E143" s="66">
        <v>3.0</v>
      </c>
      <c r="F143" s="21">
        <f t="shared" si="1"/>
        <v>49</v>
      </c>
      <c r="G143" s="21">
        <f t="shared" si="2"/>
        <v>147</v>
      </c>
    </row>
    <row r="144" ht="15.0" customHeight="1">
      <c r="A144" s="64" t="s">
        <v>312</v>
      </c>
      <c r="B144" s="65">
        <v>642.0</v>
      </c>
      <c r="C144" s="65">
        <v>286.0</v>
      </c>
      <c r="D144" s="64" t="s">
        <v>181</v>
      </c>
      <c r="E144" s="66">
        <v>3.0</v>
      </c>
      <c r="F144" s="21">
        <f t="shared" si="1"/>
        <v>49</v>
      </c>
      <c r="G144" s="21">
        <f t="shared" si="2"/>
        <v>147</v>
      </c>
    </row>
    <row r="145" ht="15.0" customHeight="1">
      <c r="A145" s="64" t="s">
        <v>313</v>
      </c>
      <c r="B145" s="65">
        <v>7770.0</v>
      </c>
      <c r="C145" s="65">
        <v>1766.0</v>
      </c>
      <c r="D145" s="64" t="s">
        <v>181</v>
      </c>
      <c r="E145" s="66">
        <v>3.0</v>
      </c>
      <c r="F145" s="21">
        <f t="shared" si="1"/>
        <v>49</v>
      </c>
      <c r="G145" s="21">
        <f t="shared" si="2"/>
        <v>147</v>
      </c>
    </row>
    <row r="146" ht="15.0" customHeight="1">
      <c r="A146" s="64" t="s">
        <v>314</v>
      </c>
      <c r="B146" s="65">
        <v>226.0</v>
      </c>
      <c r="C146" s="65">
        <v>39.0</v>
      </c>
      <c r="D146" s="64" t="s">
        <v>181</v>
      </c>
      <c r="E146" s="66">
        <v>3.0</v>
      </c>
      <c r="F146" s="21">
        <f t="shared" si="1"/>
        <v>49</v>
      </c>
      <c r="G146" s="21">
        <f t="shared" si="2"/>
        <v>147</v>
      </c>
    </row>
    <row r="147" ht="15.0" customHeight="1">
      <c r="A147" s="64" t="s">
        <v>315</v>
      </c>
      <c r="B147" s="65">
        <v>552.0</v>
      </c>
      <c r="C147" s="65">
        <v>154.0</v>
      </c>
      <c r="D147" s="64" t="s">
        <v>181</v>
      </c>
      <c r="E147" s="66">
        <v>3.0</v>
      </c>
      <c r="F147" s="21">
        <f t="shared" si="1"/>
        <v>49</v>
      </c>
      <c r="G147" s="21">
        <f t="shared" si="2"/>
        <v>147</v>
      </c>
    </row>
    <row r="148" ht="15.0" customHeight="1">
      <c r="A148" s="64" t="s">
        <v>316</v>
      </c>
      <c r="B148" s="65">
        <v>289.0</v>
      </c>
      <c r="C148" s="65">
        <v>40.0</v>
      </c>
      <c r="D148" s="64" t="s">
        <v>181</v>
      </c>
      <c r="E148" s="66">
        <v>3.0</v>
      </c>
      <c r="F148" s="21">
        <f t="shared" si="1"/>
        <v>49</v>
      </c>
      <c r="G148" s="21">
        <f t="shared" si="2"/>
        <v>147</v>
      </c>
    </row>
    <row r="149" ht="15.0" customHeight="1">
      <c r="A149" s="64" t="s">
        <v>317</v>
      </c>
      <c r="B149" s="65">
        <v>463.0</v>
      </c>
      <c r="C149" s="65">
        <v>85.0</v>
      </c>
      <c r="D149" s="64" t="s">
        <v>181</v>
      </c>
      <c r="E149" s="66">
        <v>3.0</v>
      </c>
      <c r="F149" s="21">
        <f t="shared" si="1"/>
        <v>49</v>
      </c>
      <c r="G149" s="21">
        <f t="shared" si="2"/>
        <v>147</v>
      </c>
    </row>
    <row r="150" ht="15.0" customHeight="1">
      <c r="A150" s="64" t="s">
        <v>318</v>
      </c>
      <c r="B150" s="65">
        <v>816.0</v>
      </c>
      <c r="C150" s="65">
        <v>110.0</v>
      </c>
      <c r="D150" s="64" t="s">
        <v>181</v>
      </c>
      <c r="E150" s="66">
        <v>3.0</v>
      </c>
      <c r="F150" s="21">
        <f t="shared" si="1"/>
        <v>49</v>
      </c>
      <c r="G150" s="21">
        <f t="shared" si="2"/>
        <v>147</v>
      </c>
    </row>
    <row r="151" ht="15.0" customHeight="1">
      <c r="A151" s="64" t="s">
        <v>319</v>
      </c>
      <c r="B151" s="65">
        <v>423.0</v>
      </c>
      <c r="C151" s="65">
        <v>131.0</v>
      </c>
      <c r="D151" s="64" t="s">
        <v>181</v>
      </c>
      <c r="E151" s="66">
        <v>3.0</v>
      </c>
      <c r="F151" s="21">
        <f t="shared" si="1"/>
        <v>49</v>
      </c>
      <c r="G151" s="21">
        <f t="shared" si="2"/>
        <v>147</v>
      </c>
    </row>
    <row r="152" ht="15.0" customHeight="1">
      <c r="A152" s="64" t="s">
        <v>320</v>
      </c>
      <c r="B152" s="65">
        <v>286.0</v>
      </c>
      <c r="C152" s="65">
        <v>57.0</v>
      </c>
      <c r="D152" s="64" t="s">
        <v>181</v>
      </c>
      <c r="E152" s="66">
        <v>3.0</v>
      </c>
      <c r="F152" s="21">
        <f t="shared" si="1"/>
        <v>49</v>
      </c>
      <c r="G152" s="21">
        <f t="shared" si="2"/>
        <v>147</v>
      </c>
    </row>
    <row r="153" ht="15.0" customHeight="1">
      <c r="A153" s="64" t="s">
        <v>321</v>
      </c>
      <c r="B153" s="65">
        <v>15467.0</v>
      </c>
      <c r="C153" s="65">
        <v>2222.0</v>
      </c>
      <c r="D153" s="64" t="s">
        <v>181</v>
      </c>
      <c r="E153" s="66">
        <v>3.0</v>
      </c>
      <c r="F153" s="21">
        <f t="shared" si="1"/>
        <v>49</v>
      </c>
      <c r="G153" s="21">
        <f t="shared" si="2"/>
        <v>147</v>
      </c>
    </row>
    <row r="154" ht="15.0" customHeight="1">
      <c r="A154" s="64" t="s">
        <v>322</v>
      </c>
      <c r="B154" s="65">
        <v>231.0</v>
      </c>
      <c r="C154" s="65">
        <v>45.0</v>
      </c>
      <c r="D154" s="64" t="s">
        <v>181</v>
      </c>
      <c r="E154" s="66">
        <v>3.0</v>
      </c>
      <c r="F154" s="21">
        <f t="shared" si="1"/>
        <v>49</v>
      </c>
      <c r="G154" s="21">
        <f t="shared" si="2"/>
        <v>147</v>
      </c>
    </row>
    <row r="155" ht="15.0" customHeight="1">
      <c r="A155" s="64" t="s">
        <v>323</v>
      </c>
      <c r="B155" s="65">
        <v>393.0</v>
      </c>
      <c r="C155" s="65">
        <v>52.0</v>
      </c>
      <c r="D155" s="64" t="s">
        <v>181</v>
      </c>
      <c r="E155" s="66">
        <v>3.0</v>
      </c>
      <c r="F155" s="21">
        <f t="shared" si="1"/>
        <v>49</v>
      </c>
      <c r="G155" s="21">
        <f t="shared" si="2"/>
        <v>147</v>
      </c>
    </row>
    <row r="156" ht="15.0" customHeight="1">
      <c r="A156" s="64" t="s">
        <v>324</v>
      </c>
      <c r="B156" s="65">
        <v>395.0</v>
      </c>
      <c r="C156" s="65">
        <v>395.0</v>
      </c>
      <c r="D156" s="64" t="s">
        <v>181</v>
      </c>
      <c r="E156" s="66">
        <v>3.0</v>
      </c>
      <c r="F156" s="21">
        <f t="shared" si="1"/>
        <v>49</v>
      </c>
      <c r="G156" s="21">
        <f t="shared" si="2"/>
        <v>147</v>
      </c>
    </row>
    <row r="157" ht="15.0" customHeight="1">
      <c r="A157" s="64" t="s">
        <v>325</v>
      </c>
      <c r="B157" s="65">
        <v>858.0</v>
      </c>
      <c r="C157" s="65">
        <v>436.0</v>
      </c>
      <c r="D157" s="64" t="s">
        <v>181</v>
      </c>
      <c r="E157" s="66">
        <v>3.0</v>
      </c>
      <c r="F157" s="21">
        <f t="shared" si="1"/>
        <v>49</v>
      </c>
      <c r="G157" s="21">
        <f t="shared" si="2"/>
        <v>147</v>
      </c>
    </row>
    <row r="158" ht="15.0" customHeight="1">
      <c r="A158" s="64" t="s">
        <v>326</v>
      </c>
      <c r="B158" s="65">
        <v>670.0</v>
      </c>
      <c r="C158" s="65">
        <v>107.0</v>
      </c>
      <c r="D158" s="64" t="s">
        <v>181</v>
      </c>
      <c r="E158" s="66">
        <v>3.0</v>
      </c>
      <c r="F158" s="21">
        <f t="shared" si="1"/>
        <v>49</v>
      </c>
      <c r="G158" s="21">
        <f t="shared" si="2"/>
        <v>147</v>
      </c>
    </row>
    <row r="159" ht="15.0" customHeight="1">
      <c r="A159" s="64" t="s">
        <v>327</v>
      </c>
      <c r="B159" s="65">
        <v>876.0</v>
      </c>
      <c r="C159" s="65">
        <v>218.0</v>
      </c>
      <c r="D159" s="64" t="s">
        <v>181</v>
      </c>
      <c r="E159" s="66">
        <v>3.0</v>
      </c>
      <c r="F159" s="21">
        <f t="shared" si="1"/>
        <v>49</v>
      </c>
      <c r="G159" s="21">
        <f t="shared" si="2"/>
        <v>147</v>
      </c>
    </row>
    <row r="160" ht="15.0" customHeight="1">
      <c r="A160" s="64" t="s">
        <v>328</v>
      </c>
      <c r="B160" s="65">
        <v>3420.0</v>
      </c>
      <c r="C160" s="65">
        <v>1854.0</v>
      </c>
      <c r="D160" s="64" t="s">
        <v>181</v>
      </c>
      <c r="E160" s="66">
        <v>3.0</v>
      </c>
      <c r="F160" s="21">
        <f t="shared" si="1"/>
        <v>49</v>
      </c>
      <c r="G160" s="21">
        <f t="shared" si="2"/>
        <v>147</v>
      </c>
    </row>
    <row r="161" ht="15.0" customHeight="1">
      <c r="A161" s="64" t="s">
        <v>329</v>
      </c>
      <c r="B161" s="65">
        <v>8967.0</v>
      </c>
      <c r="C161" s="65">
        <v>223.0</v>
      </c>
      <c r="D161" s="64" t="s">
        <v>181</v>
      </c>
      <c r="E161" s="66">
        <v>3.0</v>
      </c>
      <c r="F161" s="21">
        <f t="shared" si="1"/>
        <v>49</v>
      </c>
      <c r="G161" s="21">
        <f t="shared" si="2"/>
        <v>147</v>
      </c>
    </row>
    <row r="162" ht="15.0" customHeight="1">
      <c r="A162" s="64" t="s">
        <v>330</v>
      </c>
      <c r="B162" s="65">
        <v>64.0</v>
      </c>
      <c r="C162" s="65">
        <v>64.0</v>
      </c>
      <c r="D162" s="64" t="s">
        <v>182</v>
      </c>
      <c r="E162" s="66">
        <v>3.0</v>
      </c>
      <c r="F162" s="21">
        <f t="shared" si="1"/>
        <v>79</v>
      </c>
      <c r="G162" s="21">
        <f t="shared" si="2"/>
        <v>237</v>
      </c>
    </row>
    <row r="163" ht="15.0" customHeight="1">
      <c r="A163" s="64" t="s">
        <v>331</v>
      </c>
      <c r="B163" s="65">
        <v>3531.0</v>
      </c>
      <c r="C163" s="65">
        <v>694.0</v>
      </c>
      <c r="D163" s="64" t="s">
        <v>181</v>
      </c>
      <c r="E163" s="66">
        <v>3.0</v>
      </c>
      <c r="F163" s="21">
        <f t="shared" si="1"/>
        <v>49</v>
      </c>
      <c r="G163" s="21">
        <f t="shared" si="2"/>
        <v>147</v>
      </c>
    </row>
    <row r="164" ht="15.0" customHeight="1">
      <c r="A164" s="64" t="s">
        <v>332</v>
      </c>
      <c r="B164" s="65">
        <v>1151.0</v>
      </c>
      <c r="C164" s="65">
        <v>265.0</v>
      </c>
      <c r="D164" s="64" t="s">
        <v>181</v>
      </c>
      <c r="E164" s="66">
        <v>3.0</v>
      </c>
      <c r="F164" s="21">
        <f t="shared" si="1"/>
        <v>49</v>
      </c>
      <c r="G164" s="21">
        <f t="shared" si="2"/>
        <v>147</v>
      </c>
    </row>
    <row r="165" ht="15.0" customHeight="1">
      <c r="A165" s="64" t="s">
        <v>333</v>
      </c>
      <c r="B165" s="65">
        <v>6068.0</v>
      </c>
      <c r="C165" s="65">
        <v>3225.0</v>
      </c>
      <c r="D165" s="64" t="s">
        <v>182</v>
      </c>
      <c r="E165" s="66">
        <v>3.0</v>
      </c>
      <c r="F165" s="21">
        <f t="shared" si="1"/>
        <v>79</v>
      </c>
      <c r="G165" s="21">
        <f t="shared" si="2"/>
        <v>237</v>
      </c>
    </row>
    <row r="166" ht="15.0" customHeight="1">
      <c r="A166" s="64" t="s">
        <v>334</v>
      </c>
      <c r="B166" s="65">
        <v>11.0</v>
      </c>
      <c r="C166" s="65">
        <v>11.0</v>
      </c>
      <c r="D166" s="64" t="s">
        <v>181</v>
      </c>
      <c r="E166" s="66">
        <v>3.0</v>
      </c>
      <c r="F166" s="21">
        <f t="shared" si="1"/>
        <v>49</v>
      </c>
      <c r="G166" s="21">
        <f t="shared" si="2"/>
        <v>147</v>
      </c>
    </row>
    <row r="167" ht="15.0" customHeight="1">
      <c r="A167" s="64" t="s">
        <v>335</v>
      </c>
      <c r="B167" s="65">
        <v>449.0</v>
      </c>
      <c r="C167" s="65">
        <v>68.0</v>
      </c>
      <c r="D167" s="64" t="s">
        <v>181</v>
      </c>
      <c r="E167" s="66">
        <v>3.0</v>
      </c>
      <c r="F167" s="21">
        <f t="shared" si="1"/>
        <v>49</v>
      </c>
      <c r="G167" s="21">
        <f t="shared" si="2"/>
        <v>147</v>
      </c>
    </row>
    <row r="168" ht="15.0" customHeight="1">
      <c r="A168" s="64" t="s">
        <v>336</v>
      </c>
      <c r="B168" s="65">
        <v>1502.0</v>
      </c>
      <c r="C168" s="65">
        <v>228.0</v>
      </c>
      <c r="D168" s="64" t="s">
        <v>181</v>
      </c>
      <c r="E168" s="66">
        <v>3.0</v>
      </c>
      <c r="F168" s="21">
        <f t="shared" si="1"/>
        <v>49</v>
      </c>
      <c r="G168" s="21">
        <f t="shared" si="2"/>
        <v>147</v>
      </c>
    </row>
    <row r="169" ht="15.0" customHeight="1">
      <c r="A169" s="64" t="s">
        <v>337</v>
      </c>
      <c r="B169" s="65">
        <v>94.0</v>
      </c>
      <c r="C169" s="65">
        <v>94.0</v>
      </c>
      <c r="D169" s="64" t="s">
        <v>181</v>
      </c>
      <c r="E169" s="66">
        <v>3.0</v>
      </c>
      <c r="F169" s="21">
        <f t="shared" si="1"/>
        <v>49</v>
      </c>
      <c r="G169" s="21">
        <f t="shared" si="2"/>
        <v>147</v>
      </c>
    </row>
    <row r="170" ht="15.0" customHeight="1">
      <c r="A170" s="64" t="s">
        <v>338</v>
      </c>
      <c r="B170" s="65">
        <v>820.0</v>
      </c>
      <c r="C170" s="65">
        <v>106.0</v>
      </c>
      <c r="D170" s="64" t="s">
        <v>181</v>
      </c>
      <c r="E170" s="66">
        <v>3.0</v>
      </c>
      <c r="F170" s="21">
        <f t="shared" si="1"/>
        <v>49</v>
      </c>
      <c r="G170" s="21">
        <f t="shared" si="2"/>
        <v>147</v>
      </c>
    </row>
    <row r="171" ht="15.0" customHeight="1">
      <c r="A171" s="64" t="s">
        <v>339</v>
      </c>
      <c r="B171" s="65">
        <v>105.0</v>
      </c>
      <c r="C171" s="65">
        <v>58.0</v>
      </c>
      <c r="D171" s="64" t="s">
        <v>181</v>
      </c>
      <c r="E171" s="66">
        <v>3.0</v>
      </c>
      <c r="F171" s="21">
        <f t="shared" si="1"/>
        <v>49</v>
      </c>
      <c r="G171" s="21">
        <f t="shared" si="2"/>
        <v>147</v>
      </c>
    </row>
    <row r="172" ht="15.0" customHeight="1">
      <c r="A172" s="64" t="s">
        <v>340</v>
      </c>
      <c r="B172" s="65">
        <v>395.0</v>
      </c>
      <c r="C172" s="65">
        <v>330.0</v>
      </c>
      <c r="D172" s="64" t="s">
        <v>181</v>
      </c>
      <c r="E172" s="66">
        <v>3.0</v>
      </c>
      <c r="F172" s="21">
        <f t="shared" si="1"/>
        <v>49</v>
      </c>
      <c r="G172" s="21">
        <f t="shared" si="2"/>
        <v>147</v>
      </c>
    </row>
    <row r="173" ht="15.0" customHeight="1">
      <c r="A173" s="64" t="s">
        <v>341</v>
      </c>
      <c r="B173" s="65">
        <v>1425.0</v>
      </c>
      <c r="C173" s="65">
        <v>143.0</v>
      </c>
      <c r="D173" s="64" t="s">
        <v>181</v>
      </c>
      <c r="E173" s="66">
        <v>3.0</v>
      </c>
      <c r="F173" s="21">
        <f t="shared" si="1"/>
        <v>49</v>
      </c>
      <c r="G173" s="21">
        <f t="shared" si="2"/>
        <v>147</v>
      </c>
    </row>
    <row r="174" ht="15.0" customHeight="1">
      <c r="A174" s="64" t="s">
        <v>342</v>
      </c>
      <c r="B174" s="65">
        <v>3550.0</v>
      </c>
      <c r="C174" s="65">
        <v>716.0</v>
      </c>
      <c r="D174" s="64" t="s">
        <v>181</v>
      </c>
      <c r="E174" s="66">
        <v>3.0</v>
      </c>
      <c r="F174" s="21">
        <f t="shared" si="1"/>
        <v>49</v>
      </c>
      <c r="G174" s="21">
        <f t="shared" si="2"/>
        <v>147</v>
      </c>
    </row>
    <row r="175" ht="15.0" customHeight="1">
      <c r="A175" s="64" t="s">
        <v>343</v>
      </c>
      <c r="B175" s="65">
        <v>6292.0</v>
      </c>
      <c r="C175" s="65">
        <v>1141.0</v>
      </c>
      <c r="D175" s="64" t="s">
        <v>181</v>
      </c>
      <c r="E175" s="66">
        <v>3.0</v>
      </c>
      <c r="F175" s="21">
        <f t="shared" si="1"/>
        <v>49</v>
      </c>
      <c r="G175" s="21">
        <f t="shared" si="2"/>
        <v>147</v>
      </c>
    </row>
    <row r="176" ht="15.0" customHeight="1">
      <c r="A176" s="64" t="s">
        <v>344</v>
      </c>
      <c r="B176" s="65">
        <v>1367.0</v>
      </c>
      <c r="C176" s="65">
        <v>244.0</v>
      </c>
      <c r="D176" s="64" t="s">
        <v>181</v>
      </c>
      <c r="E176" s="66">
        <v>3.0</v>
      </c>
      <c r="F176" s="21">
        <f t="shared" si="1"/>
        <v>49</v>
      </c>
      <c r="G176" s="21">
        <f t="shared" si="2"/>
        <v>147</v>
      </c>
    </row>
    <row r="177" ht="15.0" customHeight="1">
      <c r="A177" s="64" t="s">
        <v>345</v>
      </c>
      <c r="B177" s="65">
        <v>2616.0</v>
      </c>
      <c r="C177" s="65">
        <v>591.0</v>
      </c>
      <c r="D177" s="64" t="s">
        <v>181</v>
      </c>
      <c r="E177" s="66">
        <v>3.0</v>
      </c>
      <c r="F177" s="21">
        <f t="shared" si="1"/>
        <v>49</v>
      </c>
      <c r="G177" s="21">
        <f t="shared" si="2"/>
        <v>147</v>
      </c>
    </row>
    <row r="178" ht="15.0" customHeight="1">
      <c r="A178" s="64" t="s">
        <v>346</v>
      </c>
      <c r="B178" s="65">
        <v>4783.0</v>
      </c>
      <c r="C178" s="65">
        <v>3037.0</v>
      </c>
      <c r="D178" s="64" t="s">
        <v>181</v>
      </c>
      <c r="E178" s="66">
        <v>3.0</v>
      </c>
      <c r="F178" s="21">
        <f t="shared" si="1"/>
        <v>49</v>
      </c>
      <c r="G178" s="21">
        <f t="shared" si="2"/>
        <v>147</v>
      </c>
    </row>
    <row r="179" ht="15.0" customHeight="1">
      <c r="A179" s="64" t="s">
        <v>347</v>
      </c>
      <c r="B179" s="65">
        <v>563.0</v>
      </c>
      <c r="C179" s="65">
        <v>246.0</v>
      </c>
      <c r="D179" s="64" t="s">
        <v>181</v>
      </c>
      <c r="E179" s="66">
        <v>3.0</v>
      </c>
      <c r="F179" s="21">
        <f t="shared" si="1"/>
        <v>49</v>
      </c>
      <c r="G179" s="21">
        <f t="shared" si="2"/>
        <v>147</v>
      </c>
    </row>
    <row r="180" ht="15.0" customHeight="1">
      <c r="A180" s="64" t="s">
        <v>348</v>
      </c>
      <c r="B180" s="65">
        <v>76629.0</v>
      </c>
      <c r="C180" s="65">
        <v>9455.0</v>
      </c>
      <c r="D180" s="64" t="s">
        <v>181</v>
      </c>
      <c r="E180" s="66">
        <v>3.0</v>
      </c>
      <c r="F180" s="21">
        <f t="shared" si="1"/>
        <v>49</v>
      </c>
      <c r="G180" s="21">
        <f t="shared" si="2"/>
        <v>147</v>
      </c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4">
    <mergeCell ref="A1:G1"/>
    <mergeCell ref="A3:G3"/>
    <mergeCell ref="A10:G10"/>
    <mergeCell ref="A19:G20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9.71"/>
    <col customWidth="1" min="11" max="11" width="41.86"/>
    <col customWidth="1" min="12" max="12" width="37.29"/>
  </cols>
  <sheetData>
    <row r="1">
      <c r="A1" s="67" t="s">
        <v>349</v>
      </c>
      <c r="B1" s="68" t="s">
        <v>350</v>
      </c>
      <c r="C1" s="69" t="s">
        <v>351</v>
      </c>
      <c r="D1" s="69" t="s">
        <v>352</v>
      </c>
      <c r="E1" s="70" t="s">
        <v>353</v>
      </c>
      <c r="F1" s="68" t="s">
        <v>354</v>
      </c>
      <c r="G1" s="68" t="s">
        <v>355</v>
      </c>
      <c r="H1" s="70" t="s">
        <v>356</v>
      </c>
      <c r="I1" s="68" t="s">
        <v>357</v>
      </c>
      <c r="J1" s="69" t="s">
        <v>358</v>
      </c>
      <c r="K1" s="71" t="s">
        <v>359</v>
      </c>
      <c r="L1" s="71" t="s">
        <v>360</v>
      </c>
      <c r="M1" s="71" t="s">
        <v>361</v>
      </c>
      <c r="N1" s="71" t="s">
        <v>362</v>
      </c>
      <c r="O1" s="71" t="s">
        <v>363</v>
      </c>
    </row>
    <row r="2">
      <c r="A2" s="72">
        <v>1.0</v>
      </c>
      <c r="B2" s="73" t="s">
        <v>364</v>
      </c>
      <c r="C2" s="74">
        <v>8.11009788E8</v>
      </c>
      <c r="D2" s="73" t="s">
        <v>365</v>
      </c>
      <c r="E2" s="72">
        <v>47.0</v>
      </c>
      <c r="F2" s="75">
        <v>36586.0</v>
      </c>
      <c r="G2" s="76"/>
      <c r="H2" s="76"/>
      <c r="I2" s="73" t="s">
        <v>366</v>
      </c>
      <c r="J2" s="76"/>
    </row>
    <row r="3">
      <c r="A3" s="72">
        <v>2.0</v>
      </c>
      <c r="B3" s="73" t="s">
        <v>364</v>
      </c>
      <c r="C3" s="74">
        <v>8.9092099E8</v>
      </c>
      <c r="D3" s="73" t="s">
        <v>367</v>
      </c>
      <c r="E3" s="72">
        <v>132.0</v>
      </c>
      <c r="F3" s="75">
        <v>36656.0</v>
      </c>
      <c r="G3" s="76"/>
      <c r="H3" s="76"/>
      <c r="I3" s="73" t="s">
        <v>366</v>
      </c>
      <c r="J3" s="76"/>
    </row>
    <row r="4">
      <c r="A4" s="72">
        <v>3.0</v>
      </c>
      <c r="B4" s="73" t="s">
        <v>364</v>
      </c>
      <c r="C4" s="74">
        <v>8.90913002E8</v>
      </c>
      <c r="D4" s="73" t="s">
        <v>368</v>
      </c>
      <c r="E4" s="72">
        <v>159.0</v>
      </c>
      <c r="F4" s="75">
        <v>36665.0</v>
      </c>
      <c r="G4" s="76"/>
      <c r="H4" s="76"/>
      <c r="I4" s="73" t="s">
        <v>366</v>
      </c>
      <c r="J4" s="76"/>
    </row>
    <row r="5">
      <c r="A5" s="72">
        <v>4.0</v>
      </c>
      <c r="B5" s="73" t="s">
        <v>364</v>
      </c>
      <c r="C5" s="74">
        <v>8.1102094E8</v>
      </c>
      <c r="D5" s="73" t="s">
        <v>369</v>
      </c>
      <c r="E5" s="72">
        <v>280.0</v>
      </c>
      <c r="F5" s="75">
        <v>36755.0</v>
      </c>
      <c r="G5" s="76"/>
      <c r="H5" s="76"/>
      <c r="I5" s="73" t="s">
        <v>366</v>
      </c>
      <c r="J5" s="76"/>
    </row>
    <row r="6">
      <c r="A6" s="72">
        <v>5.0</v>
      </c>
      <c r="B6" s="73" t="s">
        <v>364</v>
      </c>
      <c r="C6" s="74">
        <v>8.90981457E8</v>
      </c>
      <c r="D6" s="73" t="s">
        <v>370</v>
      </c>
      <c r="E6" s="72">
        <v>372.0</v>
      </c>
      <c r="F6" s="77">
        <v>36826.0</v>
      </c>
      <c r="G6" s="76"/>
      <c r="H6" s="76"/>
      <c r="I6" s="73" t="s">
        <v>366</v>
      </c>
      <c r="J6" s="76"/>
    </row>
    <row r="7">
      <c r="A7" s="72">
        <v>6.0</v>
      </c>
      <c r="B7" s="73" t="s">
        <v>364</v>
      </c>
      <c r="C7" s="74">
        <v>8.00154972E8</v>
      </c>
      <c r="D7" s="73" t="s">
        <v>371</v>
      </c>
      <c r="E7" s="72">
        <v>403.0</v>
      </c>
      <c r="F7" s="77">
        <v>36857.0</v>
      </c>
      <c r="G7" s="76"/>
      <c r="H7" s="76"/>
      <c r="I7" s="73" t="s">
        <v>366</v>
      </c>
      <c r="J7" s="76"/>
    </row>
    <row r="8">
      <c r="A8" s="72">
        <v>7.0</v>
      </c>
      <c r="B8" s="73" t="s">
        <v>364</v>
      </c>
      <c r="C8" s="74">
        <v>8.1102357E8</v>
      </c>
      <c r="D8" s="73" t="s">
        <v>372</v>
      </c>
      <c r="E8" s="72">
        <v>422.0</v>
      </c>
      <c r="F8" s="77">
        <v>36864.0</v>
      </c>
      <c r="G8" s="76"/>
      <c r="H8" s="76"/>
      <c r="I8" s="73" t="s">
        <v>366</v>
      </c>
      <c r="J8" s="76"/>
    </row>
    <row r="9">
      <c r="A9" s="72">
        <v>8.0</v>
      </c>
      <c r="B9" s="73" t="s">
        <v>364</v>
      </c>
      <c r="C9" s="74">
        <v>8.00122787E8</v>
      </c>
      <c r="D9" s="73" t="s">
        <v>373</v>
      </c>
      <c r="E9" s="72">
        <v>429.0</v>
      </c>
      <c r="F9" s="77">
        <v>36873.0</v>
      </c>
      <c r="G9" s="76"/>
      <c r="H9" s="76"/>
      <c r="I9" s="73" t="s">
        <v>366</v>
      </c>
      <c r="J9" s="76"/>
    </row>
    <row r="10">
      <c r="A10" s="72">
        <v>9.0</v>
      </c>
      <c r="B10" s="73" t="s">
        <v>364</v>
      </c>
      <c r="C10" s="74">
        <v>8.00094934E8</v>
      </c>
      <c r="D10" s="73" t="s">
        <v>374</v>
      </c>
      <c r="E10" s="72">
        <v>21.0</v>
      </c>
      <c r="F10" s="75">
        <v>36899.0</v>
      </c>
      <c r="G10" s="76"/>
      <c r="H10" s="76"/>
      <c r="I10" s="73" t="s">
        <v>366</v>
      </c>
      <c r="J10" s="76"/>
    </row>
    <row r="11">
      <c r="A11" s="72">
        <v>10.0</v>
      </c>
      <c r="B11" s="73" t="s">
        <v>364</v>
      </c>
      <c r="C11" s="74">
        <v>8.00231674E8</v>
      </c>
      <c r="D11" s="73" t="s">
        <v>375</v>
      </c>
      <c r="E11" s="72">
        <v>28.0</v>
      </c>
      <c r="F11" s="75">
        <v>36917.0</v>
      </c>
      <c r="G11" s="76"/>
      <c r="H11" s="76"/>
      <c r="I11" s="73" t="s">
        <v>366</v>
      </c>
      <c r="J11" s="76"/>
    </row>
    <row r="12">
      <c r="A12" s="72">
        <v>11.0</v>
      </c>
      <c r="B12" s="73" t="s">
        <v>364</v>
      </c>
      <c r="C12" s="74">
        <v>8.90917639E8</v>
      </c>
      <c r="D12" s="73" t="s">
        <v>376</v>
      </c>
      <c r="E12" s="72">
        <v>42.0</v>
      </c>
      <c r="F12" s="75">
        <v>36941.0</v>
      </c>
      <c r="G12" s="76"/>
      <c r="H12" s="76"/>
      <c r="I12" s="73" t="s">
        <v>366</v>
      </c>
      <c r="J12" s="76"/>
    </row>
    <row r="13">
      <c r="A13" s="72">
        <v>12.0</v>
      </c>
      <c r="B13" s="73" t="s">
        <v>364</v>
      </c>
      <c r="C13" s="74">
        <v>8.00246302E8</v>
      </c>
      <c r="D13" s="73" t="s">
        <v>377</v>
      </c>
      <c r="E13" s="72">
        <v>53.0</v>
      </c>
      <c r="F13" s="75">
        <v>36945.0</v>
      </c>
      <c r="G13" s="76"/>
      <c r="H13" s="76"/>
      <c r="I13" s="73" t="s">
        <v>366</v>
      </c>
      <c r="J13" s="76"/>
    </row>
    <row r="14">
      <c r="A14" s="72">
        <v>13.0</v>
      </c>
      <c r="B14" s="73" t="s">
        <v>364</v>
      </c>
      <c r="C14" s="74">
        <v>8.11001497E8</v>
      </c>
      <c r="D14" s="73" t="s">
        <v>378</v>
      </c>
      <c r="E14" s="72">
        <v>51.0</v>
      </c>
      <c r="F14" s="75">
        <v>36945.0</v>
      </c>
      <c r="G14" s="76"/>
      <c r="H14" s="76"/>
      <c r="I14" s="73" t="s">
        <v>366</v>
      </c>
      <c r="J14" s="76"/>
    </row>
    <row r="15">
      <c r="A15" s="72">
        <v>14.0</v>
      </c>
      <c r="B15" s="73" t="s">
        <v>364</v>
      </c>
      <c r="C15" s="74">
        <v>8.00038129E8</v>
      </c>
      <c r="D15" s="73" t="s">
        <v>379</v>
      </c>
      <c r="E15" s="72">
        <v>68.0</v>
      </c>
      <c r="F15" s="75">
        <v>36950.0</v>
      </c>
      <c r="G15" s="76"/>
      <c r="H15" s="76"/>
      <c r="I15" s="73" t="s">
        <v>366</v>
      </c>
      <c r="J15" s="76"/>
    </row>
    <row r="16">
      <c r="A16" s="72">
        <v>15.0</v>
      </c>
      <c r="B16" s="73" t="s">
        <v>364</v>
      </c>
      <c r="C16" s="74">
        <v>8.00046457E8</v>
      </c>
      <c r="D16" s="73" t="s">
        <v>380</v>
      </c>
      <c r="E16" s="72">
        <v>57.0</v>
      </c>
      <c r="F16" s="75">
        <v>36950.0</v>
      </c>
      <c r="G16" s="76"/>
      <c r="H16" s="76"/>
      <c r="I16" s="73" t="s">
        <v>366</v>
      </c>
      <c r="J16" s="76"/>
    </row>
    <row r="17">
      <c r="A17" s="72">
        <v>16.0</v>
      </c>
      <c r="B17" s="73" t="s">
        <v>364</v>
      </c>
      <c r="C17" s="74">
        <v>8.60066795E8</v>
      </c>
      <c r="D17" s="73" t="s">
        <v>381</v>
      </c>
      <c r="E17" s="72">
        <v>56.0</v>
      </c>
      <c r="F17" s="75">
        <v>36950.0</v>
      </c>
      <c r="G17" s="76"/>
      <c r="H17" s="76"/>
      <c r="I17" s="73" t="s">
        <v>366</v>
      </c>
      <c r="J17" s="76"/>
    </row>
    <row r="18">
      <c r="A18" s="72">
        <v>17.0</v>
      </c>
      <c r="B18" s="73" t="s">
        <v>364</v>
      </c>
      <c r="C18" s="74">
        <v>8.9090568E8</v>
      </c>
      <c r="D18" s="73" t="s">
        <v>382</v>
      </c>
      <c r="E18" s="72">
        <v>101.0</v>
      </c>
      <c r="F18" s="75">
        <v>36976.0</v>
      </c>
      <c r="G18" s="76"/>
      <c r="H18" s="76"/>
      <c r="I18" s="73" t="s">
        <v>366</v>
      </c>
      <c r="J18" s="76"/>
    </row>
    <row r="19">
      <c r="A19" s="72">
        <v>18.0</v>
      </c>
      <c r="B19" s="73" t="s">
        <v>364</v>
      </c>
      <c r="C19" s="74">
        <v>8.90904713E8</v>
      </c>
      <c r="D19" s="73" t="s">
        <v>383</v>
      </c>
      <c r="E19" s="72">
        <v>109.0</v>
      </c>
      <c r="F19" s="75">
        <v>36978.0</v>
      </c>
      <c r="G19" s="76"/>
      <c r="H19" s="76"/>
      <c r="I19" s="73" t="s">
        <v>366</v>
      </c>
      <c r="J19" s="76"/>
    </row>
    <row r="20">
      <c r="A20" s="72">
        <v>19.0</v>
      </c>
      <c r="B20" s="73" t="s">
        <v>364</v>
      </c>
      <c r="C20" s="74">
        <v>8.00147567E8</v>
      </c>
      <c r="D20" s="73" t="s">
        <v>384</v>
      </c>
      <c r="E20" s="72">
        <v>131.0</v>
      </c>
      <c r="F20" s="75">
        <v>37004.0</v>
      </c>
      <c r="G20" s="76"/>
      <c r="H20" s="76"/>
      <c r="I20" s="73" t="s">
        <v>366</v>
      </c>
      <c r="J20" s="76"/>
    </row>
    <row r="21">
      <c r="A21" s="72">
        <v>20.0</v>
      </c>
      <c r="B21" s="73" t="s">
        <v>364</v>
      </c>
      <c r="C21" s="74">
        <v>8.00138996E8</v>
      </c>
      <c r="D21" s="73" t="s">
        <v>385</v>
      </c>
      <c r="E21" s="72">
        <v>135.0</v>
      </c>
      <c r="F21" s="75">
        <v>37005.0</v>
      </c>
      <c r="G21" s="76"/>
      <c r="H21" s="76"/>
      <c r="I21" s="73" t="s">
        <v>366</v>
      </c>
      <c r="J21" s="76"/>
    </row>
    <row r="22">
      <c r="A22" s="72">
        <v>21.0</v>
      </c>
      <c r="B22" s="73" t="s">
        <v>364</v>
      </c>
      <c r="C22" s="74">
        <v>8.00070196E8</v>
      </c>
      <c r="D22" s="73" t="s">
        <v>386</v>
      </c>
      <c r="E22" s="72">
        <v>136.0</v>
      </c>
      <c r="F22" s="75">
        <v>37006.0</v>
      </c>
      <c r="G22" s="76"/>
      <c r="H22" s="76"/>
      <c r="I22" s="73" t="s">
        <v>366</v>
      </c>
      <c r="J22" s="76"/>
    </row>
    <row r="23">
      <c r="A23" s="72">
        <v>22.0</v>
      </c>
      <c r="B23" s="73" t="s">
        <v>364</v>
      </c>
      <c r="C23" s="74">
        <v>8.00214659E8</v>
      </c>
      <c r="D23" s="73" t="s">
        <v>387</v>
      </c>
      <c r="E23" s="72">
        <v>140.0</v>
      </c>
      <c r="F23" s="75">
        <v>37006.0</v>
      </c>
      <c r="G23" s="76"/>
      <c r="H23" s="76"/>
      <c r="I23" s="73" t="s">
        <v>366</v>
      </c>
      <c r="J23" s="76"/>
    </row>
    <row r="24">
      <c r="A24" s="72">
        <v>23.0</v>
      </c>
      <c r="B24" s="73" t="s">
        <v>364</v>
      </c>
      <c r="C24" s="74">
        <v>8.9090276E8</v>
      </c>
      <c r="D24" s="73" t="s">
        <v>388</v>
      </c>
      <c r="E24" s="72">
        <v>147.0</v>
      </c>
      <c r="F24" s="75">
        <v>37011.0</v>
      </c>
      <c r="G24" s="76"/>
      <c r="H24" s="76"/>
      <c r="I24" s="73" t="s">
        <v>366</v>
      </c>
      <c r="J24" s="76"/>
    </row>
    <row r="25">
      <c r="A25" s="72">
        <v>24.0</v>
      </c>
      <c r="B25" s="73" t="s">
        <v>364</v>
      </c>
      <c r="C25" s="74">
        <v>8.00092024E8</v>
      </c>
      <c r="D25" s="73" t="s">
        <v>389</v>
      </c>
      <c r="E25" s="72">
        <v>153.0</v>
      </c>
      <c r="F25" s="75">
        <v>37013.0</v>
      </c>
      <c r="G25" s="76"/>
      <c r="H25" s="76"/>
      <c r="I25" s="73" t="s">
        <v>366</v>
      </c>
      <c r="J25" s="76"/>
    </row>
    <row r="26">
      <c r="A26" s="72">
        <v>25.0</v>
      </c>
      <c r="B26" s="73" t="s">
        <v>364</v>
      </c>
      <c r="C26" s="74">
        <v>8.00114742E8</v>
      </c>
      <c r="D26" s="73" t="s">
        <v>390</v>
      </c>
      <c r="E26" s="72">
        <v>154.0</v>
      </c>
      <c r="F26" s="75">
        <v>37013.0</v>
      </c>
      <c r="G26" s="76"/>
      <c r="H26" s="76"/>
      <c r="I26" s="73" t="s">
        <v>366</v>
      </c>
      <c r="J26" s="76"/>
    </row>
    <row r="27">
      <c r="A27" s="72">
        <v>26.0</v>
      </c>
      <c r="B27" s="73" t="s">
        <v>364</v>
      </c>
      <c r="C27" s="74">
        <v>8.90901491E8</v>
      </c>
      <c r="D27" s="73" t="s">
        <v>391</v>
      </c>
      <c r="E27" s="72">
        <v>150.0</v>
      </c>
      <c r="F27" s="75">
        <v>37013.0</v>
      </c>
      <c r="G27" s="76"/>
      <c r="H27" s="76"/>
      <c r="I27" s="73" t="s">
        <v>366</v>
      </c>
      <c r="J27" s="76"/>
    </row>
    <row r="28">
      <c r="A28" s="72">
        <v>27.0</v>
      </c>
      <c r="B28" s="73" t="s">
        <v>364</v>
      </c>
      <c r="C28" s="74">
        <v>8.00113622E8</v>
      </c>
      <c r="D28" s="73" t="s">
        <v>392</v>
      </c>
      <c r="E28" s="72">
        <v>179.0</v>
      </c>
      <c r="F28" s="75">
        <v>37021.0</v>
      </c>
      <c r="G28" s="76"/>
      <c r="H28" s="76"/>
      <c r="I28" s="73" t="s">
        <v>366</v>
      </c>
      <c r="J28" s="76"/>
    </row>
    <row r="29">
      <c r="A29" s="72">
        <v>28.0</v>
      </c>
      <c r="B29" s="73" t="s">
        <v>364</v>
      </c>
      <c r="C29" s="74">
        <v>8.90906878E8</v>
      </c>
      <c r="D29" s="73" t="s">
        <v>393</v>
      </c>
      <c r="E29" s="72">
        <v>183.0</v>
      </c>
      <c r="F29" s="75">
        <v>37027.0</v>
      </c>
      <c r="G29" s="76"/>
      <c r="H29" s="76"/>
      <c r="I29" s="73" t="s">
        <v>366</v>
      </c>
      <c r="J29" s="76"/>
    </row>
    <row r="30">
      <c r="A30" s="72">
        <v>29.0</v>
      </c>
      <c r="B30" s="73" t="s">
        <v>364</v>
      </c>
      <c r="C30" s="74">
        <v>8.00237677E8</v>
      </c>
      <c r="D30" s="73" t="s">
        <v>394</v>
      </c>
      <c r="E30" s="72">
        <v>188.0</v>
      </c>
      <c r="F30" s="75">
        <v>37028.0</v>
      </c>
      <c r="G30" s="76"/>
      <c r="H30" s="76"/>
      <c r="I30" s="73" t="s">
        <v>366</v>
      </c>
      <c r="J30" s="76"/>
    </row>
    <row r="31">
      <c r="A31" s="72">
        <v>30.0</v>
      </c>
      <c r="B31" s="73" t="s">
        <v>364</v>
      </c>
      <c r="C31" s="74">
        <v>8.00068615E8</v>
      </c>
      <c r="D31" s="73" t="s">
        <v>395</v>
      </c>
      <c r="E31" s="72">
        <v>205.0</v>
      </c>
      <c r="F31" s="75">
        <v>37042.0</v>
      </c>
      <c r="G31" s="76"/>
      <c r="H31" s="76"/>
      <c r="I31" s="73" t="s">
        <v>366</v>
      </c>
      <c r="J31" s="76"/>
    </row>
    <row r="32">
      <c r="A32" s="72">
        <v>31.0</v>
      </c>
      <c r="B32" s="73" t="s">
        <v>364</v>
      </c>
      <c r="C32" s="74">
        <v>8.11005276E8</v>
      </c>
      <c r="D32" s="73" t="s">
        <v>396</v>
      </c>
      <c r="E32" s="72">
        <v>206.0</v>
      </c>
      <c r="F32" s="75">
        <v>37042.0</v>
      </c>
      <c r="G32" s="76"/>
      <c r="H32" s="76"/>
      <c r="I32" s="73" t="s">
        <v>366</v>
      </c>
      <c r="J32" s="76"/>
    </row>
    <row r="33">
      <c r="A33" s="72">
        <v>32.0</v>
      </c>
      <c r="B33" s="73" t="s">
        <v>364</v>
      </c>
      <c r="C33" s="74">
        <v>8.11027068E8</v>
      </c>
      <c r="D33" s="73" t="s">
        <v>397</v>
      </c>
      <c r="E33" s="72">
        <v>239.0</v>
      </c>
      <c r="F33" s="75">
        <v>37064.0</v>
      </c>
      <c r="G33" s="76"/>
      <c r="H33" s="76"/>
      <c r="I33" s="73" t="s">
        <v>366</v>
      </c>
      <c r="J33" s="76"/>
    </row>
    <row r="34">
      <c r="A34" s="72">
        <v>33.0</v>
      </c>
      <c r="B34" s="73" t="s">
        <v>364</v>
      </c>
      <c r="C34" s="74">
        <v>8.00074114E8</v>
      </c>
      <c r="D34" s="73" t="s">
        <v>398</v>
      </c>
      <c r="E34" s="72">
        <v>244.0</v>
      </c>
      <c r="F34" s="75">
        <v>37068.0</v>
      </c>
      <c r="G34" s="76"/>
      <c r="H34" s="76"/>
      <c r="I34" s="73" t="s">
        <v>366</v>
      </c>
      <c r="J34" s="76"/>
    </row>
    <row r="35">
      <c r="A35" s="72">
        <v>34.0</v>
      </c>
      <c r="B35" s="73" t="s">
        <v>364</v>
      </c>
      <c r="C35" s="74">
        <v>8.90909001E8</v>
      </c>
      <c r="D35" s="73" t="s">
        <v>399</v>
      </c>
      <c r="E35" s="72">
        <v>248.0</v>
      </c>
      <c r="F35" s="75">
        <v>37068.0</v>
      </c>
      <c r="G35" s="76"/>
      <c r="H35" s="76"/>
      <c r="I35" s="73" t="s">
        <v>366</v>
      </c>
      <c r="J35" s="76"/>
    </row>
    <row r="36">
      <c r="A36" s="72">
        <v>35.0</v>
      </c>
      <c r="B36" s="73" t="s">
        <v>364</v>
      </c>
      <c r="C36" s="74">
        <v>8.90915175E8</v>
      </c>
      <c r="D36" s="73" t="s">
        <v>400</v>
      </c>
      <c r="E36" s="72">
        <v>245.0</v>
      </c>
      <c r="F36" s="75">
        <v>37068.0</v>
      </c>
      <c r="G36" s="76"/>
      <c r="H36" s="76"/>
      <c r="I36" s="73" t="s">
        <v>366</v>
      </c>
      <c r="J36" s="76"/>
    </row>
    <row r="37">
      <c r="A37" s="72">
        <v>36.0</v>
      </c>
      <c r="B37" s="73" t="s">
        <v>364</v>
      </c>
      <c r="C37" s="74">
        <v>8.90902872E8</v>
      </c>
      <c r="D37" s="73" t="s">
        <v>401</v>
      </c>
      <c r="E37" s="72">
        <v>257.0</v>
      </c>
      <c r="F37" s="75">
        <v>37075.0</v>
      </c>
      <c r="G37" s="76"/>
      <c r="H37" s="76"/>
      <c r="I37" s="73" t="s">
        <v>366</v>
      </c>
      <c r="J37" s="76"/>
    </row>
    <row r="38">
      <c r="A38" s="72">
        <v>37.0</v>
      </c>
      <c r="B38" s="73" t="s">
        <v>364</v>
      </c>
      <c r="C38" s="74">
        <v>8.90912811E8</v>
      </c>
      <c r="D38" s="73" t="s">
        <v>402</v>
      </c>
      <c r="E38" s="72">
        <v>259.0</v>
      </c>
      <c r="F38" s="75">
        <v>37075.0</v>
      </c>
      <c r="G38" s="76"/>
      <c r="H38" s="76"/>
      <c r="I38" s="73" t="s">
        <v>366</v>
      </c>
      <c r="J38" s="76"/>
    </row>
    <row r="39">
      <c r="A39" s="72">
        <v>38.0</v>
      </c>
      <c r="B39" s="73" t="s">
        <v>364</v>
      </c>
      <c r="C39" s="74">
        <v>8.90935557E8</v>
      </c>
      <c r="D39" s="73" t="s">
        <v>403</v>
      </c>
      <c r="E39" s="72">
        <v>255.0</v>
      </c>
      <c r="F39" s="75">
        <v>37075.0</v>
      </c>
      <c r="G39" s="76"/>
      <c r="H39" s="76"/>
      <c r="I39" s="73" t="s">
        <v>366</v>
      </c>
      <c r="J39" s="76"/>
    </row>
    <row r="40">
      <c r="A40" s="72">
        <v>39.0</v>
      </c>
      <c r="B40" s="73" t="s">
        <v>364</v>
      </c>
      <c r="C40" s="74">
        <v>8.11028337E8</v>
      </c>
      <c r="D40" s="73" t="s">
        <v>404</v>
      </c>
      <c r="E40" s="72">
        <v>301.0</v>
      </c>
      <c r="F40" s="75">
        <v>37112.0</v>
      </c>
      <c r="G40" s="76"/>
      <c r="H40" s="76"/>
      <c r="I40" s="73" t="s">
        <v>366</v>
      </c>
      <c r="J40" s="76"/>
    </row>
    <row r="41">
      <c r="A41" s="72">
        <v>40.0</v>
      </c>
      <c r="B41" s="73" t="s">
        <v>364</v>
      </c>
      <c r="C41" s="74">
        <v>8.90901321E8</v>
      </c>
      <c r="D41" s="73" t="s">
        <v>405</v>
      </c>
      <c r="E41" s="72">
        <v>314.0</v>
      </c>
      <c r="F41" s="75">
        <v>37117.0</v>
      </c>
      <c r="G41" s="76"/>
      <c r="H41" s="76"/>
      <c r="I41" s="73" t="s">
        <v>366</v>
      </c>
      <c r="J41" s="76"/>
    </row>
    <row r="42">
      <c r="A42" s="72">
        <v>41.0</v>
      </c>
      <c r="B42" s="73" t="s">
        <v>364</v>
      </c>
      <c r="C42" s="74">
        <v>8.00100358E8</v>
      </c>
      <c r="D42" s="73" t="s">
        <v>406</v>
      </c>
      <c r="E42" s="72">
        <v>317.0</v>
      </c>
      <c r="F42" s="75">
        <v>37119.0</v>
      </c>
      <c r="G42" s="76"/>
      <c r="H42" s="76"/>
      <c r="I42" s="73" t="s">
        <v>366</v>
      </c>
      <c r="J42" s="76"/>
    </row>
    <row r="43">
      <c r="A43" s="72">
        <v>42.0</v>
      </c>
      <c r="B43" s="73" t="s">
        <v>364</v>
      </c>
      <c r="C43" s="74">
        <v>8.11028427E8</v>
      </c>
      <c r="D43" s="73" t="s">
        <v>407</v>
      </c>
      <c r="E43" s="72">
        <v>316.0</v>
      </c>
      <c r="F43" s="75">
        <v>37119.0</v>
      </c>
      <c r="G43" s="76"/>
      <c r="H43" s="76"/>
      <c r="I43" s="73" t="s">
        <v>366</v>
      </c>
      <c r="J43" s="76"/>
    </row>
    <row r="44">
      <c r="A44" s="72">
        <v>43.0</v>
      </c>
      <c r="B44" s="73" t="s">
        <v>364</v>
      </c>
      <c r="C44" s="74">
        <v>8.11010416E8</v>
      </c>
      <c r="D44" s="73" t="s">
        <v>408</v>
      </c>
      <c r="E44" s="72">
        <v>321.0</v>
      </c>
      <c r="F44" s="75">
        <v>37125.0</v>
      </c>
      <c r="G44" s="76"/>
      <c r="H44" s="76"/>
      <c r="I44" s="73" t="s">
        <v>366</v>
      </c>
      <c r="J44" s="76"/>
    </row>
    <row r="45">
      <c r="A45" s="72">
        <v>44.0</v>
      </c>
      <c r="B45" s="73" t="s">
        <v>364</v>
      </c>
      <c r="C45" s="74">
        <v>8.90938083E8</v>
      </c>
      <c r="D45" s="73" t="s">
        <v>409</v>
      </c>
      <c r="E45" s="72">
        <v>320.0</v>
      </c>
      <c r="F45" s="75">
        <v>37125.0</v>
      </c>
      <c r="G45" s="76"/>
      <c r="H45" s="76"/>
      <c r="I45" s="73" t="s">
        <v>366</v>
      </c>
      <c r="J45" s="76"/>
    </row>
    <row r="46">
      <c r="A46" s="72">
        <v>45.0</v>
      </c>
      <c r="B46" s="73" t="s">
        <v>364</v>
      </c>
      <c r="C46" s="74">
        <v>8.00185379E8</v>
      </c>
      <c r="D46" s="73" t="s">
        <v>410</v>
      </c>
      <c r="E46" s="72">
        <v>343.0</v>
      </c>
      <c r="F46" s="75">
        <v>37151.0</v>
      </c>
      <c r="G46" s="76"/>
      <c r="H46" s="76"/>
      <c r="I46" s="73" t="s">
        <v>366</v>
      </c>
      <c r="J46" s="76"/>
    </row>
    <row r="47">
      <c r="A47" s="72">
        <v>46.0</v>
      </c>
      <c r="B47" s="73" t="s">
        <v>364</v>
      </c>
      <c r="C47" s="74">
        <v>8.1102856E8</v>
      </c>
      <c r="D47" s="73" t="s">
        <v>411</v>
      </c>
      <c r="E47" s="72">
        <v>345.0</v>
      </c>
      <c r="F47" s="75">
        <v>37151.0</v>
      </c>
      <c r="G47" s="76"/>
      <c r="H47" s="76"/>
      <c r="I47" s="73" t="s">
        <v>366</v>
      </c>
      <c r="J47" s="76"/>
    </row>
    <row r="48">
      <c r="A48" s="72">
        <v>47.0</v>
      </c>
      <c r="B48" s="73" t="s">
        <v>364</v>
      </c>
      <c r="C48" s="74">
        <v>8.00242427E8</v>
      </c>
      <c r="D48" s="73" t="s">
        <v>412</v>
      </c>
      <c r="E48" s="72">
        <v>357.0</v>
      </c>
      <c r="F48" s="75">
        <v>37158.0</v>
      </c>
      <c r="G48" s="76"/>
      <c r="H48" s="76"/>
      <c r="I48" s="73" t="s">
        <v>366</v>
      </c>
      <c r="J48" s="76"/>
    </row>
    <row r="49">
      <c r="A49" s="72">
        <v>48.0</v>
      </c>
      <c r="B49" s="73" t="s">
        <v>364</v>
      </c>
      <c r="C49" s="74">
        <v>8.90904488E8</v>
      </c>
      <c r="D49" s="73" t="s">
        <v>413</v>
      </c>
      <c r="E49" s="72">
        <v>365.0</v>
      </c>
      <c r="F49" s="75">
        <v>37161.0</v>
      </c>
      <c r="G49" s="76"/>
      <c r="H49" s="76"/>
      <c r="I49" s="73" t="s">
        <v>366</v>
      </c>
      <c r="J49" s="76"/>
    </row>
    <row r="50">
      <c r="A50" s="72">
        <v>49.0</v>
      </c>
      <c r="B50" s="73" t="s">
        <v>364</v>
      </c>
      <c r="C50" s="74">
        <v>8.00214243E8</v>
      </c>
      <c r="D50" s="73" t="s">
        <v>414</v>
      </c>
      <c r="E50" s="72">
        <v>366.0</v>
      </c>
      <c r="F50" s="77">
        <v>37165.0</v>
      </c>
      <c r="G50" s="76"/>
      <c r="H50" s="76"/>
      <c r="I50" s="73" t="s">
        <v>366</v>
      </c>
      <c r="J50" s="76"/>
    </row>
    <row r="51">
      <c r="A51" s="72">
        <v>50.0</v>
      </c>
      <c r="B51" s="73" t="s">
        <v>364</v>
      </c>
      <c r="C51" s="74">
        <v>8.00126325E8</v>
      </c>
      <c r="D51" s="73" t="s">
        <v>415</v>
      </c>
      <c r="E51" s="72">
        <v>382.0</v>
      </c>
      <c r="F51" s="77">
        <v>37168.0</v>
      </c>
      <c r="G51" s="76"/>
      <c r="H51" s="76"/>
      <c r="I51" s="73" t="s">
        <v>366</v>
      </c>
      <c r="J51" s="76"/>
    </row>
    <row r="52">
      <c r="A52" s="78">
        <v>51.0</v>
      </c>
      <c r="B52" s="79" t="s">
        <v>364</v>
      </c>
      <c r="C52" s="80">
        <v>8.60067646E8</v>
      </c>
      <c r="D52" s="79" t="s">
        <v>416</v>
      </c>
      <c r="E52" s="81">
        <v>386.0</v>
      </c>
      <c r="F52" s="82">
        <v>37173.0</v>
      </c>
      <c r="G52" s="83"/>
      <c r="H52" s="83"/>
      <c r="I52" s="73" t="s">
        <v>366</v>
      </c>
      <c r="J52" s="76"/>
    </row>
    <row r="53">
      <c r="A53" s="72">
        <v>52.0</v>
      </c>
      <c r="B53" s="73" t="s">
        <v>364</v>
      </c>
      <c r="C53" s="74">
        <v>8.11021848E8</v>
      </c>
      <c r="D53" s="73" t="s">
        <v>417</v>
      </c>
      <c r="E53" s="72">
        <v>397.0</v>
      </c>
      <c r="F53" s="77">
        <v>37183.0</v>
      </c>
      <c r="G53" s="76"/>
      <c r="H53" s="76"/>
      <c r="I53" s="73" t="s">
        <v>366</v>
      </c>
      <c r="J53" s="76"/>
    </row>
    <row r="54">
      <c r="A54" s="72">
        <v>53.0</v>
      </c>
      <c r="B54" s="73" t="s">
        <v>364</v>
      </c>
      <c r="C54" s="74">
        <v>8.60070995E8</v>
      </c>
      <c r="D54" s="73" t="s">
        <v>418</v>
      </c>
      <c r="E54" s="72">
        <v>402.0</v>
      </c>
      <c r="F54" s="77">
        <v>37193.0</v>
      </c>
      <c r="G54" s="76"/>
      <c r="H54" s="76"/>
      <c r="I54" s="73" t="s">
        <v>366</v>
      </c>
      <c r="J54" s="76"/>
    </row>
    <row r="55">
      <c r="A55" s="72">
        <v>54.0</v>
      </c>
      <c r="B55" s="73" t="s">
        <v>364</v>
      </c>
      <c r="C55" s="74">
        <v>8.00064459E8</v>
      </c>
      <c r="D55" s="73" t="s">
        <v>419</v>
      </c>
      <c r="E55" s="72">
        <v>448.0</v>
      </c>
      <c r="F55" s="77">
        <v>37211.0</v>
      </c>
      <c r="G55" s="76"/>
      <c r="H55" s="76"/>
      <c r="I55" s="73" t="s">
        <v>366</v>
      </c>
      <c r="J55" s="76"/>
    </row>
    <row r="56">
      <c r="A56" s="72">
        <v>55.0</v>
      </c>
      <c r="B56" s="73" t="s">
        <v>364</v>
      </c>
      <c r="C56" s="74">
        <v>8.11028928E8</v>
      </c>
      <c r="D56" s="73" t="s">
        <v>420</v>
      </c>
      <c r="E56" s="72">
        <v>445.0</v>
      </c>
      <c r="F56" s="77">
        <v>37211.0</v>
      </c>
      <c r="G56" s="76"/>
      <c r="H56" s="76"/>
      <c r="I56" s="73" t="s">
        <v>366</v>
      </c>
      <c r="J56" s="76"/>
    </row>
    <row r="57">
      <c r="A57" s="72">
        <v>56.0</v>
      </c>
      <c r="B57" s="73" t="s">
        <v>364</v>
      </c>
      <c r="C57" s="74">
        <v>8.00005729E8</v>
      </c>
      <c r="D57" s="73" t="s">
        <v>421</v>
      </c>
      <c r="E57" s="72">
        <v>453.0</v>
      </c>
      <c r="F57" s="77">
        <v>37217.0</v>
      </c>
      <c r="G57" s="76"/>
      <c r="H57" s="76"/>
      <c r="I57" s="73" t="s">
        <v>366</v>
      </c>
      <c r="J57" s="76"/>
    </row>
    <row r="58">
      <c r="A58" s="72">
        <v>57.0</v>
      </c>
      <c r="B58" s="73" t="s">
        <v>364</v>
      </c>
      <c r="C58" s="74">
        <v>8.90902875E8</v>
      </c>
      <c r="D58" s="73" t="s">
        <v>422</v>
      </c>
      <c r="E58" s="72">
        <v>452.0</v>
      </c>
      <c r="F58" s="77">
        <v>37217.0</v>
      </c>
      <c r="G58" s="76"/>
      <c r="H58" s="76"/>
      <c r="I58" s="73" t="s">
        <v>366</v>
      </c>
      <c r="J58" s="76"/>
    </row>
    <row r="59">
      <c r="A59" s="72">
        <v>58.0</v>
      </c>
      <c r="B59" s="73" t="s">
        <v>364</v>
      </c>
      <c r="C59" s="74">
        <v>8.00146938E8</v>
      </c>
      <c r="D59" s="73" t="s">
        <v>423</v>
      </c>
      <c r="E59" s="72">
        <v>464.0</v>
      </c>
      <c r="F59" s="77">
        <v>37236.0</v>
      </c>
      <c r="G59" s="76"/>
      <c r="H59" s="76"/>
      <c r="I59" s="73" t="s">
        <v>366</v>
      </c>
      <c r="J59" s="76"/>
    </row>
    <row r="60">
      <c r="A60" s="72">
        <v>59.0</v>
      </c>
      <c r="B60" s="73" t="s">
        <v>364</v>
      </c>
      <c r="C60" s="74">
        <v>8.00148756E8</v>
      </c>
      <c r="D60" s="73" t="s">
        <v>424</v>
      </c>
      <c r="E60" s="72">
        <v>467.0</v>
      </c>
      <c r="F60" s="77">
        <v>37243.0</v>
      </c>
      <c r="G60" s="76"/>
      <c r="H60" s="76"/>
      <c r="I60" s="73" t="s">
        <v>366</v>
      </c>
      <c r="J60" s="76"/>
    </row>
    <row r="61">
      <c r="A61" s="72">
        <v>60.0</v>
      </c>
      <c r="B61" s="73" t="s">
        <v>364</v>
      </c>
      <c r="C61" s="74">
        <v>8.9092443E8</v>
      </c>
      <c r="D61" s="73" t="s">
        <v>425</v>
      </c>
      <c r="E61" s="72">
        <v>468.0</v>
      </c>
      <c r="F61" s="77">
        <v>37243.0</v>
      </c>
      <c r="G61" s="76"/>
      <c r="H61" s="76"/>
      <c r="I61" s="73" t="s">
        <v>366</v>
      </c>
      <c r="J61" s="76"/>
    </row>
    <row r="62">
      <c r="A62" s="72">
        <v>61.0</v>
      </c>
      <c r="B62" s="73" t="s">
        <v>364</v>
      </c>
      <c r="C62" s="74">
        <v>8.90942389E8</v>
      </c>
      <c r="D62" s="73" t="s">
        <v>426</v>
      </c>
      <c r="E62" s="72">
        <v>472.0</v>
      </c>
      <c r="F62" s="77">
        <v>37243.0</v>
      </c>
      <c r="G62" s="76"/>
      <c r="H62" s="76"/>
      <c r="I62" s="73" t="s">
        <v>366</v>
      </c>
      <c r="J62" s="76"/>
    </row>
    <row r="63">
      <c r="A63" s="72">
        <v>62.0</v>
      </c>
      <c r="B63" s="73" t="s">
        <v>364</v>
      </c>
      <c r="C63" s="74">
        <v>8.11016822E8</v>
      </c>
      <c r="D63" s="73" t="s">
        <v>427</v>
      </c>
      <c r="E63" s="72">
        <v>480.0</v>
      </c>
      <c r="F63" s="77">
        <v>37245.0</v>
      </c>
      <c r="G63" s="76"/>
      <c r="H63" s="76"/>
      <c r="I63" s="73" t="s">
        <v>366</v>
      </c>
      <c r="J63" s="76"/>
    </row>
    <row r="64">
      <c r="A64" s="72">
        <v>63.0</v>
      </c>
      <c r="B64" s="73" t="s">
        <v>364</v>
      </c>
      <c r="C64" s="74">
        <v>8.11030501E8</v>
      </c>
      <c r="D64" s="73" t="s">
        <v>428</v>
      </c>
      <c r="E64" s="72">
        <v>492.0</v>
      </c>
      <c r="F64" s="77">
        <v>37249.0</v>
      </c>
      <c r="G64" s="76"/>
      <c r="H64" s="76"/>
      <c r="I64" s="73" t="s">
        <v>366</v>
      </c>
      <c r="J64" s="76"/>
    </row>
    <row r="65">
      <c r="A65" s="72">
        <v>64.0</v>
      </c>
      <c r="B65" s="73" t="s">
        <v>364</v>
      </c>
      <c r="C65" s="74">
        <v>8.00074877E8</v>
      </c>
      <c r="D65" s="73" t="s">
        <v>429</v>
      </c>
      <c r="E65" s="72">
        <v>23.0</v>
      </c>
      <c r="F65" s="75">
        <v>37265.0</v>
      </c>
      <c r="G65" s="76"/>
      <c r="H65" s="76"/>
      <c r="I65" s="73" t="s">
        <v>366</v>
      </c>
      <c r="J65" s="76"/>
    </row>
    <row r="66">
      <c r="A66" s="72">
        <v>65.0</v>
      </c>
      <c r="B66" s="73" t="s">
        <v>364</v>
      </c>
      <c r="C66" s="74">
        <v>8.00113618E8</v>
      </c>
      <c r="D66" s="73" t="s">
        <v>430</v>
      </c>
      <c r="E66" s="72">
        <v>27.0</v>
      </c>
      <c r="F66" s="75">
        <v>37267.0</v>
      </c>
      <c r="G66" s="76"/>
      <c r="H66" s="76"/>
      <c r="I66" s="73" t="s">
        <v>366</v>
      </c>
      <c r="J66" s="76"/>
    </row>
    <row r="67">
      <c r="A67" s="72">
        <v>66.0</v>
      </c>
      <c r="B67" s="73" t="s">
        <v>364</v>
      </c>
      <c r="C67" s="74">
        <v>8.11007279E8</v>
      </c>
      <c r="D67" s="73" t="s">
        <v>431</v>
      </c>
      <c r="E67" s="72">
        <v>43.0</v>
      </c>
      <c r="F67" s="75">
        <v>37291.0</v>
      </c>
      <c r="G67" s="76"/>
      <c r="H67" s="76"/>
      <c r="I67" s="73" t="s">
        <v>366</v>
      </c>
      <c r="J67" s="76"/>
    </row>
    <row r="68">
      <c r="A68" s="72">
        <v>67.0</v>
      </c>
      <c r="B68" s="73" t="s">
        <v>364</v>
      </c>
      <c r="C68" s="74">
        <v>8.11008219E8</v>
      </c>
      <c r="D68" s="73" t="s">
        <v>432</v>
      </c>
      <c r="E68" s="72">
        <v>45.0</v>
      </c>
      <c r="F68" s="75">
        <v>37292.0</v>
      </c>
      <c r="G68" s="76"/>
      <c r="H68" s="76"/>
      <c r="I68" s="73" t="s">
        <v>366</v>
      </c>
      <c r="J68" s="76"/>
    </row>
    <row r="69">
      <c r="A69" s="72">
        <v>68.0</v>
      </c>
      <c r="B69" s="73" t="s">
        <v>364</v>
      </c>
      <c r="C69" s="74">
        <v>8.11031483E8</v>
      </c>
      <c r="D69" s="73" t="s">
        <v>433</v>
      </c>
      <c r="E69" s="72">
        <v>47.0</v>
      </c>
      <c r="F69" s="75">
        <v>37292.0</v>
      </c>
      <c r="G69" s="76"/>
      <c r="H69" s="76"/>
      <c r="I69" s="73" t="s">
        <v>366</v>
      </c>
      <c r="J69" s="76"/>
    </row>
    <row r="70">
      <c r="A70" s="72">
        <v>69.0</v>
      </c>
      <c r="B70" s="73" t="s">
        <v>364</v>
      </c>
      <c r="C70" s="74">
        <v>8.6001664E8</v>
      </c>
      <c r="D70" s="73" t="s">
        <v>434</v>
      </c>
      <c r="E70" s="72">
        <v>68.0</v>
      </c>
      <c r="F70" s="75">
        <v>37319.0</v>
      </c>
      <c r="G70" s="76"/>
      <c r="H70" s="76"/>
      <c r="I70" s="73" t="s">
        <v>366</v>
      </c>
      <c r="J70" s="76"/>
    </row>
    <row r="71">
      <c r="A71" s="72">
        <v>70.0</v>
      </c>
      <c r="B71" s="73" t="s">
        <v>364</v>
      </c>
      <c r="C71" s="74">
        <v>8.00230324E8</v>
      </c>
      <c r="D71" s="73" t="s">
        <v>435</v>
      </c>
      <c r="E71" s="72">
        <v>114.0</v>
      </c>
      <c r="F71" s="75">
        <v>37350.0</v>
      </c>
      <c r="G71" s="76"/>
      <c r="H71" s="76"/>
      <c r="I71" s="73" t="s">
        <v>366</v>
      </c>
      <c r="J71" s="76"/>
    </row>
    <row r="72">
      <c r="A72" s="72">
        <v>71.0</v>
      </c>
      <c r="B72" s="73" t="s">
        <v>364</v>
      </c>
      <c r="C72" s="74">
        <v>8.11002645E8</v>
      </c>
      <c r="D72" s="73" t="s">
        <v>436</v>
      </c>
      <c r="E72" s="72">
        <v>115.0</v>
      </c>
      <c r="F72" s="75">
        <v>37351.0</v>
      </c>
      <c r="G72" s="76"/>
      <c r="H72" s="76"/>
      <c r="I72" s="73" t="s">
        <v>366</v>
      </c>
      <c r="J72" s="76"/>
    </row>
    <row r="73">
      <c r="A73" s="72">
        <v>72.0</v>
      </c>
      <c r="B73" s="73" t="s">
        <v>364</v>
      </c>
      <c r="C73" s="74">
        <v>8.00013166E8</v>
      </c>
      <c r="D73" s="73" t="s">
        <v>437</v>
      </c>
      <c r="E73" s="72">
        <v>116.0</v>
      </c>
      <c r="F73" s="75">
        <v>37356.0</v>
      </c>
      <c r="G73" s="76"/>
      <c r="H73" s="76"/>
      <c r="I73" s="73" t="s">
        <v>366</v>
      </c>
      <c r="J73" s="76"/>
    </row>
    <row r="74">
      <c r="A74" s="72">
        <v>73.0</v>
      </c>
      <c r="B74" s="73" t="s">
        <v>364</v>
      </c>
      <c r="C74" s="74">
        <v>8.90913059E8</v>
      </c>
      <c r="D74" s="73" t="s">
        <v>438</v>
      </c>
      <c r="E74" s="72">
        <v>118.0</v>
      </c>
      <c r="F74" s="75">
        <v>37356.0</v>
      </c>
      <c r="G74" s="76"/>
      <c r="H74" s="76"/>
      <c r="I74" s="73" t="s">
        <v>366</v>
      </c>
      <c r="J74" s="76"/>
    </row>
    <row r="75">
      <c r="A75" s="72">
        <v>74.0</v>
      </c>
      <c r="B75" s="73" t="s">
        <v>364</v>
      </c>
      <c r="C75" s="74">
        <v>8.91600043E8</v>
      </c>
      <c r="D75" s="73" t="s">
        <v>439</v>
      </c>
      <c r="E75" s="72">
        <v>131.0</v>
      </c>
      <c r="F75" s="75">
        <v>37357.0</v>
      </c>
      <c r="G75" s="76"/>
      <c r="H75" s="76"/>
      <c r="I75" s="73" t="s">
        <v>366</v>
      </c>
      <c r="J75" s="76"/>
    </row>
    <row r="76">
      <c r="A76" s="72">
        <v>75.0</v>
      </c>
      <c r="B76" s="73" t="s">
        <v>364</v>
      </c>
      <c r="C76" s="74">
        <v>8.91000137E8</v>
      </c>
      <c r="D76" s="73" t="s">
        <v>440</v>
      </c>
      <c r="E76" s="72">
        <v>150.0</v>
      </c>
      <c r="F76" s="75">
        <v>37362.0</v>
      </c>
      <c r="G76" s="76"/>
      <c r="H76" s="76"/>
      <c r="I76" s="73" t="s">
        <v>366</v>
      </c>
      <c r="J76" s="76"/>
    </row>
    <row r="77">
      <c r="A77" s="72">
        <v>76.0</v>
      </c>
      <c r="B77" s="73" t="s">
        <v>364</v>
      </c>
      <c r="C77" s="74">
        <v>8.90902878E8</v>
      </c>
      <c r="D77" s="73" t="s">
        <v>441</v>
      </c>
      <c r="E77" s="72">
        <v>154.0</v>
      </c>
      <c r="F77" s="75">
        <v>37364.0</v>
      </c>
      <c r="G77" s="76"/>
      <c r="H77" s="76"/>
      <c r="I77" s="73" t="s">
        <v>366</v>
      </c>
      <c r="J77" s="76"/>
    </row>
    <row r="78">
      <c r="A78" s="72">
        <v>77.0</v>
      </c>
      <c r="B78" s="73" t="s">
        <v>364</v>
      </c>
      <c r="C78" s="74">
        <v>8.9091126E8</v>
      </c>
      <c r="D78" s="73" t="s">
        <v>442</v>
      </c>
      <c r="E78" s="72">
        <v>204.0</v>
      </c>
      <c r="F78" s="75">
        <v>37378.0</v>
      </c>
      <c r="G78" s="76"/>
      <c r="H78" s="76"/>
      <c r="I78" s="73" t="s">
        <v>366</v>
      </c>
      <c r="J78" s="76"/>
    </row>
    <row r="79">
      <c r="A79" s="72">
        <v>78.0</v>
      </c>
      <c r="B79" s="73" t="s">
        <v>364</v>
      </c>
      <c r="C79" s="74">
        <v>8.11031496E8</v>
      </c>
      <c r="D79" s="73" t="s">
        <v>443</v>
      </c>
      <c r="E79" s="72">
        <v>213.0</v>
      </c>
      <c r="F79" s="75">
        <v>37383.0</v>
      </c>
      <c r="G79" s="76"/>
      <c r="H79" s="76"/>
      <c r="I79" s="73" t="s">
        <v>366</v>
      </c>
      <c r="J79" s="76"/>
    </row>
    <row r="80">
      <c r="A80" s="72">
        <v>79.0</v>
      </c>
      <c r="B80" s="73" t="s">
        <v>364</v>
      </c>
      <c r="C80" s="74">
        <v>8.11002985E8</v>
      </c>
      <c r="D80" s="73" t="s">
        <v>444</v>
      </c>
      <c r="E80" s="72">
        <v>269.0</v>
      </c>
      <c r="F80" s="75">
        <v>37386.0</v>
      </c>
      <c r="G80" s="76"/>
      <c r="H80" s="76"/>
      <c r="I80" s="73" t="s">
        <v>366</v>
      </c>
      <c r="J80" s="76"/>
    </row>
    <row r="81">
      <c r="A81" s="72">
        <v>80.0</v>
      </c>
      <c r="B81" s="73" t="s">
        <v>364</v>
      </c>
      <c r="C81" s="74">
        <v>8.00161634E8</v>
      </c>
      <c r="D81" s="73" t="s">
        <v>445</v>
      </c>
      <c r="E81" s="72">
        <v>370.0</v>
      </c>
      <c r="F81" s="75">
        <v>37397.0</v>
      </c>
      <c r="G81" s="76"/>
      <c r="H81" s="76"/>
      <c r="I81" s="73" t="s">
        <v>366</v>
      </c>
      <c r="J81" s="76"/>
    </row>
    <row r="82">
      <c r="A82" s="72">
        <v>81.0</v>
      </c>
      <c r="B82" s="73" t="s">
        <v>364</v>
      </c>
      <c r="C82" s="74">
        <v>8.11007434E8</v>
      </c>
      <c r="D82" s="73" t="s">
        <v>446</v>
      </c>
      <c r="E82" s="72">
        <v>304.0</v>
      </c>
      <c r="F82" s="75">
        <v>37399.0</v>
      </c>
      <c r="G82" s="76"/>
      <c r="H82" s="76"/>
      <c r="I82" s="73" t="s">
        <v>366</v>
      </c>
      <c r="J82" s="76"/>
    </row>
    <row r="83">
      <c r="A83" s="72">
        <v>82.0</v>
      </c>
      <c r="B83" s="73" t="s">
        <v>364</v>
      </c>
      <c r="C83" s="74">
        <v>8.11033031E8</v>
      </c>
      <c r="D83" s="73" t="s">
        <v>447</v>
      </c>
      <c r="E83" s="72">
        <v>324.0</v>
      </c>
      <c r="F83" s="75">
        <v>37406.0</v>
      </c>
      <c r="G83" s="76"/>
      <c r="H83" s="76"/>
      <c r="I83" s="73" t="s">
        <v>366</v>
      </c>
      <c r="J83" s="76"/>
    </row>
    <row r="84">
      <c r="A84" s="72">
        <v>83.0</v>
      </c>
      <c r="B84" s="73" t="s">
        <v>364</v>
      </c>
      <c r="C84" s="74">
        <v>8.00005147E8</v>
      </c>
      <c r="D84" s="73" t="s">
        <v>448</v>
      </c>
      <c r="E84" s="72">
        <v>331.0</v>
      </c>
      <c r="F84" s="75">
        <v>37407.0</v>
      </c>
      <c r="G84" s="76"/>
      <c r="H84" s="76"/>
      <c r="I84" s="73" t="s">
        <v>366</v>
      </c>
      <c r="J84" s="76"/>
    </row>
    <row r="85">
      <c r="A85" s="72">
        <v>84.0</v>
      </c>
      <c r="B85" s="73" t="s">
        <v>364</v>
      </c>
      <c r="C85" s="74">
        <v>8.00137231E8</v>
      </c>
      <c r="D85" s="73" t="s">
        <v>449</v>
      </c>
      <c r="E85" s="72">
        <v>342.0</v>
      </c>
      <c r="F85" s="75">
        <v>37413.0</v>
      </c>
      <c r="G85" s="76"/>
      <c r="H85" s="76"/>
      <c r="I85" s="73" t="s">
        <v>366</v>
      </c>
      <c r="J85" s="76"/>
    </row>
    <row r="86">
      <c r="A86" s="72">
        <v>85.0</v>
      </c>
      <c r="B86" s="73" t="s">
        <v>364</v>
      </c>
      <c r="C86" s="74">
        <v>8.90911799E8</v>
      </c>
      <c r="D86" s="73" t="s">
        <v>450</v>
      </c>
      <c r="E86" s="72">
        <v>357.0</v>
      </c>
      <c r="F86" s="75">
        <v>37425.0</v>
      </c>
      <c r="G86" s="76"/>
      <c r="H86" s="76"/>
      <c r="I86" s="73" t="s">
        <v>366</v>
      </c>
      <c r="J86" s="76"/>
    </row>
    <row r="87">
      <c r="A87" s="72">
        <v>86.0</v>
      </c>
      <c r="B87" s="73" t="s">
        <v>364</v>
      </c>
      <c r="C87" s="74">
        <v>8.00093683E8</v>
      </c>
      <c r="D87" s="73" t="s">
        <v>451</v>
      </c>
      <c r="E87" s="72">
        <v>393.0</v>
      </c>
      <c r="F87" s="75">
        <v>37432.0</v>
      </c>
      <c r="G87" s="76"/>
      <c r="H87" s="76"/>
      <c r="I87" s="73" t="s">
        <v>366</v>
      </c>
      <c r="J87" s="76"/>
    </row>
    <row r="88">
      <c r="A88" s="72">
        <v>87.0</v>
      </c>
      <c r="B88" s="73" t="s">
        <v>364</v>
      </c>
      <c r="C88" s="74">
        <v>8.11034302E8</v>
      </c>
      <c r="D88" s="73" t="s">
        <v>452</v>
      </c>
      <c r="E88" s="72">
        <v>431.0</v>
      </c>
      <c r="F88" s="75">
        <v>37448.0</v>
      </c>
      <c r="G88" s="76"/>
      <c r="H88" s="76"/>
      <c r="I88" s="73" t="s">
        <v>366</v>
      </c>
      <c r="J88" s="76"/>
    </row>
    <row r="89">
      <c r="A89" s="72">
        <v>88.0</v>
      </c>
      <c r="B89" s="73" t="s">
        <v>364</v>
      </c>
      <c r="C89" s="74">
        <v>8.90923699E8</v>
      </c>
      <c r="D89" s="73" t="s">
        <v>453</v>
      </c>
      <c r="E89" s="72">
        <v>473.0</v>
      </c>
      <c r="F89" s="75">
        <v>37462.0</v>
      </c>
      <c r="G89" s="76"/>
      <c r="H89" s="76"/>
      <c r="I89" s="73" t="s">
        <v>366</v>
      </c>
      <c r="J89" s="76"/>
    </row>
    <row r="90">
      <c r="A90" s="72">
        <v>89.0</v>
      </c>
      <c r="B90" s="73" t="s">
        <v>364</v>
      </c>
      <c r="C90" s="74">
        <v>8.11030521E8</v>
      </c>
      <c r="D90" s="73" t="s">
        <v>454</v>
      </c>
      <c r="E90" s="72">
        <v>498.0</v>
      </c>
      <c r="F90" s="75">
        <v>37474.0</v>
      </c>
      <c r="G90" s="76"/>
      <c r="H90" s="76"/>
      <c r="I90" s="73" t="s">
        <v>366</v>
      </c>
      <c r="J90" s="76"/>
    </row>
    <row r="91">
      <c r="A91" s="72">
        <v>90.0</v>
      </c>
      <c r="B91" s="73" t="s">
        <v>364</v>
      </c>
      <c r="C91" s="74">
        <v>8.00131845E8</v>
      </c>
      <c r="D91" s="73" t="s">
        <v>455</v>
      </c>
      <c r="E91" s="72">
        <v>499.0</v>
      </c>
      <c r="F91" s="75">
        <v>37476.0</v>
      </c>
      <c r="G91" s="76"/>
      <c r="H91" s="76"/>
      <c r="I91" s="73" t="s">
        <v>366</v>
      </c>
      <c r="J91" s="76"/>
    </row>
    <row r="92">
      <c r="A92" s="72">
        <v>91.0</v>
      </c>
      <c r="B92" s="73" t="s">
        <v>364</v>
      </c>
      <c r="C92" s="74">
        <v>8.11032177E8</v>
      </c>
      <c r="D92" s="73" t="s">
        <v>456</v>
      </c>
      <c r="E92" s="72">
        <v>516.0</v>
      </c>
      <c r="F92" s="75">
        <v>37482.0</v>
      </c>
      <c r="G92" s="76"/>
      <c r="H92" s="76"/>
      <c r="I92" s="73" t="s">
        <v>366</v>
      </c>
      <c r="J92" s="76"/>
    </row>
    <row r="93">
      <c r="A93" s="72">
        <v>92.0</v>
      </c>
      <c r="B93" s="73" t="s">
        <v>364</v>
      </c>
      <c r="C93" s="74">
        <v>8.11034955E8</v>
      </c>
      <c r="D93" s="73" t="s">
        <v>457</v>
      </c>
      <c r="E93" s="72">
        <v>581.0</v>
      </c>
      <c r="F93" s="75">
        <v>37497.0</v>
      </c>
      <c r="G93" s="76"/>
      <c r="H93" s="76"/>
      <c r="I93" s="73" t="s">
        <v>366</v>
      </c>
      <c r="J93" s="76"/>
    </row>
    <row r="94">
      <c r="A94" s="72">
        <v>93.0</v>
      </c>
      <c r="B94" s="73" t="s">
        <v>364</v>
      </c>
      <c r="C94" s="74">
        <v>8.90935085E8</v>
      </c>
      <c r="D94" s="73" t="s">
        <v>458</v>
      </c>
      <c r="E94" s="72">
        <v>379.0</v>
      </c>
      <c r="F94" s="75">
        <v>37501.0</v>
      </c>
      <c r="G94" s="76"/>
      <c r="H94" s="76"/>
      <c r="I94" s="73" t="s">
        <v>366</v>
      </c>
      <c r="J94" s="76"/>
    </row>
    <row r="95">
      <c r="A95" s="72">
        <v>94.0</v>
      </c>
      <c r="B95" s="73" t="s">
        <v>364</v>
      </c>
      <c r="C95" s="74">
        <v>8.11011786E8</v>
      </c>
      <c r="D95" s="73" t="s">
        <v>459</v>
      </c>
      <c r="E95" s="72">
        <v>658.0</v>
      </c>
      <c r="F95" s="77">
        <v>37530.0</v>
      </c>
      <c r="G95" s="76"/>
      <c r="H95" s="76"/>
      <c r="I95" s="73" t="s">
        <v>366</v>
      </c>
      <c r="J95" s="76"/>
    </row>
    <row r="96">
      <c r="A96" s="72">
        <v>95.0</v>
      </c>
      <c r="B96" s="73" t="s">
        <v>364</v>
      </c>
      <c r="C96" s="74">
        <v>8.00089325E8</v>
      </c>
      <c r="D96" s="73" t="s">
        <v>460</v>
      </c>
      <c r="E96" s="72">
        <v>117.0</v>
      </c>
      <c r="F96" s="77">
        <v>37533.0</v>
      </c>
      <c r="G96" s="76"/>
      <c r="H96" s="76"/>
      <c r="I96" s="73" t="s">
        <v>366</v>
      </c>
      <c r="J96" s="76"/>
    </row>
    <row r="97">
      <c r="A97" s="72">
        <v>96.0</v>
      </c>
      <c r="B97" s="73" t="s">
        <v>364</v>
      </c>
      <c r="C97" s="74">
        <v>8.00146438E8</v>
      </c>
      <c r="D97" s="73" t="s">
        <v>461</v>
      </c>
      <c r="E97" s="72">
        <v>181.0</v>
      </c>
      <c r="F97" s="77">
        <v>37586.0</v>
      </c>
      <c r="G97" s="76"/>
      <c r="H97" s="76"/>
      <c r="I97" s="73" t="s">
        <v>366</v>
      </c>
      <c r="J97" s="76"/>
    </row>
    <row r="98">
      <c r="A98" s="72">
        <v>97.0</v>
      </c>
      <c r="B98" s="73" t="s">
        <v>364</v>
      </c>
      <c r="C98" s="74">
        <v>8.11001958E8</v>
      </c>
      <c r="D98" s="73" t="s">
        <v>462</v>
      </c>
      <c r="E98" s="72">
        <v>923.0</v>
      </c>
      <c r="F98" s="77">
        <v>37586.0</v>
      </c>
      <c r="G98" s="76"/>
      <c r="H98" s="76"/>
      <c r="I98" s="73" t="s">
        <v>366</v>
      </c>
      <c r="J98" s="76"/>
    </row>
    <row r="99">
      <c r="A99" s="72">
        <v>98.0</v>
      </c>
      <c r="B99" s="73" t="s">
        <v>364</v>
      </c>
      <c r="C99" s="74">
        <v>8.11035449E8</v>
      </c>
      <c r="D99" s="73" t="s">
        <v>463</v>
      </c>
      <c r="E99" s="72">
        <v>925.0</v>
      </c>
      <c r="F99" s="77">
        <v>37586.0</v>
      </c>
      <c r="G99" s="76"/>
      <c r="H99" s="76"/>
      <c r="I99" s="73" t="s">
        <v>366</v>
      </c>
      <c r="J99" s="76"/>
    </row>
    <row r="100">
      <c r="A100" s="72">
        <v>99.0</v>
      </c>
      <c r="B100" s="73" t="s">
        <v>364</v>
      </c>
      <c r="C100" s="74">
        <v>8.1103559E8</v>
      </c>
      <c r="D100" s="73" t="s">
        <v>464</v>
      </c>
      <c r="E100" s="72">
        <v>922.0</v>
      </c>
      <c r="F100" s="77">
        <v>37586.0</v>
      </c>
      <c r="G100" s="76"/>
      <c r="H100" s="76"/>
      <c r="I100" s="73" t="s">
        <v>366</v>
      </c>
      <c r="J100" s="76"/>
    </row>
    <row r="101">
      <c r="A101" s="72">
        <v>100.0</v>
      </c>
      <c r="B101" s="73" t="s">
        <v>364</v>
      </c>
      <c r="C101" s="74">
        <v>8.11035348E8</v>
      </c>
      <c r="D101" s="73" t="s">
        <v>465</v>
      </c>
      <c r="E101" s="72">
        <v>929.0</v>
      </c>
      <c r="F101" s="77">
        <v>37592.0</v>
      </c>
      <c r="G101" s="76"/>
      <c r="H101" s="76"/>
      <c r="I101" s="73" t="s">
        <v>366</v>
      </c>
      <c r="J101" s="76"/>
    </row>
    <row r="102">
      <c r="A102" s="72">
        <v>101.0</v>
      </c>
      <c r="B102" s="73" t="s">
        <v>364</v>
      </c>
      <c r="C102" s="74">
        <v>8.11036059E8</v>
      </c>
      <c r="D102" s="73" t="s">
        <v>466</v>
      </c>
      <c r="E102" s="72">
        <v>938.0</v>
      </c>
      <c r="F102" s="77">
        <v>37595.0</v>
      </c>
      <c r="G102" s="76"/>
      <c r="H102" s="76"/>
      <c r="I102" s="73" t="s">
        <v>366</v>
      </c>
      <c r="J102" s="76"/>
    </row>
    <row r="103">
      <c r="A103" s="72">
        <v>102.0</v>
      </c>
      <c r="B103" s="73" t="s">
        <v>364</v>
      </c>
      <c r="C103" s="74">
        <v>8.00109332E8</v>
      </c>
      <c r="D103" s="73" t="s">
        <v>467</v>
      </c>
      <c r="E103" s="72">
        <v>946.0</v>
      </c>
      <c r="F103" s="77">
        <v>37599.0</v>
      </c>
      <c r="G103" s="76"/>
      <c r="H103" s="76"/>
      <c r="I103" s="73" t="s">
        <v>366</v>
      </c>
      <c r="J103" s="76"/>
    </row>
    <row r="104">
      <c r="A104" s="72">
        <v>103.0</v>
      </c>
      <c r="B104" s="73" t="s">
        <v>364</v>
      </c>
      <c r="C104" s="74">
        <v>8.1100647E8</v>
      </c>
      <c r="D104" s="73" t="s">
        <v>468</v>
      </c>
      <c r="E104" s="72">
        <v>2.0</v>
      </c>
      <c r="F104" s="75">
        <v>37623.0</v>
      </c>
      <c r="G104" s="76"/>
      <c r="H104" s="76"/>
      <c r="I104" s="73" t="s">
        <v>366</v>
      </c>
      <c r="J104" s="76"/>
    </row>
    <row r="105">
      <c r="A105" s="78">
        <v>104.0</v>
      </c>
      <c r="B105" s="79" t="s">
        <v>364</v>
      </c>
      <c r="C105" s="80">
        <v>8.11031367E8</v>
      </c>
      <c r="D105" s="79" t="s">
        <v>469</v>
      </c>
      <c r="E105" s="81">
        <v>12.0</v>
      </c>
      <c r="F105" s="84">
        <v>37631.0</v>
      </c>
      <c r="G105" s="83"/>
      <c r="H105" s="83"/>
      <c r="I105" s="73" t="s">
        <v>366</v>
      </c>
      <c r="J105" s="76"/>
    </row>
    <row r="106">
      <c r="A106" s="72">
        <v>105.0</v>
      </c>
      <c r="B106" s="73" t="s">
        <v>364</v>
      </c>
      <c r="C106" s="74">
        <v>8.30108731E8</v>
      </c>
      <c r="D106" s="73" t="s">
        <v>470</v>
      </c>
      <c r="E106" s="72">
        <v>644.0</v>
      </c>
      <c r="F106" s="75">
        <v>37662.0</v>
      </c>
      <c r="G106" s="76"/>
      <c r="H106" s="76"/>
      <c r="I106" s="73" t="s">
        <v>366</v>
      </c>
      <c r="J106" s="76"/>
    </row>
    <row r="107">
      <c r="A107" s="72">
        <v>106.0</v>
      </c>
      <c r="B107" s="73" t="s">
        <v>364</v>
      </c>
      <c r="C107" s="74">
        <v>8.90931243E8</v>
      </c>
      <c r="D107" s="73" t="s">
        <v>471</v>
      </c>
      <c r="E107" s="72">
        <v>35.0</v>
      </c>
      <c r="F107" s="75">
        <v>37671.0</v>
      </c>
      <c r="G107" s="76"/>
      <c r="H107" s="76"/>
      <c r="I107" s="73" t="s">
        <v>366</v>
      </c>
      <c r="J107" s="76"/>
    </row>
    <row r="108">
      <c r="A108" s="72">
        <v>107.0</v>
      </c>
      <c r="B108" s="73" t="s">
        <v>364</v>
      </c>
      <c r="C108" s="74">
        <v>8.11037573E8</v>
      </c>
      <c r="D108" s="73" t="s">
        <v>472</v>
      </c>
      <c r="E108" s="72">
        <v>38.0</v>
      </c>
      <c r="F108" s="75">
        <v>37672.0</v>
      </c>
      <c r="G108" s="76"/>
      <c r="H108" s="76"/>
      <c r="I108" s="73" t="s">
        <v>366</v>
      </c>
      <c r="J108" s="76"/>
    </row>
    <row r="109">
      <c r="A109" s="72">
        <v>108.0</v>
      </c>
      <c r="B109" s="73" t="s">
        <v>364</v>
      </c>
      <c r="C109" s="74">
        <v>8.11037499E8</v>
      </c>
      <c r="D109" s="73" t="s">
        <v>473</v>
      </c>
      <c r="E109" s="72">
        <v>46.0</v>
      </c>
      <c r="F109" s="75">
        <v>37679.0</v>
      </c>
      <c r="G109" s="76"/>
      <c r="H109" s="76"/>
      <c r="I109" s="73" t="s">
        <v>366</v>
      </c>
      <c r="J109" s="76"/>
    </row>
    <row r="110">
      <c r="A110" s="72">
        <v>109.0</v>
      </c>
      <c r="B110" s="73" t="s">
        <v>364</v>
      </c>
      <c r="C110" s="74">
        <v>8.11037875E8</v>
      </c>
      <c r="D110" s="73" t="s">
        <v>474</v>
      </c>
      <c r="E110" s="72">
        <v>51.0</v>
      </c>
      <c r="F110" s="75">
        <v>37690.0</v>
      </c>
      <c r="G110" s="76"/>
      <c r="H110" s="76"/>
      <c r="I110" s="73" t="s">
        <v>366</v>
      </c>
      <c r="J110" s="76"/>
    </row>
    <row r="111">
      <c r="A111" s="72">
        <v>110.0</v>
      </c>
      <c r="B111" s="73" t="s">
        <v>364</v>
      </c>
      <c r="C111" s="74">
        <v>8.11035903E8</v>
      </c>
      <c r="D111" s="73" t="s">
        <v>475</v>
      </c>
      <c r="E111" s="72">
        <v>934.0</v>
      </c>
      <c r="F111" s="75">
        <v>37692.0</v>
      </c>
      <c r="G111" s="76"/>
      <c r="H111" s="76"/>
      <c r="I111" s="73" t="s">
        <v>366</v>
      </c>
      <c r="J111" s="76"/>
    </row>
    <row r="112">
      <c r="A112" s="72">
        <v>111.0</v>
      </c>
      <c r="B112" s="73" t="s">
        <v>364</v>
      </c>
      <c r="C112" s="74">
        <v>8.00243731E8</v>
      </c>
      <c r="D112" s="73" t="s">
        <v>476</v>
      </c>
      <c r="E112" s="72">
        <v>80.0</v>
      </c>
      <c r="F112" s="75">
        <v>37721.0</v>
      </c>
      <c r="G112" s="76"/>
      <c r="H112" s="76"/>
      <c r="I112" s="73" t="s">
        <v>366</v>
      </c>
      <c r="J112" s="76"/>
    </row>
    <row r="113">
      <c r="A113" s="72">
        <v>112.0</v>
      </c>
      <c r="B113" s="73" t="s">
        <v>364</v>
      </c>
      <c r="C113" s="74">
        <v>8.1101128E8</v>
      </c>
      <c r="D113" s="73" t="s">
        <v>477</v>
      </c>
      <c r="E113" s="72">
        <v>228.0</v>
      </c>
      <c r="F113" s="75">
        <v>37746.0</v>
      </c>
      <c r="G113" s="76"/>
      <c r="H113" s="76"/>
      <c r="I113" s="73" t="s">
        <v>366</v>
      </c>
      <c r="J113" s="76"/>
    </row>
    <row r="114">
      <c r="A114" s="72">
        <v>113.0</v>
      </c>
      <c r="B114" s="73" t="s">
        <v>364</v>
      </c>
      <c r="C114" s="74">
        <v>8.11038578E8</v>
      </c>
      <c r="D114" s="73" t="s">
        <v>478</v>
      </c>
      <c r="E114" s="72">
        <v>338.0</v>
      </c>
      <c r="F114" s="75">
        <v>37756.0</v>
      </c>
      <c r="G114" s="76"/>
      <c r="H114" s="76"/>
      <c r="I114" s="73" t="s">
        <v>366</v>
      </c>
      <c r="J114" s="76"/>
    </row>
    <row r="115">
      <c r="A115" s="72">
        <v>114.0</v>
      </c>
      <c r="B115" s="73" t="s">
        <v>364</v>
      </c>
      <c r="C115" s="74">
        <v>8.11037093E8</v>
      </c>
      <c r="D115" s="73" t="s">
        <v>479</v>
      </c>
      <c r="E115" s="72">
        <v>387.0</v>
      </c>
      <c r="F115" s="75">
        <v>37770.0</v>
      </c>
      <c r="G115" s="76"/>
      <c r="H115" s="76"/>
      <c r="I115" s="73" t="s">
        <v>366</v>
      </c>
      <c r="J115" s="76"/>
    </row>
    <row r="116">
      <c r="A116" s="72">
        <v>115.0</v>
      </c>
      <c r="B116" s="73" t="s">
        <v>364</v>
      </c>
      <c r="C116" s="74">
        <v>8.11039413E8</v>
      </c>
      <c r="D116" s="73" t="s">
        <v>480</v>
      </c>
      <c r="E116" s="72">
        <v>409.0</v>
      </c>
      <c r="F116" s="75">
        <v>37785.0</v>
      </c>
      <c r="G116" s="76"/>
      <c r="H116" s="76"/>
      <c r="I116" s="73" t="s">
        <v>366</v>
      </c>
      <c r="J116" s="76"/>
    </row>
    <row r="117">
      <c r="A117" s="72">
        <v>116.0</v>
      </c>
      <c r="B117" s="73" t="s">
        <v>364</v>
      </c>
      <c r="C117" s="74">
        <v>8.11039675E8</v>
      </c>
      <c r="D117" s="73" t="s">
        <v>481</v>
      </c>
      <c r="E117" s="72">
        <v>426.0</v>
      </c>
      <c r="F117" s="75">
        <v>37811.0</v>
      </c>
      <c r="G117" s="76"/>
      <c r="H117" s="76"/>
      <c r="I117" s="73" t="s">
        <v>366</v>
      </c>
      <c r="J117" s="76"/>
    </row>
    <row r="118">
      <c r="A118" s="72">
        <v>117.0</v>
      </c>
      <c r="B118" s="73" t="s">
        <v>364</v>
      </c>
      <c r="C118" s="74">
        <v>8.11039754E8</v>
      </c>
      <c r="D118" s="73" t="s">
        <v>482</v>
      </c>
      <c r="E118" s="72">
        <v>428.0</v>
      </c>
      <c r="F118" s="75">
        <v>37813.0</v>
      </c>
      <c r="G118" s="76"/>
      <c r="H118" s="76"/>
      <c r="I118" s="73" t="s">
        <v>366</v>
      </c>
      <c r="J118" s="76"/>
    </row>
    <row r="119">
      <c r="A119" s="72">
        <v>118.0</v>
      </c>
      <c r="B119" s="73" t="s">
        <v>364</v>
      </c>
      <c r="C119" s="74">
        <v>8.11039375E8</v>
      </c>
      <c r="D119" s="73" t="s">
        <v>483</v>
      </c>
      <c r="E119" s="72">
        <v>445.0</v>
      </c>
      <c r="F119" s="75">
        <v>37826.0</v>
      </c>
      <c r="G119" s="76"/>
      <c r="H119" s="76"/>
      <c r="I119" s="73" t="s">
        <v>366</v>
      </c>
      <c r="J119" s="76"/>
    </row>
    <row r="120">
      <c r="A120" s="72">
        <v>119.0</v>
      </c>
      <c r="B120" s="73" t="s">
        <v>364</v>
      </c>
      <c r="C120" s="74">
        <v>8.11024179E8</v>
      </c>
      <c r="D120" s="73" t="s">
        <v>484</v>
      </c>
      <c r="E120" s="72">
        <v>472.0</v>
      </c>
      <c r="F120" s="75">
        <v>37881.0</v>
      </c>
      <c r="G120" s="76"/>
      <c r="H120" s="76"/>
      <c r="I120" s="73" t="s">
        <v>366</v>
      </c>
      <c r="J120" s="76"/>
    </row>
    <row r="121">
      <c r="A121" s="72">
        <v>120.0</v>
      </c>
      <c r="B121" s="73" t="s">
        <v>364</v>
      </c>
      <c r="C121" s="74">
        <v>8.11040833E8</v>
      </c>
      <c r="D121" s="73" t="s">
        <v>485</v>
      </c>
      <c r="E121" s="72">
        <v>477.0</v>
      </c>
      <c r="F121" s="75">
        <v>37883.0</v>
      </c>
      <c r="G121" s="76"/>
      <c r="H121" s="76"/>
      <c r="I121" s="73" t="s">
        <v>366</v>
      </c>
      <c r="J121" s="76"/>
    </row>
    <row r="122">
      <c r="A122" s="72">
        <v>121.0</v>
      </c>
      <c r="B122" s="73" t="s">
        <v>364</v>
      </c>
      <c r="C122" s="74">
        <v>8.11024888E8</v>
      </c>
      <c r="D122" s="73" t="s">
        <v>486</v>
      </c>
      <c r="E122" s="72">
        <v>475.0</v>
      </c>
      <c r="F122" s="75">
        <v>37888.0</v>
      </c>
      <c r="G122" s="76"/>
      <c r="H122" s="76"/>
      <c r="I122" s="73" t="s">
        <v>366</v>
      </c>
      <c r="J122" s="76"/>
    </row>
    <row r="123">
      <c r="A123" s="72">
        <v>122.0</v>
      </c>
      <c r="B123" s="73" t="s">
        <v>364</v>
      </c>
      <c r="C123" s="74">
        <v>8.11040999E8</v>
      </c>
      <c r="D123" s="73" t="s">
        <v>487</v>
      </c>
      <c r="E123" s="72">
        <v>486.0</v>
      </c>
      <c r="F123" s="77">
        <v>37904.0</v>
      </c>
      <c r="G123" s="76"/>
      <c r="H123" s="76"/>
      <c r="I123" s="73" t="s">
        <v>366</v>
      </c>
      <c r="J123" s="76"/>
    </row>
    <row r="124">
      <c r="A124" s="72">
        <v>123.0</v>
      </c>
      <c r="B124" s="73" t="s">
        <v>364</v>
      </c>
      <c r="C124" s="74">
        <v>8.11041552E8</v>
      </c>
      <c r="D124" s="73" t="s">
        <v>488</v>
      </c>
      <c r="E124" s="72">
        <v>488.0</v>
      </c>
      <c r="F124" s="77">
        <v>37915.0</v>
      </c>
      <c r="G124" s="76"/>
      <c r="H124" s="76"/>
      <c r="I124" s="73" t="s">
        <v>366</v>
      </c>
      <c r="J124" s="76"/>
    </row>
    <row r="125">
      <c r="A125" s="72">
        <v>124.0</v>
      </c>
      <c r="B125" s="73" t="s">
        <v>364</v>
      </c>
      <c r="C125" s="74">
        <v>8.11041383E8</v>
      </c>
      <c r="D125" s="73" t="s">
        <v>489</v>
      </c>
      <c r="E125" s="72">
        <v>506.0</v>
      </c>
      <c r="F125" s="77">
        <v>37935.0</v>
      </c>
      <c r="G125" s="76"/>
      <c r="H125" s="76"/>
      <c r="I125" s="73" t="s">
        <v>366</v>
      </c>
      <c r="J125" s="76"/>
    </row>
    <row r="126">
      <c r="A126" s="72">
        <v>125.0</v>
      </c>
      <c r="B126" s="73" t="s">
        <v>364</v>
      </c>
      <c r="C126" s="74">
        <v>8.11039011E8</v>
      </c>
      <c r="D126" s="73" t="s">
        <v>490</v>
      </c>
      <c r="E126" s="72">
        <v>509.0</v>
      </c>
      <c r="F126" s="77">
        <v>37937.0</v>
      </c>
      <c r="G126" s="76"/>
      <c r="H126" s="76"/>
      <c r="I126" s="73" t="s">
        <v>366</v>
      </c>
      <c r="J126" s="76"/>
    </row>
    <row r="127">
      <c r="A127" s="72">
        <v>126.0</v>
      </c>
      <c r="B127" s="73" t="s">
        <v>364</v>
      </c>
      <c r="C127" s="74">
        <v>8.11041724E8</v>
      </c>
      <c r="D127" s="73" t="s">
        <v>491</v>
      </c>
      <c r="E127" s="72">
        <v>518.0</v>
      </c>
      <c r="F127" s="77">
        <v>37953.0</v>
      </c>
      <c r="G127" s="76"/>
      <c r="H127" s="76"/>
      <c r="I127" s="73" t="s">
        <v>366</v>
      </c>
      <c r="J127" s="76"/>
    </row>
    <row r="128">
      <c r="A128" s="72">
        <v>127.0</v>
      </c>
      <c r="B128" s="73" t="s">
        <v>364</v>
      </c>
      <c r="C128" s="74">
        <v>8.11042053E8</v>
      </c>
      <c r="D128" s="73" t="s">
        <v>492</v>
      </c>
      <c r="E128" s="72">
        <v>125.0</v>
      </c>
      <c r="F128" s="75">
        <v>38128.0</v>
      </c>
      <c r="G128" s="76"/>
      <c r="H128" s="76"/>
      <c r="I128" s="73" t="s">
        <v>366</v>
      </c>
      <c r="J128" s="76"/>
    </row>
    <row r="129">
      <c r="A129" s="72">
        <v>128.0</v>
      </c>
      <c r="B129" s="73" t="s">
        <v>364</v>
      </c>
      <c r="C129" s="74">
        <v>8.11044126E8</v>
      </c>
      <c r="D129" s="73" t="s">
        <v>493</v>
      </c>
      <c r="E129" s="72">
        <v>123.0</v>
      </c>
      <c r="F129" s="75">
        <v>38128.0</v>
      </c>
      <c r="G129" s="76"/>
      <c r="H129" s="76"/>
      <c r="I129" s="73" t="s">
        <v>366</v>
      </c>
      <c r="J129" s="76"/>
    </row>
    <row r="130">
      <c r="A130" s="72">
        <v>129.0</v>
      </c>
      <c r="B130" s="73" t="s">
        <v>364</v>
      </c>
      <c r="C130" s="74">
        <v>8.11011763E8</v>
      </c>
      <c r="D130" s="73" t="s">
        <v>494</v>
      </c>
      <c r="E130" s="72">
        <v>132.0</v>
      </c>
      <c r="F130" s="75">
        <v>38135.0</v>
      </c>
      <c r="G130" s="76"/>
      <c r="H130" s="76"/>
      <c r="I130" s="73" t="s">
        <v>366</v>
      </c>
      <c r="J130" s="76"/>
    </row>
    <row r="131">
      <c r="A131" s="72">
        <v>130.0</v>
      </c>
      <c r="B131" s="73" t="s">
        <v>364</v>
      </c>
      <c r="C131" s="74">
        <v>8.11009708E8</v>
      </c>
      <c r="D131" s="73" t="s">
        <v>495</v>
      </c>
      <c r="E131" s="72">
        <v>138.0</v>
      </c>
      <c r="F131" s="75">
        <v>38142.0</v>
      </c>
      <c r="G131" s="76"/>
      <c r="H131" s="76"/>
      <c r="I131" s="73" t="s">
        <v>366</v>
      </c>
      <c r="J131" s="76"/>
    </row>
    <row r="132">
      <c r="A132" s="72">
        <v>131.0</v>
      </c>
      <c r="B132" s="73" t="s">
        <v>364</v>
      </c>
      <c r="C132" s="74">
        <v>8.1104501E8</v>
      </c>
      <c r="D132" s="73" t="s">
        <v>496</v>
      </c>
      <c r="E132" s="72">
        <v>148.0</v>
      </c>
      <c r="F132" s="75">
        <v>38166.0</v>
      </c>
      <c r="G132" s="76"/>
      <c r="H132" s="76"/>
      <c r="I132" s="73" t="s">
        <v>366</v>
      </c>
      <c r="J132" s="76"/>
    </row>
    <row r="133">
      <c r="A133" s="72">
        <v>132.0</v>
      </c>
      <c r="B133" s="73" t="s">
        <v>364</v>
      </c>
      <c r="C133" s="74">
        <v>8.110424E8</v>
      </c>
      <c r="D133" s="73" t="s">
        <v>497</v>
      </c>
      <c r="E133" s="72">
        <v>157.0</v>
      </c>
      <c r="F133" s="75">
        <v>38175.0</v>
      </c>
      <c r="G133" s="76"/>
      <c r="H133" s="76"/>
      <c r="I133" s="73" t="s">
        <v>366</v>
      </c>
      <c r="J133" s="76"/>
    </row>
    <row r="134">
      <c r="A134" s="72">
        <v>133.0</v>
      </c>
      <c r="B134" s="73" t="s">
        <v>364</v>
      </c>
      <c r="C134" s="74">
        <v>8.11039932E8</v>
      </c>
      <c r="D134" s="73" t="s">
        <v>498</v>
      </c>
      <c r="E134" s="72">
        <v>182.0</v>
      </c>
      <c r="F134" s="75">
        <v>38203.0</v>
      </c>
      <c r="G134" s="76"/>
      <c r="H134" s="76"/>
      <c r="I134" s="73" t="s">
        <v>366</v>
      </c>
      <c r="J134" s="76"/>
    </row>
    <row r="135">
      <c r="A135" s="72">
        <v>134.0</v>
      </c>
      <c r="B135" s="73" t="s">
        <v>364</v>
      </c>
      <c r="C135" s="74">
        <v>8.11045741E8</v>
      </c>
      <c r="D135" s="73" t="s">
        <v>499</v>
      </c>
      <c r="E135" s="72">
        <v>206.0</v>
      </c>
      <c r="F135" s="75">
        <v>38240.0</v>
      </c>
      <c r="G135" s="76"/>
      <c r="H135" s="76"/>
      <c r="I135" s="73" t="s">
        <v>366</v>
      </c>
      <c r="J135" s="76"/>
    </row>
    <row r="136">
      <c r="A136" s="72">
        <v>135.0</v>
      </c>
      <c r="B136" s="73" t="s">
        <v>364</v>
      </c>
      <c r="C136" s="74">
        <v>8.11029499E8</v>
      </c>
      <c r="D136" s="73" t="s">
        <v>500</v>
      </c>
      <c r="E136" s="72">
        <v>208.0</v>
      </c>
      <c r="F136" s="75">
        <v>38246.0</v>
      </c>
      <c r="G136" s="76"/>
      <c r="H136" s="76"/>
      <c r="I136" s="73" t="s">
        <v>366</v>
      </c>
      <c r="J136" s="76"/>
    </row>
    <row r="137">
      <c r="A137" s="72">
        <v>136.0</v>
      </c>
      <c r="B137" s="73" t="s">
        <v>364</v>
      </c>
      <c r="C137" s="74">
        <v>8.1104612E8</v>
      </c>
      <c r="D137" s="73" t="s">
        <v>501</v>
      </c>
      <c r="E137" s="72">
        <v>207.0</v>
      </c>
      <c r="F137" s="75">
        <v>38246.0</v>
      </c>
      <c r="G137" s="76"/>
      <c r="H137" s="76"/>
      <c r="I137" s="73" t="s">
        <v>366</v>
      </c>
      <c r="J137" s="76"/>
    </row>
    <row r="138">
      <c r="A138" s="72">
        <v>137.0</v>
      </c>
      <c r="B138" s="73" t="s">
        <v>364</v>
      </c>
      <c r="C138" s="74">
        <v>8.1103067E8</v>
      </c>
      <c r="D138" s="73" t="s">
        <v>502</v>
      </c>
      <c r="E138" s="72">
        <v>224.0</v>
      </c>
      <c r="F138" s="77">
        <v>38268.0</v>
      </c>
      <c r="G138" s="76"/>
      <c r="H138" s="76"/>
      <c r="I138" s="73" t="s">
        <v>366</v>
      </c>
      <c r="J138" s="76"/>
    </row>
    <row r="139">
      <c r="A139" s="72">
        <v>138.0</v>
      </c>
      <c r="B139" s="73" t="s">
        <v>364</v>
      </c>
      <c r="C139" s="74">
        <v>8.11044564E8</v>
      </c>
      <c r="D139" s="73" t="s">
        <v>503</v>
      </c>
      <c r="E139" s="72">
        <v>312.0</v>
      </c>
      <c r="F139" s="77">
        <v>38324.0</v>
      </c>
      <c r="G139" s="76"/>
      <c r="H139" s="76"/>
      <c r="I139" s="73" t="s">
        <v>366</v>
      </c>
      <c r="J139" s="76"/>
    </row>
    <row r="140">
      <c r="A140" s="72">
        <v>139.0</v>
      </c>
      <c r="B140" s="73" t="s">
        <v>364</v>
      </c>
      <c r="C140" s="74">
        <v>8.00095937E8</v>
      </c>
      <c r="D140" s="73" t="s">
        <v>504</v>
      </c>
      <c r="E140" s="72">
        <v>334.0</v>
      </c>
      <c r="F140" s="77">
        <v>38338.0</v>
      </c>
      <c r="G140" s="76"/>
      <c r="H140" s="76"/>
      <c r="I140" s="73" t="s">
        <v>366</v>
      </c>
      <c r="J140" s="76"/>
    </row>
    <row r="141">
      <c r="A141" s="72">
        <v>140.0</v>
      </c>
      <c r="B141" s="73" t="s">
        <v>364</v>
      </c>
      <c r="C141" s="74">
        <v>8.11033967E8</v>
      </c>
      <c r="D141" s="73" t="s">
        <v>505</v>
      </c>
      <c r="E141" s="72">
        <v>42.0</v>
      </c>
      <c r="F141" s="75">
        <v>38399.0</v>
      </c>
      <c r="G141" s="76"/>
      <c r="H141" s="76"/>
      <c r="I141" s="73" t="s">
        <v>366</v>
      </c>
      <c r="J141" s="76"/>
    </row>
    <row r="142">
      <c r="A142" s="72">
        <v>141.0</v>
      </c>
      <c r="B142" s="73" t="s">
        <v>364</v>
      </c>
      <c r="C142" s="74">
        <v>8.30508642E8</v>
      </c>
      <c r="D142" s="73" t="s">
        <v>506</v>
      </c>
      <c r="E142" s="72">
        <v>113.0</v>
      </c>
      <c r="F142" s="75">
        <v>38464.0</v>
      </c>
      <c r="G142" s="76"/>
      <c r="H142" s="76"/>
      <c r="I142" s="73" t="s">
        <v>366</v>
      </c>
      <c r="J142" s="76"/>
    </row>
    <row r="143">
      <c r="A143" s="72">
        <v>142.0</v>
      </c>
      <c r="B143" s="73" t="s">
        <v>364</v>
      </c>
      <c r="C143" s="74">
        <v>8.30511061E8</v>
      </c>
      <c r="D143" s="73" t="s">
        <v>507</v>
      </c>
      <c r="E143" s="72">
        <v>112.0</v>
      </c>
      <c r="F143" s="75">
        <v>38464.0</v>
      </c>
      <c r="G143" s="76"/>
      <c r="H143" s="76"/>
      <c r="I143" s="73" t="s">
        <v>366</v>
      </c>
      <c r="J143" s="76"/>
    </row>
    <row r="144">
      <c r="A144" s="72">
        <v>143.0</v>
      </c>
      <c r="B144" s="73" t="s">
        <v>364</v>
      </c>
      <c r="C144" s="74">
        <v>8.00232334E8</v>
      </c>
      <c r="D144" s="73" t="s">
        <v>508</v>
      </c>
      <c r="E144" s="72">
        <v>129.0</v>
      </c>
      <c r="F144" s="75">
        <v>38475.0</v>
      </c>
      <c r="G144" s="76"/>
      <c r="H144" s="76"/>
      <c r="I144" s="73" t="s">
        <v>366</v>
      </c>
      <c r="J144" s="76"/>
    </row>
    <row r="145">
      <c r="A145" s="72">
        <v>144.0</v>
      </c>
      <c r="B145" s="73" t="s">
        <v>364</v>
      </c>
      <c r="C145" s="74">
        <v>8.30504936E8</v>
      </c>
      <c r="D145" s="73" t="s">
        <v>509</v>
      </c>
      <c r="E145" s="72">
        <v>156.0</v>
      </c>
      <c r="F145" s="75">
        <v>38491.0</v>
      </c>
      <c r="G145" s="76"/>
      <c r="H145" s="76"/>
      <c r="I145" s="73" t="s">
        <v>366</v>
      </c>
      <c r="J145" s="76"/>
    </row>
    <row r="146">
      <c r="A146" s="72">
        <v>145.0</v>
      </c>
      <c r="B146" s="73" t="s">
        <v>364</v>
      </c>
      <c r="C146" s="74">
        <v>8.30510959E8</v>
      </c>
      <c r="D146" s="73" t="s">
        <v>510</v>
      </c>
      <c r="E146" s="72">
        <v>189.0</v>
      </c>
      <c r="F146" s="75">
        <v>38524.0</v>
      </c>
      <c r="G146" s="76"/>
      <c r="H146" s="76"/>
      <c r="I146" s="73" t="s">
        <v>366</v>
      </c>
      <c r="J146" s="76"/>
    </row>
    <row r="147">
      <c r="A147" s="72">
        <v>146.0</v>
      </c>
      <c r="B147" s="73" t="s">
        <v>364</v>
      </c>
      <c r="C147" s="74">
        <v>8.11013082E8</v>
      </c>
      <c r="D147" s="73" t="s">
        <v>511</v>
      </c>
      <c r="E147" s="72">
        <v>266.0</v>
      </c>
      <c r="F147" s="75">
        <v>38586.0</v>
      </c>
      <c r="G147" s="76"/>
      <c r="H147" s="76"/>
      <c r="I147" s="73" t="s">
        <v>366</v>
      </c>
      <c r="J147" s="76"/>
    </row>
    <row r="148">
      <c r="A148" s="72">
        <v>147.0</v>
      </c>
      <c r="B148" s="73" t="s">
        <v>364</v>
      </c>
      <c r="C148" s="74">
        <v>8.1103083E8</v>
      </c>
      <c r="D148" s="73" t="s">
        <v>512</v>
      </c>
      <c r="E148" s="72">
        <v>283.0</v>
      </c>
      <c r="F148" s="75">
        <v>38596.0</v>
      </c>
      <c r="G148" s="76"/>
      <c r="H148" s="76"/>
      <c r="I148" s="73" t="s">
        <v>366</v>
      </c>
      <c r="J148" s="76"/>
    </row>
    <row r="149">
      <c r="A149" s="72">
        <v>148.0</v>
      </c>
      <c r="B149" s="73" t="s">
        <v>364</v>
      </c>
      <c r="C149" s="74">
        <v>9.00056479E8</v>
      </c>
      <c r="D149" s="73" t="s">
        <v>513</v>
      </c>
      <c r="E149" s="72">
        <v>412.0</v>
      </c>
      <c r="F149" s="77">
        <v>38700.0</v>
      </c>
      <c r="G149" s="76"/>
      <c r="H149" s="76"/>
      <c r="I149" s="73" t="s">
        <v>366</v>
      </c>
      <c r="J149" s="76"/>
    </row>
    <row r="150">
      <c r="A150" s="72">
        <v>149.0</v>
      </c>
      <c r="B150" s="73" t="s">
        <v>364</v>
      </c>
      <c r="C150" s="74">
        <v>8.3051485E8</v>
      </c>
      <c r="D150" s="73" t="s">
        <v>514</v>
      </c>
      <c r="E150" s="72">
        <v>429.0</v>
      </c>
      <c r="F150" s="77">
        <v>38716.0</v>
      </c>
      <c r="G150" s="76"/>
      <c r="H150" s="76"/>
      <c r="I150" s="73" t="s">
        <v>366</v>
      </c>
      <c r="J150" s="76"/>
    </row>
    <row r="151">
      <c r="A151" s="72">
        <v>150.0</v>
      </c>
      <c r="B151" s="73" t="s">
        <v>364</v>
      </c>
      <c r="C151" s="74">
        <v>8.90902879E8</v>
      </c>
      <c r="D151" s="73" t="s">
        <v>515</v>
      </c>
      <c r="E151" s="72">
        <v>64.0</v>
      </c>
      <c r="F151" s="75">
        <v>38774.0</v>
      </c>
      <c r="G151" s="76"/>
      <c r="H151" s="76"/>
      <c r="I151" s="73" t="s">
        <v>366</v>
      </c>
      <c r="J151" s="76"/>
    </row>
    <row r="152">
      <c r="A152" s="72">
        <v>151.0</v>
      </c>
      <c r="B152" s="73" t="s">
        <v>364</v>
      </c>
      <c r="C152" s="74">
        <v>8.11047103E8</v>
      </c>
      <c r="D152" s="73" t="s">
        <v>516</v>
      </c>
      <c r="E152" s="72">
        <v>154.0</v>
      </c>
      <c r="F152" s="75">
        <v>38828.0</v>
      </c>
      <c r="G152" s="76"/>
      <c r="H152" s="76"/>
      <c r="I152" s="73" t="s">
        <v>366</v>
      </c>
      <c r="J152" s="76"/>
    </row>
    <row r="153">
      <c r="A153" s="72">
        <v>152.0</v>
      </c>
      <c r="B153" s="73" t="s">
        <v>364</v>
      </c>
      <c r="C153" s="74">
        <v>9.0007446E8</v>
      </c>
      <c r="D153" s="73" t="s">
        <v>517</v>
      </c>
      <c r="E153" s="72">
        <v>155.0</v>
      </c>
      <c r="F153" s="75">
        <v>38833.0</v>
      </c>
      <c r="G153" s="76"/>
      <c r="H153" s="76"/>
      <c r="I153" s="73" t="s">
        <v>366</v>
      </c>
      <c r="J153" s="76"/>
    </row>
    <row r="154">
      <c r="A154" s="72">
        <v>153.0</v>
      </c>
      <c r="B154" s="73" t="s">
        <v>364</v>
      </c>
      <c r="C154" s="74">
        <v>9.00072664E8</v>
      </c>
      <c r="D154" s="73" t="s">
        <v>518</v>
      </c>
      <c r="E154" s="72">
        <v>175.0</v>
      </c>
      <c r="F154" s="75">
        <v>38845.0</v>
      </c>
      <c r="G154" s="76"/>
      <c r="H154" s="76"/>
      <c r="I154" s="73" t="s">
        <v>366</v>
      </c>
      <c r="J154" s="76"/>
    </row>
    <row r="155">
      <c r="A155" s="72">
        <v>154.0</v>
      </c>
      <c r="B155" s="73" t="s">
        <v>364</v>
      </c>
      <c r="C155" s="74">
        <v>9.00066722E8</v>
      </c>
      <c r="D155" s="73" t="s">
        <v>519</v>
      </c>
      <c r="E155" s="72">
        <v>209.0</v>
      </c>
      <c r="F155" s="75">
        <v>38873.0</v>
      </c>
      <c r="G155" s="76"/>
      <c r="H155" s="76"/>
      <c r="I155" s="73" t="s">
        <v>366</v>
      </c>
      <c r="J155" s="76"/>
    </row>
    <row r="156">
      <c r="A156" s="72">
        <v>155.0</v>
      </c>
      <c r="B156" s="73" t="s">
        <v>364</v>
      </c>
      <c r="C156" s="74">
        <v>9.00074012E8</v>
      </c>
      <c r="D156" s="73" t="s">
        <v>520</v>
      </c>
      <c r="E156" s="72">
        <v>283.0</v>
      </c>
      <c r="F156" s="75">
        <v>38924.0</v>
      </c>
      <c r="G156" s="76"/>
      <c r="H156" s="76"/>
      <c r="I156" s="73" t="s">
        <v>366</v>
      </c>
      <c r="J156" s="76"/>
    </row>
    <row r="157">
      <c r="A157" s="72">
        <v>156.0</v>
      </c>
      <c r="B157" s="73" t="s">
        <v>364</v>
      </c>
      <c r="C157" s="74">
        <v>9.00085534E8</v>
      </c>
      <c r="D157" s="73" t="s">
        <v>521</v>
      </c>
      <c r="E157" s="72">
        <v>284.0</v>
      </c>
      <c r="F157" s="75">
        <v>38924.0</v>
      </c>
      <c r="G157" s="76"/>
      <c r="H157" s="76"/>
      <c r="I157" s="73" t="s">
        <v>366</v>
      </c>
      <c r="J157" s="76"/>
    </row>
    <row r="158">
      <c r="A158" s="78">
        <v>157.0</v>
      </c>
      <c r="B158" s="79" t="s">
        <v>364</v>
      </c>
      <c r="C158" s="80">
        <v>9.00060053E8</v>
      </c>
      <c r="D158" s="79" t="s">
        <v>522</v>
      </c>
      <c r="E158" s="81">
        <v>322.0</v>
      </c>
      <c r="F158" s="84">
        <v>38943.0</v>
      </c>
      <c r="G158" s="83"/>
      <c r="H158" s="83"/>
      <c r="I158" s="73" t="s">
        <v>366</v>
      </c>
      <c r="J158" s="76"/>
    </row>
    <row r="159">
      <c r="A159" s="72">
        <v>158.0</v>
      </c>
      <c r="B159" s="73" t="s">
        <v>364</v>
      </c>
      <c r="C159" s="74">
        <v>9.00087768E8</v>
      </c>
      <c r="D159" s="73" t="s">
        <v>523</v>
      </c>
      <c r="E159" s="72">
        <v>347.0</v>
      </c>
      <c r="F159" s="75">
        <v>38958.0</v>
      </c>
      <c r="G159" s="76"/>
      <c r="H159" s="76"/>
      <c r="I159" s="73" t="s">
        <v>366</v>
      </c>
      <c r="J159" s="76"/>
    </row>
    <row r="160">
      <c r="A160" s="72">
        <v>159.0</v>
      </c>
      <c r="B160" s="73" t="s">
        <v>364</v>
      </c>
      <c r="C160" s="74">
        <v>9.00090527E8</v>
      </c>
      <c r="D160" s="73" t="s">
        <v>524</v>
      </c>
      <c r="E160" s="72">
        <v>438.0</v>
      </c>
      <c r="F160" s="77">
        <v>39003.0</v>
      </c>
      <c r="G160" s="76"/>
      <c r="H160" s="76"/>
      <c r="I160" s="73" t="s">
        <v>366</v>
      </c>
      <c r="J160" s="76"/>
    </row>
    <row r="161">
      <c r="A161" s="72">
        <v>160.0</v>
      </c>
      <c r="B161" s="73" t="s">
        <v>364</v>
      </c>
      <c r="C161" s="74">
        <v>9.00070608E8</v>
      </c>
      <c r="D161" s="73" t="s">
        <v>525</v>
      </c>
      <c r="E161" s="72">
        <v>447.0</v>
      </c>
      <c r="F161" s="77">
        <v>39007.0</v>
      </c>
      <c r="G161" s="76"/>
      <c r="H161" s="76"/>
      <c r="I161" s="73" t="s">
        <v>366</v>
      </c>
      <c r="J161" s="76"/>
    </row>
    <row r="162">
      <c r="A162" s="72">
        <v>161.0</v>
      </c>
      <c r="B162" s="73" t="s">
        <v>364</v>
      </c>
      <c r="C162" s="74">
        <v>9.00084672E8</v>
      </c>
      <c r="D162" s="73" t="s">
        <v>526</v>
      </c>
      <c r="E162" s="72">
        <v>439.0</v>
      </c>
      <c r="F162" s="77">
        <v>39007.0</v>
      </c>
      <c r="G162" s="76"/>
      <c r="H162" s="76"/>
      <c r="I162" s="73" t="s">
        <v>366</v>
      </c>
      <c r="J162" s="76"/>
    </row>
    <row r="163">
      <c r="A163" s="72">
        <v>162.0</v>
      </c>
      <c r="B163" s="73" t="s">
        <v>364</v>
      </c>
      <c r="C163" s="74">
        <v>9.00108776E8</v>
      </c>
      <c r="D163" s="73" t="s">
        <v>527</v>
      </c>
      <c r="E163" s="72">
        <v>584.0</v>
      </c>
      <c r="F163" s="77">
        <v>39073.0</v>
      </c>
      <c r="G163" s="76"/>
      <c r="H163" s="76"/>
      <c r="I163" s="73" t="s">
        <v>366</v>
      </c>
      <c r="J163" s="76"/>
    </row>
    <row r="164">
      <c r="A164" s="72">
        <v>163.0</v>
      </c>
      <c r="B164" s="73" t="s">
        <v>364</v>
      </c>
      <c r="C164" s="74">
        <v>9.00108215E8</v>
      </c>
      <c r="D164" s="73" t="s">
        <v>528</v>
      </c>
      <c r="E164" s="72">
        <v>65.0</v>
      </c>
      <c r="F164" s="75">
        <v>39115.0</v>
      </c>
      <c r="G164" s="76"/>
      <c r="H164" s="76"/>
      <c r="I164" s="73" t="s">
        <v>366</v>
      </c>
      <c r="J164" s="76"/>
    </row>
    <row r="165">
      <c r="A165" s="72">
        <v>164.0</v>
      </c>
      <c r="B165" s="73" t="s">
        <v>364</v>
      </c>
      <c r="C165" s="74">
        <v>9.00080018E8</v>
      </c>
      <c r="D165" s="73" t="s">
        <v>529</v>
      </c>
      <c r="E165" s="72">
        <v>47.0</v>
      </c>
      <c r="F165" s="75">
        <v>39136.0</v>
      </c>
      <c r="G165" s="76"/>
      <c r="H165" s="76"/>
      <c r="I165" s="73" t="s">
        <v>366</v>
      </c>
      <c r="J165" s="76"/>
    </row>
    <row r="166">
      <c r="A166" s="72">
        <v>165.0</v>
      </c>
      <c r="B166" s="73" t="s">
        <v>364</v>
      </c>
      <c r="C166" s="74">
        <v>9.00112213E8</v>
      </c>
      <c r="D166" s="73" t="s">
        <v>530</v>
      </c>
      <c r="E166" s="72">
        <v>171.0</v>
      </c>
      <c r="F166" s="75">
        <v>39167.0</v>
      </c>
      <c r="G166" s="76"/>
      <c r="H166" s="76"/>
      <c r="I166" s="73" t="s">
        <v>366</v>
      </c>
      <c r="J166" s="76"/>
    </row>
    <row r="167">
      <c r="A167" s="72">
        <v>166.0</v>
      </c>
      <c r="B167" s="73" t="s">
        <v>364</v>
      </c>
      <c r="C167" s="74">
        <v>9.0011917E8</v>
      </c>
      <c r="D167" s="73" t="s">
        <v>531</v>
      </c>
      <c r="E167" s="72">
        <v>173.0</v>
      </c>
      <c r="F167" s="75">
        <v>39167.0</v>
      </c>
      <c r="G167" s="76"/>
      <c r="H167" s="76"/>
      <c r="I167" s="73" t="s">
        <v>366</v>
      </c>
      <c r="J167" s="76"/>
    </row>
    <row r="168">
      <c r="A168" s="72">
        <v>167.0</v>
      </c>
      <c r="B168" s="73" t="s">
        <v>364</v>
      </c>
      <c r="C168" s="74">
        <v>9.00120944E8</v>
      </c>
      <c r="D168" s="73" t="s">
        <v>532</v>
      </c>
      <c r="E168" s="72">
        <v>170.0</v>
      </c>
      <c r="F168" s="75">
        <v>39167.0</v>
      </c>
      <c r="G168" s="76"/>
      <c r="H168" s="76"/>
      <c r="I168" s="73" t="s">
        <v>366</v>
      </c>
      <c r="J168" s="76"/>
    </row>
    <row r="169">
      <c r="A169" s="72">
        <v>168.0</v>
      </c>
      <c r="B169" s="73" t="s">
        <v>364</v>
      </c>
      <c r="C169" s="74">
        <v>9.00135893E8</v>
      </c>
      <c r="D169" s="73" t="s">
        <v>533</v>
      </c>
      <c r="E169" s="72">
        <v>172.0</v>
      </c>
      <c r="F169" s="75">
        <v>39167.0</v>
      </c>
      <c r="G169" s="76"/>
      <c r="H169" s="76"/>
      <c r="I169" s="73" t="s">
        <v>366</v>
      </c>
      <c r="J169" s="76"/>
    </row>
    <row r="170">
      <c r="A170" s="72">
        <v>169.0</v>
      </c>
      <c r="B170" s="73" t="s">
        <v>364</v>
      </c>
      <c r="C170" s="74">
        <v>9.00126903E8</v>
      </c>
      <c r="D170" s="73" t="s">
        <v>534</v>
      </c>
      <c r="E170" s="72">
        <v>176.0</v>
      </c>
      <c r="F170" s="75">
        <v>39169.0</v>
      </c>
      <c r="G170" s="76"/>
      <c r="H170" s="76"/>
      <c r="I170" s="73" t="s">
        <v>366</v>
      </c>
      <c r="J170" s="76"/>
    </row>
    <row r="171">
      <c r="A171" s="72">
        <v>170.0</v>
      </c>
      <c r="B171" s="73" t="s">
        <v>364</v>
      </c>
      <c r="C171" s="74">
        <v>9.00132109E8</v>
      </c>
      <c r="D171" s="73" t="s">
        <v>535</v>
      </c>
      <c r="E171" s="72">
        <v>177.0</v>
      </c>
      <c r="F171" s="75">
        <v>39170.0</v>
      </c>
      <c r="G171" s="76"/>
      <c r="H171" s="76"/>
      <c r="I171" s="73" t="s">
        <v>366</v>
      </c>
      <c r="J171" s="76"/>
    </row>
    <row r="172">
      <c r="A172" s="72">
        <v>171.0</v>
      </c>
      <c r="B172" s="73" t="s">
        <v>364</v>
      </c>
      <c r="C172" s="74">
        <v>9.00119656E8</v>
      </c>
      <c r="D172" s="73" t="s">
        <v>536</v>
      </c>
      <c r="E172" s="72">
        <v>229.0</v>
      </c>
      <c r="F172" s="75">
        <v>39199.0</v>
      </c>
      <c r="G172" s="76"/>
      <c r="H172" s="76"/>
      <c r="I172" s="73" t="s">
        <v>366</v>
      </c>
      <c r="J172" s="76"/>
    </row>
    <row r="173">
      <c r="A173" s="72">
        <v>172.0</v>
      </c>
      <c r="B173" s="73" t="s">
        <v>364</v>
      </c>
      <c r="C173" s="74">
        <v>8.0001519E8</v>
      </c>
      <c r="D173" s="73" t="s">
        <v>537</v>
      </c>
      <c r="E173" s="72">
        <v>258.0</v>
      </c>
      <c r="F173" s="75">
        <v>39213.0</v>
      </c>
      <c r="G173" s="76"/>
      <c r="H173" s="76"/>
      <c r="I173" s="73" t="s">
        <v>366</v>
      </c>
      <c r="J173" s="76"/>
    </row>
    <row r="174">
      <c r="A174" s="72">
        <v>173.0</v>
      </c>
      <c r="B174" s="73" t="s">
        <v>364</v>
      </c>
      <c r="C174" s="74">
        <v>9.00124171E8</v>
      </c>
      <c r="D174" s="73" t="s">
        <v>538</v>
      </c>
      <c r="E174" s="72">
        <v>289.0</v>
      </c>
      <c r="F174" s="75">
        <v>39224.0</v>
      </c>
      <c r="G174" s="76"/>
      <c r="H174" s="76"/>
      <c r="I174" s="73" t="s">
        <v>366</v>
      </c>
      <c r="J174" s="76"/>
    </row>
    <row r="175">
      <c r="A175" s="72">
        <v>174.0</v>
      </c>
      <c r="B175" s="73" t="s">
        <v>364</v>
      </c>
      <c r="C175" s="74">
        <v>8.11046581E8</v>
      </c>
      <c r="D175" s="73" t="s">
        <v>539</v>
      </c>
      <c r="E175" s="72">
        <v>320.0</v>
      </c>
      <c r="F175" s="75">
        <v>39245.0</v>
      </c>
      <c r="G175" s="76"/>
      <c r="H175" s="76"/>
      <c r="I175" s="73" t="s">
        <v>366</v>
      </c>
      <c r="J175" s="76"/>
    </row>
    <row r="176">
      <c r="A176" s="72">
        <v>175.0</v>
      </c>
      <c r="B176" s="73" t="s">
        <v>364</v>
      </c>
      <c r="C176" s="74">
        <v>8.11022351E8</v>
      </c>
      <c r="D176" s="73" t="s">
        <v>540</v>
      </c>
      <c r="E176" s="72">
        <v>603.0</v>
      </c>
      <c r="F176" s="77">
        <v>39364.0</v>
      </c>
      <c r="G176" s="76"/>
      <c r="H176" s="76"/>
      <c r="I176" s="73" t="s">
        <v>366</v>
      </c>
      <c r="J176" s="76"/>
    </row>
    <row r="177">
      <c r="A177" s="72">
        <v>176.0</v>
      </c>
      <c r="B177" s="73" t="s">
        <v>364</v>
      </c>
      <c r="C177" s="74">
        <v>9.00123967E8</v>
      </c>
      <c r="D177" s="73" t="s">
        <v>541</v>
      </c>
      <c r="E177" s="72">
        <v>602.0</v>
      </c>
      <c r="F177" s="77">
        <v>39364.0</v>
      </c>
      <c r="G177" s="76"/>
      <c r="H177" s="76"/>
      <c r="I177" s="73" t="s">
        <v>366</v>
      </c>
      <c r="J177" s="76"/>
    </row>
    <row r="178">
      <c r="A178" s="72">
        <v>177.0</v>
      </c>
      <c r="B178" s="73" t="s">
        <v>364</v>
      </c>
      <c r="C178" s="74">
        <v>9.00156984E8</v>
      </c>
      <c r="D178" s="73" t="s">
        <v>542</v>
      </c>
      <c r="E178" s="72">
        <v>670.0</v>
      </c>
      <c r="F178" s="77">
        <v>39392.0</v>
      </c>
      <c r="G178" s="76"/>
      <c r="H178" s="76"/>
      <c r="I178" s="73" t="s">
        <v>366</v>
      </c>
      <c r="J178" s="76"/>
    </row>
    <row r="179">
      <c r="A179" s="72">
        <v>178.0</v>
      </c>
      <c r="B179" s="73" t="s">
        <v>364</v>
      </c>
      <c r="C179" s="74">
        <v>9.00168181E8</v>
      </c>
      <c r="D179" s="73" t="s">
        <v>543</v>
      </c>
      <c r="E179" s="72">
        <v>671.0</v>
      </c>
      <c r="F179" s="77">
        <v>39392.0</v>
      </c>
      <c r="G179" s="76"/>
      <c r="H179" s="76"/>
      <c r="I179" s="73" t="s">
        <v>366</v>
      </c>
      <c r="J179" s="76"/>
    </row>
    <row r="180">
      <c r="A180" s="72">
        <v>179.0</v>
      </c>
      <c r="B180" s="73" t="s">
        <v>364</v>
      </c>
      <c r="C180" s="74">
        <v>8.11040677E8</v>
      </c>
      <c r="D180" s="73" t="s">
        <v>544</v>
      </c>
      <c r="E180" s="72">
        <v>697.0</v>
      </c>
      <c r="F180" s="77">
        <v>39401.0</v>
      </c>
      <c r="G180" s="76"/>
      <c r="H180" s="76"/>
      <c r="I180" s="73" t="s">
        <v>366</v>
      </c>
      <c r="J180" s="76"/>
    </row>
    <row r="181">
      <c r="A181" s="72">
        <v>180.0</v>
      </c>
      <c r="B181" s="73" t="s">
        <v>364</v>
      </c>
      <c r="C181" s="74">
        <v>8.3051036E8</v>
      </c>
      <c r="D181" s="73" t="s">
        <v>545</v>
      </c>
      <c r="E181" s="72">
        <v>718.0</v>
      </c>
      <c r="F181" s="77">
        <v>39405.0</v>
      </c>
      <c r="G181" s="76"/>
      <c r="H181" s="76"/>
      <c r="I181" s="73" t="s">
        <v>366</v>
      </c>
      <c r="J181" s="76"/>
    </row>
    <row r="182">
      <c r="A182" s="72">
        <v>181.0</v>
      </c>
      <c r="B182" s="73" t="s">
        <v>364</v>
      </c>
      <c r="C182" s="74">
        <v>9.00172702E8</v>
      </c>
      <c r="D182" s="73" t="s">
        <v>546</v>
      </c>
      <c r="E182" s="72">
        <v>764.0</v>
      </c>
      <c r="F182" s="77">
        <v>39427.0</v>
      </c>
      <c r="G182" s="76"/>
      <c r="H182" s="76"/>
      <c r="I182" s="73" t="s">
        <v>366</v>
      </c>
      <c r="J182" s="76"/>
    </row>
    <row r="183">
      <c r="A183" s="72">
        <v>182.0</v>
      </c>
      <c r="B183" s="73" t="s">
        <v>364</v>
      </c>
      <c r="C183" s="74">
        <v>9.00176455E8</v>
      </c>
      <c r="D183" s="73" t="s">
        <v>547</v>
      </c>
      <c r="E183" s="72">
        <v>795.0</v>
      </c>
      <c r="F183" s="77">
        <v>39433.0</v>
      </c>
      <c r="G183" s="76"/>
      <c r="H183" s="76"/>
      <c r="I183" s="73" t="s">
        <v>366</v>
      </c>
      <c r="J183" s="76"/>
    </row>
    <row r="184">
      <c r="A184" s="72">
        <v>183.0</v>
      </c>
      <c r="B184" s="73" t="s">
        <v>364</v>
      </c>
      <c r="C184" s="74">
        <v>8.00192047E8</v>
      </c>
      <c r="D184" s="73" t="s">
        <v>548</v>
      </c>
      <c r="E184" s="72">
        <v>816.0</v>
      </c>
      <c r="F184" s="77">
        <v>39436.0</v>
      </c>
      <c r="G184" s="76"/>
      <c r="H184" s="76"/>
      <c r="I184" s="73" t="s">
        <v>366</v>
      </c>
      <c r="J184" s="76"/>
    </row>
    <row r="185">
      <c r="A185" s="72">
        <v>184.0</v>
      </c>
      <c r="B185" s="73" t="s">
        <v>364</v>
      </c>
      <c r="C185" s="74">
        <v>8.90327599E8</v>
      </c>
      <c r="D185" s="73" t="s">
        <v>549</v>
      </c>
      <c r="E185" s="72">
        <v>170.0</v>
      </c>
      <c r="F185" s="75">
        <v>39525.0</v>
      </c>
      <c r="G185" s="76"/>
      <c r="H185" s="76"/>
      <c r="I185" s="73" t="s">
        <v>366</v>
      </c>
      <c r="J185" s="76"/>
    </row>
    <row r="186">
      <c r="A186" s="72">
        <v>185.0</v>
      </c>
      <c r="B186" s="73" t="s">
        <v>364</v>
      </c>
      <c r="C186" s="74">
        <v>9.00168906E8</v>
      </c>
      <c r="D186" s="73" t="s">
        <v>550</v>
      </c>
      <c r="E186" s="72">
        <v>180.0</v>
      </c>
      <c r="F186" s="75">
        <v>39532.0</v>
      </c>
      <c r="G186" s="76"/>
      <c r="H186" s="76"/>
      <c r="I186" s="73" t="s">
        <v>366</v>
      </c>
      <c r="J186" s="76"/>
    </row>
    <row r="187">
      <c r="A187" s="72">
        <v>186.0</v>
      </c>
      <c r="B187" s="73" t="s">
        <v>364</v>
      </c>
      <c r="C187" s="74">
        <v>9.00121561E8</v>
      </c>
      <c r="D187" s="73" t="s">
        <v>551</v>
      </c>
      <c r="E187" s="72">
        <v>183.0</v>
      </c>
      <c r="F187" s="75">
        <v>39533.0</v>
      </c>
      <c r="G187" s="76"/>
      <c r="H187" s="76"/>
      <c r="I187" s="73" t="s">
        <v>366</v>
      </c>
      <c r="J187" s="76"/>
    </row>
    <row r="188">
      <c r="A188" s="72">
        <v>187.0</v>
      </c>
      <c r="B188" s="73" t="s">
        <v>364</v>
      </c>
      <c r="C188" s="74">
        <v>9.00169083E8</v>
      </c>
      <c r="D188" s="73" t="s">
        <v>552</v>
      </c>
      <c r="E188" s="72">
        <v>196.0</v>
      </c>
      <c r="F188" s="75">
        <v>39539.0</v>
      </c>
      <c r="G188" s="76"/>
      <c r="H188" s="76"/>
      <c r="I188" s="73" t="s">
        <v>366</v>
      </c>
      <c r="J188" s="76"/>
    </row>
    <row r="189">
      <c r="A189" s="72">
        <v>188.0</v>
      </c>
      <c r="B189" s="73" t="s">
        <v>364</v>
      </c>
      <c r="C189" s="74">
        <v>8.9090143E8</v>
      </c>
      <c r="D189" s="73" t="s">
        <v>553</v>
      </c>
      <c r="E189" s="72">
        <v>348.0</v>
      </c>
      <c r="F189" s="75">
        <v>39580.0</v>
      </c>
      <c r="G189" s="76"/>
      <c r="H189" s="76"/>
      <c r="I189" s="73" t="s">
        <v>366</v>
      </c>
      <c r="J189" s="76"/>
    </row>
    <row r="190">
      <c r="A190" s="72">
        <v>189.0</v>
      </c>
      <c r="B190" s="73" t="s">
        <v>364</v>
      </c>
      <c r="C190" s="74">
        <v>9.00213513E8</v>
      </c>
      <c r="D190" s="73" t="s">
        <v>554</v>
      </c>
      <c r="E190" s="72">
        <v>777.0</v>
      </c>
      <c r="F190" s="75">
        <v>39618.0</v>
      </c>
      <c r="G190" s="76"/>
      <c r="H190" s="76"/>
      <c r="I190" s="73" t="s">
        <v>366</v>
      </c>
      <c r="J190" s="76"/>
    </row>
    <row r="191">
      <c r="A191" s="72">
        <v>190.0</v>
      </c>
      <c r="B191" s="73" t="s">
        <v>364</v>
      </c>
      <c r="C191" s="74">
        <v>9.00211778E8</v>
      </c>
      <c r="D191" s="73" t="s">
        <v>555</v>
      </c>
      <c r="E191" s="72">
        <v>781.0</v>
      </c>
      <c r="F191" s="75">
        <v>39622.0</v>
      </c>
      <c r="G191" s="76"/>
      <c r="H191" s="76"/>
      <c r="I191" s="73" t="s">
        <v>366</v>
      </c>
      <c r="J191" s="76"/>
    </row>
    <row r="192">
      <c r="A192" s="72">
        <v>191.0</v>
      </c>
      <c r="B192" s="73" t="s">
        <v>364</v>
      </c>
      <c r="C192" s="74">
        <v>9.00210756E8</v>
      </c>
      <c r="D192" s="73" t="s">
        <v>556</v>
      </c>
      <c r="E192" s="72">
        <v>1109.0</v>
      </c>
      <c r="F192" s="75">
        <v>39644.0</v>
      </c>
      <c r="G192" s="76"/>
      <c r="H192" s="76"/>
      <c r="I192" s="73" t="s">
        <v>366</v>
      </c>
      <c r="J192" s="76"/>
    </row>
    <row r="193">
      <c r="A193" s="72">
        <v>192.0</v>
      </c>
      <c r="B193" s="73" t="s">
        <v>364</v>
      </c>
      <c r="C193" s="74">
        <v>9.00177291E8</v>
      </c>
      <c r="D193" s="73" t="s">
        <v>557</v>
      </c>
      <c r="E193" s="72">
        <v>1117.0</v>
      </c>
      <c r="F193" s="75">
        <v>39647.0</v>
      </c>
      <c r="G193" s="76"/>
      <c r="H193" s="76"/>
      <c r="I193" s="73" t="s">
        <v>366</v>
      </c>
      <c r="J193" s="76"/>
    </row>
    <row r="194">
      <c r="A194" s="72">
        <v>193.0</v>
      </c>
      <c r="B194" s="73" t="s">
        <v>364</v>
      </c>
      <c r="C194" s="74">
        <v>9.00212935E8</v>
      </c>
      <c r="D194" s="73" t="s">
        <v>558</v>
      </c>
      <c r="E194" s="72">
        <v>1122.0</v>
      </c>
      <c r="F194" s="75">
        <v>39647.0</v>
      </c>
      <c r="G194" s="76"/>
      <c r="H194" s="76"/>
      <c r="I194" s="73" t="s">
        <v>366</v>
      </c>
      <c r="J194" s="76"/>
    </row>
    <row r="195">
      <c r="A195" s="72">
        <v>194.0</v>
      </c>
      <c r="B195" s="73" t="s">
        <v>364</v>
      </c>
      <c r="C195" s="74">
        <v>8.11011429E8</v>
      </c>
      <c r="D195" s="73" t="s">
        <v>559</v>
      </c>
      <c r="E195" s="72">
        <v>1208.0</v>
      </c>
      <c r="F195" s="75">
        <v>39701.0</v>
      </c>
      <c r="G195" s="76"/>
      <c r="H195" s="76"/>
      <c r="I195" s="73" t="s">
        <v>366</v>
      </c>
      <c r="J195" s="76"/>
    </row>
    <row r="196">
      <c r="A196" s="72">
        <v>195.0</v>
      </c>
      <c r="B196" s="73" t="s">
        <v>364</v>
      </c>
      <c r="C196" s="74">
        <v>9.00150397E8</v>
      </c>
      <c r="D196" s="73" t="s">
        <v>560</v>
      </c>
      <c r="E196" s="72">
        <v>199.0</v>
      </c>
      <c r="F196" s="75">
        <v>40000.0</v>
      </c>
      <c r="G196" s="76"/>
      <c r="H196" s="76"/>
      <c r="I196" s="73" t="s">
        <v>366</v>
      </c>
      <c r="J196" s="76"/>
    </row>
    <row r="197">
      <c r="A197" s="72">
        <v>196.0</v>
      </c>
      <c r="B197" s="73" t="s">
        <v>364</v>
      </c>
      <c r="C197" s="74">
        <v>9.00295089E8</v>
      </c>
      <c r="D197" s="73" t="s">
        <v>561</v>
      </c>
      <c r="E197" s="72">
        <v>320.0</v>
      </c>
      <c r="F197" s="75">
        <v>40035.0</v>
      </c>
      <c r="G197" s="76"/>
      <c r="H197" s="76"/>
      <c r="I197" s="73" t="s">
        <v>366</v>
      </c>
      <c r="J197" s="76"/>
    </row>
    <row r="198">
      <c r="A198" s="72">
        <v>197.0</v>
      </c>
      <c r="B198" s="73" t="s">
        <v>364</v>
      </c>
      <c r="C198" s="74">
        <v>9.002337E8</v>
      </c>
      <c r="D198" s="73" t="s">
        <v>562</v>
      </c>
      <c r="E198" s="72">
        <v>28.0</v>
      </c>
      <c r="F198" s="75">
        <v>40037.0</v>
      </c>
      <c r="G198" s="76"/>
      <c r="H198" s="76"/>
      <c r="I198" s="73" t="s">
        <v>366</v>
      </c>
      <c r="J198" s="76"/>
    </row>
    <row r="199">
      <c r="A199" s="72">
        <v>198.0</v>
      </c>
      <c r="B199" s="73" t="s">
        <v>364</v>
      </c>
      <c r="C199" s="74">
        <v>9.00220423E8</v>
      </c>
      <c r="D199" s="73" t="s">
        <v>563</v>
      </c>
      <c r="E199" s="72">
        <v>323.0</v>
      </c>
      <c r="F199" s="75">
        <v>40038.0</v>
      </c>
      <c r="G199" s="76"/>
      <c r="H199" s="76"/>
      <c r="I199" s="73" t="s">
        <v>366</v>
      </c>
      <c r="J199" s="76"/>
    </row>
    <row r="200">
      <c r="A200" s="72">
        <v>199.0</v>
      </c>
      <c r="B200" s="73" t="s">
        <v>364</v>
      </c>
      <c r="C200" s="74">
        <v>8.11014895E8</v>
      </c>
      <c r="D200" s="73" t="s">
        <v>564</v>
      </c>
      <c r="E200" s="72">
        <v>326.0</v>
      </c>
      <c r="F200" s="75">
        <v>40043.0</v>
      </c>
      <c r="G200" s="76"/>
      <c r="H200" s="76"/>
      <c r="I200" s="73" t="s">
        <v>366</v>
      </c>
      <c r="J200" s="76"/>
    </row>
    <row r="201">
      <c r="A201" s="72">
        <v>200.0</v>
      </c>
      <c r="B201" s="73" t="s">
        <v>364</v>
      </c>
      <c r="C201" s="74">
        <v>9.00294268E8</v>
      </c>
      <c r="D201" s="73" t="s">
        <v>565</v>
      </c>
      <c r="E201" s="72">
        <v>327.0</v>
      </c>
      <c r="F201" s="75">
        <v>40044.0</v>
      </c>
      <c r="G201" s="76"/>
      <c r="H201" s="76"/>
      <c r="I201" s="73" t="s">
        <v>366</v>
      </c>
      <c r="J201" s="76"/>
    </row>
    <row r="202">
      <c r="A202" s="72">
        <v>201.0</v>
      </c>
      <c r="B202" s="73" t="s">
        <v>364</v>
      </c>
      <c r="C202" s="74">
        <v>9.00257142E8</v>
      </c>
      <c r="D202" s="73" t="s">
        <v>566</v>
      </c>
      <c r="E202" s="72">
        <v>342.0</v>
      </c>
      <c r="F202" s="75">
        <v>40072.0</v>
      </c>
      <c r="G202" s="76"/>
      <c r="H202" s="76"/>
      <c r="I202" s="73" t="s">
        <v>366</v>
      </c>
      <c r="J202" s="76"/>
    </row>
    <row r="203">
      <c r="A203" s="72">
        <v>202.0</v>
      </c>
      <c r="B203" s="73" t="s">
        <v>364</v>
      </c>
      <c r="C203" s="74">
        <v>9.00105211E8</v>
      </c>
      <c r="D203" s="73" t="s">
        <v>567</v>
      </c>
      <c r="E203" s="72">
        <v>347.0</v>
      </c>
      <c r="F203" s="75">
        <v>40078.0</v>
      </c>
      <c r="G203" s="76"/>
      <c r="H203" s="76"/>
      <c r="I203" s="73" t="s">
        <v>366</v>
      </c>
      <c r="J203" s="76"/>
    </row>
    <row r="204">
      <c r="A204" s="72">
        <v>203.0</v>
      </c>
      <c r="B204" s="73" t="s">
        <v>364</v>
      </c>
      <c r="C204" s="74">
        <v>9.00065403E8</v>
      </c>
      <c r="D204" s="73" t="s">
        <v>568</v>
      </c>
      <c r="E204" s="72">
        <v>358.0</v>
      </c>
      <c r="F204" s="77">
        <v>40091.0</v>
      </c>
      <c r="G204" s="76"/>
      <c r="H204" s="76"/>
      <c r="I204" s="73" t="s">
        <v>366</v>
      </c>
      <c r="J204" s="76"/>
    </row>
    <row r="205">
      <c r="A205" s="72">
        <v>204.0</v>
      </c>
      <c r="B205" s="73" t="s">
        <v>364</v>
      </c>
      <c r="C205" s="74">
        <v>8.00183606E8</v>
      </c>
      <c r="D205" s="73" t="s">
        <v>569</v>
      </c>
      <c r="E205" s="72">
        <v>365.0</v>
      </c>
      <c r="F205" s="77">
        <v>40093.0</v>
      </c>
      <c r="G205" s="76"/>
      <c r="H205" s="76"/>
      <c r="I205" s="73" t="s">
        <v>366</v>
      </c>
      <c r="J205" s="76"/>
    </row>
    <row r="206">
      <c r="A206" s="72">
        <v>205.0</v>
      </c>
      <c r="B206" s="73" t="s">
        <v>364</v>
      </c>
      <c r="C206" s="74">
        <v>9.00306833E8</v>
      </c>
      <c r="D206" s="73" t="s">
        <v>570</v>
      </c>
      <c r="E206" s="72">
        <v>368.0</v>
      </c>
      <c r="F206" s="77">
        <v>40102.0</v>
      </c>
      <c r="G206" s="76"/>
      <c r="H206" s="76"/>
      <c r="I206" s="73" t="s">
        <v>366</v>
      </c>
      <c r="J206" s="76"/>
    </row>
    <row r="207">
      <c r="A207" s="72">
        <v>206.0</v>
      </c>
      <c r="B207" s="73" t="s">
        <v>364</v>
      </c>
      <c r="C207" s="74">
        <v>9.00315121E8</v>
      </c>
      <c r="D207" s="73" t="s">
        <v>571</v>
      </c>
      <c r="E207" s="72">
        <v>379.0</v>
      </c>
      <c r="F207" s="77">
        <v>40126.0</v>
      </c>
      <c r="G207" s="76"/>
      <c r="H207" s="76"/>
      <c r="I207" s="73" t="s">
        <v>366</v>
      </c>
      <c r="J207" s="76"/>
    </row>
    <row r="208">
      <c r="A208" s="72">
        <v>207.0</v>
      </c>
      <c r="B208" s="73" t="s">
        <v>364</v>
      </c>
      <c r="C208" s="74">
        <v>9.00304509E8</v>
      </c>
      <c r="D208" s="73" t="s">
        <v>572</v>
      </c>
      <c r="E208" s="72">
        <v>383.0</v>
      </c>
      <c r="F208" s="77">
        <v>40127.0</v>
      </c>
      <c r="G208" s="76"/>
      <c r="H208" s="76"/>
      <c r="I208" s="73" t="s">
        <v>366</v>
      </c>
      <c r="J208" s="76"/>
    </row>
    <row r="209">
      <c r="A209" s="72">
        <v>208.0</v>
      </c>
      <c r="B209" s="73" t="s">
        <v>364</v>
      </c>
      <c r="C209" s="74">
        <v>9.00303634E8</v>
      </c>
      <c r="D209" s="73" t="s">
        <v>573</v>
      </c>
      <c r="E209" s="72">
        <v>384.0</v>
      </c>
      <c r="F209" s="77">
        <v>40129.0</v>
      </c>
      <c r="G209" s="76"/>
      <c r="H209" s="76"/>
      <c r="I209" s="73" t="s">
        <v>366</v>
      </c>
      <c r="J209" s="76"/>
    </row>
    <row r="210">
      <c r="A210" s="72">
        <v>209.0</v>
      </c>
      <c r="B210" s="73" t="s">
        <v>364</v>
      </c>
      <c r="C210" s="74">
        <v>8.11030548E8</v>
      </c>
      <c r="D210" s="73" t="s">
        <v>574</v>
      </c>
      <c r="E210" s="72">
        <v>385.0</v>
      </c>
      <c r="F210" s="77">
        <v>40135.0</v>
      </c>
      <c r="G210" s="76"/>
      <c r="H210" s="76"/>
      <c r="I210" s="73" t="s">
        <v>366</v>
      </c>
      <c r="J210" s="76"/>
    </row>
    <row r="211">
      <c r="A211" s="78">
        <v>210.0</v>
      </c>
      <c r="B211" s="79" t="s">
        <v>364</v>
      </c>
      <c r="C211" s="80">
        <v>9.00301751E8</v>
      </c>
      <c r="D211" s="79" t="s">
        <v>575</v>
      </c>
      <c r="E211" s="81">
        <v>387.0</v>
      </c>
      <c r="F211" s="82">
        <v>40149.0</v>
      </c>
      <c r="G211" s="83"/>
      <c r="H211" s="83"/>
      <c r="I211" s="73" t="s">
        <v>366</v>
      </c>
      <c r="J211" s="76"/>
    </row>
    <row r="212">
      <c r="A212" s="72">
        <v>211.0</v>
      </c>
      <c r="B212" s="73" t="s">
        <v>364</v>
      </c>
      <c r="C212" s="74">
        <v>9.00205125E8</v>
      </c>
      <c r="D212" s="73" t="s">
        <v>576</v>
      </c>
      <c r="E212" s="72">
        <v>404.0</v>
      </c>
      <c r="F212" s="77">
        <v>40162.0</v>
      </c>
      <c r="G212" s="76"/>
      <c r="H212" s="76"/>
      <c r="I212" s="73" t="s">
        <v>366</v>
      </c>
      <c r="J212" s="76"/>
    </row>
    <row r="213">
      <c r="A213" s="72">
        <v>212.0</v>
      </c>
      <c r="B213" s="73" t="s">
        <v>364</v>
      </c>
      <c r="C213" s="74">
        <v>9.00312462E8</v>
      </c>
      <c r="D213" s="73" t="s">
        <v>577</v>
      </c>
      <c r="E213" s="72">
        <v>403.0</v>
      </c>
      <c r="F213" s="77">
        <v>40162.0</v>
      </c>
      <c r="G213" s="76"/>
      <c r="H213" s="76"/>
      <c r="I213" s="73" t="s">
        <v>366</v>
      </c>
      <c r="J213" s="76"/>
    </row>
    <row r="214">
      <c r="A214" s="72">
        <v>213.0</v>
      </c>
      <c r="B214" s="73" t="s">
        <v>364</v>
      </c>
      <c r="C214" s="74">
        <v>9.00398294E8</v>
      </c>
      <c r="D214" s="73" t="s">
        <v>578</v>
      </c>
      <c r="E214" s="72">
        <v>4.0</v>
      </c>
      <c r="F214" s="75">
        <v>40197.0</v>
      </c>
      <c r="G214" s="76"/>
      <c r="H214" s="76"/>
      <c r="I214" s="73" t="s">
        <v>366</v>
      </c>
      <c r="J214" s="76"/>
    </row>
    <row r="215">
      <c r="A215" s="72">
        <v>214.0</v>
      </c>
      <c r="B215" s="73" t="s">
        <v>364</v>
      </c>
      <c r="C215" s="74">
        <v>8.90910871E8</v>
      </c>
      <c r="D215" s="73" t="s">
        <v>579</v>
      </c>
      <c r="E215" s="72">
        <v>38.0</v>
      </c>
      <c r="F215" s="75">
        <v>40268.0</v>
      </c>
      <c r="G215" s="76"/>
      <c r="H215" s="76"/>
      <c r="I215" s="73" t="s">
        <v>366</v>
      </c>
      <c r="J215" s="76"/>
    </row>
    <row r="216">
      <c r="A216" s="72">
        <v>215.0</v>
      </c>
      <c r="B216" s="73" t="s">
        <v>364</v>
      </c>
      <c r="C216" s="74">
        <v>9.00335528E8</v>
      </c>
      <c r="D216" s="73" t="s">
        <v>580</v>
      </c>
      <c r="E216" s="72">
        <v>160.0</v>
      </c>
      <c r="F216" s="77">
        <v>40511.0</v>
      </c>
      <c r="G216" s="76"/>
      <c r="H216" s="76"/>
      <c r="I216" s="73" t="s">
        <v>366</v>
      </c>
      <c r="J216" s="76"/>
    </row>
    <row r="217">
      <c r="A217" s="72">
        <v>216.0</v>
      </c>
      <c r="B217" s="73" t="s">
        <v>364</v>
      </c>
      <c r="C217" s="74">
        <v>9.00305493E8</v>
      </c>
      <c r="D217" s="73" t="s">
        <v>581</v>
      </c>
      <c r="E217" s="72">
        <v>169.0</v>
      </c>
      <c r="F217" s="77">
        <v>40513.0</v>
      </c>
      <c r="G217" s="76"/>
      <c r="H217" s="76"/>
      <c r="I217" s="73" t="s">
        <v>366</v>
      </c>
      <c r="J217" s="76"/>
    </row>
    <row r="218">
      <c r="A218" s="72">
        <v>217.0</v>
      </c>
      <c r="B218" s="73" t="s">
        <v>364</v>
      </c>
      <c r="C218" s="74">
        <v>9.00318918E8</v>
      </c>
      <c r="D218" s="73" t="s">
        <v>582</v>
      </c>
      <c r="E218" s="72">
        <v>173.0</v>
      </c>
      <c r="F218" s="77">
        <v>40525.0</v>
      </c>
      <c r="G218" s="76"/>
      <c r="H218" s="76"/>
      <c r="I218" s="73" t="s">
        <v>366</v>
      </c>
      <c r="J218" s="76"/>
    </row>
    <row r="219">
      <c r="A219" s="72">
        <v>218.0</v>
      </c>
      <c r="B219" s="73" t="s">
        <v>364</v>
      </c>
      <c r="C219" s="74">
        <v>9.00312525E8</v>
      </c>
      <c r="D219" s="73" t="s">
        <v>583</v>
      </c>
      <c r="E219" s="72">
        <v>189.0</v>
      </c>
      <c r="F219" s="77">
        <v>40536.0</v>
      </c>
      <c r="G219" s="76"/>
      <c r="H219" s="76"/>
      <c r="I219" s="73" t="s">
        <v>366</v>
      </c>
      <c r="J219" s="76"/>
    </row>
    <row r="220">
      <c r="A220" s="72">
        <v>219.0</v>
      </c>
      <c r="B220" s="73" t="s">
        <v>364</v>
      </c>
      <c r="C220" s="74">
        <v>9.00389169E8</v>
      </c>
      <c r="D220" s="73" t="s">
        <v>584</v>
      </c>
      <c r="E220" s="72">
        <v>190.0</v>
      </c>
      <c r="F220" s="77">
        <v>40539.0</v>
      </c>
      <c r="G220" s="76"/>
      <c r="H220" s="76"/>
      <c r="I220" s="73" t="s">
        <v>366</v>
      </c>
      <c r="J220" s="76"/>
    </row>
    <row r="221">
      <c r="A221" s="72">
        <v>220.0</v>
      </c>
      <c r="B221" s="73" t="s">
        <v>364</v>
      </c>
      <c r="C221" s="74">
        <v>9.00395187E8</v>
      </c>
      <c r="D221" s="73" t="s">
        <v>585</v>
      </c>
      <c r="E221" s="72">
        <v>1.0</v>
      </c>
      <c r="F221" s="75">
        <v>40555.0</v>
      </c>
      <c r="G221" s="76"/>
      <c r="H221" s="76"/>
      <c r="I221" s="73" t="s">
        <v>366</v>
      </c>
      <c r="J221" s="76"/>
    </row>
    <row r="222">
      <c r="A222" s="72">
        <v>221.0</v>
      </c>
      <c r="B222" s="73" t="s">
        <v>364</v>
      </c>
      <c r="C222" s="74">
        <v>8.11028194E8</v>
      </c>
      <c r="D222" s="73" t="s">
        <v>586</v>
      </c>
      <c r="E222" s="72">
        <v>5.0</v>
      </c>
      <c r="F222" s="75">
        <v>40562.0</v>
      </c>
      <c r="G222" s="76"/>
      <c r="H222" s="76"/>
      <c r="I222" s="73" t="s">
        <v>366</v>
      </c>
      <c r="J222" s="76"/>
    </row>
    <row r="223">
      <c r="A223" s="72">
        <v>222.0</v>
      </c>
      <c r="B223" s="73" t="s">
        <v>364</v>
      </c>
      <c r="C223" s="74">
        <v>8.00236653E8</v>
      </c>
      <c r="D223" s="73" t="s">
        <v>587</v>
      </c>
      <c r="E223" s="72">
        <v>9.0</v>
      </c>
      <c r="F223" s="75">
        <v>40569.0</v>
      </c>
      <c r="G223" s="76"/>
      <c r="H223" s="76"/>
      <c r="I223" s="73" t="s">
        <v>366</v>
      </c>
      <c r="J223" s="76"/>
    </row>
    <row r="224">
      <c r="A224" s="72">
        <v>223.0</v>
      </c>
      <c r="B224" s="73" t="s">
        <v>364</v>
      </c>
      <c r="C224" s="74">
        <v>8.02014991E8</v>
      </c>
      <c r="D224" s="73" t="s">
        <v>588</v>
      </c>
      <c r="E224" s="72">
        <v>6.0</v>
      </c>
      <c r="F224" s="75">
        <v>40576.0</v>
      </c>
      <c r="G224" s="76"/>
      <c r="H224" s="76"/>
      <c r="I224" s="73" t="s">
        <v>366</v>
      </c>
      <c r="J224" s="76"/>
    </row>
    <row r="225">
      <c r="A225" s="72">
        <v>224.0</v>
      </c>
      <c r="B225" s="73" t="s">
        <v>364</v>
      </c>
      <c r="C225" s="74">
        <v>8.11011956E8</v>
      </c>
      <c r="D225" s="73" t="s">
        <v>589</v>
      </c>
      <c r="E225" s="72">
        <v>30.0</v>
      </c>
      <c r="F225" s="75">
        <v>40606.0</v>
      </c>
      <c r="G225" s="76"/>
      <c r="H225" s="76"/>
      <c r="I225" s="73" t="s">
        <v>366</v>
      </c>
      <c r="J225" s="76"/>
    </row>
    <row r="226">
      <c r="A226" s="72">
        <v>225.0</v>
      </c>
      <c r="B226" s="73" t="s">
        <v>364</v>
      </c>
      <c r="C226" s="74">
        <v>9.00278935E8</v>
      </c>
      <c r="D226" s="73" t="s">
        <v>590</v>
      </c>
      <c r="E226" s="72">
        <v>33.0</v>
      </c>
      <c r="F226" s="75">
        <v>40609.0</v>
      </c>
      <c r="G226" s="76"/>
      <c r="H226" s="76"/>
      <c r="I226" s="73" t="s">
        <v>366</v>
      </c>
      <c r="J226" s="76"/>
    </row>
    <row r="227">
      <c r="A227" s="72">
        <v>226.0</v>
      </c>
      <c r="B227" s="73" t="s">
        <v>364</v>
      </c>
      <c r="C227" s="74">
        <v>9.00316969E8</v>
      </c>
      <c r="D227" s="73" t="s">
        <v>591</v>
      </c>
      <c r="E227" s="72">
        <v>32.0</v>
      </c>
      <c r="F227" s="75">
        <v>40609.0</v>
      </c>
      <c r="G227" s="76"/>
      <c r="H227" s="76"/>
      <c r="I227" s="73" t="s">
        <v>366</v>
      </c>
      <c r="J227" s="76"/>
    </row>
    <row r="228">
      <c r="A228" s="72">
        <v>227.0</v>
      </c>
      <c r="B228" s="73" t="s">
        <v>364</v>
      </c>
      <c r="C228" s="74">
        <v>9.00395124E8</v>
      </c>
      <c r="D228" s="73" t="s">
        <v>592</v>
      </c>
      <c r="E228" s="72">
        <v>38.0</v>
      </c>
      <c r="F228" s="75">
        <v>40616.0</v>
      </c>
      <c r="G228" s="76"/>
      <c r="H228" s="76"/>
      <c r="I228" s="73" t="s">
        <v>366</v>
      </c>
      <c r="J228" s="76"/>
    </row>
    <row r="229">
      <c r="A229" s="72">
        <v>228.0</v>
      </c>
      <c r="B229" s="73" t="s">
        <v>364</v>
      </c>
      <c r="C229" s="74">
        <v>8.11039919E8</v>
      </c>
      <c r="D229" s="73" t="s">
        <v>593</v>
      </c>
      <c r="E229" s="72">
        <v>53.0</v>
      </c>
      <c r="F229" s="75">
        <v>40644.0</v>
      </c>
      <c r="G229" s="76"/>
      <c r="H229" s="76"/>
      <c r="I229" s="73" t="s">
        <v>366</v>
      </c>
      <c r="J229" s="76"/>
    </row>
    <row r="230">
      <c r="A230" s="72">
        <v>229.0</v>
      </c>
      <c r="B230" s="73" t="s">
        <v>364</v>
      </c>
      <c r="C230" s="74">
        <v>8.1101079E8</v>
      </c>
      <c r="D230" s="73" t="s">
        <v>594</v>
      </c>
      <c r="E230" s="72">
        <v>142.0</v>
      </c>
      <c r="F230" s="75">
        <v>40659.0</v>
      </c>
      <c r="G230" s="76"/>
      <c r="H230" s="76"/>
      <c r="I230" s="73" t="s">
        <v>366</v>
      </c>
      <c r="J230" s="76"/>
    </row>
    <row r="231">
      <c r="A231" s="72">
        <v>230.0</v>
      </c>
      <c r="B231" s="73" t="s">
        <v>364</v>
      </c>
      <c r="C231" s="74">
        <v>9.00399317E8</v>
      </c>
      <c r="D231" s="73" t="s">
        <v>595</v>
      </c>
      <c r="E231" s="72">
        <v>58.0</v>
      </c>
      <c r="F231" s="75">
        <v>40659.0</v>
      </c>
      <c r="G231" s="76"/>
      <c r="H231" s="76"/>
      <c r="I231" s="73" t="s">
        <v>366</v>
      </c>
      <c r="J231" s="76"/>
    </row>
    <row r="232">
      <c r="A232" s="72">
        <v>231.0</v>
      </c>
      <c r="B232" s="73" t="s">
        <v>364</v>
      </c>
      <c r="C232" s="74">
        <v>9.00225275E8</v>
      </c>
      <c r="D232" s="73" t="s">
        <v>596</v>
      </c>
      <c r="E232" s="72">
        <v>62.0</v>
      </c>
      <c r="F232" s="75">
        <v>40662.0</v>
      </c>
      <c r="G232" s="76"/>
      <c r="H232" s="76"/>
      <c r="I232" s="73" t="s">
        <v>366</v>
      </c>
      <c r="J232" s="76"/>
    </row>
    <row r="233">
      <c r="A233" s="72">
        <v>232.0</v>
      </c>
      <c r="B233" s="73" t="s">
        <v>364</v>
      </c>
      <c r="C233" s="74">
        <v>8.00097567E8</v>
      </c>
      <c r="D233" s="73" t="s">
        <v>597</v>
      </c>
      <c r="E233" s="72">
        <v>72.0</v>
      </c>
      <c r="F233" s="75">
        <v>40673.0</v>
      </c>
      <c r="G233" s="76"/>
      <c r="H233" s="76"/>
      <c r="I233" s="73" t="s">
        <v>366</v>
      </c>
      <c r="J233" s="76"/>
    </row>
    <row r="234">
      <c r="A234" s="72">
        <v>233.0</v>
      </c>
      <c r="B234" s="73" t="s">
        <v>364</v>
      </c>
      <c r="C234" s="74">
        <v>9.00413654E8</v>
      </c>
      <c r="D234" s="73" t="s">
        <v>598</v>
      </c>
      <c r="E234" s="72">
        <v>71.0</v>
      </c>
      <c r="F234" s="75">
        <v>40673.0</v>
      </c>
      <c r="G234" s="76"/>
      <c r="H234" s="76"/>
      <c r="I234" s="73" t="s">
        <v>366</v>
      </c>
      <c r="J234" s="76"/>
    </row>
    <row r="235">
      <c r="A235" s="72">
        <v>234.0</v>
      </c>
      <c r="B235" s="73" t="s">
        <v>364</v>
      </c>
      <c r="C235" s="74">
        <v>8.11030705E8</v>
      </c>
      <c r="D235" s="73" t="s">
        <v>599</v>
      </c>
      <c r="E235" s="72">
        <v>88.0</v>
      </c>
      <c r="F235" s="75">
        <v>40701.0</v>
      </c>
      <c r="G235" s="76"/>
      <c r="H235" s="76"/>
      <c r="I235" s="73" t="s">
        <v>366</v>
      </c>
      <c r="J235" s="76"/>
    </row>
    <row r="236">
      <c r="A236" s="72">
        <v>235.0</v>
      </c>
      <c r="B236" s="73" t="s">
        <v>364</v>
      </c>
      <c r="C236" s="74">
        <v>9.0030781E8</v>
      </c>
      <c r="D236" s="73" t="s">
        <v>600</v>
      </c>
      <c r="E236" s="72">
        <v>92.0</v>
      </c>
      <c r="F236" s="75">
        <v>40709.0</v>
      </c>
      <c r="G236" s="76"/>
      <c r="H236" s="76"/>
      <c r="I236" s="73" t="s">
        <v>366</v>
      </c>
      <c r="J236" s="76"/>
    </row>
    <row r="237">
      <c r="A237" s="72">
        <v>236.0</v>
      </c>
      <c r="B237" s="73" t="s">
        <v>364</v>
      </c>
      <c r="C237" s="74">
        <v>9.00421025E8</v>
      </c>
      <c r="D237" s="73" t="s">
        <v>601</v>
      </c>
      <c r="E237" s="72">
        <v>103.0</v>
      </c>
      <c r="F237" s="75">
        <v>40722.0</v>
      </c>
      <c r="G237" s="76"/>
      <c r="H237" s="76"/>
      <c r="I237" s="73" t="s">
        <v>366</v>
      </c>
      <c r="J237" s="76"/>
    </row>
    <row r="238">
      <c r="A238" s="72">
        <v>237.0</v>
      </c>
      <c r="B238" s="73" t="s">
        <v>364</v>
      </c>
      <c r="C238" s="74">
        <v>9.00438167E8</v>
      </c>
      <c r="D238" s="73" t="s">
        <v>602</v>
      </c>
      <c r="E238" s="72">
        <v>146.0</v>
      </c>
      <c r="F238" s="75">
        <v>40774.0</v>
      </c>
      <c r="G238" s="76"/>
      <c r="H238" s="76"/>
      <c r="I238" s="73" t="s">
        <v>366</v>
      </c>
      <c r="J238" s="76"/>
    </row>
    <row r="239">
      <c r="A239" s="72">
        <v>238.0</v>
      </c>
      <c r="B239" s="73" t="s">
        <v>364</v>
      </c>
      <c r="C239" s="74">
        <v>9.00307784E8</v>
      </c>
      <c r="D239" s="73" t="s">
        <v>603</v>
      </c>
      <c r="E239" s="72">
        <v>126.0</v>
      </c>
      <c r="F239" s="75">
        <v>40779.0</v>
      </c>
      <c r="G239" s="76"/>
      <c r="H239" s="76"/>
      <c r="I239" s="73" t="s">
        <v>366</v>
      </c>
      <c r="J239" s="76"/>
    </row>
    <row r="240">
      <c r="A240" s="72">
        <v>239.0</v>
      </c>
      <c r="B240" s="73" t="s">
        <v>364</v>
      </c>
      <c r="C240" s="74">
        <v>9.00396323E8</v>
      </c>
      <c r="D240" s="73" t="s">
        <v>604</v>
      </c>
      <c r="E240" s="72">
        <v>133.0</v>
      </c>
      <c r="F240" s="75">
        <v>40798.0</v>
      </c>
      <c r="G240" s="76"/>
      <c r="H240" s="76"/>
      <c r="I240" s="73" t="s">
        <v>366</v>
      </c>
      <c r="J240" s="76"/>
    </row>
    <row r="241">
      <c r="A241" s="72">
        <v>240.0</v>
      </c>
      <c r="B241" s="73" t="s">
        <v>364</v>
      </c>
      <c r="C241" s="74">
        <v>9.00445724E8</v>
      </c>
      <c r="D241" s="73" t="s">
        <v>605</v>
      </c>
      <c r="E241" s="72">
        <v>142.0</v>
      </c>
      <c r="F241" s="75">
        <v>40816.0</v>
      </c>
      <c r="G241" s="76"/>
      <c r="H241" s="76"/>
      <c r="I241" s="73" t="s">
        <v>366</v>
      </c>
      <c r="J241" s="76"/>
    </row>
    <row r="242">
      <c r="A242" s="72">
        <v>241.0</v>
      </c>
      <c r="B242" s="73" t="s">
        <v>364</v>
      </c>
      <c r="C242" s="74">
        <v>9.0021701E8</v>
      </c>
      <c r="D242" s="73" t="s">
        <v>606</v>
      </c>
      <c r="E242" s="72">
        <v>157.0</v>
      </c>
      <c r="F242" s="77">
        <v>40863.0</v>
      </c>
      <c r="G242" s="76"/>
      <c r="H242" s="76"/>
      <c r="I242" s="73" t="s">
        <v>366</v>
      </c>
      <c r="J242" s="76"/>
    </row>
    <row r="243">
      <c r="A243" s="72">
        <v>242.0</v>
      </c>
      <c r="B243" s="73" t="s">
        <v>364</v>
      </c>
      <c r="C243" s="74">
        <v>9.00450552E8</v>
      </c>
      <c r="D243" s="73" t="s">
        <v>607</v>
      </c>
      <c r="E243" s="72">
        <v>158.0</v>
      </c>
      <c r="F243" s="77">
        <v>40863.0</v>
      </c>
      <c r="G243" s="76"/>
      <c r="H243" s="76"/>
      <c r="I243" s="73" t="s">
        <v>366</v>
      </c>
      <c r="J243" s="76"/>
    </row>
    <row r="244">
      <c r="A244" s="72">
        <v>243.0</v>
      </c>
      <c r="B244" s="73" t="s">
        <v>364</v>
      </c>
      <c r="C244" s="74">
        <v>9.00429734E8</v>
      </c>
      <c r="D244" s="73" t="s">
        <v>608</v>
      </c>
      <c r="E244" s="72">
        <v>170.0</v>
      </c>
      <c r="F244" s="77">
        <v>40890.0</v>
      </c>
      <c r="G244" s="76"/>
      <c r="H244" s="76"/>
      <c r="I244" s="73" t="s">
        <v>366</v>
      </c>
      <c r="J244" s="76"/>
    </row>
    <row r="245">
      <c r="A245" s="72">
        <v>244.0</v>
      </c>
      <c r="B245" s="73" t="s">
        <v>364</v>
      </c>
      <c r="C245" s="74">
        <v>8.11036515E8</v>
      </c>
      <c r="D245" s="73" t="s">
        <v>609</v>
      </c>
      <c r="E245" s="72">
        <v>181.0</v>
      </c>
      <c r="F245" s="77">
        <v>40906.0</v>
      </c>
      <c r="G245" s="76"/>
      <c r="H245" s="76"/>
      <c r="I245" s="73" t="s">
        <v>366</v>
      </c>
      <c r="J245" s="76"/>
    </row>
    <row r="246">
      <c r="A246" s="72">
        <v>245.0</v>
      </c>
      <c r="B246" s="73" t="s">
        <v>364</v>
      </c>
      <c r="C246" s="74">
        <v>9.00391533E8</v>
      </c>
      <c r="D246" s="73" t="s">
        <v>610</v>
      </c>
      <c r="E246" s="72">
        <v>180.0</v>
      </c>
      <c r="F246" s="77">
        <v>40906.0</v>
      </c>
      <c r="G246" s="76"/>
      <c r="H246" s="76"/>
      <c r="I246" s="73" t="s">
        <v>366</v>
      </c>
      <c r="J246" s="76"/>
    </row>
    <row r="247">
      <c r="A247" s="72">
        <v>246.0</v>
      </c>
      <c r="B247" s="73" t="s">
        <v>364</v>
      </c>
      <c r="C247" s="74">
        <v>9.0047181E8</v>
      </c>
      <c r="D247" s="73" t="s">
        <v>611</v>
      </c>
      <c r="E247" s="72">
        <v>187.0</v>
      </c>
      <c r="F247" s="77">
        <v>40907.0</v>
      </c>
      <c r="G247" s="76"/>
      <c r="H247" s="76"/>
      <c r="I247" s="73" t="s">
        <v>366</v>
      </c>
      <c r="J247" s="76"/>
    </row>
    <row r="248">
      <c r="A248" s="72">
        <v>247.0</v>
      </c>
      <c r="B248" s="73" t="s">
        <v>364</v>
      </c>
      <c r="C248" s="74">
        <v>9.00448835E8</v>
      </c>
      <c r="D248" s="73" t="s">
        <v>612</v>
      </c>
      <c r="E248" s="72">
        <v>188.0</v>
      </c>
      <c r="F248" s="75">
        <v>40913.0</v>
      </c>
      <c r="G248" s="76"/>
      <c r="H248" s="76"/>
      <c r="I248" s="73" t="s">
        <v>366</v>
      </c>
      <c r="J248" s="76"/>
    </row>
    <row r="249">
      <c r="A249" s="72">
        <v>248.0</v>
      </c>
      <c r="B249" s="73" t="s">
        <v>364</v>
      </c>
      <c r="C249" s="74">
        <v>9.00457688E8</v>
      </c>
      <c r="D249" s="73" t="s">
        <v>613</v>
      </c>
      <c r="E249" s="72">
        <v>6.0</v>
      </c>
      <c r="F249" s="75">
        <v>40926.0</v>
      </c>
      <c r="G249" s="76"/>
      <c r="H249" s="76"/>
      <c r="I249" s="73" t="s">
        <v>366</v>
      </c>
      <c r="J249" s="76"/>
    </row>
    <row r="250">
      <c r="A250" s="72">
        <v>249.0</v>
      </c>
      <c r="B250" s="73" t="s">
        <v>364</v>
      </c>
      <c r="C250" s="74">
        <v>9.00454263E8</v>
      </c>
      <c r="D250" s="73" t="s">
        <v>614</v>
      </c>
      <c r="E250" s="72">
        <v>18.0</v>
      </c>
      <c r="F250" s="75">
        <v>40947.0</v>
      </c>
      <c r="G250" s="76"/>
      <c r="H250" s="76"/>
      <c r="I250" s="73" t="s">
        <v>366</v>
      </c>
      <c r="J250" s="76"/>
    </row>
    <row r="251">
      <c r="A251" s="72">
        <v>250.0</v>
      </c>
      <c r="B251" s="73" t="s">
        <v>364</v>
      </c>
      <c r="C251" s="74">
        <v>9.00488509E8</v>
      </c>
      <c r="D251" s="73" t="s">
        <v>615</v>
      </c>
      <c r="E251" s="72">
        <v>21.0</v>
      </c>
      <c r="F251" s="75">
        <v>40952.0</v>
      </c>
      <c r="G251" s="76"/>
      <c r="H251" s="76"/>
      <c r="I251" s="73" t="s">
        <v>366</v>
      </c>
      <c r="J251" s="76"/>
    </row>
    <row r="252">
      <c r="A252" s="72">
        <v>251.0</v>
      </c>
      <c r="B252" s="73" t="s">
        <v>364</v>
      </c>
      <c r="C252" s="74">
        <v>9.00483925E8</v>
      </c>
      <c r="D252" s="73" t="s">
        <v>616</v>
      </c>
      <c r="E252" s="72">
        <v>22.0</v>
      </c>
      <c r="F252" s="75">
        <v>40953.0</v>
      </c>
      <c r="G252" s="76"/>
      <c r="H252" s="76"/>
      <c r="I252" s="73" t="s">
        <v>366</v>
      </c>
      <c r="J252" s="76"/>
    </row>
    <row r="253">
      <c r="A253" s="72">
        <v>252.0</v>
      </c>
      <c r="B253" s="73" t="s">
        <v>364</v>
      </c>
      <c r="C253" s="74">
        <v>8.30513756E8</v>
      </c>
      <c r="D253" s="73" t="s">
        <v>617</v>
      </c>
      <c r="E253" s="72">
        <v>40.0</v>
      </c>
      <c r="F253" s="75">
        <v>40968.0</v>
      </c>
      <c r="G253" s="76"/>
      <c r="H253" s="76"/>
      <c r="I253" s="73" t="s">
        <v>366</v>
      </c>
      <c r="J253" s="76"/>
    </row>
    <row r="254">
      <c r="A254" s="72">
        <v>253.0</v>
      </c>
      <c r="B254" s="73" t="s">
        <v>364</v>
      </c>
      <c r="C254" s="74">
        <v>9.00495938E8</v>
      </c>
      <c r="D254" s="73" t="s">
        <v>618</v>
      </c>
      <c r="E254" s="72">
        <v>53.0</v>
      </c>
      <c r="F254" s="75">
        <v>40995.0</v>
      </c>
      <c r="G254" s="76"/>
      <c r="H254" s="76"/>
      <c r="I254" s="73" t="s">
        <v>366</v>
      </c>
      <c r="J254" s="76"/>
    </row>
    <row r="255">
      <c r="A255" s="72">
        <v>254.0</v>
      </c>
      <c r="B255" s="73" t="s">
        <v>364</v>
      </c>
      <c r="C255" s="74">
        <v>9.00238615E8</v>
      </c>
      <c r="D255" s="73" t="s">
        <v>619</v>
      </c>
      <c r="E255" s="72">
        <v>64.0</v>
      </c>
      <c r="F255" s="75">
        <v>40996.0</v>
      </c>
      <c r="G255" s="76"/>
      <c r="H255" s="76"/>
      <c r="I255" s="73" t="s">
        <v>366</v>
      </c>
      <c r="J255" s="76"/>
    </row>
    <row r="256">
      <c r="A256" s="72">
        <v>255.0</v>
      </c>
      <c r="B256" s="73" t="s">
        <v>364</v>
      </c>
      <c r="C256" s="74">
        <v>9.00256341E8</v>
      </c>
      <c r="D256" s="73" t="s">
        <v>620</v>
      </c>
      <c r="E256" s="72">
        <v>73.0</v>
      </c>
      <c r="F256" s="75">
        <v>40998.0</v>
      </c>
      <c r="G256" s="76"/>
      <c r="H256" s="76"/>
      <c r="I256" s="73" t="s">
        <v>366</v>
      </c>
      <c r="J256" s="76"/>
    </row>
    <row r="257">
      <c r="A257" s="72">
        <v>256.0</v>
      </c>
      <c r="B257" s="73" t="s">
        <v>364</v>
      </c>
      <c r="C257" s="74">
        <v>9.00021934E8</v>
      </c>
      <c r="D257" s="73" t="s">
        <v>621</v>
      </c>
      <c r="E257" s="72">
        <v>81.0</v>
      </c>
      <c r="F257" s="75">
        <v>41038.0</v>
      </c>
      <c r="G257" s="76"/>
      <c r="H257" s="76"/>
      <c r="I257" s="73" t="s">
        <v>366</v>
      </c>
      <c r="J257" s="76"/>
    </row>
    <row r="258">
      <c r="A258" s="72">
        <v>257.0</v>
      </c>
      <c r="B258" s="73" t="s">
        <v>364</v>
      </c>
      <c r="C258" s="74">
        <v>9.00487249E8</v>
      </c>
      <c r="D258" s="73" t="s">
        <v>622</v>
      </c>
      <c r="E258" s="72">
        <v>80.0</v>
      </c>
      <c r="F258" s="75">
        <v>41038.0</v>
      </c>
      <c r="G258" s="76"/>
      <c r="H258" s="76"/>
      <c r="I258" s="73" t="s">
        <v>366</v>
      </c>
      <c r="J258" s="76"/>
    </row>
    <row r="259">
      <c r="A259" s="72">
        <v>258.0</v>
      </c>
      <c r="B259" s="73" t="s">
        <v>364</v>
      </c>
      <c r="C259" s="74">
        <v>9.00482114E8</v>
      </c>
      <c r="D259" s="73" t="s">
        <v>623</v>
      </c>
      <c r="E259" s="72">
        <v>85.0</v>
      </c>
      <c r="F259" s="75">
        <v>41045.0</v>
      </c>
      <c r="G259" s="76"/>
      <c r="H259" s="76"/>
      <c r="I259" s="73" t="s">
        <v>366</v>
      </c>
      <c r="J259" s="76"/>
    </row>
    <row r="260">
      <c r="A260" s="72">
        <v>259.0</v>
      </c>
      <c r="B260" s="73" t="s">
        <v>364</v>
      </c>
      <c r="C260" s="74">
        <v>9.00407719E8</v>
      </c>
      <c r="D260" s="73" t="s">
        <v>624</v>
      </c>
      <c r="E260" s="72">
        <v>192.0</v>
      </c>
      <c r="F260" s="75">
        <v>41051.0</v>
      </c>
      <c r="G260" s="76"/>
      <c r="H260" s="76"/>
      <c r="I260" s="73" t="s">
        <v>366</v>
      </c>
      <c r="J260" s="76"/>
    </row>
    <row r="261">
      <c r="A261" s="72">
        <v>260.0</v>
      </c>
      <c r="B261" s="73" t="s">
        <v>364</v>
      </c>
      <c r="C261" s="74">
        <v>9.00448727E8</v>
      </c>
      <c r="D261" s="73" t="s">
        <v>625</v>
      </c>
      <c r="E261" s="72">
        <v>88.0</v>
      </c>
      <c r="F261" s="75">
        <v>41052.0</v>
      </c>
      <c r="G261" s="76"/>
      <c r="H261" s="76"/>
      <c r="I261" s="73" t="s">
        <v>366</v>
      </c>
      <c r="J261" s="76"/>
    </row>
    <row r="262">
      <c r="A262" s="72">
        <v>261.0</v>
      </c>
      <c r="B262" s="73" t="s">
        <v>364</v>
      </c>
      <c r="C262" s="74">
        <v>9.00470526E8</v>
      </c>
      <c r="D262" s="73" t="s">
        <v>626</v>
      </c>
      <c r="E262" s="72">
        <v>90.0</v>
      </c>
      <c r="F262" s="75">
        <v>41057.0</v>
      </c>
      <c r="G262" s="76"/>
      <c r="H262" s="76"/>
      <c r="I262" s="73" t="s">
        <v>366</v>
      </c>
      <c r="J262" s="76"/>
    </row>
    <row r="263">
      <c r="A263" s="72">
        <v>262.0</v>
      </c>
      <c r="B263" s="73" t="s">
        <v>364</v>
      </c>
      <c r="C263" s="74">
        <v>9.00019363E8</v>
      </c>
      <c r="D263" s="73" t="s">
        <v>627</v>
      </c>
      <c r="E263" s="72">
        <v>92.0</v>
      </c>
      <c r="F263" s="75">
        <v>41058.0</v>
      </c>
      <c r="G263" s="76"/>
      <c r="H263" s="76"/>
      <c r="I263" s="73" t="s">
        <v>366</v>
      </c>
      <c r="J263" s="76"/>
    </row>
    <row r="264">
      <c r="A264" s="78">
        <v>263.0</v>
      </c>
      <c r="B264" s="79" t="s">
        <v>364</v>
      </c>
      <c r="C264" s="80">
        <v>9.00486121E8</v>
      </c>
      <c r="D264" s="79" t="s">
        <v>628</v>
      </c>
      <c r="E264" s="81">
        <v>98.0</v>
      </c>
      <c r="F264" s="84">
        <v>41065.0</v>
      </c>
      <c r="G264" s="83"/>
      <c r="H264" s="83"/>
      <c r="I264" s="73" t="s">
        <v>366</v>
      </c>
      <c r="J264" s="76"/>
    </row>
    <row r="265">
      <c r="A265" s="72">
        <v>264.0</v>
      </c>
      <c r="B265" s="73" t="s">
        <v>364</v>
      </c>
      <c r="C265" s="74">
        <v>8.11010604E8</v>
      </c>
      <c r="D265" s="73" t="s">
        <v>629</v>
      </c>
      <c r="E265" s="72">
        <v>100.0</v>
      </c>
      <c r="F265" s="75">
        <v>41087.0</v>
      </c>
      <c r="G265" s="76"/>
      <c r="H265" s="76"/>
      <c r="I265" s="73" t="s">
        <v>366</v>
      </c>
      <c r="J265" s="76"/>
    </row>
    <row r="266">
      <c r="A266" s="72">
        <v>265.0</v>
      </c>
      <c r="B266" s="73" t="s">
        <v>364</v>
      </c>
      <c r="C266" s="74">
        <v>8.11036744E8</v>
      </c>
      <c r="D266" s="73" t="s">
        <v>630</v>
      </c>
      <c r="E266" s="72">
        <v>101.0</v>
      </c>
      <c r="F266" s="75">
        <v>41087.0</v>
      </c>
      <c r="G266" s="76"/>
      <c r="H266" s="76"/>
      <c r="I266" s="73" t="s">
        <v>366</v>
      </c>
      <c r="J266" s="76"/>
    </row>
    <row r="267">
      <c r="A267" s="72">
        <v>266.0</v>
      </c>
      <c r="B267" s="73" t="s">
        <v>364</v>
      </c>
      <c r="C267" s="74">
        <v>8.27000723E8</v>
      </c>
      <c r="D267" s="73" t="s">
        <v>631</v>
      </c>
      <c r="E267" s="72">
        <v>29.0</v>
      </c>
      <c r="F267" s="75">
        <v>41123.0</v>
      </c>
      <c r="G267" s="76"/>
      <c r="H267" s="76"/>
      <c r="I267" s="73" t="s">
        <v>366</v>
      </c>
      <c r="J267" s="76"/>
    </row>
    <row r="268">
      <c r="A268" s="72">
        <v>267.0</v>
      </c>
      <c r="B268" s="73" t="s">
        <v>364</v>
      </c>
      <c r="C268" s="74">
        <v>9.0052089E8</v>
      </c>
      <c r="D268" s="73" t="s">
        <v>632</v>
      </c>
      <c r="E268" s="72">
        <v>135.0</v>
      </c>
      <c r="F268" s="75">
        <v>41129.0</v>
      </c>
      <c r="G268" s="76"/>
      <c r="H268" s="76"/>
      <c r="I268" s="73" t="s">
        <v>366</v>
      </c>
      <c r="J268" s="76"/>
    </row>
    <row r="269">
      <c r="A269" s="72">
        <v>268.0</v>
      </c>
      <c r="B269" s="73" t="s">
        <v>364</v>
      </c>
      <c r="C269" s="74">
        <v>9.00521981E8</v>
      </c>
      <c r="D269" s="73" t="s">
        <v>633</v>
      </c>
      <c r="E269" s="72">
        <v>138.0</v>
      </c>
      <c r="F269" s="75">
        <v>41152.0</v>
      </c>
      <c r="G269" s="76"/>
      <c r="H269" s="76"/>
      <c r="I269" s="73" t="s">
        <v>366</v>
      </c>
      <c r="J269" s="76"/>
    </row>
    <row r="270">
      <c r="A270" s="72">
        <v>269.0</v>
      </c>
      <c r="B270" s="73" t="s">
        <v>364</v>
      </c>
      <c r="C270" s="74">
        <v>9.00215634E8</v>
      </c>
      <c r="D270" s="73" t="s">
        <v>634</v>
      </c>
      <c r="E270" s="72">
        <v>84.0</v>
      </c>
      <c r="F270" s="75">
        <v>41166.0</v>
      </c>
      <c r="G270" s="76"/>
      <c r="H270" s="76"/>
      <c r="I270" s="73" t="s">
        <v>366</v>
      </c>
      <c r="J270" s="76"/>
    </row>
    <row r="271">
      <c r="A271" s="72">
        <v>270.0</v>
      </c>
      <c r="B271" s="73" t="s">
        <v>364</v>
      </c>
      <c r="C271" s="74">
        <v>9.0031365E8</v>
      </c>
      <c r="D271" s="73" t="s">
        <v>635</v>
      </c>
      <c r="E271" s="72">
        <v>126.0</v>
      </c>
      <c r="F271" s="77">
        <v>41209.0</v>
      </c>
      <c r="G271" s="76"/>
      <c r="H271" s="76"/>
      <c r="I271" s="73" t="s">
        <v>366</v>
      </c>
      <c r="J271" s="76"/>
    </row>
    <row r="272">
      <c r="A272" s="72">
        <v>271.0</v>
      </c>
      <c r="B272" s="73" t="s">
        <v>364</v>
      </c>
      <c r="C272" s="74">
        <v>9.00518558E8</v>
      </c>
      <c r="D272" s="73" t="s">
        <v>636</v>
      </c>
      <c r="E272" s="72">
        <v>158.0</v>
      </c>
      <c r="F272" s="77">
        <v>41232.0</v>
      </c>
      <c r="G272" s="76"/>
      <c r="H272" s="76"/>
      <c r="I272" s="73" t="s">
        <v>366</v>
      </c>
      <c r="J272" s="76"/>
    </row>
    <row r="273">
      <c r="A273" s="72">
        <v>272.0</v>
      </c>
      <c r="B273" s="73" t="s">
        <v>364</v>
      </c>
      <c r="C273" s="74">
        <v>9.0054333E8</v>
      </c>
      <c r="D273" s="73" t="s">
        <v>637</v>
      </c>
      <c r="E273" s="72">
        <v>172.0</v>
      </c>
      <c r="F273" s="77">
        <v>41264.0</v>
      </c>
      <c r="G273" s="76"/>
      <c r="H273" s="76"/>
      <c r="I273" s="73" t="s">
        <v>366</v>
      </c>
      <c r="J273" s="76"/>
    </row>
    <row r="274">
      <c r="A274" s="72">
        <v>273.0</v>
      </c>
      <c r="B274" s="73" t="s">
        <v>364</v>
      </c>
      <c r="C274" s="74">
        <v>9.00566075E8</v>
      </c>
      <c r="D274" s="73" t="s">
        <v>638</v>
      </c>
      <c r="E274" s="72">
        <v>3.0</v>
      </c>
      <c r="F274" s="75">
        <v>41289.0</v>
      </c>
      <c r="G274" s="76"/>
      <c r="H274" s="76"/>
      <c r="I274" s="73" t="s">
        <v>366</v>
      </c>
      <c r="J274" s="76"/>
    </row>
    <row r="275">
      <c r="A275" s="72">
        <v>274.0</v>
      </c>
      <c r="B275" s="73" t="s">
        <v>364</v>
      </c>
      <c r="C275" s="74">
        <v>9.00398115E8</v>
      </c>
      <c r="D275" s="73" t="s">
        <v>639</v>
      </c>
      <c r="E275" s="72">
        <v>12.0</v>
      </c>
      <c r="F275" s="75">
        <v>41312.0</v>
      </c>
      <c r="G275" s="76"/>
      <c r="H275" s="76"/>
      <c r="I275" s="73" t="s">
        <v>366</v>
      </c>
      <c r="J275" s="76"/>
    </row>
    <row r="276">
      <c r="A276" s="72">
        <v>275.0</v>
      </c>
      <c r="B276" s="73" t="s">
        <v>364</v>
      </c>
      <c r="C276" s="74">
        <v>9.0056024E8</v>
      </c>
      <c r="D276" s="73" t="s">
        <v>640</v>
      </c>
      <c r="E276" s="72">
        <v>20.0</v>
      </c>
      <c r="F276" s="75">
        <v>41353.0</v>
      </c>
      <c r="G276" s="76"/>
      <c r="H276" s="76"/>
      <c r="I276" s="73" t="s">
        <v>366</v>
      </c>
      <c r="J276" s="76"/>
    </row>
    <row r="277">
      <c r="A277" s="72">
        <v>276.0</v>
      </c>
      <c r="B277" s="73" t="s">
        <v>364</v>
      </c>
      <c r="C277" s="74">
        <v>9.00269152E8</v>
      </c>
      <c r="D277" s="73" t="s">
        <v>641</v>
      </c>
      <c r="E277" s="72">
        <v>43.0</v>
      </c>
      <c r="F277" s="75">
        <v>41397.0</v>
      </c>
      <c r="G277" s="76"/>
      <c r="H277" s="76"/>
      <c r="I277" s="73" t="s">
        <v>366</v>
      </c>
      <c r="J277" s="76"/>
    </row>
    <row r="278">
      <c r="A278" s="72">
        <v>277.0</v>
      </c>
      <c r="B278" s="73" t="s">
        <v>364</v>
      </c>
      <c r="C278" s="74">
        <v>9.00179109E8</v>
      </c>
      <c r="D278" s="73" t="s">
        <v>642</v>
      </c>
      <c r="E278" s="72">
        <v>63.0</v>
      </c>
      <c r="F278" s="75">
        <v>41446.0</v>
      </c>
      <c r="G278" s="76"/>
      <c r="H278" s="76"/>
      <c r="I278" s="73" t="s">
        <v>366</v>
      </c>
      <c r="J278" s="76"/>
    </row>
    <row r="279">
      <c r="A279" s="72">
        <v>278.0</v>
      </c>
      <c r="B279" s="73" t="s">
        <v>364</v>
      </c>
      <c r="C279" s="74">
        <v>9.00281132E8</v>
      </c>
      <c r="D279" s="73" t="s">
        <v>643</v>
      </c>
      <c r="E279" s="72">
        <v>42.0</v>
      </c>
      <c r="F279" s="75">
        <v>41479.0</v>
      </c>
      <c r="G279" s="76"/>
      <c r="H279" s="76"/>
      <c r="I279" s="73" t="s">
        <v>366</v>
      </c>
      <c r="J279" s="76"/>
    </row>
    <row r="280">
      <c r="A280" s="72">
        <v>279.0</v>
      </c>
      <c r="B280" s="73" t="s">
        <v>364</v>
      </c>
      <c r="C280" s="74">
        <v>9.00445275E8</v>
      </c>
      <c r="D280" s="73" t="s">
        <v>644</v>
      </c>
      <c r="E280" s="72">
        <v>72.0</v>
      </c>
      <c r="F280" s="75">
        <v>41481.0</v>
      </c>
      <c r="G280" s="76"/>
      <c r="H280" s="76"/>
      <c r="I280" s="73" t="s">
        <v>366</v>
      </c>
      <c r="J280" s="76"/>
    </row>
    <row r="281">
      <c r="A281" s="72">
        <v>280.0</v>
      </c>
      <c r="B281" s="73" t="s">
        <v>364</v>
      </c>
      <c r="C281" s="74">
        <v>8.90935855E8</v>
      </c>
      <c r="D281" s="73" t="s">
        <v>645</v>
      </c>
      <c r="E281" s="72">
        <v>79.0</v>
      </c>
      <c r="F281" s="75">
        <v>41488.0</v>
      </c>
      <c r="G281" s="76"/>
      <c r="H281" s="76"/>
      <c r="I281" s="73" t="s">
        <v>366</v>
      </c>
      <c r="J281" s="76"/>
    </row>
    <row r="282">
      <c r="A282" s="72">
        <v>281.0</v>
      </c>
      <c r="B282" s="73" t="s">
        <v>364</v>
      </c>
      <c r="C282" s="74">
        <v>9.00277743E8</v>
      </c>
      <c r="D282" s="73" t="s">
        <v>646</v>
      </c>
      <c r="E282" s="72">
        <v>105.0</v>
      </c>
      <c r="F282" s="75">
        <v>41519.0</v>
      </c>
      <c r="G282" s="76"/>
      <c r="H282" s="76"/>
      <c r="I282" s="73" t="s">
        <v>366</v>
      </c>
      <c r="J282" s="76"/>
    </row>
    <row r="283">
      <c r="A283" s="72">
        <v>282.0</v>
      </c>
      <c r="B283" s="73" t="s">
        <v>364</v>
      </c>
      <c r="C283" s="74">
        <v>9.00621263E8</v>
      </c>
      <c r="D283" s="73" t="s">
        <v>647</v>
      </c>
      <c r="E283" s="72">
        <v>106.0</v>
      </c>
      <c r="F283" s="75">
        <v>41519.0</v>
      </c>
      <c r="G283" s="76"/>
      <c r="H283" s="76"/>
      <c r="I283" s="73" t="s">
        <v>366</v>
      </c>
      <c r="J283" s="76"/>
    </row>
    <row r="284">
      <c r="A284" s="72">
        <v>283.0</v>
      </c>
      <c r="B284" s="73" t="s">
        <v>364</v>
      </c>
      <c r="C284" s="74">
        <v>9.00635112E8</v>
      </c>
      <c r="D284" s="73" t="s">
        <v>648</v>
      </c>
      <c r="E284" s="72">
        <v>112.0</v>
      </c>
      <c r="F284" s="75">
        <v>41530.0</v>
      </c>
      <c r="G284" s="76"/>
      <c r="H284" s="76"/>
      <c r="I284" s="73" t="s">
        <v>366</v>
      </c>
      <c r="J284" s="76"/>
    </row>
    <row r="285">
      <c r="A285" s="72">
        <v>284.0</v>
      </c>
      <c r="B285" s="73" t="s">
        <v>364</v>
      </c>
      <c r="C285" s="74">
        <v>8.11034643E8</v>
      </c>
      <c r="D285" s="73" t="s">
        <v>649</v>
      </c>
      <c r="E285" s="72">
        <v>11839.0</v>
      </c>
      <c r="F285" s="77">
        <v>41550.0</v>
      </c>
      <c r="G285" s="76"/>
      <c r="H285" s="76"/>
      <c r="I285" s="73" t="s">
        <v>366</v>
      </c>
      <c r="J285" s="76"/>
    </row>
    <row r="286">
      <c r="A286" s="72">
        <v>285.0</v>
      </c>
      <c r="B286" s="73" t="s">
        <v>364</v>
      </c>
      <c r="C286" s="74">
        <v>9.00646142E8</v>
      </c>
      <c r="D286" s="73" t="s">
        <v>650</v>
      </c>
      <c r="E286" s="72">
        <v>140.0</v>
      </c>
      <c r="F286" s="77">
        <v>41578.0</v>
      </c>
      <c r="G286" s="76"/>
      <c r="H286" s="76"/>
      <c r="I286" s="73" t="s">
        <v>366</v>
      </c>
      <c r="J286" s="76"/>
    </row>
    <row r="287">
      <c r="A287" s="72">
        <v>286.0</v>
      </c>
      <c r="B287" s="73" t="s">
        <v>364</v>
      </c>
      <c r="C287" s="74">
        <v>9.00506098E8</v>
      </c>
      <c r="D287" s="73" t="s">
        <v>651</v>
      </c>
      <c r="E287" s="72">
        <v>189.0</v>
      </c>
      <c r="F287" s="77">
        <v>41627.0</v>
      </c>
      <c r="G287" s="76"/>
      <c r="H287" s="76"/>
      <c r="I287" s="73" t="s">
        <v>366</v>
      </c>
      <c r="J287" s="76"/>
    </row>
    <row r="288">
      <c r="A288" s="72">
        <v>287.0</v>
      </c>
      <c r="B288" s="73" t="s">
        <v>364</v>
      </c>
      <c r="C288" s="74">
        <v>9.00445736E8</v>
      </c>
      <c r="D288" s="73" t="s">
        <v>652</v>
      </c>
      <c r="E288" s="72">
        <v>2.0</v>
      </c>
      <c r="F288" s="75">
        <v>41656.0</v>
      </c>
      <c r="G288" s="76"/>
      <c r="H288" s="76"/>
      <c r="I288" s="73" t="s">
        <v>366</v>
      </c>
      <c r="J288" s="76"/>
    </row>
    <row r="289">
      <c r="A289" s="72">
        <v>288.0</v>
      </c>
      <c r="B289" s="73" t="s">
        <v>364</v>
      </c>
      <c r="C289" s="74">
        <v>8.0501881E8</v>
      </c>
      <c r="D289" s="73" t="s">
        <v>653</v>
      </c>
      <c r="E289" s="72">
        <v>4.0</v>
      </c>
      <c r="F289" s="75">
        <v>41663.0</v>
      </c>
      <c r="G289" s="76"/>
      <c r="H289" s="76"/>
      <c r="I289" s="73" t="s">
        <v>366</v>
      </c>
      <c r="J289" s="76"/>
    </row>
    <row r="290">
      <c r="A290" s="72">
        <v>289.0</v>
      </c>
      <c r="B290" s="73" t="s">
        <v>364</v>
      </c>
      <c r="C290" s="74">
        <v>8.11003974E8</v>
      </c>
      <c r="D290" s="73" t="s">
        <v>654</v>
      </c>
      <c r="E290" s="72">
        <v>11.0</v>
      </c>
      <c r="F290" s="75">
        <v>41682.0</v>
      </c>
      <c r="G290" s="76"/>
      <c r="H290" s="76"/>
      <c r="I290" s="73" t="s">
        <v>366</v>
      </c>
      <c r="J290" s="76"/>
    </row>
    <row r="291">
      <c r="A291" s="72">
        <v>290.0</v>
      </c>
      <c r="B291" s="73" t="s">
        <v>364</v>
      </c>
      <c r="C291" s="74">
        <v>9.00707358E8</v>
      </c>
      <c r="D291" s="73" t="s">
        <v>655</v>
      </c>
      <c r="E291" s="72">
        <v>13.0</v>
      </c>
      <c r="F291" s="75">
        <v>41698.0</v>
      </c>
      <c r="G291" s="76"/>
      <c r="H291" s="76"/>
      <c r="I291" s="73" t="s">
        <v>366</v>
      </c>
      <c r="J291" s="76"/>
    </row>
    <row r="292">
      <c r="A292" s="72">
        <v>291.0</v>
      </c>
      <c r="B292" s="73" t="s">
        <v>364</v>
      </c>
      <c r="C292" s="74">
        <v>9.00701186E8</v>
      </c>
      <c r="D292" s="73" t="s">
        <v>656</v>
      </c>
      <c r="E292" s="72">
        <v>110.0</v>
      </c>
      <c r="F292" s="75">
        <v>41739.0</v>
      </c>
      <c r="G292" s="76"/>
      <c r="H292" s="76"/>
      <c r="I292" s="73" t="s">
        <v>366</v>
      </c>
      <c r="J292" s="76"/>
    </row>
    <row r="293">
      <c r="A293" s="72">
        <v>292.0</v>
      </c>
      <c r="B293" s="73" t="s">
        <v>364</v>
      </c>
      <c r="C293" s="74">
        <v>8.00081432E8</v>
      </c>
      <c r="D293" s="73" t="s">
        <v>657</v>
      </c>
      <c r="E293" s="72">
        <v>113.0</v>
      </c>
      <c r="F293" s="75">
        <v>41740.0</v>
      </c>
      <c r="G293" s="76"/>
      <c r="H293" s="76"/>
      <c r="I293" s="73" t="s">
        <v>366</v>
      </c>
      <c r="J293" s="76"/>
    </row>
    <row r="294">
      <c r="A294" s="72">
        <v>293.0</v>
      </c>
      <c r="B294" s="73" t="s">
        <v>364</v>
      </c>
      <c r="C294" s="74">
        <v>9.00429086E8</v>
      </c>
      <c r="D294" s="73" t="s">
        <v>658</v>
      </c>
      <c r="E294" s="72">
        <v>159.0</v>
      </c>
      <c r="F294" s="75">
        <v>41757.0</v>
      </c>
      <c r="G294" s="76"/>
      <c r="H294" s="76"/>
      <c r="I294" s="73" t="s">
        <v>366</v>
      </c>
      <c r="J294" s="76"/>
    </row>
    <row r="295">
      <c r="A295" s="72">
        <v>294.0</v>
      </c>
      <c r="B295" s="73" t="s">
        <v>364</v>
      </c>
      <c r="C295" s="74">
        <v>9.00688198E8</v>
      </c>
      <c r="D295" s="73" t="s">
        <v>659</v>
      </c>
      <c r="E295" s="72">
        <v>164.0</v>
      </c>
      <c r="F295" s="75">
        <v>41764.0</v>
      </c>
      <c r="G295" s="76"/>
      <c r="H295" s="76"/>
      <c r="I295" s="73" t="s">
        <v>366</v>
      </c>
      <c r="J295" s="76"/>
    </row>
    <row r="296">
      <c r="A296" s="72">
        <v>295.0</v>
      </c>
      <c r="B296" s="73" t="s">
        <v>364</v>
      </c>
      <c r="C296" s="74">
        <v>9.0045805E8</v>
      </c>
      <c r="D296" s="73" t="s">
        <v>660</v>
      </c>
      <c r="E296" s="72">
        <v>173.0</v>
      </c>
      <c r="F296" s="75">
        <v>41775.0</v>
      </c>
      <c r="G296" s="76"/>
      <c r="H296" s="76"/>
      <c r="I296" s="73" t="s">
        <v>366</v>
      </c>
      <c r="J296" s="76"/>
    </row>
    <row r="297">
      <c r="A297" s="72">
        <v>296.0</v>
      </c>
      <c r="B297" s="73" t="s">
        <v>364</v>
      </c>
      <c r="C297" s="74">
        <v>9.00675998E8</v>
      </c>
      <c r="D297" s="73" t="s">
        <v>661</v>
      </c>
      <c r="E297" s="72">
        <v>190.0</v>
      </c>
      <c r="F297" s="75">
        <v>41782.0</v>
      </c>
      <c r="G297" s="76"/>
      <c r="H297" s="76"/>
      <c r="I297" s="73" t="s">
        <v>366</v>
      </c>
      <c r="J297" s="76"/>
    </row>
    <row r="298">
      <c r="A298" s="72">
        <v>297.0</v>
      </c>
      <c r="B298" s="73" t="s">
        <v>364</v>
      </c>
      <c r="C298" s="74">
        <v>9.00638905E8</v>
      </c>
      <c r="D298" s="73" t="s">
        <v>662</v>
      </c>
      <c r="E298" s="72">
        <v>191.0</v>
      </c>
      <c r="F298" s="75">
        <v>41785.0</v>
      </c>
      <c r="G298" s="76"/>
      <c r="H298" s="76"/>
      <c r="I298" s="73" t="s">
        <v>366</v>
      </c>
      <c r="J298" s="76"/>
    </row>
    <row r="299">
      <c r="A299" s="72">
        <v>298.0</v>
      </c>
      <c r="B299" s="73" t="s">
        <v>364</v>
      </c>
      <c r="C299" s="74">
        <v>9.00075526E8</v>
      </c>
      <c r="D299" s="73" t="s">
        <v>663</v>
      </c>
      <c r="E299" s="72">
        <v>202.0</v>
      </c>
      <c r="F299" s="75">
        <v>41800.0</v>
      </c>
      <c r="G299" s="76"/>
      <c r="H299" s="76"/>
      <c r="I299" s="73" t="s">
        <v>366</v>
      </c>
      <c r="J299" s="76"/>
    </row>
    <row r="300">
      <c r="A300" s="72">
        <v>299.0</v>
      </c>
      <c r="B300" s="73" t="s">
        <v>364</v>
      </c>
      <c r="C300" s="74">
        <v>9.00212508E8</v>
      </c>
      <c r="D300" s="73" t="s">
        <v>664</v>
      </c>
      <c r="E300" s="72">
        <v>211.0</v>
      </c>
      <c r="F300" s="75">
        <v>41824.0</v>
      </c>
      <c r="G300" s="76"/>
      <c r="H300" s="76"/>
      <c r="I300" s="73" t="s">
        <v>366</v>
      </c>
      <c r="J300" s="76"/>
    </row>
    <row r="301">
      <c r="A301" s="72">
        <v>300.0</v>
      </c>
      <c r="B301" s="73" t="s">
        <v>364</v>
      </c>
      <c r="C301" s="74">
        <v>9.00393742E8</v>
      </c>
      <c r="D301" s="73" t="s">
        <v>665</v>
      </c>
      <c r="E301" s="72">
        <v>212.0</v>
      </c>
      <c r="F301" s="75">
        <v>41827.0</v>
      </c>
      <c r="G301" s="76"/>
      <c r="H301" s="76"/>
      <c r="I301" s="73" t="s">
        <v>366</v>
      </c>
      <c r="J301" s="76"/>
    </row>
    <row r="302">
      <c r="A302" s="72">
        <v>301.0</v>
      </c>
      <c r="B302" s="73" t="s">
        <v>364</v>
      </c>
      <c r="C302" s="74">
        <v>9.00598616E8</v>
      </c>
      <c r="D302" s="73" t="s">
        <v>666</v>
      </c>
      <c r="E302" s="72">
        <v>214.0</v>
      </c>
      <c r="F302" s="75">
        <v>41828.0</v>
      </c>
      <c r="G302" s="76"/>
      <c r="H302" s="76"/>
      <c r="I302" s="73" t="s">
        <v>366</v>
      </c>
      <c r="J302" s="76"/>
    </row>
    <row r="303">
      <c r="A303" s="72">
        <v>302.0</v>
      </c>
      <c r="B303" s="73" t="s">
        <v>364</v>
      </c>
      <c r="C303" s="74">
        <v>9.00644999E8</v>
      </c>
      <c r="D303" s="73" t="s">
        <v>667</v>
      </c>
      <c r="E303" s="72">
        <v>230.0</v>
      </c>
      <c r="F303" s="75">
        <v>41841.0</v>
      </c>
      <c r="G303" s="76"/>
      <c r="H303" s="76"/>
      <c r="I303" s="73" t="s">
        <v>366</v>
      </c>
      <c r="J303" s="76"/>
    </row>
    <row r="304">
      <c r="A304" s="72">
        <v>303.0</v>
      </c>
      <c r="B304" s="73" t="s">
        <v>364</v>
      </c>
      <c r="C304" s="74">
        <v>9.00197067E8</v>
      </c>
      <c r="D304" s="73" t="s">
        <v>668</v>
      </c>
      <c r="E304" s="72">
        <v>234.0</v>
      </c>
      <c r="F304" s="75">
        <v>41844.0</v>
      </c>
      <c r="G304" s="76"/>
      <c r="H304" s="76"/>
      <c r="I304" s="73" t="s">
        <v>366</v>
      </c>
      <c r="J304" s="76"/>
    </row>
    <row r="305">
      <c r="A305" s="72">
        <v>304.0</v>
      </c>
      <c r="B305" s="73" t="s">
        <v>364</v>
      </c>
      <c r="C305" s="74">
        <v>9.00744895E8</v>
      </c>
      <c r="D305" s="73" t="s">
        <v>669</v>
      </c>
      <c r="E305" s="72">
        <v>239.0</v>
      </c>
      <c r="F305" s="75">
        <v>41852.0</v>
      </c>
      <c r="G305" s="76"/>
      <c r="H305" s="76"/>
      <c r="I305" s="73" t="s">
        <v>366</v>
      </c>
      <c r="J305" s="76"/>
    </row>
    <row r="306">
      <c r="A306" s="72">
        <v>305.0</v>
      </c>
      <c r="B306" s="73" t="s">
        <v>364</v>
      </c>
      <c r="C306" s="74">
        <v>8.11028013E8</v>
      </c>
      <c r="D306" s="73" t="s">
        <v>670</v>
      </c>
      <c r="E306" s="72">
        <v>243.0</v>
      </c>
      <c r="F306" s="75">
        <v>41855.0</v>
      </c>
      <c r="G306" s="76"/>
      <c r="H306" s="76"/>
      <c r="I306" s="73" t="s">
        <v>366</v>
      </c>
      <c r="J306" s="76"/>
    </row>
    <row r="307">
      <c r="A307" s="72">
        <v>306.0</v>
      </c>
      <c r="B307" s="73" t="s">
        <v>364</v>
      </c>
      <c r="C307" s="74">
        <v>9.00716616E8</v>
      </c>
      <c r="D307" s="73" t="s">
        <v>671</v>
      </c>
      <c r="E307" s="72">
        <v>257.0</v>
      </c>
      <c r="F307" s="75">
        <v>41875.0</v>
      </c>
      <c r="G307" s="76"/>
      <c r="H307" s="76"/>
      <c r="I307" s="73" t="s">
        <v>366</v>
      </c>
      <c r="J307" s="76"/>
    </row>
    <row r="308">
      <c r="A308" s="72">
        <v>307.0</v>
      </c>
      <c r="B308" s="73" t="s">
        <v>364</v>
      </c>
      <c r="C308" s="74">
        <v>9.00390422E8</v>
      </c>
      <c r="D308" s="73" t="s">
        <v>672</v>
      </c>
      <c r="E308" s="72">
        <v>263.0</v>
      </c>
      <c r="F308" s="75">
        <v>41891.0</v>
      </c>
      <c r="G308" s="76"/>
      <c r="H308" s="76"/>
      <c r="I308" s="73" t="s">
        <v>366</v>
      </c>
      <c r="J308" s="76"/>
    </row>
    <row r="309">
      <c r="A309" s="72">
        <v>308.0</v>
      </c>
      <c r="B309" s="73" t="s">
        <v>364</v>
      </c>
      <c r="C309" s="74">
        <v>9.00712162E8</v>
      </c>
      <c r="D309" s="73" t="s">
        <v>673</v>
      </c>
      <c r="E309" s="72">
        <v>264.0</v>
      </c>
      <c r="F309" s="75">
        <v>41891.0</v>
      </c>
      <c r="G309" s="76"/>
      <c r="H309" s="76"/>
      <c r="I309" s="73" t="s">
        <v>366</v>
      </c>
      <c r="J309" s="76"/>
    </row>
    <row r="310">
      <c r="A310" s="72">
        <v>309.0</v>
      </c>
      <c r="B310" s="73" t="s">
        <v>364</v>
      </c>
      <c r="C310" s="74">
        <v>9.00738114E8</v>
      </c>
      <c r="D310" s="73" t="s">
        <v>674</v>
      </c>
      <c r="E310" s="72">
        <v>262.0</v>
      </c>
      <c r="F310" s="75">
        <v>41891.0</v>
      </c>
      <c r="G310" s="76"/>
      <c r="H310" s="76"/>
      <c r="I310" s="73" t="s">
        <v>366</v>
      </c>
      <c r="J310" s="76"/>
    </row>
    <row r="311">
      <c r="A311" s="72">
        <v>310.0</v>
      </c>
      <c r="B311" s="73" t="s">
        <v>364</v>
      </c>
      <c r="C311" s="74">
        <v>9.00743223E8</v>
      </c>
      <c r="D311" s="73" t="s">
        <v>675</v>
      </c>
      <c r="E311" s="72">
        <v>265.0</v>
      </c>
      <c r="F311" s="75">
        <v>41891.0</v>
      </c>
      <c r="G311" s="76"/>
      <c r="H311" s="76"/>
      <c r="I311" s="73" t="s">
        <v>366</v>
      </c>
      <c r="J311" s="76"/>
    </row>
    <row r="312">
      <c r="A312" s="72">
        <v>311.0</v>
      </c>
      <c r="B312" s="73" t="s">
        <v>364</v>
      </c>
      <c r="C312" s="74">
        <v>9.00737858E8</v>
      </c>
      <c r="D312" s="73" t="s">
        <v>676</v>
      </c>
      <c r="E312" s="72">
        <v>274.0</v>
      </c>
      <c r="F312" s="75">
        <v>41899.0</v>
      </c>
      <c r="G312" s="76"/>
      <c r="H312" s="76"/>
      <c r="I312" s="73" t="s">
        <v>366</v>
      </c>
      <c r="J312" s="76"/>
    </row>
    <row r="313">
      <c r="A313" s="72">
        <v>312.0</v>
      </c>
      <c r="B313" s="73" t="s">
        <v>364</v>
      </c>
      <c r="C313" s="74">
        <v>9.00743592E8</v>
      </c>
      <c r="D313" s="73" t="s">
        <v>677</v>
      </c>
      <c r="E313" s="72">
        <v>276.0</v>
      </c>
      <c r="F313" s="75">
        <v>41899.0</v>
      </c>
      <c r="G313" s="76"/>
      <c r="H313" s="76"/>
      <c r="I313" s="73" t="s">
        <v>366</v>
      </c>
      <c r="J313" s="76"/>
    </row>
    <row r="314">
      <c r="A314" s="72">
        <v>313.0</v>
      </c>
      <c r="B314" s="73" t="s">
        <v>364</v>
      </c>
      <c r="C314" s="74">
        <v>9.00745308E8</v>
      </c>
      <c r="D314" s="73" t="s">
        <v>678</v>
      </c>
      <c r="E314" s="72">
        <v>282.0</v>
      </c>
      <c r="F314" s="75">
        <v>41908.0</v>
      </c>
      <c r="G314" s="76"/>
      <c r="H314" s="76"/>
      <c r="I314" s="73" t="s">
        <v>366</v>
      </c>
      <c r="J314" s="76"/>
    </row>
    <row r="315">
      <c r="A315" s="72">
        <v>314.0</v>
      </c>
      <c r="B315" s="73" t="s">
        <v>364</v>
      </c>
      <c r="C315" s="74">
        <v>9.00757382E8</v>
      </c>
      <c r="D315" s="73" t="s">
        <v>679</v>
      </c>
      <c r="E315" s="72">
        <v>304.0</v>
      </c>
      <c r="F315" s="77">
        <v>41929.0</v>
      </c>
      <c r="G315" s="76"/>
      <c r="H315" s="76"/>
      <c r="I315" s="73" t="s">
        <v>366</v>
      </c>
      <c r="J315" s="76"/>
    </row>
    <row r="316">
      <c r="A316" s="72">
        <v>315.0</v>
      </c>
      <c r="B316" s="73" t="s">
        <v>364</v>
      </c>
      <c r="C316" s="74">
        <v>9.00767243E8</v>
      </c>
      <c r="D316" s="73" t="s">
        <v>680</v>
      </c>
      <c r="E316" s="72">
        <v>319.0</v>
      </c>
      <c r="F316" s="77">
        <v>41934.0</v>
      </c>
      <c r="G316" s="76"/>
      <c r="H316" s="76"/>
      <c r="I316" s="73" t="s">
        <v>366</v>
      </c>
      <c r="J316" s="76"/>
    </row>
    <row r="317">
      <c r="A317" s="78">
        <v>316.0</v>
      </c>
      <c r="B317" s="79" t="s">
        <v>364</v>
      </c>
      <c r="C317" s="80">
        <v>9.00488793E8</v>
      </c>
      <c r="D317" s="79" t="s">
        <v>681</v>
      </c>
      <c r="E317" s="81">
        <v>343.0</v>
      </c>
      <c r="F317" s="82">
        <v>41976.0</v>
      </c>
      <c r="G317" s="83"/>
      <c r="H317" s="83"/>
      <c r="I317" s="73" t="s">
        <v>366</v>
      </c>
      <c r="J317" s="76"/>
    </row>
    <row r="318">
      <c r="A318" s="72">
        <v>317.0</v>
      </c>
      <c r="B318" s="73" t="s">
        <v>364</v>
      </c>
      <c r="C318" s="74">
        <v>9.00477799E8</v>
      </c>
      <c r="D318" s="73" t="s">
        <v>682</v>
      </c>
      <c r="E318" s="72">
        <v>4.0</v>
      </c>
      <c r="F318" s="75">
        <v>42034.0</v>
      </c>
      <c r="G318" s="76"/>
      <c r="H318" s="76"/>
      <c r="I318" s="73" t="s">
        <v>366</v>
      </c>
      <c r="J318" s="76"/>
    </row>
    <row r="319">
      <c r="A319" s="72">
        <v>318.0</v>
      </c>
      <c r="B319" s="73" t="s">
        <v>364</v>
      </c>
      <c r="C319" s="74">
        <v>9.00695649E8</v>
      </c>
      <c r="D319" s="73" t="s">
        <v>683</v>
      </c>
      <c r="E319" s="72">
        <v>40.0</v>
      </c>
      <c r="F319" s="75">
        <v>42074.0</v>
      </c>
      <c r="G319" s="76"/>
      <c r="H319" s="76"/>
      <c r="I319" s="73" t="s">
        <v>366</v>
      </c>
      <c r="J319" s="76"/>
    </row>
    <row r="320">
      <c r="A320" s="72">
        <v>319.0</v>
      </c>
      <c r="B320" s="73" t="s">
        <v>364</v>
      </c>
      <c r="C320" s="74">
        <v>9.00782317E8</v>
      </c>
      <c r="D320" s="73" t="s">
        <v>684</v>
      </c>
      <c r="E320" s="72">
        <v>49.0</v>
      </c>
      <c r="F320" s="75">
        <v>42103.0</v>
      </c>
      <c r="G320" s="76"/>
      <c r="H320" s="76"/>
      <c r="I320" s="73" t="s">
        <v>366</v>
      </c>
      <c r="J320" s="76"/>
    </row>
    <row r="321">
      <c r="A321" s="72">
        <v>320.0</v>
      </c>
      <c r="B321" s="73" t="s">
        <v>364</v>
      </c>
      <c r="C321" s="74">
        <v>9.00745356E8</v>
      </c>
      <c r="D321" s="73" t="s">
        <v>685</v>
      </c>
      <c r="E321" s="72">
        <v>50.0</v>
      </c>
      <c r="F321" s="75">
        <v>42104.0</v>
      </c>
      <c r="G321" s="76"/>
      <c r="H321" s="76"/>
      <c r="I321" s="73" t="s">
        <v>366</v>
      </c>
      <c r="J321" s="76"/>
    </row>
    <row r="322">
      <c r="A322" s="72">
        <v>321.0</v>
      </c>
      <c r="B322" s="73" t="s">
        <v>364</v>
      </c>
      <c r="C322" s="74">
        <v>9.00504483E8</v>
      </c>
      <c r="D322" s="73" t="s">
        <v>686</v>
      </c>
      <c r="E322" s="72">
        <v>163.0</v>
      </c>
      <c r="F322" s="75">
        <v>42129.0</v>
      </c>
      <c r="G322" s="76"/>
      <c r="H322" s="76"/>
      <c r="I322" s="73" t="s">
        <v>366</v>
      </c>
      <c r="J322" s="76"/>
    </row>
    <row r="323">
      <c r="A323" s="72">
        <v>322.0</v>
      </c>
      <c r="B323" s="73" t="s">
        <v>364</v>
      </c>
      <c r="C323" s="74">
        <v>9.00462817E8</v>
      </c>
      <c r="D323" s="73" t="s">
        <v>687</v>
      </c>
      <c r="E323" s="72">
        <v>61.0</v>
      </c>
      <c r="F323" s="75">
        <v>42144.0</v>
      </c>
      <c r="G323" s="76"/>
      <c r="H323" s="76"/>
      <c r="I323" s="73" t="s">
        <v>366</v>
      </c>
      <c r="J323" s="76"/>
    </row>
    <row r="324">
      <c r="A324" s="72">
        <v>323.0</v>
      </c>
      <c r="B324" s="73" t="s">
        <v>364</v>
      </c>
      <c r="C324" s="74">
        <v>9.00787813E8</v>
      </c>
      <c r="D324" s="73" t="s">
        <v>688</v>
      </c>
      <c r="E324" s="72">
        <v>65.0</v>
      </c>
      <c r="F324" s="75">
        <v>42156.0</v>
      </c>
      <c r="G324" s="76"/>
      <c r="H324" s="76"/>
      <c r="I324" s="73" t="s">
        <v>366</v>
      </c>
      <c r="J324" s="76"/>
    </row>
    <row r="325">
      <c r="A325" s="72">
        <v>324.0</v>
      </c>
      <c r="B325" s="73" t="s">
        <v>364</v>
      </c>
      <c r="C325" s="74">
        <v>9.00827413E8</v>
      </c>
      <c r="D325" s="73" t="s">
        <v>689</v>
      </c>
      <c r="E325" s="72">
        <v>66.0</v>
      </c>
      <c r="F325" s="75">
        <v>42177.0</v>
      </c>
      <c r="G325" s="76"/>
      <c r="H325" s="76"/>
      <c r="I325" s="73" t="s">
        <v>366</v>
      </c>
      <c r="J325" s="76"/>
    </row>
    <row r="326">
      <c r="A326" s="72">
        <v>325.0</v>
      </c>
      <c r="B326" s="73" t="s">
        <v>364</v>
      </c>
      <c r="C326" s="74">
        <v>7.1180499E8</v>
      </c>
      <c r="D326" s="73" t="s">
        <v>690</v>
      </c>
      <c r="E326" s="72">
        <v>81.0</v>
      </c>
      <c r="F326" s="75">
        <v>42178.0</v>
      </c>
      <c r="G326" s="76"/>
      <c r="H326" s="76"/>
      <c r="I326" s="73" t="s">
        <v>366</v>
      </c>
      <c r="J326" s="76"/>
    </row>
    <row r="327">
      <c r="A327" s="72">
        <v>326.0</v>
      </c>
      <c r="B327" s="73" t="s">
        <v>364</v>
      </c>
      <c r="C327" s="74">
        <v>9.00435377E8</v>
      </c>
      <c r="D327" s="73" t="s">
        <v>691</v>
      </c>
      <c r="E327" s="72">
        <v>82.0</v>
      </c>
      <c r="F327" s="75">
        <v>42178.0</v>
      </c>
      <c r="G327" s="76"/>
      <c r="H327" s="76"/>
      <c r="I327" s="73" t="s">
        <v>366</v>
      </c>
      <c r="J327" s="76"/>
    </row>
    <row r="328">
      <c r="A328" s="72">
        <v>327.0</v>
      </c>
      <c r="B328" s="73" t="s">
        <v>364</v>
      </c>
      <c r="C328" s="74">
        <v>9.00814285E8</v>
      </c>
      <c r="D328" s="73" t="s">
        <v>692</v>
      </c>
      <c r="E328" s="72">
        <v>92.0</v>
      </c>
      <c r="F328" s="75">
        <v>42194.0</v>
      </c>
      <c r="G328" s="76"/>
      <c r="H328" s="76"/>
      <c r="I328" s="73" t="s">
        <v>366</v>
      </c>
      <c r="J328" s="76"/>
    </row>
    <row r="329">
      <c r="A329" s="72">
        <v>328.0</v>
      </c>
      <c r="B329" s="73" t="s">
        <v>364</v>
      </c>
      <c r="C329" s="74">
        <v>9.00211777E8</v>
      </c>
      <c r="D329" s="73" t="s">
        <v>693</v>
      </c>
      <c r="E329" s="72">
        <v>227.0</v>
      </c>
      <c r="F329" s="75">
        <v>42202.0</v>
      </c>
      <c r="G329" s="76"/>
      <c r="H329" s="76"/>
      <c r="I329" s="73" t="s">
        <v>366</v>
      </c>
      <c r="J329" s="76"/>
    </row>
    <row r="330">
      <c r="A330" s="72">
        <v>329.0</v>
      </c>
      <c r="B330" s="73" t="s">
        <v>364</v>
      </c>
      <c r="C330" s="74">
        <v>9.00839381E8</v>
      </c>
      <c r="D330" s="73" t="s">
        <v>694</v>
      </c>
      <c r="E330" s="72">
        <v>105.0</v>
      </c>
      <c r="F330" s="75">
        <v>42220.0</v>
      </c>
      <c r="G330" s="76"/>
      <c r="H330" s="76"/>
      <c r="I330" s="73" t="s">
        <v>366</v>
      </c>
      <c r="J330" s="76"/>
    </row>
    <row r="331">
      <c r="A331" s="72">
        <v>330.0</v>
      </c>
      <c r="B331" s="73" t="s">
        <v>364</v>
      </c>
      <c r="C331" s="74">
        <v>9.00838811E8</v>
      </c>
      <c r="D331" s="73" t="s">
        <v>695</v>
      </c>
      <c r="E331" s="72">
        <v>130.0</v>
      </c>
      <c r="F331" s="75">
        <v>42240.0</v>
      </c>
      <c r="G331" s="76"/>
      <c r="H331" s="76"/>
      <c r="I331" s="73" t="s">
        <v>366</v>
      </c>
      <c r="J331" s="76"/>
    </row>
    <row r="332">
      <c r="A332" s="72">
        <v>331.0</v>
      </c>
      <c r="B332" s="73" t="s">
        <v>364</v>
      </c>
      <c r="C332" s="74">
        <v>8.11010525E8</v>
      </c>
      <c r="D332" s="73" t="s">
        <v>696</v>
      </c>
      <c r="E332" s="72">
        <v>131.0</v>
      </c>
      <c r="F332" s="75">
        <v>42242.0</v>
      </c>
      <c r="G332" s="76"/>
      <c r="H332" s="76"/>
      <c r="I332" s="73" t="s">
        <v>366</v>
      </c>
      <c r="J332" s="76"/>
    </row>
    <row r="333">
      <c r="A333" s="72">
        <v>332.0</v>
      </c>
      <c r="B333" s="73" t="s">
        <v>364</v>
      </c>
      <c r="C333" s="74">
        <v>9.00434012E8</v>
      </c>
      <c r="D333" s="73" t="s">
        <v>697</v>
      </c>
      <c r="E333" s="72">
        <v>149.0</v>
      </c>
      <c r="F333" s="75">
        <v>42263.0</v>
      </c>
      <c r="G333" s="76"/>
      <c r="H333" s="76"/>
      <c r="I333" s="73" t="s">
        <v>366</v>
      </c>
      <c r="J333" s="76"/>
    </row>
    <row r="334">
      <c r="A334" s="72">
        <v>333.0</v>
      </c>
      <c r="B334" s="73" t="s">
        <v>364</v>
      </c>
      <c r="C334" s="74">
        <v>9.00557548E8</v>
      </c>
      <c r="D334" s="73" t="s">
        <v>698</v>
      </c>
      <c r="E334" s="72">
        <v>113.0</v>
      </c>
      <c r="F334" s="75">
        <v>42264.0</v>
      </c>
      <c r="G334" s="76"/>
      <c r="H334" s="76"/>
      <c r="I334" s="73" t="s">
        <v>366</v>
      </c>
      <c r="J334" s="76"/>
    </row>
    <row r="335">
      <c r="A335" s="72">
        <v>334.0</v>
      </c>
      <c r="B335" s="73" t="s">
        <v>364</v>
      </c>
      <c r="C335" s="74">
        <v>9.00690885E8</v>
      </c>
      <c r="D335" s="73" t="s">
        <v>699</v>
      </c>
      <c r="E335" s="72">
        <v>152.0</v>
      </c>
      <c r="F335" s="75">
        <v>42268.0</v>
      </c>
      <c r="G335" s="76"/>
      <c r="H335" s="76"/>
      <c r="I335" s="73" t="s">
        <v>366</v>
      </c>
      <c r="J335" s="76"/>
    </row>
    <row r="336">
      <c r="A336" s="72">
        <v>335.0</v>
      </c>
      <c r="B336" s="73" t="s">
        <v>364</v>
      </c>
      <c r="C336" s="74">
        <v>8.00055468E8</v>
      </c>
      <c r="D336" s="73" t="s">
        <v>700</v>
      </c>
      <c r="E336" s="72">
        <v>153.0</v>
      </c>
      <c r="F336" s="75">
        <v>42269.0</v>
      </c>
      <c r="G336" s="76"/>
      <c r="H336" s="76"/>
      <c r="I336" s="73" t="s">
        <v>366</v>
      </c>
      <c r="J336" s="76"/>
    </row>
    <row r="337">
      <c r="A337" s="72">
        <v>336.0</v>
      </c>
      <c r="B337" s="73" t="s">
        <v>364</v>
      </c>
      <c r="C337" s="74">
        <v>9.00488321E8</v>
      </c>
      <c r="D337" s="73" t="s">
        <v>701</v>
      </c>
      <c r="E337" s="72">
        <v>167.0</v>
      </c>
      <c r="F337" s="77">
        <v>42296.0</v>
      </c>
      <c r="G337" s="76"/>
      <c r="H337" s="76"/>
      <c r="I337" s="73" t="s">
        <v>366</v>
      </c>
      <c r="J337" s="76"/>
    </row>
    <row r="338">
      <c r="A338" s="72">
        <v>337.0</v>
      </c>
      <c r="B338" s="73" t="s">
        <v>364</v>
      </c>
      <c r="C338" s="74">
        <v>9.00883707E8</v>
      </c>
      <c r="D338" s="73" t="s">
        <v>702</v>
      </c>
      <c r="E338" s="72">
        <v>82.0</v>
      </c>
      <c r="F338" s="77">
        <v>42297.0</v>
      </c>
      <c r="G338" s="76"/>
      <c r="H338" s="76"/>
      <c r="I338" s="73" t="s">
        <v>366</v>
      </c>
      <c r="J338" s="76"/>
    </row>
    <row r="339">
      <c r="A339" s="72">
        <v>338.0</v>
      </c>
      <c r="B339" s="73" t="s">
        <v>364</v>
      </c>
      <c r="C339" s="74">
        <v>9.00827221E8</v>
      </c>
      <c r="D339" s="73" t="s">
        <v>703</v>
      </c>
      <c r="E339" s="72">
        <v>188.0</v>
      </c>
      <c r="F339" s="77">
        <v>42325.0</v>
      </c>
      <c r="G339" s="76"/>
      <c r="H339" s="76"/>
      <c r="I339" s="73" t="s">
        <v>366</v>
      </c>
      <c r="J339" s="76"/>
    </row>
    <row r="340">
      <c r="A340" s="72">
        <v>339.0</v>
      </c>
      <c r="B340" s="73" t="s">
        <v>364</v>
      </c>
      <c r="C340" s="74">
        <v>9.0078819E8</v>
      </c>
      <c r="D340" s="73" t="s">
        <v>704</v>
      </c>
      <c r="E340" s="72">
        <v>213.0</v>
      </c>
      <c r="F340" s="77">
        <v>42326.0</v>
      </c>
      <c r="G340" s="76"/>
      <c r="H340" s="76"/>
      <c r="I340" s="73" t="s">
        <v>366</v>
      </c>
      <c r="J340" s="76"/>
    </row>
    <row r="341">
      <c r="A341" s="72">
        <v>340.0</v>
      </c>
      <c r="B341" s="73" t="s">
        <v>364</v>
      </c>
      <c r="C341" s="74">
        <v>9.00470603E8</v>
      </c>
      <c r="D341" s="73" t="s">
        <v>705</v>
      </c>
      <c r="E341" s="72">
        <v>198.0</v>
      </c>
      <c r="F341" s="77">
        <v>42333.0</v>
      </c>
      <c r="G341" s="76"/>
      <c r="H341" s="76"/>
      <c r="I341" s="73" t="s">
        <v>366</v>
      </c>
      <c r="J341" s="76"/>
    </row>
    <row r="342">
      <c r="A342" s="72">
        <v>341.0</v>
      </c>
      <c r="B342" s="73" t="s">
        <v>364</v>
      </c>
      <c r="C342" s="74">
        <v>9.00526657E8</v>
      </c>
      <c r="D342" s="73" t="s">
        <v>706</v>
      </c>
      <c r="E342" s="72">
        <v>213.0</v>
      </c>
      <c r="F342" s="77">
        <v>42349.0</v>
      </c>
      <c r="G342" s="76"/>
      <c r="H342" s="76"/>
      <c r="I342" s="73" t="s">
        <v>366</v>
      </c>
      <c r="J342" s="76"/>
    </row>
    <row r="343">
      <c r="A343" s="72">
        <v>342.0</v>
      </c>
      <c r="B343" s="73" t="s">
        <v>364</v>
      </c>
      <c r="C343" s="74">
        <v>9.00853484E8</v>
      </c>
      <c r="D343" s="73" t="s">
        <v>707</v>
      </c>
      <c r="E343" s="72">
        <v>6.0</v>
      </c>
      <c r="F343" s="75">
        <v>42391.0</v>
      </c>
      <c r="G343" s="76"/>
      <c r="H343" s="76"/>
      <c r="I343" s="73" t="s">
        <v>366</v>
      </c>
      <c r="J343" s="76"/>
    </row>
    <row r="344">
      <c r="A344" s="72">
        <v>343.0</v>
      </c>
      <c r="B344" s="73" t="s">
        <v>364</v>
      </c>
      <c r="C344" s="74">
        <v>9.00480267E8</v>
      </c>
      <c r="D344" s="73" t="s">
        <v>708</v>
      </c>
      <c r="E344" s="72">
        <v>10.0</v>
      </c>
      <c r="F344" s="75">
        <v>42411.0</v>
      </c>
      <c r="G344" s="76"/>
      <c r="H344" s="76"/>
      <c r="I344" s="73" t="s">
        <v>366</v>
      </c>
      <c r="J344" s="76"/>
    </row>
    <row r="345">
      <c r="A345" s="72">
        <v>344.0</v>
      </c>
      <c r="B345" s="73" t="s">
        <v>364</v>
      </c>
      <c r="C345" s="74">
        <v>8.11007177E8</v>
      </c>
      <c r="D345" s="73" t="s">
        <v>709</v>
      </c>
      <c r="E345" s="72">
        <v>16.0</v>
      </c>
      <c r="F345" s="75">
        <v>42440.0</v>
      </c>
      <c r="G345" s="76"/>
      <c r="H345" s="76"/>
      <c r="I345" s="73" t="s">
        <v>366</v>
      </c>
      <c r="J345" s="76"/>
    </row>
    <row r="346">
      <c r="A346" s="72">
        <v>345.0</v>
      </c>
      <c r="B346" s="73" t="s">
        <v>364</v>
      </c>
      <c r="C346" s="74">
        <v>9.0090771E8</v>
      </c>
      <c r="D346" s="73" t="s">
        <v>710</v>
      </c>
      <c r="E346" s="72">
        <v>18.0</v>
      </c>
      <c r="F346" s="75">
        <v>42444.0</v>
      </c>
      <c r="G346" s="76"/>
      <c r="H346" s="76"/>
      <c r="I346" s="73" t="s">
        <v>366</v>
      </c>
      <c r="J346" s="76"/>
    </row>
    <row r="347">
      <c r="A347" s="72">
        <v>346.0</v>
      </c>
      <c r="B347" s="73" t="s">
        <v>364</v>
      </c>
      <c r="C347" s="74">
        <v>9.00315451E8</v>
      </c>
      <c r="D347" s="73" t="s">
        <v>711</v>
      </c>
      <c r="E347" s="72">
        <v>24.0</v>
      </c>
      <c r="F347" s="75">
        <v>42459.0</v>
      </c>
      <c r="G347" s="76"/>
      <c r="H347" s="76"/>
      <c r="I347" s="73" t="s">
        <v>366</v>
      </c>
      <c r="J347" s="76"/>
    </row>
    <row r="348">
      <c r="A348" s="72">
        <v>347.0</v>
      </c>
      <c r="B348" s="73" t="s">
        <v>364</v>
      </c>
      <c r="C348" s="74">
        <v>9.00846164E8</v>
      </c>
      <c r="D348" s="73" t="s">
        <v>712</v>
      </c>
      <c r="E348" s="72">
        <v>54.0</v>
      </c>
      <c r="F348" s="75">
        <v>42488.0</v>
      </c>
      <c r="G348" s="76"/>
      <c r="H348" s="76"/>
      <c r="I348" s="73" t="s">
        <v>366</v>
      </c>
      <c r="J348" s="76"/>
    </row>
    <row r="349">
      <c r="A349" s="72">
        <v>348.0</v>
      </c>
      <c r="B349" s="73" t="s">
        <v>364</v>
      </c>
      <c r="C349" s="74">
        <v>9.00948263E8</v>
      </c>
      <c r="D349" s="73" t="s">
        <v>713</v>
      </c>
      <c r="E349" s="72">
        <v>9.0</v>
      </c>
      <c r="F349" s="75">
        <v>42489.0</v>
      </c>
      <c r="G349" s="76"/>
      <c r="H349" s="76"/>
      <c r="I349" s="73" t="s">
        <v>366</v>
      </c>
      <c r="J349" s="76"/>
    </row>
    <row r="350">
      <c r="A350" s="72">
        <v>349.0</v>
      </c>
      <c r="B350" s="73" t="s">
        <v>364</v>
      </c>
      <c r="C350" s="74">
        <v>9.00090669E8</v>
      </c>
      <c r="D350" s="73" t="s">
        <v>714</v>
      </c>
      <c r="E350" s="72">
        <v>97.0</v>
      </c>
      <c r="F350" s="75">
        <v>42513.0</v>
      </c>
      <c r="G350" s="76"/>
      <c r="H350" s="76"/>
      <c r="I350" s="73" t="s">
        <v>366</v>
      </c>
      <c r="J350" s="76"/>
    </row>
    <row r="351">
      <c r="A351" s="72">
        <v>350.0</v>
      </c>
      <c r="B351" s="73" t="s">
        <v>364</v>
      </c>
      <c r="C351" s="74">
        <v>9.00171734E8</v>
      </c>
      <c r="D351" s="73" t="s">
        <v>715</v>
      </c>
      <c r="E351" s="72">
        <v>20.0</v>
      </c>
      <c r="F351" s="75">
        <v>42534.0</v>
      </c>
      <c r="G351" s="76"/>
      <c r="H351" s="76"/>
      <c r="I351" s="73" t="s">
        <v>366</v>
      </c>
      <c r="J351" s="76"/>
    </row>
    <row r="352">
      <c r="A352" s="72">
        <v>351.0</v>
      </c>
      <c r="B352" s="73" t="s">
        <v>364</v>
      </c>
      <c r="C352" s="74">
        <v>9.00562413E8</v>
      </c>
      <c r="D352" s="73" t="s">
        <v>716</v>
      </c>
      <c r="E352" s="72">
        <v>141.0</v>
      </c>
      <c r="F352" s="75">
        <v>42558.0</v>
      </c>
      <c r="G352" s="76"/>
      <c r="H352" s="76"/>
      <c r="I352" s="73" t="s">
        <v>366</v>
      </c>
      <c r="J352" s="76"/>
    </row>
    <row r="353">
      <c r="A353" s="72">
        <v>352.0</v>
      </c>
      <c r="B353" s="73" t="s">
        <v>364</v>
      </c>
      <c r="C353" s="74">
        <v>9.00957102E8</v>
      </c>
      <c r="D353" s="73" t="s">
        <v>717</v>
      </c>
      <c r="E353" s="72">
        <v>435.0</v>
      </c>
      <c r="F353" s="75">
        <v>42572.0</v>
      </c>
      <c r="G353" s="76"/>
      <c r="H353" s="76"/>
      <c r="I353" s="73" t="s">
        <v>366</v>
      </c>
      <c r="J353" s="76"/>
    </row>
    <row r="354">
      <c r="A354" s="72">
        <v>353.0</v>
      </c>
      <c r="B354" s="73" t="s">
        <v>364</v>
      </c>
      <c r="C354" s="74">
        <v>9.0008563E8</v>
      </c>
      <c r="D354" s="73" t="s">
        <v>718</v>
      </c>
      <c r="E354" s="72">
        <v>189.0</v>
      </c>
      <c r="F354" s="75">
        <v>42618.0</v>
      </c>
      <c r="G354" s="76"/>
      <c r="H354" s="76"/>
      <c r="I354" s="73" t="s">
        <v>366</v>
      </c>
      <c r="J354" s="76"/>
    </row>
    <row r="355">
      <c r="A355" s="72">
        <v>354.0</v>
      </c>
      <c r="B355" s="73" t="s">
        <v>364</v>
      </c>
      <c r="C355" s="74">
        <v>9.00855389E8</v>
      </c>
      <c r="D355" s="73" t="s">
        <v>719</v>
      </c>
      <c r="E355" s="72">
        <v>190.0</v>
      </c>
      <c r="F355" s="75">
        <v>42619.0</v>
      </c>
      <c r="G355" s="76"/>
      <c r="H355" s="76"/>
      <c r="I355" s="73" t="s">
        <v>366</v>
      </c>
      <c r="J355" s="76"/>
    </row>
    <row r="356">
      <c r="A356" s="72">
        <v>355.0</v>
      </c>
      <c r="B356" s="73" t="s">
        <v>364</v>
      </c>
      <c r="C356" s="74">
        <v>9.00973275E8</v>
      </c>
      <c r="D356" s="73" t="s">
        <v>720</v>
      </c>
      <c r="E356" s="72">
        <v>192.0</v>
      </c>
      <c r="F356" s="75">
        <v>42619.0</v>
      </c>
      <c r="G356" s="76"/>
      <c r="H356" s="76"/>
      <c r="I356" s="73" t="s">
        <v>366</v>
      </c>
      <c r="J356" s="76"/>
    </row>
    <row r="357">
      <c r="A357" s="72">
        <v>356.0</v>
      </c>
      <c r="B357" s="73" t="s">
        <v>364</v>
      </c>
      <c r="C357" s="74">
        <v>9.00432216E8</v>
      </c>
      <c r="D357" s="73" t="s">
        <v>721</v>
      </c>
      <c r="E357" s="72">
        <v>202.0</v>
      </c>
      <c r="F357" s="75">
        <v>42627.0</v>
      </c>
      <c r="G357" s="76"/>
      <c r="H357" s="76"/>
      <c r="I357" s="73" t="s">
        <v>366</v>
      </c>
      <c r="J357" s="76"/>
    </row>
    <row r="358">
      <c r="A358" s="72">
        <v>357.0</v>
      </c>
      <c r="B358" s="73" t="s">
        <v>364</v>
      </c>
      <c r="C358" s="74">
        <v>9.00805898E8</v>
      </c>
      <c r="D358" s="73" t="s">
        <v>722</v>
      </c>
      <c r="E358" s="72">
        <v>203.0</v>
      </c>
      <c r="F358" s="75">
        <v>42627.0</v>
      </c>
      <c r="G358" s="76"/>
      <c r="H358" s="76"/>
      <c r="I358" s="73" t="s">
        <v>366</v>
      </c>
      <c r="J358" s="76"/>
    </row>
    <row r="359">
      <c r="A359" s="72">
        <v>358.0</v>
      </c>
      <c r="B359" s="73" t="s">
        <v>364</v>
      </c>
      <c r="C359" s="74">
        <v>9.0099592E8</v>
      </c>
      <c r="D359" s="73" t="s">
        <v>723</v>
      </c>
      <c r="E359" s="72">
        <v>272.0</v>
      </c>
      <c r="F359" s="77">
        <v>42654.0</v>
      </c>
      <c r="G359" s="76"/>
      <c r="H359" s="76"/>
      <c r="I359" s="73" t="s">
        <v>366</v>
      </c>
      <c r="J359" s="76"/>
    </row>
    <row r="360">
      <c r="A360" s="72">
        <v>359.0</v>
      </c>
      <c r="B360" s="73" t="s">
        <v>364</v>
      </c>
      <c r="C360" s="74">
        <v>9.00745923E8</v>
      </c>
      <c r="D360" s="73" t="s">
        <v>724</v>
      </c>
      <c r="E360" s="72">
        <v>278.0</v>
      </c>
      <c r="F360" s="77">
        <v>42656.0</v>
      </c>
      <c r="G360" s="76"/>
      <c r="H360" s="76"/>
      <c r="I360" s="73" t="s">
        <v>366</v>
      </c>
      <c r="J360" s="76"/>
    </row>
    <row r="361">
      <c r="A361" s="72">
        <v>360.0</v>
      </c>
      <c r="B361" s="73" t="s">
        <v>364</v>
      </c>
      <c r="C361" s="74">
        <v>8.11023661E8</v>
      </c>
      <c r="D361" s="73" t="s">
        <v>725</v>
      </c>
      <c r="E361" s="72">
        <v>282.0</v>
      </c>
      <c r="F361" s="77">
        <v>42663.0</v>
      </c>
      <c r="G361" s="76"/>
      <c r="H361" s="76"/>
      <c r="I361" s="73" t="s">
        <v>366</v>
      </c>
      <c r="J361" s="76"/>
    </row>
    <row r="362">
      <c r="A362" s="72">
        <v>361.0</v>
      </c>
      <c r="B362" s="73" t="s">
        <v>364</v>
      </c>
      <c r="C362" s="74">
        <v>9.00549783E8</v>
      </c>
      <c r="D362" s="73" t="s">
        <v>726</v>
      </c>
      <c r="E362" s="72">
        <v>285.0</v>
      </c>
      <c r="F362" s="77">
        <v>42663.0</v>
      </c>
      <c r="G362" s="76"/>
      <c r="H362" s="76"/>
      <c r="I362" s="73" t="s">
        <v>366</v>
      </c>
      <c r="J362" s="76"/>
    </row>
    <row r="363">
      <c r="A363" s="72">
        <v>362.0</v>
      </c>
      <c r="B363" s="73" t="s">
        <v>364</v>
      </c>
      <c r="C363" s="74">
        <v>8.30508693E8</v>
      </c>
      <c r="D363" s="73" t="s">
        <v>727</v>
      </c>
      <c r="E363" s="72">
        <v>288.0</v>
      </c>
      <c r="F363" s="77">
        <v>42668.0</v>
      </c>
      <c r="G363" s="76"/>
      <c r="H363" s="76"/>
      <c r="I363" s="73" t="s">
        <v>366</v>
      </c>
      <c r="J363" s="76"/>
    </row>
    <row r="364">
      <c r="A364" s="72">
        <v>363.0</v>
      </c>
      <c r="B364" s="73" t="s">
        <v>364</v>
      </c>
      <c r="C364" s="74">
        <v>9.00812184E8</v>
      </c>
      <c r="D364" s="73" t="s">
        <v>728</v>
      </c>
      <c r="E364" s="72">
        <v>286.0</v>
      </c>
      <c r="F364" s="77">
        <v>42668.0</v>
      </c>
      <c r="G364" s="76"/>
      <c r="H364" s="76"/>
      <c r="I364" s="73" t="s">
        <v>366</v>
      </c>
      <c r="J364" s="76"/>
    </row>
    <row r="365">
      <c r="A365" s="72">
        <v>364.0</v>
      </c>
      <c r="B365" s="73" t="s">
        <v>364</v>
      </c>
      <c r="C365" s="74">
        <v>9.00674863E8</v>
      </c>
      <c r="D365" s="73" t="s">
        <v>729</v>
      </c>
      <c r="E365" s="72">
        <v>358.0</v>
      </c>
      <c r="F365" s="77">
        <v>42718.0</v>
      </c>
      <c r="G365" s="76"/>
      <c r="H365" s="76"/>
      <c r="I365" s="73" t="s">
        <v>366</v>
      </c>
      <c r="J365" s="76"/>
    </row>
    <row r="366">
      <c r="A366" s="72">
        <v>365.0</v>
      </c>
      <c r="B366" s="73" t="s">
        <v>364</v>
      </c>
      <c r="C366" s="74">
        <v>9.0097655E8</v>
      </c>
      <c r="D366" s="73" t="s">
        <v>730</v>
      </c>
      <c r="E366" s="72">
        <v>360.0</v>
      </c>
      <c r="F366" s="77">
        <v>42718.0</v>
      </c>
      <c r="G366" s="76"/>
      <c r="H366" s="76"/>
      <c r="I366" s="73" t="s">
        <v>366</v>
      </c>
      <c r="J366" s="76"/>
    </row>
    <row r="367">
      <c r="A367" s="72">
        <v>366.0</v>
      </c>
      <c r="B367" s="73" t="s">
        <v>364</v>
      </c>
      <c r="C367" s="74">
        <v>9.01008155E8</v>
      </c>
      <c r="D367" s="73" t="s">
        <v>731</v>
      </c>
      <c r="E367" s="72">
        <v>377.0</v>
      </c>
      <c r="F367" s="77">
        <v>42720.0</v>
      </c>
      <c r="G367" s="76"/>
      <c r="H367" s="76"/>
      <c r="I367" s="73" t="s">
        <v>366</v>
      </c>
      <c r="J367" s="76"/>
    </row>
    <row r="368">
      <c r="A368" s="72">
        <v>367.0</v>
      </c>
      <c r="B368" s="73" t="s">
        <v>364</v>
      </c>
      <c r="C368" s="74">
        <v>9.00937793E8</v>
      </c>
      <c r="D368" s="73" t="s">
        <v>732</v>
      </c>
      <c r="E368" s="72">
        <v>378.0</v>
      </c>
      <c r="F368" s="77">
        <v>42726.0</v>
      </c>
      <c r="G368" s="76"/>
      <c r="H368" s="76"/>
      <c r="I368" s="73" t="s">
        <v>366</v>
      </c>
      <c r="J368" s="76"/>
    </row>
    <row r="369">
      <c r="A369" s="72">
        <v>368.0</v>
      </c>
      <c r="B369" s="73" t="s">
        <v>364</v>
      </c>
      <c r="C369" s="74">
        <v>9.01010443E8</v>
      </c>
      <c r="D369" s="73" t="s">
        <v>733</v>
      </c>
      <c r="E369" s="72">
        <v>3.0</v>
      </c>
      <c r="F369" s="75">
        <v>42769.0</v>
      </c>
      <c r="G369" s="76"/>
      <c r="H369" s="76"/>
      <c r="I369" s="73" t="s">
        <v>366</v>
      </c>
      <c r="J369" s="76"/>
    </row>
    <row r="370">
      <c r="A370" s="78">
        <v>369.0</v>
      </c>
      <c r="B370" s="79" t="s">
        <v>364</v>
      </c>
      <c r="C370" s="80">
        <v>8.11040774E8</v>
      </c>
      <c r="D370" s="79" t="s">
        <v>734</v>
      </c>
      <c r="E370" s="81">
        <v>60.0</v>
      </c>
      <c r="F370" s="84">
        <v>42863.0</v>
      </c>
      <c r="G370" s="83"/>
      <c r="H370" s="83"/>
      <c r="I370" s="73" t="s">
        <v>366</v>
      </c>
      <c r="J370" s="76"/>
    </row>
    <row r="371">
      <c r="A371" s="72">
        <v>370.0</v>
      </c>
      <c r="B371" s="73" t="s">
        <v>364</v>
      </c>
      <c r="C371" s="74">
        <v>9.01050139E8</v>
      </c>
      <c r="D371" s="73" t="s">
        <v>735</v>
      </c>
      <c r="E371" s="72">
        <v>77.0</v>
      </c>
      <c r="F371" s="75">
        <v>42885.0</v>
      </c>
      <c r="G371" s="76"/>
      <c r="H371" s="76"/>
      <c r="I371" s="73" t="s">
        <v>366</v>
      </c>
      <c r="J371" s="76"/>
    </row>
    <row r="372">
      <c r="A372" s="72">
        <v>371.0</v>
      </c>
      <c r="B372" s="73" t="s">
        <v>364</v>
      </c>
      <c r="C372" s="74">
        <v>9.00776581E8</v>
      </c>
      <c r="D372" s="73" t="s">
        <v>736</v>
      </c>
      <c r="E372" s="72">
        <v>133.0</v>
      </c>
      <c r="F372" s="75">
        <v>42935.0</v>
      </c>
      <c r="G372" s="76"/>
      <c r="H372" s="76"/>
      <c r="I372" s="73" t="s">
        <v>366</v>
      </c>
      <c r="J372" s="76"/>
    </row>
    <row r="373">
      <c r="A373" s="72">
        <v>372.0</v>
      </c>
      <c r="B373" s="73" t="s">
        <v>364</v>
      </c>
      <c r="C373" s="74">
        <v>9.00833534E8</v>
      </c>
      <c r="D373" s="73" t="s">
        <v>737</v>
      </c>
      <c r="E373" s="72">
        <v>132.0</v>
      </c>
      <c r="F373" s="75">
        <v>42935.0</v>
      </c>
      <c r="G373" s="76"/>
      <c r="H373" s="76"/>
      <c r="I373" s="73" t="s">
        <v>366</v>
      </c>
      <c r="J373" s="76"/>
    </row>
    <row r="374">
      <c r="A374" s="72">
        <v>373.0</v>
      </c>
      <c r="B374" s="73" t="s">
        <v>364</v>
      </c>
      <c r="C374" s="74">
        <v>9.00968401E8</v>
      </c>
      <c r="D374" s="73" t="s">
        <v>738</v>
      </c>
      <c r="E374" s="72">
        <v>187.0</v>
      </c>
      <c r="F374" s="75">
        <v>42996.0</v>
      </c>
      <c r="G374" s="76"/>
      <c r="H374" s="76"/>
      <c r="I374" s="73" t="s">
        <v>366</v>
      </c>
      <c r="J374" s="76"/>
    </row>
    <row r="375">
      <c r="A375" s="72">
        <v>374.0</v>
      </c>
      <c r="B375" s="73" t="s">
        <v>364</v>
      </c>
      <c r="C375" s="74">
        <v>9.0075393E8</v>
      </c>
      <c r="D375" s="73" t="s">
        <v>739</v>
      </c>
      <c r="E375" s="72">
        <v>214.0</v>
      </c>
      <c r="F375" s="75">
        <v>43004.0</v>
      </c>
      <c r="G375" s="76"/>
      <c r="H375" s="76"/>
      <c r="I375" s="73" t="s">
        <v>366</v>
      </c>
      <c r="J375" s="76"/>
    </row>
    <row r="376">
      <c r="A376" s="72">
        <v>375.0</v>
      </c>
      <c r="B376" s="73" t="s">
        <v>364</v>
      </c>
      <c r="C376" s="74">
        <v>9.01072427E8</v>
      </c>
      <c r="D376" s="73" t="s">
        <v>740</v>
      </c>
      <c r="E376" s="72">
        <v>221.0</v>
      </c>
      <c r="F376" s="75">
        <v>43007.0</v>
      </c>
      <c r="G376" s="76"/>
      <c r="H376" s="76"/>
      <c r="I376" s="73" t="s">
        <v>366</v>
      </c>
      <c r="J376" s="76"/>
    </row>
    <row r="377">
      <c r="A377" s="72">
        <v>376.0</v>
      </c>
      <c r="B377" s="73" t="s">
        <v>364</v>
      </c>
      <c r="C377" s="74">
        <v>9.01032181E8</v>
      </c>
      <c r="D377" s="73" t="s">
        <v>741</v>
      </c>
      <c r="E377" s="72">
        <v>225.0</v>
      </c>
      <c r="F377" s="77">
        <v>43010.0</v>
      </c>
      <c r="G377" s="76"/>
      <c r="H377" s="76"/>
      <c r="I377" s="73" t="s">
        <v>366</v>
      </c>
      <c r="J377" s="76"/>
    </row>
    <row r="378">
      <c r="A378" s="72">
        <v>377.0</v>
      </c>
      <c r="B378" s="73" t="s">
        <v>364</v>
      </c>
      <c r="C378" s="74">
        <v>9.01026672E8</v>
      </c>
      <c r="D378" s="73" t="s">
        <v>742</v>
      </c>
      <c r="E378" s="72">
        <v>234.0</v>
      </c>
      <c r="F378" s="77">
        <v>43019.0</v>
      </c>
      <c r="G378" s="76"/>
      <c r="H378" s="76"/>
      <c r="I378" s="73" t="s">
        <v>366</v>
      </c>
      <c r="J378" s="76"/>
    </row>
    <row r="379">
      <c r="A379" s="72">
        <v>378.0</v>
      </c>
      <c r="B379" s="73" t="s">
        <v>364</v>
      </c>
      <c r="C379" s="74">
        <v>9.01077887E8</v>
      </c>
      <c r="D379" s="73" t="s">
        <v>743</v>
      </c>
      <c r="E379" s="72">
        <v>236.0</v>
      </c>
      <c r="F379" s="77">
        <v>43019.0</v>
      </c>
      <c r="G379" s="76"/>
      <c r="H379" s="76"/>
      <c r="I379" s="73" t="s">
        <v>366</v>
      </c>
      <c r="J379" s="76"/>
    </row>
    <row r="380">
      <c r="A380" s="72">
        <v>379.0</v>
      </c>
      <c r="B380" s="73" t="s">
        <v>364</v>
      </c>
      <c r="C380" s="74">
        <v>9.00585483E8</v>
      </c>
      <c r="D380" s="73" t="s">
        <v>744</v>
      </c>
      <c r="E380" s="72">
        <v>241.0</v>
      </c>
      <c r="F380" s="77">
        <v>43027.0</v>
      </c>
      <c r="G380" s="76"/>
      <c r="H380" s="76"/>
      <c r="I380" s="73" t="s">
        <v>366</v>
      </c>
      <c r="J380" s="76"/>
    </row>
    <row r="381">
      <c r="A381" s="72">
        <v>380.0</v>
      </c>
      <c r="B381" s="73" t="s">
        <v>364</v>
      </c>
      <c r="C381" s="74">
        <v>9.01121286E8</v>
      </c>
      <c r="D381" s="73" t="s">
        <v>745</v>
      </c>
      <c r="E381" s="72">
        <v>253.0</v>
      </c>
      <c r="F381" s="77">
        <v>43063.0</v>
      </c>
      <c r="G381" s="76"/>
      <c r="H381" s="76"/>
      <c r="I381" s="73" t="s">
        <v>366</v>
      </c>
      <c r="J381" s="76"/>
    </row>
    <row r="382">
      <c r="A382" s="72">
        <v>381.0</v>
      </c>
      <c r="B382" s="73" t="s">
        <v>364</v>
      </c>
      <c r="C382" s="74">
        <v>9.0110359E8</v>
      </c>
      <c r="D382" s="73" t="s">
        <v>746</v>
      </c>
      <c r="E382" s="72">
        <v>255.0</v>
      </c>
      <c r="F382" s="77">
        <v>43067.0</v>
      </c>
      <c r="G382" s="76"/>
      <c r="H382" s="76"/>
      <c r="I382" s="73" t="s">
        <v>366</v>
      </c>
      <c r="J382" s="76"/>
    </row>
    <row r="383">
      <c r="A383" s="72">
        <v>382.0</v>
      </c>
      <c r="B383" s="73" t="s">
        <v>364</v>
      </c>
      <c r="C383" s="74">
        <v>9.01095524E8</v>
      </c>
      <c r="D383" s="73" t="s">
        <v>747</v>
      </c>
      <c r="E383" s="72">
        <v>257.0</v>
      </c>
      <c r="F383" s="77">
        <v>43069.0</v>
      </c>
      <c r="G383" s="76"/>
      <c r="H383" s="76"/>
      <c r="I383" s="73" t="s">
        <v>366</v>
      </c>
      <c r="J383" s="76"/>
    </row>
    <row r="384">
      <c r="A384" s="72">
        <v>383.0</v>
      </c>
      <c r="B384" s="73" t="s">
        <v>364</v>
      </c>
      <c r="C384" s="74">
        <v>9.0074313E8</v>
      </c>
      <c r="D384" s="73" t="s">
        <v>748</v>
      </c>
      <c r="E384" s="72">
        <v>3.0</v>
      </c>
      <c r="F384" s="77">
        <v>43075.0</v>
      </c>
      <c r="G384" s="76"/>
      <c r="H384" s="76"/>
      <c r="I384" s="73" t="s">
        <v>366</v>
      </c>
      <c r="J384" s="76"/>
    </row>
    <row r="385">
      <c r="A385" s="72">
        <v>384.0</v>
      </c>
      <c r="B385" s="73" t="s">
        <v>364</v>
      </c>
      <c r="C385" s="74">
        <v>9.01096184E8</v>
      </c>
      <c r="D385" s="73" t="s">
        <v>749</v>
      </c>
      <c r="E385" s="72">
        <v>271.0</v>
      </c>
      <c r="F385" s="77">
        <v>43097.0</v>
      </c>
      <c r="G385" s="76"/>
      <c r="H385" s="76"/>
      <c r="I385" s="73" t="s">
        <v>366</v>
      </c>
      <c r="J385" s="76"/>
    </row>
    <row r="386">
      <c r="A386" s="72">
        <v>385.0</v>
      </c>
      <c r="B386" s="73" t="s">
        <v>364</v>
      </c>
      <c r="C386" s="74">
        <v>9.0064943E8</v>
      </c>
      <c r="D386" s="73" t="s">
        <v>750</v>
      </c>
      <c r="E386" s="72">
        <v>49.0</v>
      </c>
      <c r="F386" s="75">
        <v>43150.0</v>
      </c>
      <c r="G386" s="76"/>
      <c r="H386" s="76"/>
      <c r="I386" s="73" t="s">
        <v>366</v>
      </c>
      <c r="J386" s="76"/>
    </row>
    <row r="387">
      <c r="A387" s="72">
        <v>386.0</v>
      </c>
      <c r="B387" s="73" t="s">
        <v>364</v>
      </c>
      <c r="C387" s="74">
        <v>9.01093525E8</v>
      </c>
      <c r="D387" s="73" t="s">
        <v>751</v>
      </c>
      <c r="E387" s="72">
        <v>55.0</v>
      </c>
      <c r="F387" s="75">
        <v>43155.0</v>
      </c>
      <c r="G387" s="76"/>
      <c r="H387" s="76"/>
      <c r="I387" s="73" t="s">
        <v>366</v>
      </c>
      <c r="J387" s="76"/>
    </row>
    <row r="388">
      <c r="A388" s="72">
        <v>387.0</v>
      </c>
      <c r="B388" s="73" t="s">
        <v>364</v>
      </c>
      <c r="C388" s="74">
        <v>9.01092692E8</v>
      </c>
      <c r="D388" s="73" t="s">
        <v>752</v>
      </c>
      <c r="E388" s="72">
        <v>67.0</v>
      </c>
      <c r="F388" s="75">
        <v>43175.0</v>
      </c>
      <c r="G388" s="76"/>
      <c r="H388" s="76"/>
      <c r="I388" s="73" t="s">
        <v>366</v>
      </c>
      <c r="J388" s="76"/>
    </row>
    <row r="389">
      <c r="A389" s="72">
        <v>388.0</v>
      </c>
      <c r="B389" s="73" t="s">
        <v>364</v>
      </c>
      <c r="C389" s="74">
        <v>9.00619011E8</v>
      </c>
      <c r="D389" s="73" t="s">
        <v>753</v>
      </c>
      <c r="E389" s="72">
        <v>130.0</v>
      </c>
      <c r="F389" s="75">
        <v>43263.0</v>
      </c>
      <c r="G389" s="76"/>
      <c r="H389" s="76"/>
      <c r="I389" s="73" t="s">
        <v>366</v>
      </c>
      <c r="J389" s="76"/>
    </row>
    <row r="390">
      <c r="A390" s="72">
        <v>389.0</v>
      </c>
      <c r="B390" s="73" t="s">
        <v>364</v>
      </c>
      <c r="C390" s="74">
        <v>9.01091148E8</v>
      </c>
      <c r="D390" s="73" t="s">
        <v>754</v>
      </c>
      <c r="E390" s="72">
        <v>162.0</v>
      </c>
      <c r="F390" s="75">
        <v>43297.0</v>
      </c>
      <c r="G390" s="76"/>
      <c r="H390" s="76"/>
      <c r="I390" s="73" t="s">
        <v>366</v>
      </c>
      <c r="J390" s="76"/>
    </row>
    <row r="391">
      <c r="A391" s="72">
        <v>390.0</v>
      </c>
      <c r="B391" s="73" t="s">
        <v>364</v>
      </c>
      <c r="C391" s="74">
        <v>8.11034938E8</v>
      </c>
      <c r="D391" s="73" t="s">
        <v>755</v>
      </c>
      <c r="E391" s="72">
        <v>326.0</v>
      </c>
      <c r="F391" s="77">
        <v>43440.0</v>
      </c>
      <c r="G391" s="76"/>
      <c r="H391" s="76"/>
      <c r="I391" s="73" t="s">
        <v>366</v>
      </c>
      <c r="J391" s="76"/>
    </row>
    <row r="392">
      <c r="A392" s="72">
        <v>391.0</v>
      </c>
      <c r="B392" s="73" t="s">
        <v>364</v>
      </c>
      <c r="C392" s="74">
        <v>8.00124196E8</v>
      </c>
      <c r="D392" s="73" t="s">
        <v>756</v>
      </c>
      <c r="E392" s="72">
        <v>336.0</v>
      </c>
      <c r="F392" s="77">
        <v>43441.0</v>
      </c>
      <c r="G392" s="76"/>
      <c r="H392" s="76"/>
      <c r="I392" s="73" t="s">
        <v>366</v>
      </c>
      <c r="J392" s="76"/>
    </row>
    <row r="393">
      <c r="A393" s="72">
        <v>392.0</v>
      </c>
      <c r="B393" s="73" t="s">
        <v>364</v>
      </c>
      <c r="C393" s="74">
        <v>8.11025837E8</v>
      </c>
      <c r="D393" s="73" t="s">
        <v>757</v>
      </c>
      <c r="E393" s="72">
        <v>337.0</v>
      </c>
      <c r="F393" s="77">
        <v>43441.0</v>
      </c>
      <c r="G393" s="76"/>
      <c r="H393" s="76"/>
      <c r="I393" s="73" t="s">
        <v>366</v>
      </c>
      <c r="J393" s="76"/>
    </row>
    <row r="394">
      <c r="A394" s="72">
        <v>393.0</v>
      </c>
      <c r="B394" s="73" t="s">
        <v>364</v>
      </c>
      <c r="C394" s="74">
        <v>9.01184343E8</v>
      </c>
      <c r="D394" s="73" t="s">
        <v>758</v>
      </c>
      <c r="E394" s="72">
        <v>335.0</v>
      </c>
      <c r="F394" s="77">
        <v>43441.0</v>
      </c>
      <c r="G394" s="76"/>
      <c r="H394" s="76"/>
      <c r="I394" s="73" t="s">
        <v>366</v>
      </c>
      <c r="J394" s="76"/>
    </row>
    <row r="395">
      <c r="A395" s="72">
        <v>394.0</v>
      </c>
      <c r="B395" s="73" t="s">
        <v>364</v>
      </c>
      <c r="C395" s="74">
        <v>9.01073398E8</v>
      </c>
      <c r="D395" s="73" t="s">
        <v>759</v>
      </c>
      <c r="E395" s="72">
        <v>342.0</v>
      </c>
      <c r="F395" s="77">
        <v>43444.0</v>
      </c>
      <c r="G395" s="76"/>
      <c r="H395" s="76"/>
      <c r="I395" s="73" t="s">
        <v>366</v>
      </c>
      <c r="J395" s="76"/>
    </row>
    <row r="396">
      <c r="A396" s="72">
        <v>395.0</v>
      </c>
      <c r="B396" s="73" t="s">
        <v>364</v>
      </c>
      <c r="C396" s="74">
        <v>8.00088155E8</v>
      </c>
      <c r="D396" s="73" t="s">
        <v>760</v>
      </c>
      <c r="E396" s="72">
        <v>343.0</v>
      </c>
      <c r="F396" s="77">
        <v>43451.0</v>
      </c>
      <c r="G396" s="76"/>
      <c r="H396" s="76"/>
      <c r="I396" s="73" t="s">
        <v>366</v>
      </c>
      <c r="J396" s="76"/>
    </row>
    <row r="397">
      <c r="A397" s="72">
        <v>396.0</v>
      </c>
      <c r="B397" s="73" t="s">
        <v>364</v>
      </c>
      <c r="C397" s="74">
        <v>9.00944898E8</v>
      </c>
      <c r="D397" s="73" t="s">
        <v>761</v>
      </c>
      <c r="E397" s="72">
        <v>128.0</v>
      </c>
      <c r="F397" s="75">
        <v>43565.0</v>
      </c>
      <c r="G397" s="76"/>
      <c r="H397" s="76"/>
      <c r="I397" s="73" t="s">
        <v>366</v>
      </c>
      <c r="J397" s="76"/>
    </row>
    <row r="398">
      <c r="A398" s="72">
        <v>397.0</v>
      </c>
      <c r="B398" s="73" t="s">
        <v>364</v>
      </c>
      <c r="C398" s="74">
        <v>8.00247506E8</v>
      </c>
      <c r="D398" s="73" t="s">
        <v>762</v>
      </c>
      <c r="E398" s="72">
        <v>147.0</v>
      </c>
      <c r="F398" s="75">
        <v>43571.0</v>
      </c>
      <c r="G398" s="76"/>
      <c r="H398" s="76"/>
      <c r="I398" s="73" t="s">
        <v>366</v>
      </c>
      <c r="J398" s="76"/>
    </row>
    <row r="399">
      <c r="A399" s="72">
        <v>398.0</v>
      </c>
      <c r="B399" s="73" t="s">
        <v>364</v>
      </c>
      <c r="C399" s="74">
        <v>9.01078277E8</v>
      </c>
      <c r="D399" s="73" t="s">
        <v>763</v>
      </c>
      <c r="E399" s="72">
        <v>150.0</v>
      </c>
      <c r="F399" s="75">
        <v>43585.0</v>
      </c>
      <c r="G399" s="76"/>
      <c r="H399" s="76"/>
      <c r="I399" s="73" t="s">
        <v>366</v>
      </c>
      <c r="J399" s="76"/>
    </row>
    <row r="400">
      <c r="A400" s="72">
        <v>399.0</v>
      </c>
      <c r="B400" s="73" t="s">
        <v>364</v>
      </c>
      <c r="C400" s="74">
        <v>9.0124609E8</v>
      </c>
      <c r="D400" s="73" t="s">
        <v>764</v>
      </c>
      <c r="E400" s="72">
        <v>216.0</v>
      </c>
      <c r="F400" s="75">
        <v>43609.0</v>
      </c>
      <c r="G400" s="76"/>
      <c r="H400" s="76"/>
      <c r="I400" s="73" t="s">
        <v>366</v>
      </c>
      <c r="J400" s="76"/>
    </row>
    <row r="401">
      <c r="A401" s="72">
        <v>400.0</v>
      </c>
      <c r="B401" s="73" t="s">
        <v>364</v>
      </c>
      <c r="C401" s="74">
        <v>9.01277387E8</v>
      </c>
      <c r="D401" s="73" t="s">
        <v>765</v>
      </c>
      <c r="E401" s="72">
        <v>227.0</v>
      </c>
      <c r="F401" s="75">
        <v>43621.0</v>
      </c>
      <c r="G401" s="76"/>
      <c r="H401" s="76"/>
      <c r="I401" s="73" t="s">
        <v>366</v>
      </c>
      <c r="J401" s="76"/>
    </row>
    <row r="402">
      <c r="A402" s="72">
        <v>401.0</v>
      </c>
      <c r="B402" s="73" t="s">
        <v>364</v>
      </c>
      <c r="C402" s="74">
        <v>9.00943704E8</v>
      </c>
      <c r="D402" s="73" t="s">
        <v>766</v>
      </c>
      <c r="E402" s="72">
        <v>228.0</v>
      </c>
      <c r="F402" s="75">
        <v>43627.0</v>
      </c>
      <c r="G402" s="76"/>
      <c r="H402" s="76"/>
      <c r="I402" s="73" t="s">
        <v>366</v>
      </c>
      <c r="J402" s="76"/>
    </row>
    <row r="403">
      <c r="A403" s="72">
        <v>402.0</v>
      </c>
      <c r="B403" s="73" t="s">
        <v>364</v>
      </c>
      <c r="C403" s="74">
        <v>9.01280176E8</v>
      </c>
      <c r="D403" s="73" t="s">
        <v>767</v>
      </c>
      <c r="E403" s="72">
        <v>260.0</v>
      </c>
      <c r="F403" s="75">
        <v>43658.0</v>
      </c>
      <c r="G403" s="76"/>
      <c r="H403" s="76"/>
      <c r="I403" s="73" t="s">
        <v>366</v>
      </c>
      <c r="J403" s="76"/>
    </row>
    <row r="404">
      <c r="A404" s="72">
        <v>403.0</v>
      </c>
      <c r="B404" s="73" t="s">
        <v>364</v>
      </c>
      <c r="C404" s="74">
        <v>9.01298796E8</v>
      </c>
      <c r="D404" s="73" t="s">
        <v>768</v>
      </c>
      <c r="E404" s="72">
        <v>509.0</v>
      </c>
      <c r="F404" s="75">
        <v>43677.0</v>
      </c>
      <c r="G404" s="76"/>
      <c r="H404" s="76"/>
      <c r="I404" s="73" t="s">
        <v>366</v>
      </c>
      <c r="J404" s="76"/>
    </row>
    <row r="405">
      <c r="A405" s="72">
        <v>404.0</v>
      </c>
      <c r="B405" s="73" t="s">
        <v>364</v>
      </c>
      <c r="C405" s="74">
        <v>9.00437476E8</v>
      </c>
      <c r="D405" s="73" t="s">
        <v>769</v>
      </c>
      <c r="E405" s="72">
        <v>341.0</v>
      </c>
      <c r="F405" s="75">
        <v>43693.0</v>
      </c>
      <c r="G405" s="76"/>
      <c r="H405" s="76"/>
      <c r="I405" s="73" t="s">
        <v>366</v>
      </c>
      <c r="J405" s="76"/>
    </row>
    <row r="406">
      <c r="A406" s="72">
        <v>405.0</v>
      </c>
      <c r="B406" s="73" t="s">
        <v>364</v>
      </c>
      <c r="C406" s="74">
        <v>8.30512591E8</v>
      </c>
      <c r="D406" s="73" t="s">
        <v>770</v>
      </c>
      <c r="E406" s="72">
        <v>351.0</v>
      </c>
      <c r="F406" s="75">
        <v>43705.0</v>
      </c>
      <c r="G406" s="76"/>
      <c r="H406" s="76"/>
      <c r="I406" s="73" t="s">
        <v>366</v>
      </c>
      <c r="J406" s="76"/>
    </row>
    <row r="407">
      <c r="A407" s="72">
        <v>406.0</v>
      </c>
      <c r="B407" s="73" t="s">
        <v>364</v>
      </c>
      <c r="C407" s="74">
        <v>9.01020834E8</v>
      </c>
      <c r="D407" s="73" t="s">
        <v>771</v>
      </c>
      <c r="E407" s="72">
        <v>354.0</v>
      </c>
      <c r="F407" s="75">
        <v>43712.0</v>
      </c>
      <c r="G407" s="76"/>
      <c r="H407" s="76"/>
      <c r="I407" s="73" t="s">
        <v>366</v>
      </c>
      <c r="J407" s="76"/>
    </row>
    <row r="408">
      <c r="A408" s="72">
        <v>407.0</v>
      </c>
      <c r="B408" s="73" t="s">
        <v>364</v>
      </c>
      <c r="C408" s="74">
        <v>9.00437294E8</v>
      </c>
      <c r="D408" s="73" t="s">
        <v>772</v>
      </c>
      <c r="E408" s="72">
        <v>357.0</v>
      </c>
      <c r="F408" s="75">
        <v>43719.0</v>
      </c>
      <c r="G408" s="76"/>
      <c r="H408" s="76"/>
      <c r="I408" s="73" t="s">
        <v>366</v>
      </c>
      <c r="J408" s="76"/>
    </row>
    <row r="409">
      <c r="A409" s="72">
        <v>408.0</v>
      </c>
      <c r="B409" s="73" t="s">
        <v>364</v>
      </c>
      <c r="C409" s="74">
        <v>9.01222872E8</v>
      </c>
      <c r="D409" s="73" t="s">
        <v>773</v>
      </c>
      <c r="E409" s="72">
        <v>374.0</v>
      </c>
      <c r="F409" s="77">
        <v>43748.0</v>
      </c>
      <c r="G409" s="76"/>
      <c r="H409" s="76"/>
      <c r="I409" s="73" t="s">
        <v>366</v>
      </c>
      <c r="J409" s="76"/>
    </row>
    <row r="410">
      <c r="A410" s="72">
        <v>409.0</v>
      </c>
      <c r="B410" s="73" t="s">
        <v>364</v>
      </c>
      <c r="C410" s="74">
        <v>9.01249728E8</v>
      </c>
      <c r="D410" s="73" t="s">
        <v>774</v>
      </c>
      <c r="E410" s="72">
        <v>384.0</v>
      </c>
      <c r="F410" s="77">
        <v>43759.0</v>
      </c>
      <c r="G410" s="76"/>
      <c r="H410" s="76"/>
      <c r="I410" s="73" t="s">
        <v>366</v>
      </c>
      <c r="J410" s="76"/>
    </row>
    <row r="411">
      <c r="A411" s="72">
        <v>410.0</v>
      </c>
      <c r="B411" s="73" t="s">
        <v>364</v>
      </c>
      <c r="C411" s="74">
        <v>9.00206373E8</v>
      </c>
      <c r="D411" s="73" t="s">
        <v>775</v>
      </c>
      <c r="E411" s="72">
        <v>391.0</v>
      </c>
      <c r="F411" s="77">
        <v>43763.0</v>
      </c>
      <c r="G411" s="76"/>
      <c r="H411" s="76"/>
      <c r="I411" s="73" t="s">
        <v>366</v>
      </c>
      <c r="J411" s="76"/>
    </row>
    <row r="412">
      <c r="A412" s="72">
        <v>411.0</v>
      </c>
      <c r="B412" s="73" t="s">
        <v>364</v>
      </c>
      <c r="C412" s="74">
        <v>9.01320756E8</v>
      </c>
      <c r="D412" s="73" t="s">
        <v>776</v>
      </c>
      <c r="E412" s="72">
        <v>12.0</v>
      </c>
      <c r="F412" s="75">
        <v>43857.0</v>
      </c>
      <c r="G412" s="76"/>
      <c r="H412" s="76"/>
      <c r="I412" s="73" t="s">
        <v>366</v>
      </c>
      <c r="J412" s="76"/>
    </row>
    <row r="413">
      <c r="A413" s="72">
        <v>412.0</v>
      </c>
      <c r="B413" s="73" t="s">
        <v>364</v>
      </c>
      <c r="C413" s="74">
        <v>9.00627348E8</v>
      </c>
      <c r="D413" s="73" t="s">
        <v>777</v>
      </c>
      <c r="E413" s="72">
        <v>30.0</v>
      </c>
      <c r="F413" s="75">
        <v>43881.0</v>
      </c>
      <c r="G413" s="76"/>
      <c r="H413" s="76"/>
      <c r="I413" s="73" t="s">
        <v>366</v>
      </c>
      <c r="J413" s="76"/>
    </row>
    <row r="414">
      <c r="A414" s="72">
        <v>413.0</v>
      </c>
      <c r="B414" s="73" t="s">
        <v>364</v>
      </c>
      <c r="C414" s="74">
        <v>8.11039342E8</v>
      </c>
      <c r="D414" s="73" t="s">
        <v>778</v>
      </c>
      <c r="E414" s="72">
        <v>398.0</v>
      </c>
      <c r="F414" s="75">
        <v>43979.0</v>
      </c>
      <c r="G414" s="76"/>
      <c r="H414" s="76"/>
      <c r="I414" s="73" t="s">
        <v>366</v>
      </c>
      <c r="J414" s="76"/>
    </row>
    <row r="415">
      <c r="A415" s="72">
        <v>414.0</v>
      </c>
      <c r="B415" s="73" t="s">
        <v>364</v>
      </c>
      <c r="C415" s="74">
        <v>9.01371397E8</v>
      </c>
      <c r="D415" s="73" t="s">
        <v>779</v>
      </c>
      <c r="E415" s="72">
        <v>2.0203040005665E13</v>
      </c>
      <c r="F415" s="75">
        <v>43992.0</v>
      </c>
      <c r="G415" s="76"/>
      <c r="H415" s="76"/>
      <c r="I415" s="73" t="s">
        <v>366</v>
      </c>
      <c r="J415" s="76"/>
    </row>
    <row r="416">
      <c r="A416" s="72">
        <v>415.0</v>
      </c>
      <c r="B416" s="73" t="s">
        <v>364</v>
      </c>
      <c r="C416" s="74">
        <v>9.01375963E8</v>
      </c>
      <c r="D416" s="73" t="s">
        <v>780</v>
      </c>
      <c r="E416" s="72">
        <v>2.0203040011405E13</v>
      </c>
      <c r="F416" s="75">
        <v>44065.0</v>
      </c>
      <c r="G416" s="76"/>
      <c r="H416" s="76"/>
      <c r="I416" s="73" t="s">
        <v>366</v>
      </c>
      <c r="J416" s="76"/>
    </row>
    <row r="417">
      <c r="A417" s="72">
        <v>416.0</v>
      </c>
      <c r="B417" s="73" t="s">
        <v>364</v>
      </c>
      <c r="C417" s="74">
        <v>9.00941508E8</v>
      </c>
      <c r="D417" s="73" t="s">
        <v>781</v>
      </c>
      <c r="E417" s="72">
        <v>2.0203040017755E13</v>
      </c>
      <c r="F417" s="77">
        <v>44130.0</v>
      </c>
      <c r="G417" s="76"/>
      <c r="H417" s="76"/>
      <c r="I417" s="73" t="s">
        <v>366</v>
      </c>
      <c r="J417" s="76"/>
    </row>
    <row r="418">
      <c r="A418" s="72">
        <v>417.0</v>
      </c>
      <c r="B418" s="73" t="s">
        <v>364</v>
      </c>
      <c r="C418" s="74">
        <v>9.01156307E8</v>
      </c>
      <c r="D418" s="73" t="s">
        <v>782</v>
      </c>
      <c r="E418" s="72">
        <v>2.0203040002925E13</v>
      </c>
      <c r="F418" s="77">
        <v>44179.0</v>
      </c>
      <c r="G418" s="76"/>
      <c r="H418" s="76"/>
      <c r="I418" s="73" t="s">
        <v>366</v>
      </c>
      <c r="J418" s="76"/>
    </row>
    <row r="419">
      <c r="A419" s="72">
        <v>418.0</v>
      </c>
      <c r="B419" s="73" t="s">
        <v>364</v>
      </c>
      <c r="C419" s="74">
        <v>9.01158516E8</v>
      </c>
      <c r="D419" s="73" t="s">
        <v>783</v>
      </c>
      <c r="E419" s="72">
        <v>2.0203040032665E13</v>
      </c>
      <c r="F419" s="77">
        <v>44188.0</v>
      </c>
      <c r="G419" s="76"/>
      <c r="H419" s="76"/>
      <c r="I419" s="73" t="s">
        <v>366</v>
      </c>
      <c r="J419" s="76"/>
    </row>
    <row r="420">
      <c r="A420" s="72">
        <v>419.0</v>
      </c>
      <c r="B420" s="73" t="s">
        <v>364</v>
      </c>
      <c r="C420" s="74">
        <v>9.01064144E8</v>
      </c>
      <c r="D420" s="73" t="s">
        <v>784</v>
      </c>
      <c r="E420" s="72">
        <v>2.0213040003695E13</v>
      </c>
      <c r="F420" s="75">
        <v>44225.0</v>
      </c>
      <c r="G420" s="76"/>
      <c r="H420" s="76"/>
      <c r="I420" s="73" t="s">
        <v>366</v>
      </c>
      <c r="J420" s="76"/>
    </row>
    <row r="421">
      <c r="A421" s="72">
        <v>420.0</v>
      </c>
      <c r="B421" s="73" t="s">
        <v>364</v>
      </c>
      <c r="C421" s="74">
        <v>9.01434324E8</v>
      </c>
      <c r="D421" s="73" t="s">
        <v>785</v>
      </c>
      <c r="E421" s="72">
        <v>2.0213040009325E13</v>
      </c>
      <c r="F421" s="75">
        <v>44260.0</v>
      </c>
      <c r="G421" s="76"/>
      <c r="H421" s="76"/>
      <c r="I421" s="73" t="s">
        <v>366</v>
      </c>
      <c r="J421" s="76"/>
    </row>
    <row r="422">
      <c r="A422" s="72">
        <v>421.0</v>
      </c>
      <c r="B422" s="73" t="s">
        <v>364</v>
      </c>
      <c r="C422" s="74">
        <v>8.11015658E8</v>
      </c>
      <c r="D422" s="73" t="s">
        <v>786</v>
      </c>
      <c r="E422" s="72">
        <v>2.0213040009865E13</v>
      </c>
      <c r="F422" s="75">
        <v>44264.0</v>
      </c>
      <c r="G422" s="76"/>
      <c r="H422" s="76"/>
      <c r="I422" s="73" t="s">
        <v>366</v>
      </c>
      <c r="J422" s="76"/>
    </row>
    <row r="423">
      <c r="A423" s="78">
        <v>422.0</v>
      </c>
      <c r="B423" s="79" t="s">
        <v>364</v>
      </c>
      <c r="C423" s="80">
        <v>9.01423478E8</v>
      </c>
      <c r="D423" s="79" t="s">
        <v>787</v>
      </c>
      <c r="E423" s="81">
        <v>2.0212470015425E13</v>
      </c>
      <c r="F423" s="84">
        <v>44299.0</v>
      </c>
      <c r="G423" s="83"/>
      <c r="H423" s="83"/>
      <c r="I423" s="73" t="s">
        <v>366</v>
      </c>
      <c r="J423" s="76"/>
    </row>
    <row r="424">
      <c r="A424" s="72">
        <v>423.0</v>
      </c>
      <c r="B424" s="73" t="s">
        <v>364</v>
      </c>
      <c r="C424" s="74">
        <v>9.00154131E8</v>
      </c>
      <c r="D424" s="73" t="s">
        <v>788</v>
      </c>
      <c r="E424" s="72">
        <v>2.0213040016105E13</v>
      </c>
      <c r="F424" s="75">
        <v>44304.0</v>
      </c>
      <c r="G424" s="76"/>
      <c r="H424" s="76"/>
      <c r="I424" s="73" t="s">
        <v>366</v>
      </c>
      <c r="J424" s="76"/>
    </row>
    <row r="425">
      <c r="A425" s="72">
        <v>424.0</v>
      </c>
      <c r="B425" s="73" t="s">
        <v>364</v>
      </c>
      <c r="C425" s="74">
        <v>9.01263495E8</v>
      </c>
      <c r="D425" s="73" t="s">
        <v>789</v>
      </c>
      <c r="E425" s="72">
        <v>2.0213040017685E13</v>
      </c>
      <c r="F425" s="75">
        <v>44313.0</v>
      </c>
      <c r="G425" s="76"/>
      <c r="H425" s="76"/>
      <c r="I425" s="73" t="s">
        <v>366</v>
      </c>
      <c r="J425" s="76"/>
    </row>
    <row r="426">
      <c r="A426" s="72">
        <v>425.0</v>
      </c>
      <c r="B426" s="73" t="s">
        <v>364</v>
      </c>
      <c r="C426" s="74">
        <v>9.01066893E8</v>
      </c>
      <c r="D426" s="73" t="s">
        <v>790</v>
      </c>
      <c r="E426" s="72">
        <v>2.0213040027125E13</v>
      </c>
      <c r="F426" s="75">
        <v>44377.0</v>
      </c>
      <c r="G426" s="76"/>
      <c r="H426" s="76"/>
      <c r="I426" s="73" t="s">
        <v>366</v>
      </c>
      <c r="J426" s="76"/>
    </row>
    <row r="427">
      <c r="A427" s="72">
        <v>426.0</v>
      </c>
      <c r="B427" s="73" t="s">
        <v>364</v>
      </c>
      <c r="C427" s="74">
        <v>9.01094601E8</v>
      </c>
      <c r="D427" s="73" t="s">
        <v>791</v>
      </c>
      <c r="E427" s="72">
        <v>27115.0</v>
      </c>
      <c r="F427" s="75">
        <v>44377.0</v>
      </c>
      <c r="G427" s="76"/>
      <c r="H427" s="76"/>
      <c r="I427" s="73" t="s">
        <v>366</v>
      </c>
      <c r="J427" s="76"/>
    </row>
    <row r="428">
      <c r="A428" s="72">
        <v>427.0</v>
      </c>
      <c r="B428" s="73" t="s">
        <v>364</v>
      </c>
      <c r="C428" s="74">
        <v>9.01411423E8</v>
      </c>
      <c r="D428" s="73" t="s">
        <v>792</v>
      </c>
      <c r="E428" s="72">
        <v>2.0212470027275E13</v>
      </c>
      <c r="F428" s="75">
        <v>44377.0</v>
      </c>
      <c r="G428" s="76"/>
      <c r="H428" s="76"/>
      <c r="I428" s="73" t="s">
        <v>366</v>
      </c>
      <c r="J428" s="76"/>
    </row>
    <row r="429">
      <c r="A429" s="72">
        <v>428.0</v>
      </c>
      <c r="B429" s="73" t="s">
        <v>364</v>
      </c>
      <c r="C429" s="74">
        <v>9.01215939E8</v>
      </c>
      <c r="D429" s="73" t="s">
        <v>793</v>
      </c>
      <c r="E429" s="72">
        <v>2.0213040030835E13</v>
      </c>
      <c r="F429" s="75">
        <v>44398.0</v>
      </c>
      <c r="G429" s="76"/>
      <c r="H429" s="76"/>
      <c r="I429" s="73" t="s">
        <v>366</v>
      </c>
      <c r="J429" s="76"/>
    </row>
    <row r="430">
      <c r="A430" s="72">
        <v>429.0</v>
      </c>
      <c r="B430" s="73" t="s">
        <v>364</v>
      </c>
      <c r="C430" s="74">
        <v>9.01449043E8</v>
      </c>
      <c r="D430" s="73" t="s">
        <v>794</v>
      </c>
      <c r="E430" s="72">
        <v>2.0213040030945E13</v>
      </c>
      <c r="F430" s="75">
        <v>44399.0</v>
      </c>
      <c r="G430" s="76"/>
      <c r="H430" s="76"/>
      <c r="I430" s="73" t="s">
        <v>366</v>
      </c>
      <c r="J430" s="76"/>
    </row>
    <row r="431">
      <c r="A431" s="72">
        <v>430.0</v>
      </c>
      <c r="B431" s="73" t="s">
        <v>364</v>
      </c>
      <c r="C431" s="74">
        <v>9.01433509E8</v>
      </c>
      <c r="D431" s="73" t="s">
        <v>795</v>
      </c>
      <c r="E431" s="72">
        <v>2.0213040045455E13</v>
      </c>
      <c r="F431" s="75">
        <v>44469.0</v>
      </c>
      <c r="G431" s="76"/>
      <c r="H431" s="76"/>
      <c r="I431" s="73" t="s">
        <v>366</v>
      </c>
      <c r="J431" s="76"/>
    </row>
    <row r="432">
      <c r="A432" s="72">
        <v>431.0</v>
      </c>
      <c r="B432" s="73" t="s">
        <v>364</v>
      </c>
      <c r="C432" s="74">
        <v>9.00735264E8</v>
      </c>
      <c r="D432" s="73" t="s">
        <v>796</v>
      </c>
      <c r="E432" s="72">
        <v>47745.0</v>
      </c>
      <c r="F432" s="77">
        <v>44481.0</v>
      </c>
      <c r="G432" s="76"/>
      <c r="H432" s="76"/>
      <c r="I432" s="73" t="s">
        <v>366</v>
      </c>
      <c r="J432" s="76"/>
    </row>
    <row r="433">
      <c r="A433" s="72">
        <v>432.0</v>
      </c>
      <c r="B433" s="73" t="s">
        <v>364</v>
      </c>
      <c r="C433" s="74">
        <v>9.01040074E8</v>
      </c>
      <c r="D433" s="73" t="s">
        <v>797</v>
      </c>
      <c r="E433" s="72">
        <v>2.0213050049055E13</v>
      </c>
      <c r="F433" s="77">
        <v>44488.0</v>
      </c>
      <c r="G433" s="76"/>
      <c r="H433" s="76"/>
      <c r="I433" s="73" t="s">
        <v>366</v>
      </c>
      <c r="J433" s="76"/>
    </row>
    <row r="434">
      <c r="A434" s="72">
        <v>433.0</v>
      </c>
      <c r="B434" s="73" t="s">
        <v>364</v>
      </c>
      <c r="C434" s="74">
        <v>9.00326652E8</v>
      </c>
      <c r="D434" s="73" t="s">
        <v>798</v>
      </c>
      <c r="E434" s="72">
        <v>2.0213050049945E13</v>
      </c>
      <c r="F434" s="77">
        <v>44490.0</v>
      </c>
      <c r="G434" s="76"/>
      <c r="H434" s="76"/>
      <c r="I434" s="73" t="s">
        <v>366</v>
      </c>
      <c r="J434" s="76"/>
    </row>
    <row r="435">
      <c r="A435" s="72">
        <v>434.0</v>
      </c>
      <c r="B435" s="73" t="s">
        <v>364</v>
      </c>
      <c r="C435" s="74">
        <v>9.00555482E8</v>
      </c>
      <c r="D435" s="73" t="s">
        <v>799</v>
      </c>
      <c r="E435" s="72">
        <v>2.0213050052335E13</v>
      </c>
      <c r="F435" s="77">
        <v>44503.0</v>
      </c>
      <c r="G435" s="76"/>
      <c r="H435" s="76"/>
      <c r="I435" s="73" t="s">
        <v>366</v>
      </c>
      <c r="J435" s="76"/>
    </row>
    <row r="436">
      <c r="A436" s="72">
        <v>435.0</v>
      </c>
      <c r="B436" s="73" t="s">
        <v>364</v>
      </c>
      <c r="C436" s="74">
        <v>9.00563153E8</v>
      </c>
      <c r="D436" s="73" t="s">
        <v>800</v>
      </c>
      <c r="E436" s="72">
        <v>2.0213050053025E13</v>
      </c>
      <c r="F436" s="77">
        <v>44508.0</v>
      </c>
      <c r="G436" s="76"/>
      <c r="H436" s="76"/>
      <c r="I436" s="73" t="s">
        <v>366</v>
      </c>
      <c r="J436" s="76"/>
    </row>
    <row r="437">
      <c r="A437" s="72">
        <v>436.0</v>
      </c>
      <c r="B437" s="73" t="s">
        <v>364</v>
      </c>
      <c r="C437" s="74">
        <v>9.01443158E8</v>
      </c>
      <c r="D437" s="73" t="s">
        <v>801</v>
      </c>
      <c r="E437" s="72">
        <v>2.0213050060065E13</v>
      </c>
      <c r="F437" s="77">
        <v>44543.0</v>
      </c>
      <c r="G437" s="76"/>
      <c r="H437" s="76"/>
      <c r="I437" s="73" t="s">
        <v>366</v>
      </c>
      <c r="J437" s="76"/>
    </row>
    <row r="438">
      <c r="A438" s="72">
        <v>437.0</v>
      </c>
      <c r="B438" s="73" t="s">
        <v>364</v>
      </c>
      <c r="C438" s="74">
        <v>9.00735292E8</v>
      </c>
      <c r="D438" s="73" t="s">
        <v>802</v>
      </c>
      <c r="E438" s="72">
        <v>2.0213050062765E13</v>
      </c>
      <c r="F438" s="77">
        <v>44554.0</v>
      </c>
      <c r="G438" s="76"/>
      <c r="H438" s="76"/>
      <c r="I438" s="73" t="s">
        <v>366</v>
      </c>
      <c r="J438" s="76"/>
    </row>
    <row r="439">
      <c r="A439" s="72">
        <v>438.0</v>
      </c>
      <c r="B439" s="73" t="s">
        <v>364</v>
      </c>
      <c r="C439" s="74">
        <v>9.01329209E8</v>
      </c>
      <c r="D439" s="73" t="s">
        <v>803</v>
      </c>
      <c r="E439" s="72">
        <v>2.0223050008205E13</v>
      </c>
      <c r="F439" s="75">
        <v>44610.0</v>
      </c>
      <c r="G439" s="76"/>
      <c r="H439" s="76"/>
      <c r="I439" s="73" t="s">
        <v>366</v>
      </c>
      <c r="J439" s="76"/>
    </row>
    <row r="440">
      <c r="A440" s="72">
        <v>439.0</v>
      </c>
      <c r="B440" s="73" t="s">
        <v>364</v>
      </c>
      <c r="C440" s="74">
        <v>9.01061887E8</v>
      </c>
      <c r="D440" s="73" t="s">
        <v>804</v>
      </c>
      <c r="E440" s="72">
        <v>2.0223050025245E13</v>
      </c>
      <c r="F440" s="75">
        <v>44690.0</v>
      </c>
      <c r="G440" s="76"/>
      <c r="H440" s="76"/>
      <c r="I440" s="73" t="s">
        <v>366</v>
      </c>
      <c r="J440" s="76"/>
    </row>
    <row r="441">
      <c r="A441" s="72">
        <v>440.0</v>
      </c>
      <c r="B441" s="73" t="s">
        <v>364</v>
      </c>
      <c r="C441" s="74">
        <v>9.01318749E8</v>
      </c>
      <c r="D441" s="73" t="s">
        <v>805</v>
      </c>
      <c r="E441" s="72">
        <v>2.0223050033025E13</v>
      </c>
      <c r="F441" s="75">
        <v>44721.0</v>
      </c>
      <c r="G441" s="76"/>
      <c r="H441" s="76"/>
      <c r="I441" s="73" t="s">
        <v>366</v>
      </c>
      <c r="J441" s="76"/>
    </row>
    <row r="442">
      <c r="A442" s="72">
        <v>441.0</v>
      </c>
      <c r="B442" s="73" t="s">
        <v>364</v>
      </c>
      <c r="C442" s="74">
        <v>9.01580689E8</v>
      </c>
      <c r="D442" s="73" t="s">
        <v>806</v>
      </c>
      <c r="E442" s="72">
        <v>2.0222470033615E13</v>
      </c>
      <c r="F442" s="75">
        <v>44726.0</v>
      </c>
      <c r="G442" s="76"/>
      <c r="H442" s="76"/>
      <c r="I442" s="73" t="s">
        <v>366</v>
      </c>
      <c r="J442" s="76"/>
    </row>
    <row r="443">
      <c r="A443" s="72">
        <v>442.0</v>
      </c>
      <c r="B443" s="73" t="s">
        <v>364</v>
      </c>
      <c r="C443" s="74">
        <v>9.01435189E8</v>
      </c>
      <c r="D443" s="73" t="s">
        <v>807</v>
      </c>
      <c r="E443" s="72">
        <v>2.0222200033885E13</v>
      </c>
      <c r="F443" s="75">
        <v>44727.0</v>
      </c>
      <c r="G443" s="76"/>
      <c r="H443" s="76"/>
      <c r="I443" s="73" t="s">
        <v>366</v>
      </c>
      <c r="J443" s="76"/>
    </row>
    <row r="444">
      <c r="A444" s="72">
        <v>443.0</v>
      </c>
      <c r="B444" s="73" t="s">
        <v>364</v>
      </c>
      <c r="C444" s="74">
        <v>9.01168948E8</v>
      </c>
      <c r="D444" s="73" t="s">
        <v>808</v>
      </c>
      <c r="E444" s="72">
        <v>2.0223050040895E13</v>
      </c>
      <c r="F444" s="75">
        <v>44755.0</v>
      </c>
      <c r="G444" s="76"/>
      <c r="H444" s="76"/>
      <c r="I444" s="73" t="s">
        <v>366</v>
      </c>
      <c r="J444" s="76"/>
    </row>
    <row r="445">
      <c r="A445" s="72">
        <v>444.0</v>
      </c>
      <c r="B445" s="73" t="s">
        <v>364</v>
      </c>
      <c r="C445" s="74">
        <v>9.01366525E8</v>
      </c>
      <c r="D445" s="73" t="s">
        <v>809</v>
      </c>
      <c r="E445" s="72">
        <v>2.0222200046575E13</v>
      </c>
      <c r="F445" s="75">
        <v>44783.0</v>
      </c>
      <c r="G445" s="76"/>
      <c r="H445" s="76"/>
      <c r="I445" s="73" t="s">
        <v>366</v>
      </c>
      <c r="J445" s="76"/>
    </row>
    <row r="446">
      <c r="A446" s="72">
        <v>445.0</v>
      </c>
      <c r="B446" s="73" t="s">
        <v>364</v>
      </c>
      <c r="C446" s="74">
        <v>9.01469795E8</v>
      </c>
      <c r="D446" s="73" t="s">
        <v>810</v>
      </c>
      <c r="E446" s="72">
        <v>2.0223050047695E13</v>
      </c>
      <c r="F446" s="75">
        <v>44789.0</v>
      </c>
      <c r="G446" s="76"/>
      <c r="H446" s="76"/>
      <c r="I446" s="73" t="s">
        <v>366</v>
      </c>
      <c r="J446" s="76"/>
    </row>
    <row r="447">
      <c r="A447" s="72">
        <v>446.0</v>
      </c>
      <c r="B447" s="73" t="s">
        <v>364</v>
      </c>
      <c r="C447" s="74">
        <v>9.01167319E8</v>
      </c>
      <c r="D447" s="73" t="s">
        <v>811</v>
      </c>
      <c r="E447" s="72">
        <v>24.0</v>
      </c>
      <c r="F447" s="75">
        <v>44796.0</v>
      </c>
      <c r="G447" s="76"/>
      <c r="H447" s="76"/>
      <c r="I447" s="73" t="s">
        <v>366</v>
      </c>
      <c r="J447" s="76"/>
    </row>
    <row r="448">
      <c r="A448" s="72">
        <v>447.0</v>
      </c>
      <c r="B448" s="73" t="s">
        <v>364</v>
      </c>
      <c r="C448" s="74">
        <v>9.00115069E8</v>
      </c>
      <c r="D448" s="73" t="s">
        <v>812</v>
      </c>
      <c r="E448" s="72">
        <v>2.0223050059405E13</v>
      </c>
      <c r="F448" s="77">
        <v>44837.0</v>
      </c>
      <c r="G448" s="76"/>
      <c r="H448" s="76"/>
      <c r="I448" s="73" t="s">
        <v>366</v>
      </c>
      <c r="J448" s="76"/>
    </row>
    <row r="449">
      <c r="A449" s="72">
        <v>448.0</v>
      </c>
      <c r="B449" s="73" t="s">
        <v>364</v>
      </c>
      <c r="C449" s="74">
        <v>9.01485415E8</v>
      </c>
      <c r="D449" s="73" t="s">
        <v>813</v>
      </c>
      <c r="E449" s="72">
        <v>2.0223050072605E13</v>
      </c>
      <c r="F449" s="77">
        <v>44896.0</v>
      </c>
      <c r="G449" s="76"/>
      <c r="H449" s="76"/>
      <c r="I449" s="73" t="s">
        <v>366</v>
      </c>
      <c r="J449" s="76"/>
    </row>
    <row r="450">
      <c r="A450" s="72">
        <v>449.0</v>
      </c>
      <c r="B450" s="73" t="s">
        <v>364</v>
      </c>
      <c r="C450" s="74">
        <v>9.00560763E8</v>
      </c>
      <c r="D450" s="73" t="s">
        <v>814</v>
      </c>
      <c r="E450" s="72">
        <v>2.0223050074765E13</v>
      </c>
      <c r="F450" s="77">
        <v>44907.0</v>
      </c>
      <c r="G450" s="76"/>
      <c r="H450" s="76"/>
      <c r="I450" s="73" t="s">
        <v>366</v>
      </c>
      <c r="J450" s="76"/>
    </row>
    <row r="451">
      <c r="A451" s="72">
        <v>450.0</v>
      </c>
      <c r="B451" s="73" t="s">
        <v>364</v>
      </c>
      <c r="C451" s="74">
        <v>9.01638882E8</v>
      </c>
      <c r="D451" s="73" t="s">
        <v>815</v>
      </c>
      <c r="E451" s="72">
        <v>2.0223050076145E13</v>
      </c>
      <c r="F451" s="77">
        <v>44910.0</v>
      </c>
      <c r="G451" s="76"/>
      <c r="H451" s="76"/>
      <c r="I451" s="73" t="s">
        <v>366</v>
      </c>
      <c r="J451" s="76"/>
    </row>
    <row r="452">
      <c r="A452" s="72">
        <v>451.0</v>
      </c>
      <c r="B452" s="73" t="s">
        <v>364</v>
      </c>
      <c r="C452" s="74">
        <v>9.01625794E8</v>
      </c>
      <c r="D452" s="73" t="s">
        <v>816</v>
      </c>
      <c r="E452" s="72">
        <v>2.0223050076285E13</v>
      </c>
      <c r="F452" s="77">
        <v>44911.0</v>
      </c>
      <c r="G452" s="76"/>
      <c r="H452" s="76"/>
      <c r="I452" s="73" t="s">
        <v>366</v>
      </c>
      <c r="J452" s="76"/>
    </row>
    <row r="453">
      <c r="A453" s="72">
        <v>452.0</v>
      </c>
      <c r="B453" s="73" t="s">
        <v>364</v>
      </c>
      <c r="C453" s="74">
        <v>9.00478207E8</v>
      </c>
      <c r="D453" s="73" t="s">
        <v>817</v>
      </c>
      <c r="E453" s="72">
        <v>2.0233050077185E13</v>
      </c>
      <c r="F453" s="77">
        <v>44916.0</v>
      </c>
      <c r="G453" s="76"/>
      <c r="H453" s="76"/>
      <c r="I453" s="73" t="s">
        <v>366</v>
      </c>
      <c r="J453" s="76"/>
    </row>
    <row r="454">
      <c r="A454" s="72">
        <v>453.0</v>
      </c>
      <c r="B454" s="73" t="s">
        <v>364</v>
      </c>
      <c r="C454" s="74">
        <v>9.01527329E8</v>
      </c>
      <c r="D454" s="73" t="s">
        <v>818</v>
      </c>
      <c r="E454" s="72">
        <v>2.0233050000045E13</v>
      </c>
      <c r="F454" s="75">
        <v>44929.0</v>
      </c>
      <c r="G454" s="76"/>
      <c r="H454" s="76"/>
      <c r="I454" s="73" t="s">
        <v>366</v>
      </c>
      <c r="J454" s="76"/>
    </row>
    <row r="455">
      <c r="A455" s="72">
        <v>454.0</v>
      </c>
      <c r="B455" s="73" t="s">
        <v>364</v>
      </c>
      <c r="C455" s="74">
        <v>9.01575783E8</v>
      </c>
      <c r="D455" s="73" t="s">
        <v>819</v>
      </c>
      <c r="E455" s="72">
        <v>2.0233050003965E13</v>
      </c>
      <c r="F455" s="75">
        <v>44959.0</v>
      </c>
      <c r="G455" s="76"/>
      <c r="H455" s="76"/>
      <c r="I455" s="73" t="s">
        <v>366</v>
      </c>
      <c r="J455" s="76"/>
    </row>
    <row r="456">
      <c r="A456" s="72">
        <v>455.0</v>
      </c>
      <c r="B456" s="73" t="s">
        <v>364</v>
      </c>
      <c r="C456" s="74">
        <v>9.01575303E8</v>
      </c>
      <c r="D456" s="73" t="s">
        <v>820</v>
      </c>
      <c r="E456" s="72">
        <v>2.0232200004255E13</v>
      </c>
      <c r="F456" s="75">
        <v>44963.0</v>
      </c>
      <c r="G456" s="76"/>
      <c r="H456" s="76"/>
      <c r="I456" s="73" t="s">
        <v>366</v>
      </c>
      <c r="J456" s="76"/>
    </row>
    <row r="457">
      <c r="A457" s="72">
        <v>456.0</v>
      </c>
      <c r="B457" s="73" t="s">
        <v>364</v>
      </c>
      <c r="C457" s="74">
        <v>9.01245258E8</v>
      </c>
      <c r="D457" s="73" t="s">
        <v>821</v>
      </c>
      <c r="E457" s="72">
        <v>2.0233050007635E13</v>
      </c>
      <c r="F457" s="75">
        <v>44984.0</v>
      </c>
      <c r="G457" s="76"/>
      <c r="H457" s="76"/>
      <c r="I457" s="73" t="s">
        <v>366</v>
      </c>
      <c r="J457" s="76"/>
    </row>
    <row r="458">
      <c r="A458" s="72">
        <v>457.0</v>
      </c>
      <c r="B458" s="73" t="s">
        <v>364</v>
      </c>
      <c r="C458" s="74">
        <v>9.00080037E8</v>
      </c>
      <c r="D458" s="73" t="s">
        <v>822</v>
      </c>
      <c r="E458" s="72">
        <v>2.0233050009595E13</v>
      </c>
      <c r="F458" s="75">
        <v>44993.0</v>
      </c>
      <c r="G458" s="76"/>
      <c r="H458" s="76"/>
      <c r="I458" s="73" t="s">
        <v>366</v>
      </c>
      <c r="J458" s="76"/>
    </row>
    <row r="459">
      <c r="A459" s="72">
        <v>458.0</v>
      </c>
      <c r="B459" s="73" t="s">
        <v>364</v>
      </c>
      <c r="C459" s="74">
        <v>9.01218382E8</v>
      </c>
      <c r="D459" s="73" t="s">
        <v>823</v>
      </c>
      <c r="E459" s="72">
        <v>2.0233050014515E13</v>
      </c>
      <c r="F459" s="75">
        <v>45028.0</v>
      </c>
      <c r="G459" s="76"/>
      <c r="H459" s="76"/>
      <c r="I459" s="73" t="s">
        <v>366</v>
      </c>
      <c r="J459" s="76"/>
    </row>
    <row r="460">
      <c r="A460" s="72">
        <v>459.0</v>
      </c>
      <c r="B460" s="73" t="s">
        <v>364</v>
      </c>
      <c r="C460" s="74">
        <v>9.00986455E8</v>
      </c>
      <c r="D460" s="73" t="s">
        <v>824</v>
      </c>
      <c r="E460" s="72">
        <v>2.0233050014975E13</v>
      </c>
      <c r="F460" s="75">
        <v>45033.0</v>
      </c>
      <c r="G460" s="76"/>
      <c r="H460" s="76"/>
      <c r="I460" s="73" t="s">
        <v>366</v>
      </c>
      <c r="J460" s="76"/>
    </row>
    <row r="461">
      <c r="A461" s="72">
        <v>460.0</v>
      </c>
      <c r="B461" s="73" t="s">
        <v>364</v>
      </c>
      <c r="C461" s="74">
        <v>9.01574566E8</v>
      </c>
      <c r="D461" s="73" t="s">
        <v>825</v>
      </c>
      <c r="E461" s="72">
        <v>2.0222230019225E13</v>
      </c>
      <c r="F461" s="75">
        <v>45061.0</v>
      </c>
      <c r="G461" s="76"/>
      <c r="H461" s="76"/>
      <c r="I461" s="73" t="s">
        <v>366</v>
      </c>
      <c r="J461" s="76"/>
    </row>
    <row r="462">
      <c r="A462" s="72">
        <v>461.0</v>
      </c>
      <c r="B462" s="73" t="s">
        <v>364</v>
      </c>
      <c r="C462" s="74">
        <v>9.00489445E8</v>
      </c>
      <c r="D462" s="73" t="s">
        <v>826</v>
      </c>
      <c r="E462" s="72">
        <v>2.0233050021095E13</v>
      </c>
      <c r="F462" s="75">
        <v>45070.0</v>
      </c>
      <c r="G462" s="76"/>
      <c r="H462" s="76"/>
      <c r="I462" s="73" t="s">
        <v>366</v>
      </c>
      <c r="J462" s="76"/>
    </row>
    <row r="463">
      <c r="A463" s="72">
        <v>462.0</v>
      </c>
      <c r="B463" s="73" t="s">
        <v>364</v>
      </c>
      <c r="C463" s="74">
        <v>9.01630816E8</v>
      </c>
      <c r="D463" s="73" t="s">
        <v>827</v>
      </c>
      <c r="E463" s="72">
        <v>2.0233050022375E13</v>
      </c>
      <c r="F463" s="75">
        <v>45078.0</v>
      </c>
      <c r="G463" s="76"/>
      <c r="H463" s="76"/>
      <c r="I463" s="73" t="s">
        <v>366</v>
      </c>
      <c r="J463" s="76"/>
    </row>
    <row r="464">
      <c r="A464" s="72">
        <v>463.0</v>
      </c>
      <c r="B464" s="73" t="s">
        <v>364</v>
      </c>
      <c r="C464" s="74">
        <v>9.01497969E8</v>
      </c>
      <c r="D464" s="73" t="s">
        <v>828</v>
      </c>
      <c r="E464" s="72">
        <v>2.0233050023035E13</v>
      </c>
      <c r="F464" s="75">
        <v>45083.0</v>
      </c>
      <c r="G464" s="76"/>
      <c r="H464" s="76"/>
      <c r="I464" s="73" t="s">
        <v>366</v>
      </c>
      <c r="J464" s="76"/>
    </row>
    <row r="465">
      <c r="A465" s="72">
        <v>464.0</v>
      </c>
      <c r="B465" s="73" t="s">
        <v>364</v>
      </c>
      <c r="C465" s="74">
        <v>9.0153239E8</v>
      </c>
      <c r="D465" s="73" t="s">
        <v>829</v>
      </c>
      <c r="E465" s="72">
        <v>2.0233050024075E13</v>
      </c>
      <c r="F465" s="75">
        <v>45090.0</v>
      </c>
      <c r="G465" s="76"/>
      <c r="H465" s="76"/>
      <c r="I465" s="73" t="s">
        <v>366</v>
      </c>
      <c r="J465" s="76"/>
    </row>
    <row r="466">
      <c r="A466" s="72">
        <v>465.0</v>
      </c>
      <c r="B466" s="73" t="s">
        <v>364</v>
      </c>
      <c r="C466" s="74">
        <v>9.01508374E8</v>
      </c>
      <c r="D466" s="73" t="s">
        <v>830</v>
      </c>
      <c r="E466" s="72">
        <v>2.0233050027765E13</v>
      </c>
      <c r="F466" s="75">
        <v>45112.0</v>
      </c>
      <c r="G466" s="76"/>
      <c r="H466" s="76"/>
      <c r="I466" s="73" t="s">
        <v>366</v>
      </c>
      <c r="J466" s="76"/>
    </row>
    <row r="467">
      <c r="A467" s="72">
        <v>466.0</v>
      </c>
      <c r="B467" s="73" t="s">
        <v>364</v>
      </c>
      <c r="C467" s="74">
        <v>9.00964032E8</v>
      </c>
      <c r="D467" s="73" t="s">
        <v>831</v>
      </c>
      <c r="E467" s="72">
        <v>2.0233050029445E13</v>
      </c>
      <c r="F467" s="75">
        <v>45120.0</v>
      </c>
      <c r="G467" s="76"/>
      <c r="H467" s="76"/>
      <c r="I467" s="73" t="s">
        <v>366</v>
      </c>
      <c r="J467" s="76"/>
    </row>
    <row r="468">
      <c r="A468" s="72">
        <v>467.0</v>
      </c>
      <c r="B468" s="73" t="s">
        <v>364</v>
      </c>
      <c r="C468" s="74">
        <v>9.01077593E8</v>
      </c>
      <c r="D468" s="73" t="s">
        <v>832</v>
      </c>
      <c r="E468" s="72">
        <v>2.0233050029825E13</v>
      </c>
      <c r="F468" s="75">
        <v>45121.0</v>
      </c>
      <c r="G468" s="76"/>
      <c r="H468" s="76"/>
      <c r="I468" s="73" t="s">
        <v>366</v>
      </c>
      <c r="J468" s="76"/>
    </row>
    <row r="469">
      <c r="A469" s="72">
        <v>468.0</v>
      </c>
      <c r="B469" s="73" t="s">
        <v>364</v>
      </c>
      <c r="C469" s="74">
        <v>9.0165646E8</v>
      </c>
      <c r="D469" s="73" t="s">
        <v>833</v>
      </c>
      <c r="E469" s="72">
        <v>2.0233050029815E13</v>
      </c>
      <c r="F469" s="75">
        <v>45121.0</v>
      </c>
      <c r="G469" s="76"/>
      <c r="H469" s="76"/>
      <c r="I469" s="73" t="s">
        <v>366</v>
      </c>
      <c r="J469" s="76"/>
    </row>
    <row r="470">
      <c r="A470" s="72">
        <v>469.0</v>
      </c>
      <c r="B470" s="73" t="s">
        <v>364</v>
      </c>
      <c r="C470" s="74">
        <v>8.90908374E8</v>
      </c>
      <c r="D470" s="73" t="s">
        <v>834</v>
      </c>
      <c r="E470" s="72">
        <v>2.0233050035335E13</v>
      </c>
      <c r="F470" s="75">
        <v>45155.0</v>
      </c>
      <c r="G470" s="76"/>
      <c r="H470" s="76"/>
      <c r="I470" s="73" t="s">
        <v>366</v>
      </c>
      <c r="J470" s="76"/>
    </row>
    <row r="471">
      <c r="A471" s="72">
        <v>470.0</v>
      </c>
      <c r="B471" s="73" t="s">
        <v>364</v>
      </c>
      <c r="C471" s="74">
        <v>9.00673033E8</v>
      </c>
      <c r="D471" s="73" t="s">
        <v>835</v>
      </c>
      <c r="E471" s="72">
        <v>2.0233050035325E13</v>
      </c>
      <c r="F471" s="75">
        <v>45155.0</v>
      </c>
      <c r="G471" s="76"/>
      <c r="H471" s="76"/>
      <c r="I471" s="73" t="s">
        <v>366</v>
      </c>
      <c r="J471" s="76"/>
    </row>
    <row r="472">
      <c r="A472" s="72">
        <v>471.0</v>
      </c>
      <c r="B472" s="73" t="s">
        <v>364</v>
      </c>
      <c r="C472" s="74">
        <v>9.01183037E8</v>
      </c>
      <c r="D472" s="73" t="s">
        <v>836</v>
      </c>
      <c r="E472" s="72">
        <v>2.0233050035385E13</v>
      </c>
      <c r="F472" s="75">
        <v>45155.0</v>
      </c>
      <c r="G472" s="76"/>
      <c r="H472" s="76"/>
      <c r="I472" s="73" t="s">
        <v>366</v>
      </c>
      <c r="J472" s="76"/>
    </row>
    <row r="473">
      <c r="A473" s="72">
        <v>472.0</v>
      </c>
      <c r="B473" s="73" t="s">
        <v>364</v>
      </c>
      <c r="C473" s="74">
        <v>9.00378645E8</v>
      </c>
      <c r="D473" s="73" t="s">
        <v>837</v>
      </c>
      <c r="E473" s="72">
        <v>2.0233050037415E13</v>
      </c>
      <c r="F473" s="75">
        <v>45170.0</v>
      </c>
      <c r="G473" s="76"/>
      <c r="H473" s="76"/>
      <c r="I473" s="73" t="s">
        <v>366</v>
      </c>
      <c r="J473" s="76"/>
    </row>
    <row r="474">
      <c r="A474" s="72">
        <v>473.0</v>
      </c>
      <c r="B474" s="73" t="s">
        <v>364</v>
      </c>
      <c r="C474" s="74">
        <v>9.01318219E8</v>
      </c>
      <c r="D474" s="73" t="s">
        <v>838</v>
      </c>
      <c r="E474" s="72">
        <v>2.0233050037715E13</v>
      </c>
      <c r="F474" s="75">
        <v>45173.0</v>
      </c>
      <c r="G474" s="76"/>
      <c r="H474" s="76"/>
      <c r="I474" s="73" t="s">
        <v>366</v>
      </c>
      <c r="J474" s="76"/>
    </row>
    <row r="475">
      <c r="A475" s="72">
        <v>474.0</v>
      </c>
      <c r="B475" s="73" t="s">
        <v>364</v>
      </c>
      <c r="C475" s="74">
        <v>9.00268972E8</v>
      </c>
      <c r="D475" s="73" t="s">
        <v>839</v>
      </c>
      <c r="E475" s="72">
        <v>2.0233050040015E13</v>
      </c>
      <c r="F475" s="75">
        <v>45184.0</v>
      </c>
      <c r="G475" s="76"/>
      <c r="H475" s="76"/>
      <c r="I475" s="73" t="s">
        <v>366</v>
      </c>
      <c r="J475" s="76"/>
    </row>
    <row r="476">
      <c r="A476" s="78">
        <v>475.0</v>
      </c>
      <c r="B476" s="79" t="s">
        <v>364</v>
      </c>
      <c r="C476" s="80">
        <v>9.01680258E8</v>
      </c>
      <c r="D476" s="79" t="s">
        <v>840</v>
      </c>
      <c r="E476" s="81">
        <v>2.0233050046405E13</v>
      </c>
      <c r="F476" s="82">
        <v>45226.0</v>
      </c>
      <c r="G476" s="83"/>
      <c r="H476" s="83"/>
      <c r="I476" s="73" t="s">
        <v>366</v>
      </c>
      <c r="J476" s="76"/>
    </row>
    <row r="477">
      <c r="A477" s="72">
        <v>476.0</v>
      </c>
      <c r="B477" s="73" t="s">
        <v>364</v>
      </c>
      <c r="C477" s="74">
        <v>9.00793575E8</v>
      </c>
      <c r="D477" s="73" t="s">
        <v>841</v>
      </c>
      <c r="E477" s="72">
        <v>2.0233050048835E13</v>
      </c>
      <c r="F477" s="77">
        <v>45240.0</v>
      </c>
      <c r="G477" s="76"/>
      <c r="H477" s="76"/>
      <c r="I477" s="73" t="s">
        <v>366</v>
      </c>
      <c r="J477" s="76"/>
    </row>
    <row r="478">
      <c r="A478" s="72">
        <v>477.0</v>
      </c>
      <c r="B478" s="73" t="s">
        <v>364</v>
      </c>
      <c r="C478" s="74">
        <v>9.01021365E8</v>
      </c>
      <c r="D478" s="73" t="s">
        <v>842</v>
      </c>
      <c r="E478" s="72">
        <v>2.0233050050755E13</v>
      </c>
      <c r="F478" s="77">
        <v>45253.0</v>
      </c>
      <c r="G478" s="76"/>
      <c r="H478" s="76"/>
      <c r="I478" s="73" t="s">
        <v>366</v>
      </c>
      <c r="J478" s="76"/>
    </row>
    <row r="479">
      <c r="A479" s="72">
        <v>478.0</v>
      </c>
      <c r="B479" s="73" t="s">
        <v>364</v>
      </c>
      <c r="C479" s="74">
        <v>9.01678814E8</v>
      </c>
      <c r="D479" s="73" t="s">
        <v>843</v>
      </c>
      <c r="E479" s="72">
        <v>2.0233050051285E13</v>
      </c>
      <c r="F479" s="77">
        <v>45258.0</v>
      </c>
      <c r="G479" s="76"/>
      <c r="H479" s="76"/>
      <c r="I479" s="73" t="s">
        <v>366</v>
      </c>
      <c r="J479" s="76"/>
    </row>
    <row r="480">
      <c r="A480" s="72">
        <v>479.0</v>
      </c>
      <c r="B480" s="73" t="s">
        <v>364</v>
      </c>
      <c r="C480" s="74">
        <v>9.01529205E8</v>
      </c>
      <c r="D480" s="73" t="s">
        <v>844</v>
      </c>
      <c r="E480" s="72">
        <v>2.0212130052095E13</v>
      </c>
      <c r="F480" s="77">
        <v>45262.0</v>
      </c>
      <c r="G480" s="76"/>
      <c r="H480" s="76"/>
      <c r="I480" s="73" t="s">
        <v>366</v>
      </c>
      <c r="J480" s="76"/>
    </row>
    <row r="481">
      <c r="A481" s="72">
        <v>480.0</v>
      </c>
      <c r="B481" s="73" t="s">
        <v>364</v>
      </c>
      <c r="C481" s="74">
        <v>9.01738966E8</v>
      </c>
      <c r="D481" s="73" t="s">
        <v>845</v>
      </c>
      <c r="E481" s="72">
        <v>2.0233050053115E13</v>
      </c>
      <c r="F481" s="77">
        <v>45266.0</v>
      </c>
      <c r="G481" s="76"/>
      <c r="H481" s="76"/>
      <c r="I481" s="73" t="s">
        <v>366</v>
      </c>
      <c r="J481" s="76"/>
    </row>
    <row r="482">
      <c r="A482" s="72">
        <v>481.0</v>
      </c>
      <c r="B482" s="73" t="s">
        <v>364</v>
      </c>
      <c r="C482" s="74">
        <v>8.6000882E8</v>
      </c>
      <c r="D482" s="73" t="s">
        <v>846</v>
      </c>
      <c r="E482" s="72">
        <v>2.0233050054665E13</v>
      </c>
      <c r="F482" s="77">
        <v>45273.0</v>
      </c>
      <c r="G482" s="76"/>
      <c r="H482" s="76"/>
      <c r="I482" s="73" t="s">
        <v>366</v>
      </c>
      <c r="J482" s="76"/>
    </row>
    <row r="483">
      <c r="A483" s="72">
        <v>482.0</v>
      </c>
      <c r="B483" s="73" t="s">
        <v>364</v>
      </c>
      <c r="C483" s="74">
        <v>9.00837759E8</v>
      </c>
      <c r="D483" s="73" t="s">
        <v>847</v>
      </c>
      <c r="E483" s="72">
        <v>2.0233050054625E13</v>
      </c>
      <c r="F483" s="77">
        <v>45273.0</v>
      </c>
      <c r="G483" s="76"/>
      <c r="H483" s="76"/>
      <c r="I483" s="73" t="s">
        <v>366</v>
      </c>
      <c r="J483" s="76"/>
    </row>
    <row r="484">
      <c r="A484" s="72">
        <v>483.0</v>
      </c>
      <c r="B484" s="73" t="s">
        <v>364</v>
      </c>
      <c r="C484" s="74">
        <v>9.01039186E8</v>
      </c>
      <c r="D484" s="73" t="s">
        <v>848</v>
      </c>
      <c r="E484" s="72">
        <v>2.0233050054655E13</v>
      </c>
      <c r="F484" s="77">
        <v>45273.0</v>
      </c>
      <c r="G484" s="76"/>
      <c r="H484" s="76"/>
      <c r="I484" s="73" t="s">
        <v>366</v>
      </c>
      <c r="J484" s="76"/>
    </row>
    <row r="485">
      <c r="A485" s="72">
        <v>484.0</v>
      </c>
      <c r="B485" s="73" t="s">
        <v>364</v>
      </c>
      <c r="C485" s="74">
        <v>9.0177043E8</v>
      </c>
      <c r="D485" s="73" t="s">
        <v>849</v>
      </c>
      <c r="E485" s="72">
        <v>2.0233050056065E13</v>
      </c>
      <c r="F485" s="77">
        <v>45278.0</v>
      </c>
      <c r="G485" s="76"/>
      <c r="H485" s="76"/>
      <c r="I485" s="73" t="s">
        <v>366</v>
      </c>
      <c r="J485" s="76"/>
    </row>
    <row r="486">
      <c r="A486" s="72">
        <v>485.0</v>
      </c>
      <c r="B486" s="73" t="s">
        <v>364</v>
      </c>
      <c r="C486" s="74">
        <v>9.017492E8</v>
      </c>
      <c r="D486" s="73" t="s">
        <v>850</v>
      </c>
      <c r="E486" s="72">
        <v>2.0233050057655E13</v>
      </c>
      <c r="F486" s="77">
        <v>45282.0</v>
      </c>
      <c r="G486" s="76"/>
      <c r="H486" s="76"/>
      <c r="I486" s="73" t="s">
        <v>366</v>
      </c>
      <c r="J486" s="76"/>
    </row>
    <row r="487">
      <c r="A487" s="72">
        <v>486.0</v>
      </c>
      <c r="B487" s="73" t="s">
        <v>364</v>
      </c>
      <c r="C487" s="74">
        <v>9.01305499E8</v>
      </c>
      <c r="D487" s="73" t="s">
        <v>851</v>
      </c>
      <c r="E487" s="72">
        <v>2.0233050058845E13</v>
      </c>
      <c r="F487" s="77">
        <v>45289.0</v>
      </c>
      <c r="G487" s="76"/>
      <c r="H487" s="76"/>
      <c r="I487" s="73" t="s">
        <v>366</v>
      </c>
      <c r="J487" s="76"/>
    </row>
    <row r="488">
      <c r="A488" s="72">
        <v>487.0</v>
      </c>
      <c r="B488" s="73" t="s">
        <v>364</v>
      </c>
      <c r="C488" s="74">
        <v>9.01320585E8</v>
      </c>
      <c r="D488" s="73" t="s">
        <v>852</v>
      </c>
      <c r="E488" s="72">
        <v>2.0243050007155E13</v>
      </c>
      <c r="F488" s="75">
        <v>45344.0</v>
      </c>
      <c r="G488" s="76"/>
      <c r="H488" s="76"/>
      <c r="I488" s="73" t="s">
        <v>366</v>
      </c>
      <c r="J488" s="76"/>
    </row>
    <row r="489">
      <c r="A489" s="72">
        <v>488.0</v>
      </c>
      <c r="B489" s="73" t="s">
        <v>364</v>
      </c>
      <c r="C489" s="74">
        <v>9.01799781E8</v>
      </c>
      <c r="D489" s="73" t="s">
        <v>853</v>
      </c>
      <c r="E489" s="72">
        <v>2.0243050008295E13</v>
      </c>
      <c r="F489" s="75">
        <v>45349.0</v>
      </c>
      <c r="G489" s="76"/>
      <c r="H489" s="76"/>
      <c r="I489" s="73" t="s">
        <v>366</v>
      </c>
      <c r="J489" s="76"/>
    </row>
    <row r="490">
      <c r="A490" s="72">
        <v>489.0</v>
      </c>
      <c r="B490" s="73" t="s">
        <v>364</v>
      </c>
      <c r="C490" s="74">
        <v>9.01767958E8</v>
      </c>
      <c r="D490" s="73" t="s">
        <v>854</v>
      </c>
      <c r="E490" s="72">
        <v>2.0243050008495E13</v>
      </c>
      <c r="F490" s="75">
        <v>45351.0</v>
      </c>
      <c r="G490" s="76"/>
      <c r="H490" s="76"/>
      <c r="I490" s="73" t="s">
        <v>366</v>
      </c>
      <c r="J490" s="76"/>
    </row>
    <row r="491">
      <c r="A491" s="72">
        <v>490.0</v>
      </c>
      <c r="B491" s="73" t="s">
        <v>364</v>
      </c>
      <c r="C491" s="74">
        <v>9.01000237E8</v>
      </c>
      <c r="D491" s="73" t="s">
        <v>855</v>
      </c>
      <c r="E491" s="72">
        <v>2.0243050016165E13</v>
      </c>
      <c r="F491" s="75">
        <v>45399.0</v>
      </c>
      <c r="G491" s="76"/>
      <c r="H491" s="76"/>
      <c r="I491" s="73" t="s">
        <v>366</v>
      </c>
      <c r="J491" s="76"/>
    </row>
    <row r="492">
      <c r="A492" s="72">
        <v>491.0</v>
      </c>
      <c r="B492" s="73" t="s">
        <v>364</v>
      </c>
      <c r="C492" s="74">
        <v>9.01799792E8</v>
      </c>
      <c r="D492" s="73" t="s">
        <v>856</v>
      </c>
      <c r="E492" s="72">
        <v>2.0243050020795E13</v>
      </c>
      <c r="F492" s="75">
        <v>45426.0</v>
      </c>
      <c r="G492" s="76"/>
      <c r="H492" s="76"/>
      <c r="I492" s="73" t="s">
        <v>366</v>
      </c>
      <c r="J492" s="76"/>
    </row>
    <row r="493">
      <c r="A493" s="72">
        <v>492.0</v>
      </c>
      <c r="B493" s="73" t="s">
        <v>364</v>
      </c>
      <c r="C493" s="74">
        <v>9.01176522E8</v>
      </c>
      <c r="D493" s="73" t="s">
        <v>857</v>
      </c>
      <c r="E493" s="72">
        <v>2.0243050030775E13</v>
      </c>
      <c r="F493" s="75">
        <v>45478.0</v>
      </c>
      <c r="G493" s="76"/>
      <c r="H493" s="76"/>
      <c r="I493" s="73" t="s">
        <v>366</v>
      </c>
      <c r="J493" s="76"/>
    </row>
    <row r="494">
      <c r="A494" s="72">
        <v>493.0</v>
      </c>
      <c r="B494" s="73" t="s">
        <v>364</v>
      </c>
      <c r="C494" s="74">
        <v>9.01696186E8</v>
      </c>
      <c r="D494" s="73" t="s">
        <v>858</v>
      </c>
      <c r="E494" s="72">
        <v>2.0243050034875E13</v>
      </c>
      <c r="F494" s="75">
        <v>45502.0</v>
      </c>
      <c r="G494" s="76"/>
      <c r="H494" s="76"/>
      <c r="I494" s="73" t="s">
        <v>366</v>
      </c>
      <c r="J494" s="76"/>
    </row>
    <row r="495">
      <c r="A495" s="72">
        <v>494.0</v>
      </c>
      <c r="B495" s="73" t="s">
        <v>364</v>
      </c>
      <c r="C495" s="74">
        <v>9.01783468E8</v>
      </c>
      <c r="D495" s="73" t="s">
        <v>859</v>
      </c>
      <c r="E495" s="72">
        <v>2.0243050039935E13</v>
      </c>
      <c r="F495" s="75">
        <v>45527.0</v>
      </c>
      <c r="G495" s="76"/>
      <c r="H495" s="76"/>
      <c r="I495" s="73" t="s">
        <v>366</v>
      </c>
      <c r="J495" s="76"/>
    </row>
    <row r="496">
      <c r="A496" s="72">
        <v>495.0</v>
      </c>
      <c r="B496" s="73" t="s">
        <v>364</v>
      </c>
      <c r="C496" s="74">
        <v>9.0148929E8</v>
      </c>
      <c r="D496" s="73" t="s">
        <v>860</v>
      </c>
      <c r="E496" s="72">
        <v>2.0243050041105E13</v>
      </c>
      <c r="F496" s="75">
        <v>45534.0</v>
      </c>
      <c r="G496" s="76"/>
      <c r="H496" s="76"/>
      <c r="I496" s="73" t="s">
        <v>366</v>
      </c>
      <c r="J496" s="76"/>
    </row>
    <row r="497">
      <c r="A497" s="72">
        <v>496.0</v>
      </c>
      <c r="B497" s="73" t="s">
        <v>364</v>
      </c>
      <c r="C497" s="74">
        <v>9.00636114E8</v>
      </c>
      <c r="D497" s="73" t="s">
        <v>861</v>
      </c>
      <c r="E497" s="72">
        <v>2.0243050044215E13</v>
      </c>
      <c r="F497" s="75">
        <v>45548.0</v>
      </c>
      <c r="G497" s="76"/>
      <c r="H497" s="76"/>
      <c r="I497" s="73" t="s">
        <v>366</v>
      </c>
      <c r="J497" s="76"/>
    </row>
    <row r="498">
      <c r="A498" s="72">
        <v>497.0</v>
      </c>
      <c r="B498" s="73" t="s">
        <v>364</v>
      </c>
      <c r="C498" s="74">
        <v>9.01234896E8</v>
      </c>
      <c r="D498" s="73" t="s">
        <v>862</v>
      </c>
      <c r="E498" s="72">
        <v>2.0243050044785E13</v>
      </c>
      <c r="F498" s="75">
        <v>45552.0</v>
      </c>
      <c r="G498" s="76"/>
      <c r="H498" s="76"/>
      <c r="I498" s="73" t="s">
        <v>366</v>
      </c>
      <c r="J498" s="76"/>
    </row>
    <row r="499">
      <c r="A499" s="72">
        <v>498.0</v>
      </c>
      <c r="B499" s="73" t="s">
        <v>364</v>
      </c>
      <c r="C499" s="74">
        <v>9.01367496E8</v>
      </c>
      <c r="D499" s="73" t="s">
        <v>863</v>
      </c>
      <c r="E499" s="72">
        <v>2.0243050044935E13</v>
      </c>
      <c r="F499" s="75">
        <v>45552.0</v>
      </c>
      <c r="G499" s="76"/>
      <c r="H499" s="76"/>
      <c r="I499" s="73" t="s">
        <v>366</v>
      </c>
      <c r="J499" s="76"/>
    </row>
    <row r="500">
      <c r="A500" s="72">
        <v>499.0</v>
      </c>
      <c r="B500" s="73" t="s">
        <v>364</v>
      </c>
      <c r="C500" s="74">
        <v>9.01677371E8</v>
      </c>
      <c r="D500" s="73" t="s">
        <v>864</v>
      </c>
      <c r="E500" s="72">
        <v>2.0243050045495E13</v>
      </c>
      <c r="F500" s="75">
        <v>45555.0</v>
      </c>
      <c r="G500" s="76"/>
      <c r="H500" s="76"/>
      <c r="I500" s="73" t="s">
        <v>366</v>
      </c>
      <c r="J500" s="76"/>
    </row>
    <row r="501">
      <c r="A501" s="72">
        <v>500.0</v>
      </c>
      <c r="B501" s="73" t="s">
        <v>364</v>
      </c>
      <c r="C501" s="74">
        <v>9.01666402E8</v>
      </c>
      <c r="D501" s="73" t="s">
        <v>865</v>
      </c>
      <c r="E501" s="72">
        <v>2.0243050049645E13</v>
      </c>
      <c r="F501" s="77">
        <v>45576.0</v>
      </c>
      <c r="G501" s="76"/>
      <c r="H501" s="76"/>
      <c r="I501" s="73" t="s">
        <v>366</v>
      </c>
      <c r="J501" s="76"/>
    </row>
    <row r="502">
      <c r="A502" s="72">
        <v>501.0</v>
      </c>
      <c r="B502" s="73" t="s">
        <v>364</v>
      </c>
      <c r="C502" s="74">
        <v>9.0107647E8</v>
      </c>
      <c r="D502" s="73" t="s">
        <v>866</v>
      </c>
      <c r="E502" s="72">
        <v>2.0243050051075E13</v>
      </c>
      <c r="F502" s="77">
        <v>45586.0</v>
      </c>
      <c r="G502" s="76"/>
      <c r="H502" s="76"/>
      <c r="I502" s="73" t="s">
        <v>366</v>
      </c>
      <c r="J502" s="76"/>
    </row>
    <row r="503">
      <c r="A503" s="72">
        <v>502.0</v>
      </c>
      <c r="B503" s="73" t="s">
        <v>364</v>
      </c>
      <c r="C503" s="74">
        <v>9.00393482E8</v>
      </c>
      <c r="D503" s="73" t="s">
        <v>867</v>
      </c>
      <c r="E503" s="72">
        <v>2.0243050051955E13</v>
      </c>
      <c r="F503" s="77">
        <v>45589.0</v>
      </c>
      <c r="G503" s="76"/>
      <c r="H503" s="76"/>
      <c r="I503" s="73" t="s">
        <v>366</v>
      </c>
      <c r="J503" s="76"/>
    </row>
    <row r="504">
      <c r="A504" s="72">
        <v>503.0</v>
      </c>
      <c r="B504" s="73" t="s">
        <v>364</v>
      </c>
      <c r="C504" s="74">
        <v>9.01798095E8</v>
      </c>
      <c r="D504" s="73" t="s">
        <v>868</v>
      </c>
      <c r="E504" s="72">
        <v>2.0243050052345E13</v>
      </c>
      <c r="F504" s="77">
        <v>45590.0</v>
      </c>
      <c r="G504" s="76"/>
      <c r="H504" s="76"/>
      <c r="I504" s="73" t="s">
        <v>366</v>
      </c>
      <c r="J504" s="76"/>
    </row>
    <row r="505">
      <c r="A505" s="72">
        <v>504.0</v>
      </c>
      <c r="B505" s="73" t="s">
        <v>364</v>
      </c>
      <c r="C505" s="74">
        <v>9.01451963E8</v>
      </c>
      <c r="D505" s="73" t="s">
        <v>869</v>
      </c>
      <c r="E505" s="72">
        <v>2.0243050056585E13</v>
      </c>
      <c r="F505" s="77">
        <v>45615.0</v>
      </c>
      <c r="G505" s="76"/>
      <c r="H505" s="76"/>
      <c r="I505" s="73" t="s">
        <v>366</v>
      </c>
      <c r="J505" s="76"/>
    </row>
    <row r="506">
      <c r="A506" s="72">
        <v>505.0</v>
      </c>
      <c r="B506" s="73" t="s">
        <v>364</v>
      </c>
      <c r="C506" s="74">
        <v>9.01869429E8</v>
      </c>
      <c r="D506" s="73" t="s">
        <v>870</v>
      </c>
      <c r="E506" s="72">
        <v>2.0243050056555E13</v>
      </c>
      <c r="F506" s="77">
        <v>45615.0</v>
      </c>
      <c r="G506" s="76"/>
      <c r="H506" s="76"/>
      <c r="I506" s="73" t="s">
        <v>366</v>
      </c>
      <c r="J506" s="76"/>
    </row>
    <row r="507">
      <c r="A507" s="72">
        <v>506.0</v>
      </c>
      <c r="B507" s="73" t="s">
        <v>364</v>
      </c>
      <c r="C507" s="74">
        <v>9.01829224E8</v>
      </c>
      <c r="D507" s="73" t="s">
        <v>871</v>
      </c>
      <c r="E507" s="72">
        <v>2.0243050058575E13</v>
      </c>
      <c r="F507" s="77">
        <v>45628.0</v>
      </c>
      <c r="G507" s="76"/>
      <c r="H507" s="76"/>
      <c r="I507" s="73" t="s">
        <v>366</v>
      </c>
      <c r="J507" s="76"/>
    </row>
    <row r="508">
      <c r="A508" s="72">
        <v>507.0</v>
      </c>
      <c r="B508" s="73" t="s">
        <v>364</v>
      </c>
      <c r="C508" s="74">
        <v>9.01833693E8</v>
      </c>
      <c r="D508" s="73" t="s">
        <v>872</v>
      </c>
      <c r="E508" s="72">
        <v>2.0243050058595E13</v>
      </c>
      <c r="F508" s="77">
        <v>45628.0</v>
      </c>
      <c r="G508" s="76"/>
      <c r="H508" s="76"/>
      <c r="I508" s="73" t="s">
        <v>366</v>
      </c>
      <c r="J508" s="76"/>
    </row>
    <row r="509">
      <c r="A509" s="72">
        <v>508.0</v>
      </c>
      <c r="B509" s="73" t="s">
        <v>364</v>
      </c>
      <c r="C509" s="74">
        <v>9.01414871E8</v>
      </c>
      <c r="D509" s="73" t="s">
        <v>873</v>
      </c>
      <c r="E509" s="72">
        <v>2.0243050059035E13</v>
      </c>
      <c r="F509" s="77">
        <v>45630.0</v>
      </c>
      <c r="G509" s="76"/>
      <c r="H509" s="76"/>
      <c r="I509" s="73" t="s">
        <v>366</v>
      </c>
      <c r="J509" s="76"/>
    </row>
    <row r="510">
      <c r="A510" s="72">
        <v>509.0</v>
      </c>
      <c r="B510" s="73" t="s">
        <v>364</v>
      </c>
      <c r="C510" s="74">
        <v>9.01831437E8</v>
      </c>
      <c r="D510" s="73" t="s">
        <v>874</v>
      </c>
      <c r="E510" s="72">
        <v>2.0243050060325E13</v>
      </c>
      <c r="F510" s="77">
        <v>45637.0</v>
      </c>
      <c r="G510" s="76"/>
      <c r="H510" s="76"/>
      <c r="I510" s="73" t="s">
        <v>366</v>
      </c>
      <c r="J510" s="76"/>
    </row>
    <row r="511">
      <c r="A511" s="72">
        <v>510.0</v>
      </c>
      <c r="B511" s="73" t="s">
        <v>364</v>
      </c>
      <c r="C511" s="74">
        <v>9.01832868E8</v>
      </c>
      <c r="D511" s="73" t="s">
        <v>875</v>
      </c>
      <c r="E511" s="72">
        <v>2.0243050060385E13</v>
      </c>
      <c r="F511" s="77">
        <v>45637.0</v>
      </c>
      <c r="G511" s="76"/>
      <c r="H511" s="76"/>
      <c r="I511" s="73" t="s">
        <v>366</v>
      </c>
      <c r="J511" s="76"/>
    </row>
    <row r="512">
      <c r="A512" s="72">
        <v>511.0</v>
      </c>
      <c r="B512" s="73" t="s">
        <v>364</v>
      </c>
      <c r="C512" s="74">
        <v>9.00886934E8</v>
      </c>
      <c r="D512" s="73" t="s">
        <v>876</v>
      </c>
      <c r="E512" s="72">
        <v>2.0243050060785E13</v>
      </c>
      <c r="F512" s="77">
        <v>45639.0</v>
      </c>
      <c r="G512" s="76"/>
      <c r="H512" s="76"/>
      <c r="I512" s="73" t="s">
        <v>366</v>
      </c>
      <c r="J512" s="76"/>
    </row>
    <row r="513">
      <c r="A513" s="72">
        <v>512.0</v>
      </c>
      <c r="B513" s="73" t="s">
        <v>364</v>
      </c>
      <c r="C513" s="74">
        <v>9.01819287E8</v>
      </c>
      <c r="D513" s="73" t="s">
        <v>877</v>
      </c>
      <c r="E513" s="72">
        <v>2.0243050062895E13</v>
      </c>
      <c r="F513" s="77">
        <v>45646.0</v>
      </c>
      <c r="G513" s="76"/>
      <c r="H513" s="76"/>
      <c r="I513" s="73" t="s">
        <v>366</v>
      </c>
      <c r="J513" s="76"/>
    </row>
    <row r="514">
      <c r="A514" s="76"/>
      <c r="B514" s="73" t="s">
        <v>364</v>
      </c>
      <c r="C514" s="74">
        <v>9.0030149E8</v>
      </c>
      <c r="D514" s="73" t="s">
        <v>878</v>
      </c>
      <c r="E514" s="72">
        <v>2.0253040016385E13</v>
      </c>
      <c r="F514" s="75">
        <v>45779.0</v>
      </c>
      <c r="G514" s="76"/>
      <c r="H514" s="76"/>
      <c r="I514" s="73" t="s">
        <v>366</v>
      </c>
      <c r="J514" s="76"/>
    </row>
    <row r="515">
      <c r="A515" s="76"/>
      <c r="B515" s="73" t="s">
        <v>364</v>
      </c>
      <c r="C515" s="74">
        <v>9.00999079E8</v>
      </c>
      <c r="D515" s="73" t="s">
        <v>879</v>
      </c>
      <c r="E515" s="72">
        <v>2.0253040016395E13</v>
      </c>
      <c r="F515" s="75">
        <v>45779.0</v>
      </c>
      <c r="G515" s="76"/>
      <c r="H515" s="76"/>
      <c r="I515" s="73" t="s">
        <v>366</v>
      </c>
      <c r="J515" s="76"/>
    </row>
    <row r="516">
      <c r="A516" s="72">
        <v>513.0</v>
      </c>
      <c r="B516" s="73" t="s">
        <v>880</v>
      </c>
      <c r="C516" s="74">
        <v>8.02009926E8</v>
      </c>
      <c r="D516" s="73" t="s">
        <v>881</v>
      </c>
      <c r="E516" s="72">
        <v>45.0</v>
      </c>
      <c r="F516" s="75">
        <v>36347.0</v>
      </c>
      <c r="G516" s="76"/>
      <c r="H516" s="76"/>
      <c r="I516" s="73" t="s">
        <v>366</v>
      </c>
      <c r="J516" s="76"/>
    </row>
    <row r="517">
      <c r="A517" s="72">
        <v>514.0</v>
      </c>
      <c r="B517" s="73" t="s">
        <v>880</v>
      </c>
      <c r="C517" s="74">
        <v>8.02004552E8</v>
      </c>
      <c r="D517" s="73" t="s">
        <v>882</v>
      </c>
      <c r="E517" s="72">
        <v>46.0</v>
      </c>
      <c r="F517" s="75">
        <v>36350.0</v>
      </c>
      <c r="G517" s="76"/>
      <c r="H517" s="76"/>
      <c r="I517" s="73" t="s">
        <v>366</v>
      </c>
      <c r="J517" s="76"/>
    </row>
    <row r="518">
      <c r="A518" s="72">
        <v>515.0</v>
      </c>
      <c r="B518" s="73" t="s">
        <v>880</v>
      </c>
      <c r="C518" s="74">
        <v>8.02004356E8</v>
      </c>
      <c r="D518" s="73" t="s">
        <v>883</v>
      </c>
      <c r="E518" s="72">
        <v>55.0</v>
      </c>
      <c r="F518" s="75">
        <v>36377.0</v>
      </c>
      <c r="G518" s="76"/>
      <c r="H518" s="76"/>
      <c r="I518" s="73" t="s">
        <v>366</v>
      </c>
      <c r="J518" s="76"/>
    </row>
    <row r="519">
      <c r="A519" s="72">
        <v>516.0</v>
      </c>
      <c r="B519" s="73" t="s">
        <v>880</v>
      </c>
      <c r="C519" s="74">
        <v>8.00070056E8</v>
      </c>
      <c r="D519" s="73" t="s">
        <v>884</v>
      </c>
      <c r="E519" s="72">
        <v>77.0</v>
      </c>
      <c r="F519" s="75">
        <v>36423.0</v>
      </c>
      <c r="G519" s="76"/>
      <c r="H519" s="76"/>
      <c r="I519" s="73" t="s">
        <v>366</v>
      </c>
      <c r="J519" s="76"/>
    </row>
    <row r="520">
      <c r="A520" s="72">
        <v>517.0</v>
      </c>
      <c r="B520" s="73" t="s">
        <v>880</v>
      </c>
      <c r="C520" s="74">
        <v>8.9010531E8</v>
      </c>
      <c r="D520" s="73" t="s">
        <v>885</v>
      </c>
      <c r="E520" s="72">
        <v>103.0</v>
      </c>
      <c r="F520" s="77">
        <v>36475.0</v>
      </c>
      <c r="G520" s="76"/>
      <c r="H520" s="76"/>
      <c r="I520" s="73" t="s">
        <v>366</v>
      </c>
      <c r="J520" s="76"/>
    </row>
    <row r="521">
      <c r="A521" s="72">
        <v>518.0</v>
      </c>
      <c r="B521" s="73" t="s">
        <v>880</v>
      </c>
      <c r="C521" s="74">
        <v>8.02002141E8</v>
      </c>
      <c r="D521" s="73" t="s">
        <v>886</v>
      </c>
      <c r="E521" s="72">
        <v>21.0</v>
      </c>
      <c r="F521" s="75">
        <v>36577.0</v>
      </c>
      <c r="G521" s="76"/>
      <c r="H521" s="76"/>
      <c r="I521" s="73" t="s">
        <v>366</v>
      </c>
      <c r="J521" s="76"/>
    </row>
    <row r="522">
      <c r="A522" s="72">
        <v>519.0</v>
      </c>
      <c r="B522" s="73" t="s">
        <v>880</v>
      </c>
      <c r="C522" s="74">
        <v>8.00054063E8</v>
      </c>
      <c r="D522" s="73" t="s">
        <v>887</v>
      </c>
      <c r="E522" s="72">
        <v>20.0</v>
      </c>
      <c r="F522" s="75">
        <v>36943.0</v>
      </c>
      <c r="G522" s="76"/>
      <c r="H522" s="76"/>
      <c r="I522" s="73" t="s">
        <v>366</v>
      </c>
      <c r="J522" s="76"/>
    </row>
    <row r="523">
      <c r="A523" s="72">
        <v>520.0</v>
      </c>
      <c r="B523" s="73" t="s">
        <v>880</v>
      </c>
      <c r="C523" s="74">
        <v>8.00082024E8</v>
      </c>
      <c r="D523" s="73" t="s">
        <v>888</v>
      </c>
      <c r="E523" s="72">
        <v>4.0</v>
      </c>
      <c r="F523" s="75">
        <v>36943.0</v>
      </c>
      <c r="G523" s="76"/>
      <c r="H523" s="76"/>
      <c r="I523" s="73" t="s">
        <v>366</v>
      </c>
      <c r="J523" s="76"/>
    </row>
    <row r="524">
      <c r="A524" s="72">
        <v>521.0</v>
      </c>
      <c r="B524" s="73" t="s">
        <v>880</v>
      </c>
      <c r="C524" s="74">
        <v>8.00113506E8</v>
      </c>
      <c r="D524" s="73" t="s">
        <v>889</v>
      </c>
      <c r="E524" s="72">
        <v>5.0</v>
      </c>
      <c r="F524" s="75">
        <v>36943.0</v>
      </c>
      <c r="G524" s="76"/>
      <c r="H524" s="76"/>
      <c r="I524" s="73" t="s">
        <v>366</v>
      </c>
      <c r="J524" s="76"/>
    </row>
    <row r="525">
      <c r="A525" s="72">
        <v>522.0</v>
      </c>
      <c r="B525" s="73" t="s">
        <v>880</v>
      </c>
      <c r="C525" s="74">
        <v>8.0020008E8</v>
      </c>
      <c r="D525" s="73" t="s">
        <v>890</v>
      </c>
      <c r="E525" s="72">
        <v>75.0</v>
      </c>
      <c r="F525" s="75">
        <v>36955.0</v>
      </c>
      <c r="G525" s="76"/>
      <c r="H525" s="76"/>
      <c r="I525" s="73" t="s">
        <v>366</v>
      </c>
      <c r="J525" s="76"/>
    </row>
    <row r="526">
      <c r="A526" s="72">
        <v>523.0</v>
      </c>
      <c r="B526" s="73" t="s">
        <v>880</v>
      </c>
      <c r="C526" s="74">
        <v>8.0015015E8</v>
      </c>
      <c r="D526" s="73" t="s">
        <v>891</v>
      </c>
      <c r="E526" s="72">
        <v>147.0</v>
      </c>
      <c r="F526" s="75">
        <v>36991.0</v>
      </c>
      <c r="G526" s="76"/>
      <c r="H526" s="76"/>
      <c r="I526" s="73" t="s">
        <v>366</v>
      </c>
      <c r="J526" s="76"/>
    </row>
    <row r="527">
      <c r="A527" s="72">
        <v>524.0</v>
      </c>
      <c r="B527" s="73" t="s">
        <v>880</v>
      </c>
      <c r="C527" s="74">
        <v>8.00137059E8</v>
      </c>
      <c r="D527" s="73" t="s">
        <v>892</v>
      </c>
      <c r="E527" s="72">
        <v>66.0</v>
      </c>
      <c r="F527" s="75">
        <v>36992.0</v>
      </c>
      <c r="G527" s="76"/>
      <c r="H527" s="76"/>
      <c r="I527" s="73" t="s">
        <v>366</v>
      </c>
      <c r="J527" s="76"/>
    </row>
    <row r="528">
      <c r="A528" s="72">
        <v>525.0</v>
      </c>
      <c r="B528" s="73" t="s">
        <v>880</v>
      </c>
      <c r="C528" s="74">
        <v>8.90102999E8</v>
      </c>
      <c r="D528" s="73" t="s">
        <v>893</v>
      </c>
      <c r="E528" s="72">
        <v>162.0</v>
      </c>
      <c r="F528" s="75">
        <v>37007.0</v>
      </c>
      <c r="G528" s="76"/>
      <c r="H528" s="76"/>
      <c r="I528" s="73" t="s">
        <v>366</v>
      </c>
      <c r="J528" s="76"/>
    </row>
    <row r="529">
      <c r="A529" s="78">
        <v>526.0</v>
      </c>
      <c r="B529" s="79" t="s">
        <v>880</v>
      </c>
      <c r="C529" s="80">
        <v>8.90107369E8</v>
      </c>
      <c r="D529" s="79" t="s">
        <v>894</v>
      </c>
      <c r="E529" s="81">
        <v>74.0</v>
      </c>
      <c r="F529" s="84">
        <v>37007.0</v>
      </c>
      <c r="G529" s="83"/>
      <c r="H529" s="83"/>
      <c r="I529" s="73" t="s">
        <v>366</v>
      </c>
      <c r="J529" s="76"/>
    </row>
    <row r="530">
      <c r="A530" s="72">
        <v>527.0</v>
      </c>
      <c r="B530" s="73" t="s">
        <v>880</v>
      </c>
      <c r="C530" s="74">
        <v>8.00138896E8</v>
      </c>
      <c r="D530" s="73" t="s">
        <v>895</v>
      </c>
      <c r="E530" s="72">
        <v>77.0</v>
      </c>
      <c r="F530" s="75">
        <v>37043.0</v>
      </c>
      <c r="G530" s="76"/>
      <c r="H530" s="76"/>
      <c r="I530" s="73" t="s">
        <v>366</v>
      </c>
      <c r="J530" s="76"/>
    </row>
    <row r="531">
      <c r="A531" s="72">
        <v>528.0</v>
      </c>
      <c r="B531" s="73" t="s">
        <v>880</v>
      </c>
      <c r="C531" s="74">
        <v>8.0201185E8</v>
      </c>
      <c r="D531" s="73" t="s">
        <v>896</v>
      </c>
      <c r="E531" s="72">
        <v>79.0</v>
      </c>
      <c r="F531" s="75">
        <v>37064.0</v>
      </c>
      <c r="G531" s="76"/>
      <c r="H531" s="76"/>
      <c r="I531" s="73" t="s">
        <v>366</v>
      </c>
      <c r="J531" s="76"/>
    </row>
    <row r="532">
      <c r="A532" s="72">
        <v>529.0</v>
      </c>
      <c r="B532" s="73" t="s">
        <v>880</v>
      </c>
      <c r="C532" s="74">
        <v>8.00059139E8</v>
      </c>
      <c r="D532" s="73" t="s">
        <v>897</v>
      </c>
      <c r="E532" s="72">
        <v>110.0</v>
      </c>
      <c r="F532" s="75">
        <v>37103.0</v>
      </c>
      <c r="G532" s="76"/>
      <c r="H532" s="76"/>
      <c r="I532" s="73" t="s">
        <v>366</v>
      </c>
      <c r="J532" s="76"/>
    </row>
    <row r="533">
      <c r="A533" s="72">
        <v>530.0</v>
      </c>
      <c r="B533" s="73" t="s">
        <v>880</v>
      </c>
      <c r="C533" s="74">
        <v>8.00227828E8</v>
      </c>
      <c r="D533" s="73" t="s">
        <v>898</v>
      </c>
      <c r="E533" s="72">
        <v>78.0</v>
      </c>
      <c r="F533" s="75">
        <v>37109.0</v>
      </c>
      <c r="G533" s="76"/>
      <c r="H533" s="76"/>
      <c r="I533" s="73" t="s">
        <v>366</v>
      </c>
      <c r="J533" s="76"/>
    </row>
    <row r="534">
      <c r="A534" s="72">
        <v>531.0</v>
      </c>
      <c r="B534" s="73" t="s">
        <v>880</v>
      </c>
      <c r="C534" s="74">
        <v>8.0201417E8</v>
      </c>
      <c r="D534" s="73" t="s">
        <v>899</v>
      </c>
      <c r="E534" s="72">
        <v>143.0</v>
      </c>
      <c r="F534" s="75">
        <v>37158.0</v>
      </c>
      <c r="G534" s="76"/>
      <c r="H534" s="76"/>
      <c r="I534" s="73" t="s">
        <v>366</v>
      </c>
      <c r="J534" s="76"/>
    </row>
    <row r="535">
      <c r="A535" s="72">
        <v>532.0</v>
      </c>
      <c r="B535" s="73" t="s">
        <v>880</v>
      </c>
      <c r="C535" s="74">
        <v>8.02015488E8</v>
      </c>
      <c r="D535" s="73" t="s">
        <v>900</v>
      </c>
      <c r="E535" s="72">
        <v>149.0</v>
      </c>
      <c r="F535" s="77">
        <v>37182.0</v>
      </c>
      <c r="G535" s="76"/>
      <c r="H535" s="76"/>
      <c r="I535" s="73" t="s">
        <v>366</v>
      </c>
      <c r="J535" s="76"/>
    </row>
    <row r="536">
      <c r="A536" s="72">
        <v>533.0</v>
      </c>
      <c r="B536" s="73" t="s">
        <v>880</v>
      </c>
      <c r="C536" s="74">
        <v>8.24000212E8</v>
      </c>
      <c r="D536" s="73" t="s">
        <v>901</v>
      </c>
      <c r="E536" s="72">
        <v>154.0</v>
      </c>
      <c r="F536" s="77">
        <v>37182.0</v>
      </c>
      <c r="G536" s="76"/>
      <c r="H536" s="76"/>
      <c r="I536" s="73" t="s">
        <v>366</v>
      </c>
      <c r="J536" s="76"/>
    </row>
    <row r="537">
      <c r="A537" s="72">
        <v>534.0</v>
      </c>
      <c r="B537" s="73" t="s">
        <v>880</v>
      </c>
      <c r="C537" s="74">
        <v>8.0201533E8</v>
      </c>
      <c r="D537" s="73" t="s">
        <v>902</v>
      </c>
      <c r="E537" s="72">
        <v>155.0</v>
      </c>
      <c r="F537" s="77">
        <v>37189.0</v>
      </c>
      <c r="G537" s="76"/>
      <c r="H537" s="76"/>
      <c r="I537" s="73" t="s">
        <v>366</v>
      </c>
      <c r="J537" s="76"/>
    </row>
    <row r="538">
      <c r="A538" s="72">
        <v>535.0</v>
      </c>
      <c r="B538" s="73" t="s">
        <v>880</v>
      </c>
      <c r="C538" s="74">
        <v>8.00021745E8</v>
      </c>
      <c r="D538" s="73" t="s">
        <v>903</v>
      </c>
      <c r="E538" s="72">
        <v>193.0</v>
      </c>
      <c r="F538" s="77">
        <v>37238.0</v>
      </c>
      <c r="G538" s="76"/>
      <c r="H538" s="76"/>
      <c r="I538" s="73" t="s">
        <v>366</v>
      </c>
      <c r="J538" s="76"/>
    </row>
    <row r="539">
      <c r="A539" s="72">
        <v>536.0</v>
      </c>
      <c r="B539" s="73" t="s">
        <v>880</v>
      </c>
      <c r="C539" s="74">
        <v>8.90103161E8</v>
      </c>
      <c r="D539" s="73" t="s">
        <v>904</v>
      </c>
      <c r="E539" s="72">
        <v>8.0</v>
      </c>
      <c r="F539" s="75">
        <v>37300.0</v>
      </c>
      <c r="G539" s="76"/>
      <c r="H539" s="76"/>
      <c r="I539" s="73" t="s">
        <v>366</v>
      </c>
      <c r="J539" s="76"/>
    </row>
    <row r="540">
      <c r="A540" s="72">
        <v>537.0</v>
      </c>
      <c r="B540" s="73" t="s">
        <v>880</v>
      </c>
      <c r="C540" s="74">
        <v>8.00170046E8</v>
      </c>
      <c r="D540" s="73" t="s">
        <v>905</v>
      </c>
      <c r="E540" s="72">
        <v>17.0</v>
      </c>
      <c r="F540" s="75">
        <v>37410.0</v>
      </c>
      <c r="G540" s="76"/>
      <c r="H540" s="76"/>
      <c r="I540" s="73" t="s">
        <v>366</v>
      </c>
      <c r="J540" s="76"/>
    </row>
    <row r="541">
      <c r="A541" s="72">
        <v>538.0</v>
      </c>
      <c r="B541" s="73" t="s">
        <v>880</v>
      </c>
      <c r="C541" s="74">
        <v>8.90116275E8</v>
      </c>
      <c r="D541" s="73" t="s">
        <v>906</v>
      </c>
      <c r="E541" s="72">
        <v>118.0</v>
      </c>
      <c r="F541" s="75">
        <v>37413.0</v>
      </c>
      <c r="G541" s="76"/>
      <c r="H541" s="76"/>
      <c r="I541" s="73" t="s">
        <v>366</v>
      </c>
      <c r="J541" s="76"/>
    </row>
    <row r="542">
      <c r="A542" s="72">
        <v>539.0</v>
      </c>
      <c r="B542" s="73" t="s">
        <v>880</v>
      </c>
      <c r="C542" s="74">
        <v>8.02017639E8</v>
      </c>
      <c r="D542" s="73" t="s">
        <v>907</v>
      </c>
      <c r="E542" s="72">
        <v>149.0</v>
      </c>
      <c r="F542" s="75">
        <v>37455.0</v>
      </c>
      <c r="G542" s="76"/>
      <c r="H542" s="76"/>
      <c r="I542" s="73" t="s">
        <v>366</v>
      </c>
      <c r="J542" s="76"/>
    </row>
    <row r="543">
      <c r="A543" s="72">
        <v>540.0</v>
      </c>
      <c r="B543" s="73" t="s">
        <v>880</v>
      </c>
      <c r="C543" s="74">
        <v>8.00036052E8</v>
      </c>
      <c r="D543" s="73" t="s">
        <v>908</v>
      </c>
      <c r="E543" s="72">
        <v>151.0</v>
      </c>
      <c r="F543" s="75">
        <v>37459.0</v>
      </c>
      <c r="G543" s="76"/>
      <c r="H543" s="76"/>
      <c r="I543" s="73" t="s">
        <v>366</v>
      </c>
      <c r="J543" s="76"/>
    </row>
    <row r="544">
      <c r="A544" s="72">
        <v>541.0</v>
      </c>
      <c r="B544" s="73" t="s">
        <v>880</v>
      </c>
      <c r="C544" s="74">
        <v>8.90100531E8</v>
      </c>
      <c r="D544" s="73" t="s">
        <v>909</v>
      </c>
      <c r="E544" s="72">
        <v>159.0</v>
      </c>
      <c r="F544" s="75">
        <v>37467.0</v>
      </c>
      <c r="G544" s="76"/>
      <c r="H544" s="76"/>
      <c r="I544" s="73" t="s">
        <v>366</v>
      </c>
      <c r="J544" s="76"/>
    </row>
    <row r="545">
      <c r="A545" s="72">
        <v>542.0</v>
      </c>
      <c r="B545" s="73" t="s">
        <v>880</v>
      </c>
      <c r="C545" s="74">
        <v>8.02017455E8</v>
      </c>
      <c r="D545" s="73" t="s">
        <v>910</v>
      </c>
      <c r="E545" s="72">
        <v>160.0</v>
      </c>
      <c r="F545" s="75">
        <v>37474.0</v>
      </c>
      <c r="G545" s="76"/>
      <c r="H545" s="76"/>
      <c r="I545" s="73" t="s">
        <v>366</v>
      </c>
      <c r="J545" s="76"/>
    </row>
    <row r="546">
      <c r="A546" s="72">
        <v>543.0</v>
      </c>
      <c r="B546" s="73" t="s">
        <v>880</v>
      </c>
      <c r="C546" s="74">
        <v>8.00022008E8</v>
      </c>
      <c r="D546" s="73" t="s">
        <v>911</v>
      </c>
      <c r="E546" s="72">
        <v>163.0</v>
      </c>
      <c r="F546" s="75">
        <v>37488.0</v>
      </c>
      <c r="G546" s="76"/>
      <c r="H546" s="76"/>
      <c r="I546" s="73" t="s">
        <v>366</v>
      </c>
      <c r="J546" s="76"/>
    </row>
    <row r="547">
      <c r="A547" s="72">
        <v>544.0</v>
      </c>
      <c r="B547" s="73" t="s">
        <v>880</v>
      </c>
      <c r="C547" s="74">
        <v>8.00221333E8</v>
      </c>
      <c r="D547" s="73" t="s">
        <v>912</v>
      </c>
      <c r="E547" s="72">
        <v>3910.0</v>
      </c>
      <c r="F547" s="75">
        <v>37519.0</v>
      </c>
      <c r="G547" s="76"/>
      <c r="H547" s="76"/>
      <c r="I547" s="73" t="s">
        <v>366</v>
      </c>
      <c r="J547" s="76"/>
    </row>
    <row r="548">
      <c r="A548" s="72">
        <v>545.0</v>
      </c>
      <c r="B548" s="73" t="s">
        <v>880</v>
      </c>
      <c r="C548" s="74">
        <v>8.90107645E8</v>
      </c>
      <c r="D548" s="73" t="s">
        <v>913</v>
      </c>
      <c r="E548" s="72">
        <v>188.0</v>
      </c>
      <c r="F548" s="75">
        <v>37525.0</v>
      </c>
      <c r="G548" s="76"/>
      <c r="H548" s="76"/>
      <c r="I548" s="73" t="s">
        <v>366</v>
      </c>
      <c r="J548" s="76"/>
    </row>
    <row r="549">
      <c r="A549" s="72">
        <v>546.0</v>
      </c>
      <c r="B549" s="73" t="s">
        <v>880</v>
      </c>
      <c r="C549" s="74">
        <v>8.90104487E8</v>
      </c>
      <c r="D549" s="73" t="s">
        <v>914</v>
      </c>
      <c r="E549" s="72">
        <v>191.0</v>
      </c>
      <c r="F549" s="77">
        <v>37557.0</v>
      </c>
      <c r="G549" s="76"/>
      <c r="H549" s="76"/>
      <c r="I549" s="73" t="s">
        <v>366</v>
      </c>
      <c r="J549" s="76"/>
    </row>
    <row r="550">
      <c r="A550" s="72">
        <v>547.0</v>
      </c>
      <c r="B550" s="73" t="s">
        <v>880</v>
      </c>
      <c r="C550" s="74">
        <v>8.00104764E8</v>
      </c>
      <c r="D550" s="73" t="s">
        <v>915</v>
      </c>
      <c r="E550" s="72">
        <v>198.0</v>
      </c>
      <c r="F550" s="77">
        <v>37561.0</v>
      </c>
      <c r="G550" s="76"/>
      <c r="H550" s="76"/>
      <c r="I550" s="73" t="s">
        <v>366</v>
      </c>
      <c r="J550" s="76"/>
    </row>
    <row r="551">
      <c r="A551" s="72">
        <v>548.0</v>
      </c>
      <c r="B551" s="73" t="s">
        <v>880</v>
      </c>
      <c r="C551" s="74">
        <v>8.02004197E8</v>
      </c>
      <c r="D551" s="73" t="s">
        <v>916</v>
      </c>
      <c r="E551" s="72">
        <v>197.0</v>
      </c>
      <c r="F551" s="77">
        <v>37561.0</v>
      </c>
      <c r="G551" s="76"/>
      <c r="H551" s="76"/>
      <c r="I551" s="73" t="s">
        <v>366</v>
      </c>
      <c r="J551" s="76"/>
    </row>
    <row r="552">
      <c r="A552" s="72">
        <v>549.0</v>
      </c>
      <c r="B552" s="73" t="s">
        <v>880</v>
      </c>
      <c r="C552" s="74">
        <v>8.02017323E8</v>
      </c>
      <c r="D552" s="73" t="s">
        <v>917</v>
      </c>
      <c r="E552" s="72">
        <v>206.0</v>
      </c>
      <c r="F552" s="77">
        <v>37578.0</v>
      </c>
      <c r="G552" s="76"/>
      <c r="H552" s="76"/>
      <c r="I552" s="73" t="s">
        <v>366</v>
      </c>
      <c r="J552" s="76"/>
    </row>
    <row r="553">
      <c r="A553" s="72">
        <v>550.0</v>
      </c>
      <c r="B553" s="73" t="s">
        <v>880</v>
      </c>
      <c r="C553" s="74">
        <v>8.90105479E8</v>
      </c>
      <c r="D553" s="73" t="s">
        <v>918</v>
      </c>
      <c r="E553" s="72">
        <v>213.0</v>
      </c>
      <c r="F553" s="77">
        <v>37585.0</v>
      </c>
      <c r="G553" s="76"/>
      <c r="H553" s="76"/>
      <c r="I553" s="73" t="s">
        <v>366</v>
      </c>
      <c r="J553" s="76"/>
    </row>
    <row r="554">
      <c r="A554" s="72">
        <v>551.0</v>
      </c>
      <c r="B554" s="73" t="s">
        <v>880</v>
      </c>
      <c r="C554" s="74">
        <v>8.00118055E8</v>
      </c>
      <c r="D554" s="73" t="s">
        <v>919</v>
      </c>
      <c r="E554" s="72">
        <v>218.0</v>
      </c>
      <c r="F554" s="77">
        <v>37594.0</v>
      </c>
      <c r="G554" s="76"/>
      <c r="H554" s="76"/>
      <c r="I554" s="73" t="s">
        <v>366</v>
      </c>
      <c r="J554" s="76"/>
    </row>
    <row r="555">
      <c r="A555" s="72">
        <v>552.0</v>
      </c>
      <c r="B555" s="73" t="s">
        <v>880</v>
      </c>
      <c r="C555" s="74">
        <v>8.00060035E8</v>
      </c>
      <c r="D555" s="73" t="s">
        <v>920</v>
      </c>
      <c r="E555" s="72">
        <v>221.0</v>
      </c>
      <c r="F555" s="77">
        <v>37608.0</v>
      </c>
      <c r="G555" s="76"/>
      <c r="H555" s="76"/>
      <c r="I555" s="73" t="s">
        <v>366</v>
      </c>
      <c r="J555" s="76"/>
    </row>
    <row r="556">
      <c r="A556" s="72">
        <v>553.0</v>
      </c>
      <c r="B556" s="73" t="s">
        <v>880</v>
      </c>
      <c r="C556" s="74">
        <v>8.02016628E8</v>
      </c>
      <c r="D556" s="73" t="s">
        <v>921</v>
      </c>
      <c r="E556" s="72">
        <v>13.0</v>
      </c>
      <c r="F556" s="75">
        <v>37641.0</v>
      </c>
      <c r="G556" s="76"/>
      <c r="H556" s="76"/>
      <c r="I556" s="73" t="s">
        <v>366</v>
      </c>
      <c r="J556" s="76"/>
    </row>
    <row r="557">
      <c r="A557" s="72">
        <v>554.0</v>
      </c>
      <c r="B557" s="73" t="s">
        <v>880</v>
      </c>
      <c r="C557" s="74">
        <v>8.02018377E8</v>
      </c>
      <c r="D557" s="73" t="s">
        <v>922</v>
      </c>
      <c r="E557" s="72">
        <v>25.0</v>
      </c>
      <c r="F557" s="75">
        <v>37656.0</v>
      </c>
      <c r="G557" s="76"/>
      <c r="H557" s="76"/>
      <c r="I557" s="73" t="s">
        <v>366</v>
      </c>
      <c r="J557" s="76"/>
    </row>
    <row r="558">
      <c r="A558" s="72">
        <v>555.0</v>
      </c>
      <c r="B558" s="73" t="s">
        <v>880</v>
      </c>
      <c r="C558" s="74">
        <v>8.00060828E8</v>
      </c>
      <c r="D558" s="73" t="s">
        <v>923</v>
      </c>
      <c r="E558" s="72">
        <v>37.0</v>
      </c>
      <c r="F558" s="75">
        <v>37698.0</v>
      </c>
      <c r="G558" s="76"/>
      <c r="H558" s="76"/>
      <c r="I558" s="73" t="s">
        <v>366</v>
      </c>
      <c r="J558" s="76"/>
    </row>
    <row r="559">
      <c r="A559" s="72">
        <v>556.0</v>
      </c>
      <c r="B559" s="73" t="s">
        <v>880</v>
      </c>
      <c r="C559" s="74">
        <v>8.02002367E8</v>
      </c>
      <c r="D559" s="73" t="s">
        <v>924</v>
      </c>
      <c r="E559" s="72">
        <v>38.0</v>
      </c>
      <c r="F559" s="75">
        <v>37699.0</v>
      </c>
      <c r="G559" s="76"/>
      <c r="H559" s="76"/>
      <c r="I559" s="73" t="s">
        <v>366</v>
      </c>
      <c r="J559" s="76"/>
    </row>
    <row r="560">
      <c r="A560" s="72">
        <v>557.0</v>
      </c>
      <c r="B560" s="73" t="s">
        <v>880</v>
      </c>
      <c r="C560" s="74">
        <v>8.02019572E8</v>
      </c>
      <c r="D560" s="73" t="s">
        <v>925</v>
      </c>
      <c r="E560" s="72">
        <v>41.0</v>
      </c>
      <c r="F560" s="75">
        <v>37705.0</v>
      </c>
      <c r="G560" s="76"/>
      <c r="H560" s="76"/>
      <c r="I560" s="73" t="s">
        <v>366</v>
      </c>
      <c r="J560" s="76"/>
    </row>
    <row r="561">
      <c r="A561" s="72">
        <v>558.0</v>
      </c>
      <c r="B561" s="73" t="s">
        <v>880</v>
      </c>
      <c r="C561" s="74">
        <v>8.0014502E8</v>
      </c>
      <c r="D561" s="73" t="s">
        <v>926</v>
      </c>
      <c r="E561" s="72">
        <v>44.0</v>
      </c>
      <c r="F561" s="75">
        <v>37706.0</v>
      </c>
      <c r="G561" s="76"/>
      <c r="H561" s="76"/>
      <c r="I561" s="73" t="s">
        <v>366</v>
      </c>
      <c r="J561" s="76"/>
    </row>
    <row r="562">
      <c r="A562" s="72">
        <v>559.0</v>
      </c>
      <c r="B562" s="73" t="s">
        <v>880</v>
      </c>
      <c r="C562" s="74">
        <v>8.0014502E8</v>
      </c>
      <c r="D562" s="73" t="s">
        <v>927</v>
      </c>
      <c r="E562" s="72">
        <v>44.0</v>
      </c>
      <c r="F562" s="75">
        <v>37706.0</v>
      </c>
      <c r="G562" s="76"/>
      <c r="H562" s="76"/>
      <c r="I562" s="73" t="s">
        <v>366</v>
      </c>
      <c r="J562" s="76"/>
    </row>
    <row r="563">
      <c r="A563" s="72">
        <v>560.0</v>
      </c>
      <c r="B563" s="73" t="s">
        <v>880</v>
      </c>
      <c r="C563" s="74">
        <v>8.90116156E8</v>
      </c>
      <c r="D563" s="73" t="s">
        <v>928</v>
      </c>
      <c r="E563" s="72">
        <v>47.0</v>
      </c>
      <c r="F563" s="75">
        <v>37718.0</v>
      </c>
      <c r="G563" s="76"/>
      <c r="H563" s="76"/>
      <c r="I563" s="73" t="s">
        <v>366</v>
      </c>
      <c r="J563" s="76"/>
    </row>
    <row r="564">
      <c r="A564" s="72">
        <v>561.0</v>
      </c>
      <c r="B564" s="73" t="s">
        <v>880</v>
      </c>
      <c r="C564" s="74">
        <v>8.02019834E8</v>
      </c>
      <c r="D564" s="73" t="s">
        <v>929</v>
      </c>
      <c r="E564" s="72">
        <v>48.0</v>
      </c>
      <c r="F564" s="75">
        <v>37735.0</v>
      </c>
      <c r="G564" s="76"/>
      <c r="H564" s="76"/>
      <c r="I564" s="73" t="s">
        <v>366</v>
      </c>
      <c r="J564" s="76"/>
    </row>
    <row r="565">
      <c r="A565" s="72">
        <v>562.0</v>
      </c>
      <c r="B565" s="73" t="s">
        <v>880</v>
      </c>
      <c r="C565" s="74">
        <v>8.0005556E8</v>
      </c>
      <c r="D565" s="73" t="s">
        <v>930</v>
      </c>
      <c r="E565" s="72">
        <v>54.0</v>
      </c>
      <c r="F565" s="75">
        <v>37741.0</v>
      </c>
      <c r="G565" s="76"/>
      <c r="H565" s="76"/>
      <c r="I565" s="73" t="s">
        <v>366</v>
      </c>
      <c r="J565" s="76"/>
    </row>
    <row r="566">
      <c r="A566" s="72">
        <v>563.0</v>
      </c>
      <c r="B566" s="73" t="s">
        <v>880</v>
      </c>
      <c r="C566" s="74">
        <v>8.02009482E8</v>
      </c>
      <c r="D566" s="73" t="s">
        <v>931</v>
      </c>
      <c r="E566" s="72">
        <v>139.0</v>
      </c>
      <c r="F566" s="75">
        <v>37844.0</v>
      </c>
      <c r="G566" s="76"/>
      <c r="H566" s="76"/>
      <c r="I566" s="73" t="s">
        <v>366</v>
      </c>
      <c r="J566" s="76"/>
    </row>
    <row r="567">
      <c r="A567" s="72">
        <v>564.0</v>
      </c>
      <c r="B567" s="73" t="s">
        <v>880</v>
      </c>
      <c r="C567" s="74">
        <v>8.06014425E8</v>
      </c>
      <c r="D567" s="73" t="s">
        <v>932</v>
      </c>
      <c r="E567" s="72">
        <v>297.0</v>
      </c>
      <c r="F567" s="75">
        <v>37886.0</v>
      </c>
      <c r="G567" s="76"/>
      <c r="H567" s="76"/>
      <c r="I567" s="73" t="s">
        <v>366</v>
      </c>
      <c r="J567" s="76"/>
    </row>
    <row r="568">
      <c r="A568" s="72">
        <v>565.0</v>
      </c>
      <c r="B568" s="73" t="s">
        <v>880</v>
      </c>
      <c r="C568" s="74">
        <v>8.02016469E8</v>
      </c>
      <c r="D568" s="73" t="s">
        <v>933</v>
      </c>
      <c r="E568" s="72">
        <v>13.0</v>
      </c>
      <c r="F568" s="75">
        <v>37890.0</v>
      </c>
      <c r="G568" s="76"/>
      <c r="H568" s="76"/>
      <c r="I568" s="73" t="s">
        <v>366</v>
      </c>
      <c r="J568" s="76"/>
    </row>
    <row r="569">
      <c r="A569" s="72">
        <v>566.0</v>
      </c>
      <c r="B569" s="73" t="s">
        <v>880</v>
      </c>
      <c r="C569" s="74">
        <v>8.19006194E8</v>
      </c>
      <c r="D569" s="73" t="s">
        <v>934</v>
      </c>
      <c r="E569" s="72">
        <v>99.0</v>
      </c>
      <c r="F569" s="77">
        <v>37911.0</v>
      </c>
      <c r="G569" s="76"/>
      <c r="H569" s="76"/>
      <c r="I569" s="73" t="s">
        <v>366</v>
      </c>
      <c r="J569" s="76"/>
    </row>
    <row r="570">
      <c r="A570" s="72">
        <v>567.0</v>
      </c>
      <c r="B570" s="73" t="s">
        <v>880</v>
      </c>
      <c r="C570" s="74">
        <v>8.19006194E8</v>
      </c>
      <c r="D570" s="73" t="s">
        <v>935</v>
      </c>
      <c r="E570" s="72">
        <v>99.0</v>
      </c>
      <c r="F570" s="77">
        <v>37911.0</v>
      </c>
      <c r="G570" s="76"/>
      <c r="H570" s="76"/>
      <c r="I570" s="73" t="s">
        <v>366</v>
      </c>
      <c r="J570" s="76"/>
    </row>
    <row r="571">
      <c r="A571" s="72">
        <v>568.0</v>
      </c>
      <c r="B571" s="73" t="s">
        <v>880</v>
      </c>
      <c r="C571" s="74">
        <v>8.02022602E8</v>
      </c>
      <c r="D571" s="73" t="s">
        <v>936</v>
      </c>
      <c r="E571" s="72">
        <v>1.0</v>
      </c>
      <c r="F571" s="75">
        <v>38005.0</v>
      </c>
      <c r="G571" s="76"/>
      <c r="H571" s="76"/>
      <c r="I571" s="73" t="s">
        <v>366</v>
      </c>
      <c r="J571" s="76"/>
    </row>
    <row r="572">
      <c r="A572" s="72">
        <v>569.0</v>
      </c>
      <c r="B572" s="73" t="s">
        <v>880</v>
      </c>
      <c r="C572" s="74">
        <v>8.02019504E8</v>
      </c>
      <c r="D572" s="73" t="s">
        <v>937</v>
      </c>
      <c r="E572" s="72">
        <v>7.0</v>
      </c>
      <c r="F572" s="75">
        <v>38015.0</v>
      </c>
      <c r="G572" s="76"/>
      <c r="H572" s="76"/>
      <c r="I572" s="73" t="s">
        <v>366</v>
      </c>
      <c r="J572" s="76"/>
    </row>
    <row r="573">
      <c r="A573" s="72">
        <v>570.0</v>
      </c>
      <c r="B573" s="73" t="s">
        <v>880</v>
      </c>
      <c r="C573" s="74">
        <v>8.02023944E8</v>
      </c>
      <c r="D573" s="73" t="s">
        <v>938</v>
      </c>
      <c r="E573" s="72">
        <v>58.0</v>
      </c>
      <c r="F573" s="75">
        <v>38191.0</v>
      </c>
      <c r="G573" s="76"/>
      <c r="H573" s="76"/>
      <c r="I573" s="73" t="s">
        <v>366</v>
      </c>
      <c r="J573" s="76"/>
    </row>
    <row r="574">
      <c r="A574" s="72">
        <v>571.0</v>
      </c>
      <c r="B574" s="73" t="s">
        <v>880</v>
      </c>
      <c r="C574" s="74">
        <v>8.90100577E8</v>
      </c>
      <c r="D574" s="73" t="s">
        <v>939</v>
      </c>
      <c r="E574" s="72">
        <v>75.0</v>
      </c>
      <c r="F574" s="75">
        <v>38218.0</v>
      </c>
      <c r="G574" s="76"/>
      <c r="H574" s="76"/>
      <c r="I574" s="73" t="s">
        <v>366</v>
      </c>
      <c r="J574" s="76"/>
    </row>
    <row r="575">
      <c r="A575" s="72">
        <v>572.0</v>
      </c>
      <c r="B575" s="73" t="s">
        <v>880</v>
      </c>
      <c r="C575" s="74">
        <v>8.02023906E8</v>
      </c>
      <c r="D575" s="73" t="s">
        <v>940</v>
      </c>
      <c r="E575" s="72">
        <v>93.0</v>
      </c>
      <c r="F575" s="75">
        <v>38246.0</v>
      </c>
      <c r="G575" s="76"/>
      <c r="H575" s="76"/>
      <c r="I575" s="73" t="s">
        <v>366</v>
      </c>
      <c r="J575" s="76"/>
    </row>
    <row r="576">
      <c r="A576" s="72">
        <v>573.0</v>
      </c>
      <c r="B576" s="73" t="s">
        <v>880</v>
      </c>
      <c r="C576" s="74">
        <v>8.02003763E8</v>
      </c>
      <c r="D576" s="73" t="s">
        <v>941</v>
      </c>
      <c r="E576" s="72">
        <v>95.0</v>
      </c>
      <c r="F576" s="75">
        <v>38254.0</v>
      </c>
      <c r="G576" s="76"/>
      <c r="H576" s="76"/>
      <c r="I576" s="73" t="s">
        <v>366</v>
      </c>
      <c r="J576" s="76"/>
    </row>
    <row r="577">
      <c r="A577" s="72">
        <v>574.0</v>
      </c>
      <c r="B577" s="73" t="s">
        <v>880</v>
      </c>
      <c r="C577" s="74">
        <v>8.02012067E8</v>
      </c>
      <c r="D577" s="73" t="s">
        <v>942</v>
      </c>
      <c r="E577" s="72">
        <v>140.0</v>
      </c>
      <c r="F577" s="77">
        <v>38330.0</v>
      </c>
      <c r="G577" s="76"/>
      <c r="H577" s="76"/>
      <c r="I577" s="73" t="s">
        <v>366</v>
      </c>
      <c r="J577" s="76"/>
    </row>
    <row r="578">
      <c r="A578" s="72">
        <v>575.0</v>
      </c>
      <c r="B578" s="73" t="s">
        <v>880</v>
      </c>
      <c r="C578" s="74">
        <v>8.30507089E8</v>
      </c>
      <c r="D578" s="73" t="s">
        <v>943</v>
      </c>
      <c r="E578" s="72">
        <v>43.0</v>
      </c>
      <c r="F578" s="77">
        <v>38337.0</v>
      </c>
      <c r="G578" s="76"/>
      <c r="H578" s="76"/>
      <c r="I578" s="73" t="s">
        <v>366</v>
      </c>
      <c r="J578" s="76"/>
    </row>
    <row r="579">
      <c r="A579" s="72">
        <v>576.0</v>
      </c>
      <c r="B579" s="73" t="s">
        <v>880</v>
      </c>
      <c r="C579" s="74">
        <v>8.30510544E8</v>
      </c>
      <c r="D579" s="73" t="s">
        <v>944</v>
      </c>
      <c r="E579" s="72">
        <v>1.0</v>
      </c>
      <c r="F579" s="75">
        <v>38369.0</v>
      </c>
      <c r="G579" s="76"/>
      <c r="H579" s="76"/>
      <c r="I579" s="73" t="s">
        <v>366</v>
      </c>
      <c r="J579" s="76"/>
    </row>
    <row r="580">
      <c r="A580" s="72">
        <v>577.0</v>
      </c>
      <c r="B580" s="73" t="s">
        <v>880</v>
      </c>
      <c r="C580" s="74">
        <v>8.02021975E8</v>
      </c>
      <c r="D580" s="73" t="s">
        <v>945</v>
      </c>
      <c r="E580" s="72">
        <v>2.0</v>
      </c>
      <c r="F580" s="75">
        <v>38370.0</v>
      </c>
      <c r="G580" s="76"/>
      <c r="H580" s="76"/>
      <c r="I580" s="73" t="s">
        <v>366</v>
      </c>
      <c r="J580" s="76"/>
    </row>
    <row r="581">
      <c r="A581" s="72">
        <v>578.0</v>
      </c>
      <c r="B581" s="73" t="s">
        <v>880</v>
      </c>
      <c r="C581" s="74">
        <v>8.30507597E8</v>
      </c>
      <c r="D581" s="73" t="s">
        <v>946</v>
      </c>
      <c r="E581" s="72">
        <v>19.0</v>
      </c>
      <c r="F581" s="75">
        <v>38400.0</v>
      </c>
      <c r="G581" s="76"/>
      <c r="H581" s="76"/>
      <c r="I581" s="73" t="s">
        <v>366</v>
      </c>
      <c r="J581" s="76"/>
    </row>
    <row r="582">
      <c r="A582" s="78">
        <v>579.0</v>
      </c>
      <c r="B582" s="79" t="s">
        <v>880</v>
      </c>
      <c r="C582" s="80">
        <v>8.90104522E8</v>
      </c>
      <c r="D582" s="79" t="s">
        <v>947</v>
      </c>
      <c r="E582" s="81">
        <v>40.0</v>
      </c>
      <c r="F582" s="84">
        <v>38453.0</v>
      </c>
      <c r="G582" s="83"/>
      <c r="H582" s="83"/>
      <c r="I582" s="73" t="s">
        <v>366</v>
      </c>
      <c r="J582" s="76"/>
    </row>
    <row r="583">
      <c r="A583" s="72">
        <v>580.0</v>
      </c>
      <c r="B583" s="73" t="s">
        <v>880</v>
      </c>
      <c r="C583" s="74">
        <v>9.00009942E8</v>
      </c>
      <c r="D583" s="73" t="s">
        <v>948</v>
      </c>
      <c r="E583" s="72">
        <v>48.0</v>
      </c>
      <c r="F583" s="75">
        <v>38463.0</v>
      </c>
      <c r="G583" s="76"/>
      <c r="H583" s="76"/>
      <c r="I583" s="73" t="s">
        <v>366</v>
      </c>
      <c r="J583" s="76"/>
    </row>
    <row r="584">
      <c r="A584" s="72">
        <v>581.0</v>
      </c>
      <c r="B584" s="73" t="s">
        <v>880</v>
      </c>
      <c r="C584" s="74">
        <v>9.0001969E8</v>
      </c>
      <c r="D584" s="73" t="s">
        <v>949</v>
      </c>
      <c r="E584" s="72">
        <v>59.0</v>
      </c>
      <c r="F584" s="75">
        <v>38485.0</v>
      </c>
      <c r="G584" s="76"/>
      <c r="H584" s="76"/>
      <c r="I584" s="73" t="s">
        <v>366</v>
      </c>
      <c r="J584" s="76"/>
    </row>
    <row r="585">
      <c r="A585" s="72">
        <v>582.0</v>
      </c>
      <c r="B585" s="73" t="s">
        <v>880</v>
      </c>
      <c r="C585" s="74">
        <v>9.00020635E8</v>
      </c>
      <c r="D585" s="73" t="s">
        <v>950</v>
      </c>
      <c r="E585" s="72">
        <v>128.0</v>
      </c>
      <c r="F585" s="75">
        <v>38576.0</v>
      </c>
      <c r="G585" s="76"/>
      <c r="H585" s="76"/>
      <c r="I585" s="73" t="s">
        <v>366</v>
      </c>
      <c r="J585" s="76"/>
    </row>
    <row r="586">
      <c r="A586" s="72">
        <v>583.0</v>
      </c>
      <c r="B586" s="73" t="s">
        <v>880</v>
      </c>
      <c r="C586" s="74">
        <v>8.02023439E8</v>
      </c>
      <c r="D586" s="73" t="s">
        <v>951</v>
      </c>
      <c r="E586" s="72">
        <v>188.0</v>
      </c>
      <c r="F586" s="75">
        <v>38616.0</v>
      </c>
      <c r="G586" s="76"/>
      <c r="H586" s="76"/>
      <c r="I586" s="73" t="s">
        <v>366</v>
      </c>
      <c r="J586" s="76"/>
    </row>
    <row r="587">
      <c r="A587" s="72">
        <v>584.0</v>
      </c>
      <c r="B587" s="73" t="s">
        <v>880</v>
      </c>
      <c r="C587" s="74">
        <v>8.00079868E8</v>
      </c>
      <c r="D587" s="73" t="s">
        <v>952</v>
      </c>
      <c r="E587" s="72">
        <v>317.0</v>
      </c>
      <c r="F587" s="77">
        <v>38679.0</v>
      </c>
      <c r="G587" s="76"/>
      <c r="H587" s="76"/>
      <c r="I587" s="73" t="s">
        <v>366</v>
      </c>
      <c r="J587" s="76"/>
    </row>
    <row r="588">
      <c r="A588" s="72">
        <v>585.0</v>
      </c>
      <c r="B588" s="73" t="s">
        <v>880</v>
      </c>
      <c r="C588" s="74">
        <v>8.02021733E8</v>
      </c>
      <c r="D588" s="73" t="s">
        <v>953</v>
      </c>
      <c r="E588" s="72">
        <v>6.0</v>
      </c>
      <c r="F588" s="75">
        <v>38730.0</v>
      </c>
      <c r="G588" s="76"/>
      <c r="H588" s="76"/>
      <c r="I588" s="73" t="s">
        <v>366</v>
      </c>
      <c r="J588" s="76"/>
    </row>
    <row r="589">
      <c r="A589" s="72">
        <v>586.0</v>
      </c>
      <c r="B589" s="73" t="s">
        <v>880</v>
      </c>
      <c r="C589" s="74">
        <v>8.90116156E8</v>
      </c>
      <c r="D589" s="73" t="s">
        <v>928</v>
      </c>
      <c r="E589" s="72">
        <v>1568216.0</v>
      </c>
      <c r="F589" s="75">
        <v>38758.0</v>
      </c>
      <c r="G589" s="76"/>
      <c r="H589" s="76"/>
      <c r="I589" s="73" t="s">
        <v>366</v>
      </c>
      <c r="J589" s="76"/>
    </row>
    <row r="590">
      <c r="A590" s="72">
        <v>587.0</v>
      </c>
      <c r="B590" s="73" t="s">
        <v>880</v>
      </c>
      <c r="C590" s="74">
        <v>9.00062267E8</v>
      </c>
      <c r="D590" s="73" t="s">
        <v>954</v>
      </c>
      <c r="E590" s="72">
        <v>120.0</v>
      </c>
      <c r="F590" s="75">
        <v>38783.0</v>
      </c>
      <c r="G590" s="76"/>
      <c r="H590" s="76"/>
      <c r="I590" s="73" t="s">
        <v>366</v>
      </c>
      <c r="J590" s="76"/>
    </row>
    <row r="591">
      <c r="A591" s="72">
        <v>588.0</v>
      </c>
      <c r="B591" s="73" t="s">
        <v>880</v>
      </c>
      <c r="C591" s="74">
        <v>9.00078756E8</v>
      </c>
      <c r="D591" s="73" t="s">
        <v>955</v>
      </c>
      <c r="E591" s="72">
        <v>424.0</v>
      </c>
      <c r="F591" s="75">
        <v>38868.0</v>
      </c>
      <c r="G591" s="76"/>
      <c r="H591" s="76"/>
      <c r="I591" s="73" t="s">
        <v>366</v>
      </c>
      <c r="J591" s="76"/>
    </row>
    <row r="592">
      <c r="A592" s="72">
        <v>589.0</v>
      </c>
      <c r="B592" s="73" t="s">
        <v>880</v>
      </c>
      <c r="C592" s="74">
        <v>9.00077207E8</v>
      </c>
      <c r="D592" s="73" t="s">
        <v>956</v>
      </c>
      <c r="E592" s="72">
        <v>470.0</v>
      </c>
      <c r="F592" s="75">
        <v>38882.0</v>
      </c>
      <c r="G592" s="76"/>
      <c r="H592" s="76"/>
      <c r="I592" s="73" t="s">
        <v>366</v>
      </c>
      <c r="J592" s="76"/>
    </row>
    <row r="593">
      <c r="A593" s="72">
        <v>590.0</v>
      </c>
      <c r="B593" s="73" t="s">
        <v>880</v>
      </c>
      <c r="C593" s="74">
        <v>8.02002257E8</v>
      </c>
      <c r="D593" s="73" t="s">
        <v>957</v>
      </c>
      <c r="E593" s="72">
        <v>681.0</v>
      </c>
      <c r="F593" s="75">
        <v>38939.0</v>
      </c>
      <c r="G593" s="76"/>
      <c r="H593" s="76"/>
      <c r="I593" s="73" t="s">
        <v>366</v>
      </c>
      <c r="J593" s="76"/>
    </row>
    <row r="594">
      <c r="A594" s="72">
        <v>591.0</v>
      </c>
      <c r="B594" s="73" t="s">
        <v>880</v>
      </c>
      <c r="C594" s="74">
        <v>8.00179281E8</v>
      </c>
      <c r="D594" s="73" t="s">
        <v>958</v>
      </c>
      <c r="E594" s="72">
        <v>686.0</v>
      </c>
      <c r="F594" s="75">
        <v>38944.0</v>
      </c>
      <c r="G594" s="76"/>
      <c r="H594" s="76"/>
      <c r="I594" s="73" t="s">
        <v>366</v>
      </c>
      <c r="J594" s="76"/>
    </row>
    <row r="595">
      <c r="A595" s="72">
        <v>592.0</v>
      </c>
      <c r="B595" s="73" t="s">
        <v>880</v>
      </c>
      <c r="C595" s="74">
        <v>9.00098997E8</v>
      </c>
      <c r="D595" s="73" t="s">
        <v>959</v>
      </c>
      <c r="E595" s="72">
        <v>697.0</v>
      </c>
      <c r="F595" s="75">
        <v>38960.0</v>
      </c>
      <c r="G595" s="76"/>
      <c r="H595" s="76"/>
      <c r="I595" s="73" t="s">
        <v>366</v>
      </c>
      <c r="J595" s="76"/>
    </row>
    <row r="596">
      <c r="A596" s="72">
        <v>593.0</v>
      </c>
      <c r="B596" s="73" t="s">
        <v>880</v>
      </c>
      <c r="C596" s="74">
        <v>8.02004119E8</v>
      </c>
      <c r="D596" s="73" t="s">
        <v>960</v>
      </c>
      <c r="E596" s="72">
        <v>900.0</v>
      </c>
      <c r="F596" s="77">
        <v>38995.0</v>
      </c>
      <c r="G596" s="76"/>
      <c r="H596" s="76"/>
      <c r="I596" s="73" t="s">
        <v>366</v>
      </c>
      <c r="J596" s="76"/>
    </row>
    <row r="597">
      <c r="A597" s="72">
        <v>594.0</v>
      </c>
      <c r="B597" s="73" t="s">
        <v>880</v>
      </c>
      <c r="C597" s="74">
        <v>9.0012593E8</v>
      </c>
      <c r="D597" s="73" t="s">
        <v>961</v>
      </c>
      <c r="E597" s="72">
        <v>18.0</v>
      </c>
      <c r="F597" s="75">
        <v>39105.0</v>
      </c>
      <c r="G597" s="76"/>
      <c r="H597" s="76"/>
      <c r="I597" s="73" t="s">
        <v>366</v>
      </c>
      <c r="J597" s="76"/>
    </row>
    <row r="598">
      <c r="A598" s="72">
        <v>595.0</v>
      </c>
      <c r="B598" s="73" t="s">
        <v>880</v>
      </c>
      <c r="C598" s="74">
        <v>8.9010326E8</v>
      </c>
      <c r="D598" s="73" t="s">
        <v>962</v>
      </c>
      <c r="E598" s="72">
        <v>38.0</v>
      </c>
      <c r="F598" s="75">
        <v>39113.0</v>
      </c>
      <c r="G598" s="76"/>
      <c r="H598" s="76"/>
      <c r="I598" s="73" t="s">
        <v>366</v>
      </c>
      <c r="J598" s="76"/>
    </row>
    <row r="599">
      <c r="A599" s="72">
        <v>596.0</v>
      </c>
      <c r="B599" s="73" t="s">
        <v>880</v>
      </c>
      <c r="C599" s="74">
        <v>8.00170229E8</v>
      </c>
      <c r="D599" s="73" t="s">
        <v>963</v>
      </c>
      <c r="E599" s="72">
        <v>50.0</v>
      </c>
      <c r="F599" s="75">
        <v>39134.0</v>
      </c>
      <c r="G599" s="76"/>
      <c r="H599" s="76"/>
      <c r="I599" s="73" t="s">
        <v>366</v>
      </c>
      <c r="J599" s="76"/>
    </row>
    <row r="600">
      <c r="A600" s="72">
        <v>597.0</v>
      </c>
      <c r="B600" s="73" t="s">
        <v>880</v>
      </c>
      <c r="C600" s="74">
        <v>9.00135001E8</v>
      </c>
      <c r="D600" s="73" t="s">
        <v>964</v>
      </c>
      <c r="E600" s="72">
        <v>76.0</v>
      </c>
      <c r="F600" s="75">
        <v>39162.0</v>
      </c>
      <c r="G600" s="76"/>
      <c r="H600" s="76"/>
      <c r="I600" s="73" t="s">
        <v>366</v>
      </c>
      <c r="J600" s="76"/>
    </row>
    <row r="601">
      <c r="A601" s="72">
        <v>598.0</v>
      </c>
      <c r="B601" s="73" t="s">
        <v>880</v>
      </c>
      <c r="C601" s="74">
        <v>8.90102561E8</v>
      </c>
      <c r="D601" s="73" t="s">
        <v>965</v>
      </c>
      <c r="E601" s="72">
        <v>77.0</v>
      </c>
      <c r="F601" s="75">
        <v>39163.0</v>
      </c>
      <c r="G601" s="76"/>
      <c r="H601" s="76"/>
      <c r="I601" s="73" t="s">
        <v>366</v>
      </c>
      <c r="J601" s="76"/>
    </row>
    <row r="602">
      <c r="A602" s="72">
        <v>599.0</v>
      </c>
      <c r="B602" s="73" t="s">
        <v>880</v>
      </c>
      <c r="C602" s="74">
        <v>8.02016998E8</v>
      </c>
      <c r="D602" s="73" t="s">
        <v>966</v>
      </c>
      <c r="E602" s="72">
        <v>103.0</v>
      </c>
      <c r="F602" s="75">
        <v>39171.0</v>
      </c>
      <c r="G602" s="76"/>
      <c r="H602" s="76"/>
      <c r="I602" s="73" t="s">
        <v>366</v>
      </c>
      <c r="J602" s="76"/>
    </row>
    <row r="603">
      <c r="A603" s="72">
        <v>600.0</v>
      </c>
      <c r="B603" s="73" t="s">
        <v>880</v>
      </c>
      <c r="C603" s="74">
        <v>9.0014204E8</v>
      </c>
      <c r="D603" s="73" t="s">
        <v>967</v>
      </c>
      <c r="E603" s="72">
        <v>131.0</v>
      </c>
      <c r="F603" s="75">
        <v>39188.0</v>
      </c>
      <c r="G603" s="76"/>
      <c r="H603" s="76"/>
      <c r="I603" s="73" t="s">
        <v>366</v>
      </c>
      <c r="J603" s="76"/>
    </row>
    <row r="604">
      <c r="A604" s="72">
        <v>601.0</v>
      </c>
      <c r="B604" s="73" t="s">
        <v>880</v>
      </c>
      <c r="C604" s="74">
        <v>9.00023878E8</v>
      </c>
      <c r="D604" s="73" t="s">
        <v>968</v>
      </c>
      <c r="E604" s="72">
        <v>252.0</v>
      </c>
      <c r="F604" s="75">
        <v>39293.0</v>
      </c>
      <c r="G604" s="76"/>
      <c r="H604" s="76"/>
      <c r="I604" s="73" t="s">
        <v>366</v>
      </c>
      <c r="J604" s="76"/>
    </row>
    <row r="605">
      <c r="A605" s="72">
        <v>602.0</v>
      </c>
      <c r="B605" s="73" t="s">
        <v>880</v>
      </c>
      <c r="C605" s="74">
        <v>8.02022267E8</v>
      </c>
      <c r="D605" s="73" t="s">
        <v>969</v>
      </c>
      <c r="E605" s="72">
        <v>300.0</v>
      </c>
      <c r="F605" s="75">
        <v>39323.0</v>
      </c>
      <c r="G605" s="76"/>
      <c r="H605" s="76"/>
      <c r="I605" s="73" t="s">
        <v>366</v>
      </c>
      <c r="J605" s="76"/>
    </row>
    <row r="606">
      <c r="A606" s="72">
        <v>603.0</v>
      </c>
      <c r="B606" s="73" t="s">
        <v>880</v>
      </c>
      <c r="C606" s="74">
        <v>8.90100499E8</v>
      </c>
      <c r="D606" s="73" t="s">
        <v>970</v>
      </c>
      <c r="E606" s="72">
        <v>312.0</v>
      </c>
      <c r="F606" s="75">
        <v>39355.0</v>
      </c>
      <c r="G606" s="76"/>
      <c r="H606" s="76"/>
      <c r="I606" s="73" t="s">
        <v>366</v>
      </c>
      <c r="J606" s="76"/>
    </row>
    <row r="607">
      <c r="A607" s="72">
        <v>604.0</v>
      </c>
      <c r="B607" s="73" t="s">
        <v>880</v>
      </c>
      <c r="C607" s="74">
        <v>8.00197776E8</v>
      </c>
      <c r="D607" s="73" t="s">
        <v>971</v>
      </c>
      <c r="E607" s="72">
        <v>429.0</v>
      </c>
      <c r="F607" s="77">
        <v>39359.0</v>
      </c>
      <c r="G607" s="76"/>
      <c r="H607" s="76"/>
      <c r="I607" s="73" t="s">
        <v>366</v>
      </c>
      <c r="J607" s="76"/>
    </row>
    <row r="608">
      <c r="A608" s="72">
        <v>605.0</v>
      </c>
      <c r="B608" s="73" t="s">
        <v>880</v>
      </c>
      <c r="C608" s="74">
        <v>8.0202392E8</v>
      </c>
      <c r="D608" s="73" t="s">
        <v>972</v>
      </c>
      <c r="E608" s="72">
        <v>516.0</v>
      </c>
      <c r="F608" s="77">
        <v>39387.0</v>
      </c>
      <c r="G608" s="76"/>
      <c r="H608" s="76"/>
      <c r="I608" s="73" t="s">
        <v>366</v>
      </c>
      <c r="J608" s="76"/>
    </row>
    <row r="609">
      <c r="A609" s="72">
        <v>606.0</v>
      </c>
      <c r="B609" s="73" t="s">
        <v>880</v>
      </c>
      <c r="C609" s="74">
        <v>9.00168964E8</v>
      </c>
      <c r="D609" s="73" t="s">
        <v>973</v>
      </c>
      <c r="E609" s="72">
        <v>520.0</v>
      </c>
      <c r="F609" s="77">
        <v>39400.0</v>
      </c>
      <c r="G609" s="76"/>
      <c r="H609" s="76"/>
      <c r="I609" s="73" t="s">
        <v>366</v>
      </c>
      <c r="J609" s="76"/>
    </row>
    <row r="610">
      <c r="A610" s="72">
        <v>607.0</v>
      </c>
      <c r="B610" s="73" t="s">
        <v>880</v>
      </c>
      <c r="C610" s="74">
        <v>9.00160091E8</v>
      </c>
      <c r="D610" s="73" t="s">
        <v>974</v>
      </c>
      <c r="E610" s="72">
        <v>548.0</v>
      </c>
      <c r="F610" s="77">
        <v>39419.0</v>
      </c>
      <c r="G610" s="76"/>
      <c r="H610" s="76"/>
      <c r="I610" s="73" t="s">
        <v>366</v>
      </c>
      <c r="J610" s="76"/>
    </row>
    <row r="611">
      <c r="A611" s="72">
        <v>608.0</v>
      </c>
      <c r="B611" s="73" t="s">
        <v>880</v>
      </c>
      <c r="C611" s="74">
        <v>8.00215632E8</v>
      </c>
      <c r="D611" s="73" t="s">
        <v>975</v>
      </c>
      <c r="E611" s="72">
        <v>583.0</v>
      </c>
      <c r="F611" s="77">
        <v>39428.0</v>
      </c>
      <c r="G611" s="76"/>
      <c r="H611" s="76"/>
      <c r="I611" s="73" t="s">
        <v>366</v>
      </c>
      <c r="J611" s="76"/>
    </row>
    <row r="612">
      <c r="A612" s="72">
        <v>609.0</v>
      </c>
      <c r="B612" s="73" t="s">
        <v>880</v>
      </c>
      <c r="C612" s="74">
        <v>9.00184148E8</v>
      </c>
      <c r="D612" s="73" t="s">
        <v>976</v>
      </c>
      <c r="E612" s="72">
        <v>584.0</v>
      </c>
      <c r="F612" s="77">
        <v>39429.0</v>
      </c>
      <c r="G612" s="76"/>
      <c r="H612" s="76"/>
      <c r="I612" s="73" t="s">
        <v>366</v>
      </c>
      <c r="J612" s="76"/>
    </row>
    <row r="613">
      <c r="A613" s="72">
        <v>610.0</v>
      </c>
      <c r="B613" s="73" t="s">
        <v>880</v>
      </c>
      <c r="C613" s="74">
        <v>9.00183497E8</v>
      </c>
      <c r="D613" s="73" t="s">
        <v>977</v>
      </c>
      <c r="E613" s="72">
        <v>600.0</v>
      </c>
      <c r="F613" s="77">
        <v>39440.0</v>
      </c>
      <c r="G613" s="76"/>
      <c r="H613" s="76"/>
      <c r="I613" s="73" t="s">
        <v>366</v>
      </c>
      <c r="J613" s="76"/>
    </row>
    <row r="614">
      <c r="A614" s="72">
        <v>611.0</v>
      </c>
      <c r="B614" s="73" t="s">
        <v>880</v>
      </c>
      <c r="C614" s="74">
        <v>9.00186932E8</v>
      </c>
      <c r="D614" s="73" t="s">
        <v>978</v>
      </c>
      <c r="E614" s="72">
        <v>604.0</v>
      </c>
      <c r="F614" s="77">
        <v>39444.0</v>
      </c>
      <c r="G614" s="76"/>
      <c r="H614" s="76"/>
      <c r="I614" s="73" t="s">
        <v>366</v>
      </c>
      <c r="J614" s="76"/>
    </row>
    <row r="615">
      <c r="A615" s="72">
        <v>612.0</v>
      </c>
      <c r="B615" s="73" t="s">
        <v>880</v>
      </c>
      <c r="C615" s="74">
        <v>9.00163489E8</v>
      </c>
      <c r="D615" s="73" t="s">
        <v>979</v>
      </c>
      <c r="E615" s="72">
        <v>45.0</v>
      </c>
      <c r="F615" s="75">
        <v>39484.0</v>
      </c>
      <c r="G615" s="76"/>
      <c r="H615" s="76"/>
      <c r="I615" s="73" t="s">
        <v>366</v>
      </c>
      <c r="J615" s="76"/>
    </row>
    <row r="616">
      <c r="A616" s="72">
        <v>613.0</v>
      </c>
      <c r="B616" s="73" t="s">
        <v>880</v>
      </c>
      <c r="C616" s="74">
        <v>9.0019312E8</v>
      </c>
      <c r="D616" s="73" t="s">
        <v>980</v>
      </c>
      <c r="E616" s="72">
        <v>109.0</v>
      </c>
      <c r="F616" s="75">
        <v>39513.0</v>
      </c>
      <c r="G616" s="76"/>
      <c r="H616" s="76"/>
      <c r="I616" s="73" t="s">
        <v>366</v>
      </c>
      <c r="J616" s="76"/>
    </row>
    <row r="617">
      <c r="A617" s="72">
        <v>614.0</v>
      </c>
      <c r="B617" s="73" t="s">
        <v>880</v>
      </c>
      <c r="C617" s="74">
        <v>9.00208553E8</v>
      </c>
      <c r="D617" s="73" t="s">
        <v>981</v>
      </c>
      <c r="E617" s="72">
        <v>218.0</v>
      </c>
      <c r="F617" s="75">
        <v>39556.0</v>
      </c>
      <c r="G617" s="76"/>
      <c r="H617" s="76"/>
      <c r="I617" s="73" t="s">
        <v>366</v>
      </c>
      <c r="J617" s="76"/>
    </row>
    <row r="618">
      <c r="A618" s="72">
        <v>615.0</v>
      </c>
      <c r="B618" s="73" t="s">
        <v>880</v>
      </c>
      <c r="C618" s="74">
        <v>9.00213846E8</v>
      </c>
      <c r="D618" s="73" t="s">
        <v>982</v>
      </c>
      <c r="E618" s="72">
        <v>296.0</v>
      </c>
      <c r="F618" s="75">
        <v>39590.0</v>
      </c>
      <c r="G618" s="76"/>
      <c r="H618" s="76"/>
      <c r="I618" s="73" t="s">
        <v>366</v>
      </c>
      <c r="J618" s="76"/>
    </row>
    <row r="619">
      <c r="A619" s="72">
        <v>616.0</v>
      </c>
      <c r="B619" s="73" t="s">
        <v>880</v>
      </c>
      <c r="C619" s="74">
        <v>9.00211944E8</v>
      </c>
      <c r="D619" s="73" t="s">
        <v>983</v>
      </c>
      <c r="E619" s="72">
        <v>330.0</v>
      </c>
      <c r="F619" s="75">
        <v>39611.0</v>
      </c>
      <c r="G619" s="76"/>
      <c r="H619" s="76"/>
      <c r="I619" s="73" t="s">
        <v>366</v>
      </c>
      <c r="J619" s="76"/>
    </row>
    <row r="620">
      <c r="A620" s="72">
        <v>617.0</v>
      </c>
      <c r="B620" s="73" t="s">
        <v>880</v>
      </c>
      <c r="C620" s="74">
        <v>9.00162992E8</v>
      </c>
      <c r="D620" s="73" t="s">
        <v>984</v>
      </c>
      <c r="E620" s="72">
        <v>376.0</v>
      </c>
      <c r="F620" s="75">
        <v>39612.0</v>
      </c>
      <c r="G620" s="76"/>
      <c r="H620" s="76"/>
      <c r="I620" s="73" t="s">
        <v>366</v>
      </c>
      <c r="J620" s="76"/>
    </row>
    <row r="621">
      <c r="A621" s="72">
        <v>618.0</v>
      </c>
      <c r="B621" s="73" t="s">
        <v>880</v>
      </c>
      <c r="C621" s="74">
        <v>9.00009105E8</v>
      </c>
      <c r="D621" s="73" t="s">
        <v>985</v>
      </c>
      <c r="E621" s="72">
        <v>430.0</v>
      </c>
      <c r="F621" s="75">
        <v>39643.0</v>
      </c>
      <c r="G621" s="76"/>
      <c r="H621" s="76"/>
      <c r="I621" s="73" t="s">
        <v>366</v>
      </c>
      <c r="J621" s="76"/>
    </row>
    <row r="622">
      <c r="A622" s="72">
        <v>619.0</v>
      </c>
      <c r="B622" s="73" t="s">
        <v>880</v>
      </c>
      <c r="C622" s="74">
        <v>9.00221755E8</v>
      </c>
      <c r="D622" s="73" t="s">
        <v>986</v>
      </c>
      <c r="E622" s="72">
        <v>460.0</v>
      </c>
      <c r="F622" s="75">
        <v>39657.0</v>
      </c>
      <c r="G622" s="76"/>
      <c r="H622" s="76"/>
      <c r="I622" s="73" t="s">
        <v>366</v>
      </c>
      <c r="J622" s="76"/>
    </row>
    <row r="623">
      <c r="A623" s="72">
        <v>620.0</v>
      </c>
      <c r="B623" s="73" t="s">
        <v>880</v>
      </c>
      <c r="C623" s="74">
        <v>9.00150171E8</v>
      </c>
      <c r="D623" s="73" t="s">
        <v>987</v>
      </c>
      <c r="E623" s="72">
        <v>503.0</v>
      </c>
      <c r="F623" s="75">
        <v>39674.0</v>
      </c>
      <c r="G623" s="76"/>
      <c r="H623" s="76"/>
      <c r="I623" s="73" t="s">
        <v>366</v>
      </c>
      <c r="J623" s="76"/>
    </row>
    <row r="624">
      <c r="A624" s="72">
        <v>621.0</v>
      </c>
      <c r="B624" s="73" t="s">
        <v>880</v>
      </c>
      <c r="C624" s="74">
        <v>8.30513912E8</v>
      </c>
      <c r="D624" s="73" t="s">
        <v>988</v>
      </c>
      <c r="E624" s="72">
        <v>431.0</v>
      </c>
      <c r="F624" s="75">
        <v>39676.0</v>
      </c>
      <c r="G624" s="76"/>
      <c r="H624" s="76"/>
      <c r="I624" s="73" t="s">
        <v>366</v>
      </c>
      <c r="J624" s="76"/>
    </row>
    <row r="625">
      <c r="A625" s="72">
        <v>622.0</v>
      </c>
      <c r="B625" s="73" t="s">
        <v>880</v>
      </c>
      <c r="C625" s="74">
        <v>9.0019009E8</v>
      </c>
      <c r="D625" s="73" t="s">
        <v>989</v>
      </c>
      <c r="E625" s="72">
        <v>564.0</v>
      </c>
      <c r="F625" s="77">
        <v>39741.0</v>
      </c>
      <c r="G625" s="76"/>
      <c r="H625" s="76"/>
      <c r="I625" s="73" t="s">
        <v>366</v>
      </c>
      <c r="J625" s="76"/>
    </row>
    <row r="626">
      <c r="A626" s="72">
        <v>623.0</v>
      </c>
      <c r="B626" s="73" t="s">
        <v>880</v>
      </c>
      <c r="C626" s="74">
        <v>8.06002027E8</v>
      </c>
      <c r="D626" s="73" t="s">
        <v>990</v>
      </c>
      <c r="E626" s="72">
        <v>577.0</v>
      </c>
      <c r="F626" s="77">
        <v>39763.0</v>
      </c>
      <c r="G626" s="76"/>
      <c r="H626" s="76"/>
      <c r="I626" s="73" t="s">
        <v>366</v>
      </c>
      <c r="J626" s="76"/>
    </row>
    <row r="627">
      <c r="A627" s="72">
        <v>624.0</v>
      </c>
      <c r="B627" s="73" t="s">
        <v>880</v>
      </c>
      <c r="C627" s="74">
        <v>9.00285508E8</v>
      </c>
      <c r="D627" s="73" t="s">
        <v>991</v>
      </c>
      <c r="E627" s="72">
        <v>187.0</v>
      </c>
      <c r="F627" s="75">
        <v>39994.0</v>
      </c>
      <c r="G627" s="76"/>
      <c r="H627" s="76"/>
      <c r="I627" s="73" t="s">
        <v>366</v>
      </c>
      <c r="J627" s="76"/>
    </row>
    <row r="628">
      <c r="A628" s="72">
        <v>625.0</v>
      </c>
      <c r="B628" s="73" t="s">
        <v>880</v>
      </c>
      <c r="C628" s="74">
        <v>9.00297903E8</v>
      </c>
      <c r="D628" s="73" t="s">
        <v>992</v>
      </c>
      <c r="E628" s="72">
        <v>192.0</v>
      </c>
      <c r="F628" s="75">
        <v>40031.0</v>
      </c>
      <c r="G628" s="76"/>
      <c r="H628" s="76"/>
      <c r="I628" s="73" t="s">
        <v>366</v>
      </c>
      <c r="J628" s="76"/>
    </row>
    <row r="629">
      <c r="A629" s="72">
        <v>626.0</v>
      </c>
      <c r="B629" s="73" t="s">
        <v>880</v>
      </c>
      <c r="C629" s="74">
        <v>8.901135E8</v>
      </c>
      <c r="D629" s="73" t="s">
        <v>993</v>
      </c>
      <c r="E629" s="72">
        <v>195.0</v>
      </c>
      <c r="F629" s="75">
        <v>40039.0</v>
      </c>
      <c r="G629" s="76"/>
      <c r="H629" s="76"/>
      <c r="I629" s="73" t="s">
        <v>366</v>
      </c>
      <c r="J629" s="76"/>
    </row>
    <row r="630">
      <c r="A630" s="72">
        <v>627.0</v>
      </c>
      <c r="B630" s="73" t="s">
        <v>880</v>
      </c>
      <c r="C630" s="74">
        <v>9.00150397E8</v>
      </c>
      <c r="D630" s="73" t="s">
        <v>994</v>
      </c>
      <c r="E630" s="72">
        <v>199.0</v>
      </c>
      <c r="F630" s="75">
        <v>40051.0</v>
      </c>
      <c r="G630" s="76"/>
      <c r="H630" s="76"/>
      <c r="I630" s="73" t="s">
        <v>366</v>
      </c>
      <c r="J630" s="76"/>
    </row>
    <row r="631">
      <c r="A631" s="72">
        <v>628.0</v>
      </c>
      <c r="B631" s="73" t="s">
        <v>880</v>
      </c>
      <c r="C631" s="74">
        <v>9.00300844E8</v>
      </c>
      <c r="D631" s="73" t="s">
        <v>995</v>
      </c>
      <c r="E631" s="72">
        <v>206.0</v>
      </c>
      <c r="F631" s="77">
        <v>40105.0</v>
      </c>
      <c r="G631" s="76"/>
      <c r="H631" s="76"/>
      <c r="I631" s="73" t="s">
        <v>366</v>
      </c>
      <c r="J631" s="76"/>
    </row>
    <row r="632">
      <c r="A632" s="72">
        <v>629.0</v>
      </c>
      <c r="B632" s="73" t="s">
        <v>880</v>
      </c>
      <c r="C632" s="74">
        <v>9.00312606E8</v>
      </c>
      <c r="D632" s="73" t="s">
        <v>996</v>
      </c>
      <c r="E632" s="72">
        <v>214.0</v>
      </c>
      <c r="F632" s="77">
        <v>40121.0</v>
      </c>
      <c r="G632" s="76"/>
      <c r="H632" s="76"/>
      <c r="I632" s="73" t="s">
        <v>366</v>
      </c>
      <c r="J632" s="76"/>
    </row>
    <row r="633">
      <c r="A633" s="72">
        <v>630.0</v>
      </c>
      <c r="B633" s="73" t="s">
        <v>880</v>
      </c>
      <c r="C633" s="74">
        <v>9.00039327E8</v>
      </c>
      <c r="D633" s="73" t="s">
        <v>997</v>
      </c>
      <c r="E633" s="72">
        <v>217.0</v>
      </c>
      <c r="F633" s="77">
        <v>40170.0</v>
      </c>
      <c r="G633" s="76"/>
      <c r="H633" s="76"/>
      <c r="I633" s="73" t="s">
        <v>366</v>
      </c>
      <c r="J633" s="76"/>
    </row>
    <row r="634">
      <c r="A634" s="72">
        <v>631.0</v>
      </c>
      <c r="B634" s="73" t="s">
        <v>880</v>
      </c>
      <c r="C634" s="74">
        <v>9.00293429E8</v>
      </c>
      <c r="D634" s="73" t="s">
        <v>998</v>
      </c>
      <c r="E634" s="72">
        <v>4.0</v>
      </c>
      <c r="F634" s="75">
        <v>40220.0</v>
      </c>
      <c r="G634" s="76"/>
      <c r="H634" s="76"/>
      <c r="I634" s="73" t="s">
        <v>366</v>
      </c>
      <c r="J634" s="76"/>
    </row>
    <row r="635">
      <c r="A635" s="78">
        <v>632.0</v>
      </c>
      <c r="B635" s="79" t="s">
        <v>880</v>
      </c>
      <c r="C635" s="80">
        <v>8.00021078E8</v>
      </c>
      <c r="D635" s="79" t="s">
        <v>999</v>
      </c>
      <c r="E635" s="81">
        <v>51.0</v>
      </c>
      <c r="F635" s="82">
        <v>40487.0</v>
      </c>
      <c r="G635" s="83"/>
      <c r="H635" s="83"/>
      <c r="I635" s="73" t="s">
        <v>366</v>
      </c>
      <c r="J635" s="76"/>
    </row>
    <row r="636">
      <c r="A636" s="72">
        <v>633.0</v>
      </c>
      <c r="B636" s="73" t="s">
        <v>880</v>
      </c>
      <c r="C636" s="74">
        <v>8.30504428E8</v>
      </c>
      <c r="D636" s="73" t="s">
        <v>1000</v>
      </c>
      <c r="E636" s="72">
        <v>56.0</v>
      </c>
      <c r="F636" s="77">
        <v>40500.0</v>
      </c>
      <c r="G636" s="76"/>
      <c r="H636" s="76"/>
      <c r="I636" s="73" t="s">
        <v>366</v>
      </c>
      <c r="J636" s="76"/>
    </row>
    <row r="637">
      <c r="A637" s="72">
        <v>634.0</v>
      </c>
      <c r="B637" s="73" t="s">
        <v>880</v>
      </c>
      <c r="C637" s="74">
        <v>9.0032872E8</v>
      </c>
      <c r="D637" s="73" t="s">
        <v>1001</v>
      </c>
      <c r="E637" s="72">
        <v>60.0</v>
      </c>
      <c r="F637" s="77">
        <v>40504.0</v>
      </c>
      <c r="G637" s="76"/>
      <c r="H637" s="76"/>
      <c r="I637" s="73" t="s">
        <v>366</v>
      </c>
      <c r="J637" s="76"/>
    </row>
    <row r="638">
      <c r="A638" s="72">
        <v>635.0</v>
      </c>
      <c r="B638" s="73" t="s">
        <v>880</v>
      </c>
      <c r="C638" s="74">
        <v>9.00388232E8</v>
      </c>
      <c r="D638" s="73" t="s">
        <v>1002</v>
      </c>
      <c r="E638" s="72">
        <v>64.0</v>
      </c>
      <c r="F638" s="77">
        <v>40514.0</v>
      </c>
      <c r="G638" s="76"/>
      <c r="H638" s="76"/>
      <c r="I638" s="73" t="s">
        <v>366</v>
      </c>
      <c r="J638" s="76"/>
    </row>
    <row r="639">
      <c r="A639" s="72">
        <v>636.0</v>
      </c>
      <c r="B639" s="73" t="s">
        <v>880</v>
      </c>
      <c r="C639" s="74">
        <v>9.00112092E8</v>
      </c>
      <c r="D639" s="73" t="s">
        <v>1003</v>
      </c>
      <c r="E639" s="72">
        <v>66.0</v>
      </c>
      <c r="F639" s="77">
        <v>40515.0</v>
      </c>
      <c r="G639" s="76"/>
      <c r="H639" s="76"/>
      <c r="I639" s="73" t="s">
        <v>366</v>
      </c>
      <c r="J639" s="76"/>
    </row>
    <row r="640">
      <c r="A640" s="72">
        <v>637.0</v>
      </c>
      <c r="B640" s="73" t="s">
        <v>880</v>
      </c>
      <c r="C640" s="74">
        <v>9.00136144E8</v>
      </c>
      <c r="D640" s="73" t="s">
        <v>1004</v>
      </c>
      <c r="E640" s="72">
        <v>72.0</v>
      </c>
      <c r="F640" s="77">
        <v>40534.0</v>
      </c>
      <c r="G640" s="76"/>
      <c r="H640" s="76"/>
      <c r="I640" s="73" t="s">
        <v>366</v>
      </c>
      <c r="J640" s="76"/>
    </row>
    <row r="641">
      <c r="A641" s="72">
        <v>638.0</v>
      </c>
      <c r="B641" s="73" t="s">
        <v>880</v>
      </c>
      <c r="C641" s="74">
        <v>9.00240428E8</v>
      </c>
      <c r="D641" s="73" t="s">
        <v>1005</v>
      </c>
      <c r="E641" s="72">
        <v>73.0</v>
      </c>
      <c r="F641" s="77">
        <v>40534.0</v>
      </c>
      <c r="G641" s="76"/>
      <c r="H641" s="76"/>
      <c r="I641" s="73" t="s">
        <v>366</v>
      </c>
      <c r="J641" s="76"/>
    </row>
    <row r="642">
      <c r="A642" s="72">
        <v>639.0</v>
      </c>
      <c r="B642" s="73" t="s">
        <v>880</v>
      </c>
      <c r="C642" s="74">
        <v>9.00313759E8</v>
      </c>
      <c r="D642" s="73" t="s">
        <v>1006</v>
      </c>
      <c r="E642" s="72">
        <v>69.0</v>
      </c>
      <c r="F642" s="77">
        <v>40534.0</v>
      </c>
      <c r="G642" s="76"/>
      <c r="H642" s="76"/>
      <c r="I642" s="73" t="s">
        <v>366</v>
      </c>
      <c r="J642" s="76"/>
    </row>
    <row r="643">
      <c r="A643" s="72">
        <v>640.0</v>
      </c>
      <c r="B643" s="73" t="s">
        <v>880</v>
      </c>
      <c r="C643" s="74">
        <v>8.0201527E8</v>
      </c>
      <c r="D643" s="73" t="s">
        <v>1007</v>
      </c>
      <c r="E643" s="72">
        <v>74.0</v>
      </c>
      <c r="F643" s="77">
        <v>40542.0</v>
      </c>
      <c r="G643" s="76"/>
      <c r="H643" s="76"/>
      <c r="I643" s="73" t="s">
        <v>366</v>
      </c>
      <c r="J643" s="76"/>
    </row>
    <row r="644">
      <c r="A644" s="72">
        <v>641.0</v>
      </c>
      <c r="B644" s="73" t="s">
        <v>880</v>
      </c>
      <c r="C644" s="74">
        <v>9.00400604E8</v>
      </c>
      <c r="D644" s="73" t="s">
        <v>1008</v>
      </c>
      <c r="E644" s="72">
        <v>75.0</v>
      </c>
      <c r="F644" s="77">
        <v>40542.0</v>
      </c>
      <c r="G644" s="76"/>
      <c r="H644" s="76"/>
      <c r="I644" s="73" t="s">
        <v>366</v>
      </c>
      <c r="J644" s="76"/>
    </row>
    <row r="645">
      <c r="A645" s="72">
        <v>642.0</v>
      </c>
      <c r="B645" s="73" t="s">
        <v>880</v>
      </c>
      <c r="C645" s="74">
        <v>9.00402832E8</v>
      </c>
      <c r="D645" s="73" t="s">
        <v>1009</v>
      </c>
      <c r="E645" s="72">
        <v>4.0</v>
      </c>
      <c r="F645" s="75">
        <v>40563.0</v>
      </c>
      <c r="G645" s="76"/>
      <c r="H645" s="76"/>
      <c r="I645" s="73" t="s">
        <v>366</v>
      </c>
      <c r="J645" s="76"/>
    </row>
    <row r="646">
      <c r="A646" s="72">
        <v>643.0</v>
      </c>
      <c r="B646" s="73" t="s">
        <v>880</v>
      </c>
      <c r="C646" s="74">
        <v>9.00395557E8</v>
      </c>
      <c r="D646" s="73" t="s">
        <v>1010</v>
      </c>
      <c r="E646" s="72">
        <v>5.0</v>
      </c>
      <c r="F646" s="75">
        <v>40576.0</v>
      </c>
      <c r="G646" s="76"/>
      <c r="H646" s="76"/>
      <c r="I646" s="73" t="s">
        <v>366</v>
      </c>
      <c r="J646" s="76"/>
    </row>
    <row r="647">
      <c r="A647" s="72">
        <v>644.0</v>
      </c>
      <c r="B647" s="73" t="s">
        <v>880</v>
      </c>
      <c r="C647" s="74">
        <v>9.0039524E8</v>
      </c>
      <c r="D647" s="73" t="s">
        <v>1011</v>
      </c>
      <c r="E647" s="72">
        <v>11.0</v>
      </c>
      <c r="F647" s="75">
        <v>40589.0</v>
      </c>
      <c r="G647" s="76"/>
      <c r="H647" s="76"/>
      <c r="I647" s="73" t="s">
        <v>366</v>
      </c>
      <c r="J647" s="76"/>
    </row>
    <row r="648">
      <c r="A648" s="72">
        <v>645.0</v>
      </c>
      <c r="B648" s="73" t="s">
        <v>880</v>
      </c>
      <c r="C648" s="74">
        <v>9.0039382E8</v>
      </c>
      <c r="D648" s="73" t="s">
        <v>1012</v>
      </c>
      <c r="E648" s="72">
        <v>13.0</v>
      </c>
      <c r="F648" s="75">
        <v>40606.0</v>
      </c>
      <c r="G648" s="76"/>
      <c r="H648" s="76"/>
      <c r="I648" s="73" t="s">
        <v>366</v>
      </c>
      <c r="J648" s="76"/>
    </row>
    <row r="649">
      <c r="A649" s="72">
        <v>646.0</v>
      </c>
      <c r="B649" s="73" t="s">
        <v>880</v>
      </c>
      <c r="C649" s="74">
        <v>9.00135005E8</v>
      </c>
      <c r="D649" s="73" t="s">
        <v>1013</v>
      </c>
      <c r="E649" s="72">
        <v>16.0</v>
      </c>
      <c r="F649" s="75">
        <v>40618.0</v>
      </c>
      <c r="G649" s="76"/>
      <c r="H649" s="76"/>
      <c r="I649" s="73" t="s">
        <v>366</v>
      </c>
      <c r="J649" s="76"/>
    </row>
    <row r="650">
      <c r="A650" s="72">
        <v>647.0</v>
      </c>
      <c r="B650" s="73" t="s">
        <v>880</v>
      </c>
      <c r="C650" s="74">
        <v>9.0030796E8</v>
      </c>
      <c r="D650" s="73" t="s">
        <v>1014</v>
      </c>
      <c r="E650" s="72">
        <v>21.0</v>
      </c>
      <c r="F650" s="75">
        <v>40631.0</v>
      </c>
      <c r="G650" s="76"/>
      <c r="H650" s="76"/>
      <c r="I650" s="73" t="s">
        <v>366</v>
      </c>
      <c r="J650" s="76"/>
    </row>
    <row r="651">
      <c r="A651" s="72">
        <v>648.0</v>
      </c>
      <c r="B651" s="73" t="s">
        <v>880</v>
      </c>
      <c r="C651" s="74">
        <v>9.00280198E8</v>
      </c>
      <c r="D651" s="73" t="s">
        <v>1015</v>
      </c>
      <c r="E651" s="72">
        <v>22.0</v>
      </c>
      <c r="F651" s="75">
        <v>40632.0</v>
      </c>
      <c r="G651" s="76"/>
      <c r="H651" s="76"/>
      <c r="I651" s="73" t="s">
        <v>366</v>
      </c>
      <c r="J651" s="76"/>
    </row>
    <row r="652">
      <c r="A652" s="72">
        <v>649.0</v>
      </c>
      <c r="B652" s="73" t="s">
        <v>880</v>
      </c>
      <c r="C652" s="74">
        <v>9.00280198E8</v>
      </c>
      <c r="D652" s="73" t="s">
        <v>1016</v>
      </c>
      <c r="E652" s="72">
        <v>22.0</v>
      </c>
      <c r="F652" s="75">
        <v>40632.0</v>
      </c>
      <c r="G652" s="76"/>
      <c r="H652" s="76"/>
      <c r="I652" s="73" t="s">
        <v>366</v>
      </c>
      <c r="J652" s="76"/>
    </row>
    <row r="653">
      <c r="A653" s="72">
        <v>650.0</v>
      </c>
      <c r="B653" s="73" t="s">
        <v>880</v>
      </c>
      <c r="C653" s="74">
        <v>8.02015E8</v>
      </c>
      <c r="D653" s="73" t="s">
        <v>1017</v>
      </c>
      <c r="E653" s="72">
        <v>36.0</v>
      </c>
      <c r="F653" s="75">
        <v>40676.0</v>
      </c>
      <c r="G653" s="76"/>
      <c r="H653" s="76"/>
      <c r="I653" s="73" t="s">
        <v>366</v>
      </c>
      <c r="J653" s="76"/>
    </row>
    <row r="654">
      <c r="A654" s="72">
        <v>651.0</v>
      </c>
      <c r="B654" s="73" t="s">
        <v>880</v>
      </c>
      <c r="C654" s="74">
        <v>9.00436079E8</v>
      </c>
      <c r="D654" s="73" t="s">
        <v>1018</v>
      </c>
      <c r="E654" s="72">
        <v>48.0</v>
      </c>
      <c r="F654" s="75">
        <v>40725.0</v>
      </c>
      <c r="G654" s="76"/>
      <c r="H654" s="76"/>
      <c r="I654" s="73" t="s">
        <v>366</v>
      </c>
      <c r="J654" s="76"/>
    </row>
    <row r="655">
      <c r="A655" s="72">
        <v>652.0</v>
      </c>
      <c r="B655" s="73" t="s">
        <v>880</v>
      </c>
      <c r="C655" s="74">
        <v>9.00438008E8</v>
      </c>
      <c r="D655" s="73" t="s">
        <v>1019</v>
      </c>
      <c r="E655" s="72">
        <v>49.0</v>
      </c>
      <c r="F655" s="75">
        <v>40742.0</v>
      </c>
      <c r="G655" s="76"/>
      <c r="H655" s="76"/>
      <c r="I655" s="73" t="s">
        <v>366</v>
      </c>
      <c r="J655" s="76"/>
    </row>
    <row r="656">
      <c r="A656" s="72">
        <v>653.0</v>
      </c>
      <c r="B656" s="73" t="s">
        <v>880</v>
      </c>
      <c r="C656" s="74">
        <v>9.00443813E8</v>
      </c>
      <c r="D656" s="73" t="s">
        <v>1020</v>
      </c>
      <c r="E656" s="72">
        <v>54.0</v>
      </c>
      <c r="F656" s="75">
        <v>40756.0</v>
      </c>
      <c r="G656" s="76"/>
      <c r="H656" s="76"/>
      <c r="I656" s="73" t="s">
        <v>366</v>
      </c>
      <c r="J656" s="76"/>
    </row>
    <row r="657">
      <c r="A657" s="72">
        <v>654.0</v>
      </c>
      <c r="B657" s="73" t="s">
        <v>880</v>
      </c>
      <c r="C657" s="74">
        <v>9.00064497E8</v>
      </c>
      <c r="D657" s="73" t="s">
        <v>1021</v>
      </c>
      <c r="E657" s="72">
        <v>53.0</v>
      </c>
      <c r="F657" s="75">
        <v>40756.0</v>
      </c>
      <c r="G657" s="76"/>
      <c r="H657" s="76"/>
      <c r="I657" s="73" t="s">
        <v>366</v>
      </c>
      <c r="J657" s="76"/>
    </row>
    <row r="658">
      <c r="A658" s="72">
        <v>655.0</v>
      </c>
      <c r="B658" s="73" t="s">
        <v>880</v>
      </c>
      <c r="C658" s="74">
        <v>9.00436662E8</v>
      </c>
      <c r="D658" s="73" t="s">
        <v>1022</v>
      </c>
      <c r="E658" s="72">
        <v>59.0</v>
      </c>
      <c r="F658" s="75">
        <v>40763.0</v>
      </c>
      <c r="G658" s="76"/>
      <c r="H658" s="76"/>
      <c r="I658" s="73" t="s">
        <v>366</v>
      </c>
      <c r="J658" s="76"/>
    </row>
    <row r="659">
      <c r="A659" s="72">
        <v>656.0</v>
      </c>
      <c r="B659" s="73" t="s">
        <v>880</v>
      </c>
      <c r="C659" s="74">
        <v>9.00323257E8</v>
      </c>
      <c r="D659" s="73" t="s">
        <v>1023</v>
      </c>
      <c r="E659" s="72">
        <v>69.0</v>
      </c>
      <c r="F659" s="75">
        <v>40795.0</v>
      </c>
      <c r="G659" s="76"/>
      <c r="H659" s="76"/>
      <c r="I659" s="73" t="s">
        <v>366</v>
      </c>
      <c r="J659" s="76"/>
    </row>
    <row r="660">
      <c r="A660" s="72">
        <v>657.0</v>
      </c>
      <c r="B660" s="73" t="s">
        <v>880</v>
      </c>
      <c r="C660" s="74">
        <v>9.00236618E8</v>
      </c>
      <c r="D660" s="73" t="s">
        <v>1024</v>
      </c>
      <c r="E660" s="72">
        <v>72.0</v>
      </c>
      <c r="F660" s="75">
        <v>40798.0</v>
      </c>
      <c r="G660" s="76"/>
      <c r="H660" s="76"/>
      <c r="I660" s="73" t="s">
        <v>366</v>
      </c>
      <c r="J660" s="76"/>
    </row>
    <row r="661">
      <c r="A661" s="72">
        <v>658.0</v>
      </c>
      <c r="B661" s="73" t="s">
        <v>880</v>
      </c>
      <c r="C661" s="74">
        <v>9.00184867E8</v>
      </c>
      <c r="D661" s="73" t="s">
        <v>1025</v>
      </c>
      <c r="E661" s="72">
        <v>84.0</v>
      </c>
      <c r="F661" s="77">
        <v>40844.0</v>
      </c>
      <c r="G661" s="76"/>
      <c r="H661" s="76"/>
      <c r="I661" s="73" t="s">
        <v>366</v>
      </c>
      <c r="J661" s="76"/>
    </row>
    <row r="662">
      <c r="A662" s="72">
        <v>659.0</v>
      </c>
      <c r="B662" s="73" t="s">
        <v>880</v>
      </c>
      <c r="C662" s="74">
        <v>9.00184867E8</v>
      </c>
      <c r="D662" s="73" t="s">
        <v>1026</v>
      </c>
      <c r="E662" s="72">
        <v>84.0</v>
      </c>
      <c r="F662" s="77">
        <v>40844.0</v>
      </c>
      <c r="G662" s="76"/>
      <c r="H662" s="76"/>
      <c r="I662" s="73" t="s">
        <v>366</v>
      </c>
      <c r="J662" s="76"/>
    </row>
    <row r="663">
      <c r="A663" s="72">
        <v>660.0</v>
      </c>
      <c r="B663" s="73" t="s">
        <v>880</v>
      </c>
      <c r="C663" s="74">
        <v>9.00461572E8</v>
      </c>
      <c r="D663" s="73" t="s">
        <v>1027</v>
      </c>
      <c r="E663" s="72">
        <v>89.0</v>
      </c>
      <c r="F663" s="77">
        <v>40856.0</v>
      </c>
      <c r="G663" s="76"/>
      <c r="H663" s="76"/>
      <c r="I663" s="73" t="s">
        <v>366</v>
      </c>
      <c r="J663" s="76"/>
    </row>
    <row r="664">
      <c r="A664" s="72">
        <v>661.0</v>
      </c>
      <c r="B664" s="73" t="s">
        <v>880</v>
      </c>
      <c r="C664" s="74">
        <v>8.00188219E8</v>
      </c>
      <c r="D664" s="73" t="s">
        <v>1028</v>
      </c>
      <c r="E664" s="72">
        <v>178.0</v>
      </c>
      <c r="F664" s="77">
        <v>40862.0</v>
      </c>
      <c r="G664" s="76"/>
      <c r="H664" s="76"/>
      <c r="I664" s="73" t="s">
        <v>366</v>
      </c>
      <c r="J664" s="76"/>
    </row>
    <row r="665">
      <c r="A665" s="72">
        <v>662.0</v>
      </c>
      <c r="B665" s="73" t="s">
        <v>880</v>
      </c>
      <c r="C665" s="74">
        <v>9.00464079E8</v>
      </c>
      <c r="D665" s="73" t="s">
        <v>1029</v>
      </c>
      <c r="E665" s="72">
        <v>92.0</v>
      </c>
      <c r="F665" s="77">
        <v>40863.0</v>
      </c>
      <c r="G665" s="76"/>
      <c r="H665" s="76"/>
      <c r="I665" s="73" t="s">
        <v>366</v>
      </c>
      <c r="J665" s="76"/>
    </row>
    <row r="666">
      <c r="A666" s="72">
        <v>663.0</v>
      </c>
      <c r="B666" s="73" t="s">
        <v>880</v>
      </c>
      <c r="C666" s="74">
        <v>9.00470953E8</v>
      </c>
      <c r="D666" s="73" t="s">
        <v>1030</v>
      </c>
      <c r="E666" s="72">
        <v>96.0</v>
      </c>
      <c r="F666" s="77">
        <v>40865.0</v>
      </c>
      <c r="G666" s="76"/>
      <c r="H666" s="76"/>
      <c r="I666" s="73" t="s">
        <v>366</v>
      </c>
      <c r="J666" s="76"/>
    </row>
    <row r="667">
      <c r="A667" s="72">
        <v>664.0</v>
      </c>
      <c r="B667" s="73" t="s">
        <v>880</v>
      </c>
      <c r="C667" s="74">
        <v>9.00465021E8</v>
      </c>
      <c r="D667" s="73" t="s">
        <v>1031</v>
      </c>
      <c r="E667" s="72">
        <v>98.0</v>
      </c>
      <c r="F667" s="77">
        <v>40870.0</v>
      </c>
      <c r="G667" s="76"/>
      <c r="H667" s="76"/>
      <c r="I667" s="73" t="s">
        <v>366</v>
      </c>
      <c r="J667" s="76"/>
    </row>
    <row r="668">
      <c r="A668" s="72">
        <v>665.0</v>
      </c>
      <c r="B668" s="73" t="s">
        <v>880</v>
      </c>
      <c r="C668" s="74">
        <v>9.00396749E8</v>
      </c>
      <c r="D668" s="73" t="s">
        <v>1032</v>
      </c>
      <c r="E668" s="72">
        <v>102.0</v>
      </c>
      <c r="F668" s="77">
        <v>40878.0</v>
      </c>
      <c r="G668" s="76"/>
      <c r="H668" s="76"/>
      <c r="I668" s="73" t="s">
        <v>366</v>
      </c>
      <c r="J668" s="76"/>
    </row>
    <row r="669">
      <c r="A669" s="72">
        <v>666.0</v>
      </c>
      <c r="B669" s="73" t="s">
        <v>880</v>
      </c>
      <c r="C669" s="74">
        <v>9.00460799E8</v>
      </c>
      <c r="D669" s="73" t="s">
        <v>1033</v>
      </c>
      <c r="E669" s="72">
        <v>103.0</v>
      </c>
      <c r="F669" s="77">
        <v>40884.0</v>
      </c>
      <c r="G669" s="76"/>
      <c r="H669" s="76"/>
      <c r="I669" s="73" t="s">
        <v>366</v>
      </c>
      <c r="J669" s="76"/>
    </row>
    <row r="670">
      <c r="A670" s="72">
        <v>667.0</v>
      </c>
      <c r="B670" s="73" t="s">
        <v>880</v>
      </c>
      <c r="C670" s="74">
        <v>9.0048112E8</v>
      </c>
      <c r="D670" s="73" t="s">
        <v>1034</v>
      </c>
      <c r="E670" s="72">
        <v>108.0</v>
      </c>
      <c r="F670" s="77">
        <v>40898.0</v>
      </c>
      <c r="G670" s="76"/>
      <c r="H670" s="76"/>
      <c r="I670" s="73" t="s">
        <v>366</v>
      </c>
      <c r="J670" s="76"/>
    </row>
    <row r="671">
      <c r="A671" s="72">
        <v>668.0</v>
      </c>
      <c r="B671" s="73" t="s">
        <v>880</v>
      </c>
      <c r="C671" s="74">
        <v>9.00443882E8</v>
      </c>
      <c r="D671" s="73" t="s">
        <v>1035</v>
      </c>
      <c r="E671" s="72">
        <v>109.0</v>
      </c>
      <c r="F671" s="77">
        <v>40900.0</v>
      </c>
      <c r="G671" s="76"/>
      <c r="H671" s="76"/>
      <c r="I671" s="73" t="s">
        <v>366</v>
      </c>
      <c r="J671" s="76"/>
    </row>
    <row r="672">
      <c r="A672" s="72">
        <v>669.0</v>
      </c>
      <c r="B672" s="73" t="s">
        <v>880</v>
      </c>
      <c r="C672" s="74">
        <v>9.00451003E8</v>
      </c>
      <c r="D672" s="73" t="s">
        <v>1036</v>
      </c>
      <c r="E672" s="72">
        <v>111.0</v>
      </c>
      <c r="F672" s="77">
        <v>40906.0</v>
      </c>
      <c r="G672" s="76"/>
      <c r="H672" s="76"/>
      <c r="I672" s="73" t="s">
        <v>366</v>
      </c>
      <c r="J672" s="76"/>
    </row>
    <row r="673">
      <c r="A673" s="72">
        <v>670.0</v>
      </c>
      <c r="B673" s="73" t="s">
        <v>880</v>
      </c>
      <c r="C673" s="74">
        <v>9.00151858E8</v>
      </c>
      <c r="D673" s="73" t="s">
        <v>1037</v>
      </c>
      <c r="E673" s="72">
        <v>113.0</v>
      </c>
      <c r="F673" s="77">
        <v>40907.0</v>
      </c>
      <c r="G673" s="76"/>
      <c r="H673" s="76"/>
      <c r="I673" s="73" t="s">
        <v>366</v>
      </c>
      <c r="J673" s="76"/>
    </row>
    <row r="674">
      <c r="A674" s="72">
        <v>671.0</v>
      </c>
      <c r="B674" s="73" t="s">
        <v>880</v>
      </c>
      <c r="C674" s="74">
        <v>9.0044647E8</v>
      </c>
      <c r="D674" s="73" t="s">
        <v>1038</v>
      </c>
      <c r="E674" s="72">
        <v>114.0</v>
      </c>
      <c r="F674" s="77">
        <v>40907.0</v>
      </c>
      <c r="G674" s="76"/>
      <c r="H674" s="76"/>
      <c r="I674" s="73" t="s">
        <v>366</v>
      </c>
      <c r="J674" s="76"/>
    </row>
    <row r="675">
      <c r="A675" s="72">
        <v>672.0</v>
      </c>
      <c r="B675" s="73" t="s">
        <v>880</v>
      </c>
      <c r="C675" s="74">
        <v>9.00463423E8</v>
      </c>
      <c r="D675" s="73" t="s">
        <v>1039</v>
      </c>
      <c r="E675" s="72">
        <v>1.0</v>
      </c>
      <c r="F675" s="75">
        <v>40925.0</v>
      </c>
      <c r="G675" s="76"/>
      <c r="H675" s="76"/>
      <c r="I675" s="73" t="s">
        <v>366</v>
      </c>
      <c r="J675" s="76"/>
    </row>
    <row r="676">
      <c r="A676" s="72">
        <v>673.0</v>
      </c>
      <c r="B676" s="73" t="s">
        <v>880</v>
      </c>
      <c r="C676" s="74">
        <v>9.00268637E8</v>
      </c>
      <c r="D676" s="73" t="s">
        <v>1040</v>
      </c>
      <c r="E676" s="72">
        <v>15.0</v>
      </c>
      <c r="F676" s="75">
        <v>40970.0</v>
      </c>
      <c r="G676" s="76"/>
      <c r="H676" s="76"/>
      <c r="I676" s="73" t="s">
        <v>366</v>
      </c>
      <c r="J676" s="76"/>
    </row>
    <row r="677">
      <c r="A677" s="72">
        <v>674.0</v>
      </c>
      <c r="B677" s="73" t="s">
        <v>880</v>
      </c>
      <c r="C677" s="74">
        <v>9.00300493E8</v>
      </c>
      <c r="D677" s="73" t="s">
        <v>1041</v>
      </c>
      <c r="E677" s="72">
        <v>17.0</v>
      </c>
      <c r="F677" s="75">
        <v>40970.0</v>
      </c>
      <c r="G677" s="76"/>
      <c r="H677" s="76"/>
      <c r="I677" s="73" t="s">
        <v>366</v>
      </c>
      <c r="J677" s="76"/>
    </row>
    <row r="678">
      <c r="A678" s="72">
        <v>675.0</v>
      </c>
      <c r="B678" s="73" t="s">
        <v>880</v>
      </c>
      <c r="C678" s="74">
        <v>9.00502833E8</v>
      </c>
      <c r="D678" s="73" t="s">
        <v>1042</v>
      </c>
      <c r="E678" s="72">
        <v>22.0</v>
      </c>
      <c r="F678" s="75">
        <v>40981.0</v>
      </c>
      <c r="G678" s="76"/>
      <c r="H678" s="76"/>
      <c r="I678" s="73" t="s">
        <v>366</v>
      </c>
      <c r="J678" s="76"/>
    </row>
    <row r="679">
      <c r="A679" s="72">
        <v>676.0</v>
      </c>
      <c r="B679" s="73" t="s">
        <v>880</v>
      </c>
      <c r="C679" s="74">
        <v>9.00388588E8</v>
      </c>
      <c r="D679" s="73" t="s">
        <v>1043</v>
      </c>
      <c r="E679" s="72">
        <v>41.0</v>
      </c>
      <c r="F679" s="75">
        <v>41060.0</v>
      </c>
      <c r="G679" s="76"/>
      <c r="H679" s="76"/>
      <c r="I679" s="73" t="s">
        <v>366</v>
      </c>
      <c r="J679" s="76"/>
    </row>
    <row r="680">
      <c r="A680" s="72">
        <v>677.0</v>
      </c>
      <c r="B680" s="73" t="s">
        <v>880</v>
      </c>
      <c r="C680" s="74">
        <v>9.00483604E8</v>
      </c>
      <c r="D680" s="73" t="s">
        <v>1044</v>
      </c>
      <c r="E680" s="72">
        <v>43.0</v>
      </c>
      <c r="F680" s="75">
        <v>41068.0</v>
      </c>
      <c r="G680" s="76"/>
      <c r="H680" s="76"/>
      <c r="I680" s="73" t="s">
        <v>366</v>
      </c>
      <c r="J680" s="76"/>
    </row>
    <row r="681">
      <c r="A681" s="72">
        <v>678.0</v>
      </c>
      <c r="B681" s="73" t="s">
        <v>880</v>
      </c>
      <c r="C681" s="74">
        <v>9.00507255E8</v>
      </c>
      <c r="D681" s="73" t="s">
        <v>1045</v>
      </c>
      <c r="E681" s="72">
        <v>42.0</v>
      </c>
      <c r="F681" s="75">
        <v>41068.0</v>
      </c>
      <c r="G681" s="76"/>
      <c r="H681" s="76"/>
      <c r="I681" s="73" t="s">
        <v>366</v>
      </c>
      <c r="J681" s="76"/>
    </row>
    <row r="682">
      <c r="A682" s="72">
        <v>679.0</v>
      </c>
      <c r="B682" s="73" t="s">
        <v>880</v>
      </c>
      <c r="C682" s="74">
        <v>9.00511518E8</v>
      </c>
      <c r="D682" s="73" t="s">
        <v>1046</v>
      </c>
      <c r="E682" s="72">
        <v>54.0</v>
      </c>
      <c r="F682" s="75">
        <v>41115.0</v>
      </c>
      <c r="G682" s="76"/>
      <c r="H682" s="76"/>
      <c r="I682" s="73" t="s">
        <v>366</v>
      </c>
      <c r="J682" s="76"/>
    </row>
    <row r="683">
      <c r="A683" s="72">
        <v>680.0</v>
      </c>
      <c r="B683" s="73" t="s">
        <v>880</v>
      </c>
      <c r="C683" s="74">
        <v>9.00526406E8</v>
      </c>
      <c r="D683" s="73" t="s">
        <v>1047</v>
      </c>
      <c r="E683" s="72">
        <v>68.0</v>
      </c>
      <c r="F683" s="75">
        <v>41171.0</v>
      </c>
      <c r="G683" s="76"/>
      <c r="H683" s="76"/>
      <c r="I683" s="73" t="s">
        <v>366</v>
      </c>
      <c r="J683" s="76"/>
    </row>
    <row r="684">
      <c r="A684" s="72">
        <v>681.0</v>
      </c>
      <c r="B684" s="73" t="s">
        <v>880</v>
      </c>
      <c r="C684" s="74">
        <v>9.00548985E8</v>
      </c>
      <c r="D684" s="73" t="s">
        <v>1048</v>
      </c>
      <c r="E684" s="72">
        <v>79.0</v>
      </c>
      <c r="F684" s="77">
        <v>41215.0</v>
      </c>
      <c r="G684" s="76"/>
      <c r="H684" s="76"/>
      <c r="I684" s="73" t="s">
        <v>366</v>
      </c>
      <c r="J684" s="76"/>
    </row>
    <row r="685">
      <c r="A685" s="72">
        <v>682.0</v>
      </c>
      <c r="B685" s="73" t="s">
        <v>880</v>
      </c>
      <c r="C685" s="74">
        <v>9.0056751E8</v>
      </c>
      <c r="D685" s="73" t="s">
        <v>1049</v>
      </c>
      <c r="E685" s="72">
        <v>83.0</v>
      </c>
      <c r="F685" s="77">
        <v>41229.0</v>
      </c>
      <c r="G685" s="76"/>
      <c r="H685" s="76"/>
      <c r="I685" s="73" t="s">
        <v>366</v>
      </c>
      <c r="J685" s="76"/>
    </row>
    <row r="686">
      <c r="A686" s="72">
        <v>683.0</v>
      </c>
      <c r="B686" s="73" t="s">
        <v>880</v>
      </c>
      <c r="C686" s="74">
        <v>9.00277792E8</v>
      </c>
      <c r="D686" s="73" t="s">
        <v>1050</v>
      </c>
      <c r="E686" s="72">
        <v>85.0</v>
      </c>
      <c r="F686" s="77">
        <v>41240.0</v>
      </c>
      <c r="G686" s="76"/>
      <c r="H686" s="76"/>
      <c r="I686" s="73" t="s">
        <v>366</v>
      </c>
      <c r="J686" s="76"/>
    </row>
    <row r="687">
      <c r="A687" s="72">
        <v>684.0</v>
      </c>
      <c r="B687" s="73" t="s">
        <v>880</v>
      </c>
      <c r="C687" s="74">
        <v>8.06016286E8</v>
      </c>
      <c r="D687" s="73" t="s">
        <v>1051</v>
      </c>
      <c r="E687" s="72">
        <v>87.0</v>
      </c>
      <c r="F687" s="77">
        <v>41242.0</v>
      </c>
      <c r="G687" s="76"/>
      <c r="H687" s="76"/>
      <c r="I687" s="73" t="s">
        <v>366</v>
      </c>
      <c r="J687" s="76"/>
    </row>
    <row r="688">
      <c r="A688" s="78">
        <v>685.0</v>
      </c>
      <c r="B688" s="79" t="s">
        <v>880</v>
      </c>
      <c r="C688" s="80">
        <v>9.00564079E8</v>
      </c>
      <c r="D688" s="79" t="s">
        <v>1052</v>
      </c>
      <c r="E688" s="81">
        <v>93.0</v>
      </c>
      <c r="F688" s="82">
        <v>41269.0</v>
      </c>
      <c r="G688" s="83"/>
      <c r="H688" s="83"/>
      <c r="I688" s="73" t="s">
        <v>366</v>
      </c>
      <c r="J688" s="76"/>
    </row>
    <row r="689">
      <c r="A689" s="72">
        <v>686.0</v>
      </c>
      <c r="B689" s="73" t="s">
        <v>880</v>
      </c>
      <c r="C689" s="74">
        <v>9.00563571E8</v>
      </c>
      <c r="D689" s="73" t="s">
        <v>1053</v>
      </c>
      <c r="E689" s="72">
        <v>94.0</v>
      </c>
      <c r="F689" s="77">
        <v>41271.0</v>
      </c>
      <c r="G689" s="76"/>
      <c r="H689" s="76"/>
      <c r="I689" s="73" t="s">
        <v>366</v>
      </c>
      <c r="J689" s="76"/>
    </row>
    <row r="690">
      <c r="A690" s="72">
        <v>687.0</v>
      </c>
      <c r="B690" s="73" t="s">
        <v>880</v>
      </c>
      <c r="C690" s="74">
        <v>9.0044992E8</v>
      </c>
      <c r="D690" s="73" t="s">
        <v>1054</v>
      </c>
      <c r="E690" s="72">
        <v>9.0</v>
      </c>
      <c r="F690" s="75">
        <v>41306.0</v>
      </c>
      <c r="G690" s="76"/>
      <c r="H690" s="76"/>
      <c r="I690" s="73" t="s">
        <v>366</v>
      </c>
      <c r="J690" s="76"/>
    </row>
    <row r="691">
      <c r="A691" s="72">
        <v>688.0</v>
      </c>
      <c r="B691" s="73" t="s">
        <v>880</v>
      </c>
      <c r="C691" s="74">
        <v>9.0044992E8</v>
      </c>
      <c r="D691" s="73" t="s">
        <v>1055</v>
      </c>
      <c r="E691" s="72">
        <v>9.0</v>
      </c>
      <c r="F691" s="75">
        <v>41306.0</v>
      </c>
      <c r="G691" s="76"/>
      <c r="H691" s="76"/>
      <c r="I691" s="73" t="s">
        <v>366</v>
      </c>
      <c r="J691" s="76"/>
    </row>
    <row r="692">
      <c r="A692" s="72">
        <v>689.0</v>
      </c>
      <c r="B692" s="73" t="s">
        <v>880</v>
      </c>
      <c r="C692" s="74">
        <v>9.00486506E8</v>
      </c>
      <c r="D692" s="73" t="s">
        <v>1056</v>
      </c>
      <c r="E692" s="72">
        <v>17.0</v>
      </c>
      <c r="F692" s="75">
        <v>41344.0</v>
      </c>
      <c r="G692" s="76"/>
      <c r="H692" s="76"/>
      <c r="I692" s="73" t="s">
        <v>366</v>
      </c>
      <c r="J692" s="76"/>
    </row>
    <row r="693">
      <c r="A693" s="72">
        <v>690.0</v>
      </c>
      <c r="B693" s="73" t="s">
        <v>880</v>
      </c>
      <c r="C693" s="74">
        <v>9.00590378E8</v>
      </c>
      <c r="D693" s="73" t="s">
        <v>1057</v>
      </c>
      <c r="E693" s="72">
        <v>24.0</v>
      </c>
      <c r="F693" s="75">
        <v>41402.0</v>
      </c>
      <c r="G693" s="76"/>
      <c r="H693" s="76"/>
      <c r="I693" s="73" t="s">
        <v>366</v>
      </c>
      <c r="J693" s="76"/>
    </row>
    <row r="694">
      <c r="A694" s="72">
        <v>691.0</v>
      </c>
      <c r="B694" s="73" t="s">
        <v>880</v>
      </c>
      <c r="C694" s="74">
        <v>9.00501939E8</v>
      </c>
      <c r="D694" s="73" t="s">
        <v>1058</v>
      </c>
      <c r="E694" s="72">
        <v>43.0</v>
      </c>
      <c r="F694" s="75">
        <v>41465.0</v>
      </c>
      <c r="G694" s="76"/>
      <c r="H694" s="76"/>
      <c r="I694" s="73" t="s">
        <v>366</v>
      </c>
      <c r="J694" s="76"/>
    </row>
    <row r="695">
      <c r="A695" s="72">
        <v>692.0</v>
      </c>
      <c r="B695" s="73" t="s">
        <v>880</v>
      </c>
      <c r="C695" s="74">
        <v>8.02018358E8</v>
      </c>
      <c r="D695" s="73" t="s">
        <v>1059</v>
      </c>
      <c r="E695" s="72">
        <v>51.0</v>
      </c>
      <c r="F695" s="75">
        <v>41487.0</v>
      </c>
      <c r="G695" s="76"/>
      <c r="H695" s="76"/>
      <c r="I695" s="73" t="s">
        <v>366</v>
      </c>
      <c r="J695" s="76"/>
    </row>
    <row r="696">
      <c r="A696" s="72">
        <v>693.0</v>
      </c>
      <c r="B696" s="73" t="s">
        <v>880</v>
      </c>
      <c r="C696" s="74">
        <v>9.00176548E8</v>
      </c>
      <c r="D696" s="73" t="s">
        <v>1060</v>
      </c>
      <c r="E696" s="72">
        <v>50.0</v>
      </c>
      <c r="F696" s="75">
        <v>41495.0</v>
      </c>
      <c r="G696" s="76"/>
      <c r="H696" s="76"/>
      <c r="I696" s="73" t="s">
        <v>366</v>
      </c>
      <c r="J696" s="76"/>
    </row>
    <row r="697">
      <c r="A697" s="72">
        <v>694.0</v>
      </c>
      <c r="B697" s="73" t="s">
        <v>880</v>
      </c>
      <c r="C697" s="74">
        <v>9.00637363E8</v>
      </c>
      <c r="D697" s="73" t="s">
        <v>1061</v>
      </c>
      <c r="E697" s="72">
        <v>56.0</v>
      </c>
      <c r="F697" s="75">
        <v>41516.0</v>
      </c>
      <c r="G697" s="76"/>
      <c r="H697" s="76"/>
      <c r="I697" s="73" t="s">
        <v>366</v>
      </c>
      <c r="J697" s="76"/>
    </row>
    <row r="698">
      <c r="A698" s="72">
        <v>695.0</v>
      </c>
      <c r="B698" s="73" t="s">
        <v>880</v>
      </c>
      <c r="C698" s="74">
        <v>9.00637998E8</v>
      </c>
      <c r="D698" s="73" t="s">
        <v>1062</v>
      </c>
      <c r="E698" s="72">
        <v>63.0</v>
      </c>
      <c r="F698" s="75">
        <v>41536.0</v>
      </c>
      <c r="G698" s="76"/>
      <c r="H698" s="76"/>
      <c r="I698" s="73" t="s">
        <v>366</v>
      </c>
      <c r="J698" s="76"/>
    </row>
    <row r="699">
      <c r="A699" s="72">
        <v>696.0</v>
      </c>
      <c r="B699" s="73" t="s">
        <v>880</v>
      </c>
      <c r="C699" s="74">
        <v>9.00612642E8</v>
      </c>
      <c r="D699" s="73" t="s">
        <v>1063</v>
      </c>
      <c r="E699" s="72">
        <v>78.0</v>
      </c>
      <c r="F699" s="77">
        <v>41585.0</v>
      </c>
      <c r="G699" s="76"/>
      <c r="H699" s="76"/>
      <c r="I699" s="73" t="s">
        <v>366</v>
      </c>
      <c r="J699" s="76"/>
    </row>
    <row r="700">
      <c r="A700" s="72">
        <v>697.0</v>
      </c>
      <c r="B700" s="73" t="s">
        <v>880</v>
      </c>
      <c r="C700" s="74">
        <v>9.00626684E8</v>
      </c>
      <c r="D700" s="73" t="s">
        <v>1064</v>
      </c>
      <c r="E700" s="72">
        <v>85.0</v>
      </c>
      <c r="F700" s="77">
        <v>41604.0</v>
      </c>
      <c r="G700" s="76"/>
      <c r="H700" s="76"/>
      <c r="I700" s="73" t="s">
        <v>366</v>
      </c>
      <c r="J700" s="76"/>
    </row>
    <row r="701">
      <c r="A701" s="72">
        <v>698.0</v>
      </c>
      <c r="B701" s="73" t="s">
        <v>880</v>
      </c>
      <c r="C701" s="74">
        <v>9.00661266E8</v>
      </c>
      <c r="D701" s="73" t="s">
        <v>1065</v>
      </c>
      <c r="E701" s="72">
        <v>87.0</v>
      </c>
      <c r="F701" s="77">
        <v>41607.0</v>
      </c>
      <c r="G701" s="76"/>
      <c r="H701" s="76"/>
      <c r="I701" s="73" t="s">
        <v>366</v>
      </c>
      <c r="J701" s="76"/>
    </row>
    <row r="702">
      <c r="A702" s="72">
        <v>699.0</v>
      </c>
      <c r="B702" s="73" t="s">
        <v>880</v>
      </c>
      <c r="C702" s="74">
        <v>9.00671238E8</v>
      </c>
      <c r="D702" s="73" t="s">
        <v>1066</v>
      </c>
      <c r="E702" s="72">
        <v>94.0</v>
      </c>
      <c r="F702" s="77">
        <v>41627.0</v>
      </c>
      <c r="G702" s="76"/>
      <c r="H702" s="76"/>
      <c r="I702" s="73" t="s">
        <v>366</v>
      </c>
      <c r="J702" s="76"/>
    </row>
    <row r="703">
      <c r="A703" s="72">
        <v>700.0</v>
      </c>
      <c r="B703" s="73" t="s">
        <v>880</v>
      </c>
      <c r="C703" s="74">
        <v>9.00609129E8</v>
      </c>
      <c r="D703" s="73" t="s">
        <v>1067</v>
      </c>
      <c r="E703" s="72">
        <v>100.0</v>
      </c>
      <c r="F703" s="77">
        <v>41638.0</v>
      </c>
      <c r="G703" s="76"/>
      <c r="H703" s="76"/>
      <c r="I703" s="73" t="s">
        <v>366</v>
      </c>
      <c r="J703" s="76"/>
    </row>
    <row r="704">
      <c r="A704" s="72">
        <v>701.0</v>
      </c>
      <c r="B704" s="73" t="s">
        <v>880</v>
      </c>
      <c r="C704" s="74">
        <v>9.00656696E8</v>
      </c>
      <c r="D704" s="73" t="s">
        <v>1068</v>
      </c>
      <c r="E704" s="72">
        <v>104.0</v>
      </c>
      <c r="F704" s="77">
        <v>41639.0</v>
      </c>
      <c r="G704" s="76"/>
      <c r="H704" s="76"/>
      <c r="I704" s="73" t="s">
        <v>366</v>
      </c>
      <c r="J704" s="76"/>
    </row>
    <row r="705">
      <c r="A705" s="72">
        <v>702.0</v>
      </c>
      <c r="B705" s="73" t="s">
        <v>880</v>
      </c>
      <c r="C705" s="74">
        <v>9.00668484E8</v>
      </c>
      <c r="D705" s="73" t="s">
        <v>1069</v>
      </c>
      <c r="E705" s="72">
        <v>3.0</v>
      </c>
      <c r="F705" s="75">
        <v>41667.0</v>
      </c>
      <c r="G705" s="76"/>
      <c r="H705" s="76"/>
      <c r="I705" s="73" t="s">
        <v>366</v>
      </c>
      <c r="J705" s="76"/>
    </row>
    <row r="706">
      <c r="A706" s="72">
        <v>703.0</v>
      </c>
      <c r="B706" s="73" t="s">
        <v>880</v>
      </c>
      <c r="C706" s="74">
        <v>9.00614436E8</v>
      </c>
      <c r="D706" s="73" t="s">
        <v>1070</v>
      </c>
      <c r="E706" s="72">
        <v>11.0</v>
      </c>
      <c r="F706" s="75">
        <v>41690.0</v>
      </c>
      <c r="G706" s="76"/>
      <c r="H706" s="76"/>
      <c r="I706" s="73" t="s">
        <v>366</v>
      </c>
      <c r="J706" s="76"/>
    </row>
    <row r="707">
      <c r="A707" s="72">
        <v>704.0</v>
      </c>
      <c r="B707" s="73" t="s">
        <v>880</v>
      </c>
      <c r="C707" s="74">
        <v>9.00634378E8</v>
      </c>
      <c r="D707" s="73" t="s">
        <v>1071</v>
      </c>
      <c r="E707" s="72">
        <v>21.0</v>
      </c>
      <c r="F707" s="75">
        <v>41718.0</v>
      </c>
      <c r="G707" s="76"/>
      <c r="H707" s="76"/>
      <c r="I707" s="73" t="s">
        <v>366</v>
      </c>
      <c r="J707" s="76"/>
    </row>
    <row r="708">
      <c r="A708" s="72">
        <v>705.0</v>
      </c>
      <c r="B708" s="73" t="s">
        <v>880</v>
      </c>
      <c r="C708" s="74">
        <v>9.00713217E8</v>
      </c>
      <c r="D708" s="73" t="s">
        <v>1072</v>
      </c>
      <c r="E708" s="72">
        <v>27.0</v>
      </c>
      <c r="F708" s="75">
        <v>41743.0</v>
      </c>
      <c r="G708" s="76"/>
      <c r="H708" s="76"/>
      <c r="I708" s="73" t="s">
        <v>366</v>
      </c>
      <c r="J708" s="76"/>
    </row>
    <row r="709">
      <c r="A709" s="72">
        <v>706.0</v>
      </c>
      <c r="B709" s="73" t="s">
        <v>880</v>
      </c>
      <c r="C709" s="74">
        <v>9.00354975E8</v>
      </c>
      <c r="D709" s="73" t="s">
        <v>1073</v>
      </c>
      <c r="E709" s="72">
        <v>41.0</v>
      </c>
      <c r="F709" s="75">
        <v>41796.0</v>
      </c>
      <c r="G709" s="76"/>
      <c r="H709" s="76"/>
      <c r="I709" s="73" t="s">
        <v>366</v>
      </c>
      <c r="J709" s="76"/>
    </row>
    <row r="710">
      <c r="A710" s="72">
        <v>707.0</v>
      </c>
      <c r="B710" s="73" t="s">
        <v>880</v>
      </c>
      <c r="C710" s="74">
        <v>9.00716251E8</v>
      </c>
      <c r="D710" s="73" t="s">
        <v>1074</v>
      </c>
      <c r="E710" s="72">
        <v>46.0</v>
      </c>
      <c r="F710" s="75">
        <v>41801.0</v>
      </c>
      <c r="G710" s="76"/>
      <c r="H710" s="76"/>
      <c r="I710" s="73" t="s">
        <v>366</v>
      </c>
      <c r="J710" s="76"/>
    </row>
    <row r="711">
      <c r="A711" s="72">
        <v>708.0</v>
      </c>
      <c r="B711" s="73" t="s">
        <v>880</v>
      </c>
      <c r="C711" s="74">
        <v>8.30061945E8</v>
      </c>
      <c r="D711" s="73" t="s">
        <v>1075</v>
      </c>
      <c r="E711" s="72">
        <v>193.0</v>
      </c>
      <c r="F711" s="75">
        <v>41802.0</v>
      </c>
      <c r="G711" s="76"/>
      <c r="H711" s="76"/>
      <c r="I711" s="73" t="s">
        <v>366</v>
      </c>
      <c r="J711" s="76"/>
    </row>
    <row r="712">
      <c r="A712" s="72">
        <v>709.0</v>
      </c>
      <c r="B712" s="73" t="s">
        <v>880</v>
      </c>
      <c r="C712" s="74">
        <v>9.00731971E8</v>
      </c>
      <c r="D712" s="73" t="s">
        <v>1076</v>
      </c>
      <c r="E712" s="72">
        <v>52.0</v>
      </c>
      <c r="F712" s="75">
        <v>41806.0</v>
      </c>
      <c r="G712" s="76"/>
      <c r="H712" s="76"/>
      <c r="I712" s="73" t="s">
        <v>366</v>
      </c>
      <c r="J712" s="76"/>
    </row>
    <row r="713">
      <c r="A713" s="72">
        <v>710.0</v>
      </c>
      <c r="B713" s="73" t="s">
        <v>880</v>
      </c>
      <c r="C713" s="74">
        <v>9.00690732E8</v>
      </c>
      <c r="D713" s="73" t="s">
        <v>1077</v>
      </c>
      <c r="E713" s="72">
        <v>66.0</v>
      </c>
      <c r="F713" s="75">
        <v>41871.0</v>
      </c>
      <c r="G713" s="76"/>
      <c r="H713" s="76"/>
      <c r="I713" s="73" t="s">
        <v>366</v>
      </c>
      <c r="J713" s="76"/>
    </row>
    <row r="714">
      <c r="A714" s="72">
        <v>711.0</v>
      </c>
      <c r="B714" s="73" t="s">
        <v>880</v>
      </c>
      <c r="C714" s="74">
        <v>9.00736061E8</v>
      </c>
      <c r="D714" s="73" t="s">
        <v>1078</v>
      </c>
      <c r="E714" s="72">
        <v>75.0</v>
      </c>
      <c r="F714" s="75">
        <v>41892.0</v>
      </c>
      <c r="G714" s="76"/>
      <c r="H714" s="76"/>
      <c r="I714" s="73" t="s">
        <v>366</v>
      </c>
      <c r="J714" s="76"/>
    </row>
    <row r="715">
      <c r="A715" s="72">
        <v>712.0</v>
      </c>
      <c r="B715" s="73" t="s">
        <v>880</v>
      </c>
      <c r="C715" s="74">
        <v>9.00464554E8</v>
      </c>
      <c r="D715" s="73" t="s">
        <v>1079</v>
      </c>
      <c r="E715" s="72">
        <v>76.0</v>
      </c>
      <c r="F715" s="75">
        <v>41898.0</v>
      </c>
      <c r="G715" s="76"/>
      <c r="H715" s="76"/>
      <c r="I715" s="73" t="s">
        <v>366</v>
      </c>
      <c r="J715" s="76"/>
    </row>
    <row r="716">
      <c r="A716" s="72">
        <v>713.0</v>
      </c>
      <c r="B716" s="73" t="s">
        <v>880</v>
      </c>
      <c r="C716" s="74">
        <v>9.00381555E8</v>
      </c>
      <c r="D716" s="73" t="s">
        <v>1080</v>
      </c>
      <c r="E716" s="72">
        <v>82.0</v>
      </c>
      <c r="F716" s="77">
        <v>41914.0</v>
      </c>
      <c r="G716" s="76"/>
      <c r="H716" s="76"/>
      <c r="I716" s="73" t="s">
        <v>366</v>
      </c>
      <c r="J716" s="76"/>
    </row>
    <row r="717">
      <c r="A717" s="72">
        <v>714.0</v>
      </c>
      <c r="B717" s="73" t="s">
        <v>880</v>
      </c>
      <c r="C717" s="74">
        <v>9.00300837E8</v>
      </c>
      <c r="D717" s="73" t="s">
        <v>1081</v>
      </c>
      <c r="E717" s="72">
        <v>83.0</v>
      </c>
      <c r="F717" s="77">
        <v>41920.0</v>
      </c>
      <c r="G717" s="76"/>
      <c r="H717" s="76"/>
      <c r="I717" s="73" t="s">
        <v>366</v>
      </c>
      <c r="J717" s="76"/>
    </row>
    <row r="718">
      <c r="A718" s="72">
        <v>715.0</v>
      </c>
      <c r="B718" s="73" t="s">
        <v>880</v>
      </c>
      <c r="C718" s="74">
        <v>9.00605584E8</v>
      </c>
      <c r="D718" s="73" t="s">
        <v>1082</v>
      </c>
      <c r="E718" s="72">
        <v>86.0</v>
      </c>
      <c r="F718" s="77">
        <v>41934.0</v>
      </c>
      <c r="G718" s="76"/>
      <c r="H718" s="76"/>
      <c r="I718" s="73" t="s">
        <v>366</v>
      </c>
      <c r="J718" s="76"/>
    </row>
    <row r="719">
      <c r="A719" s="72">
        <v>716.0</v>
      </c>
      <c r="B719" s="73" t="s">
        <v>880</v>
      </c>
      <c r="C719" s="74">
        <v>9.00778413E8</v>
      </c>
      <c r="D719" s="73" t="s">
        <v>1083</v>
      </c>
      <c r="E719" s="72">
        <v>95.0</v>
      </c>
      <c r="F719" s="77">
        <v>41977.0</v>
      </c>
      <c r="G719" s="76"/>
      <c r="H719" s="76"/>
      <c r="I719" s="73" t="s">
        <v>366</v>
      </c>
      <c r="J719" s="76"/>
    </row>
    <row r="720">
      <c r="A720" s="72">
        <v>717.0</v>
      </c>
      <c r="B720" s="73" t="s">
        <v>880</v>
      </c>
      <c r="C720" s="74">
        <v>9.0078831E8</v>
      </c>
      <c r="D720" s="73" t="s">
        <v>1084</v>
      </c>
      <c r="E720" s="72">
        <v>102.0</v>
      </c>
      <c r="F720" s="77">
        <v>42004.0</v>
      </c>
      <c r="G720" s="76"/>
      <c r="H720" s="76"/>
      <c r="I720" s="73" t="s">
        <v>366</v>
      </c>
      <c r="J720" s="76"/>
    </row>
    <row r="721">
      <c r="A721" s="72">
        <v>718.0</v>
      </c>
      <c r="B721" s="73" t="s">
        <v>880</v>
      </c>
      <c r="C721" s="74">
        <v>9.00796301E8</v>
      </c>
      <c r="D721" s="73" t="s">
        <v>1085</v>
      </c>
      <c r="E721" s="72">
        <v>4.0</v>
      </c>
      <c r="F721" s="75">
        <v>42031.0</v>
      </c>
      <c r="G721" s="76"/>
      <c r="H721" s="76"/>
      <c r="I721" s="73" t="s">
        <v>366</v>
      </c>
      <c r="J721" s="76"/>
    </row>
    <row r="722">
      <c r="A722" s="72">
        <v>719.0</v>
      </c>
      <c r="B722" s="73" t="s">
        <v>880</v>
      </c>
      <c r="C722" s="74">
        <v>9.00796301E8</v>
      </c>
      <c r="D722" s="73" t="s">
        <v>1086</v>
      </c>
      <c r="E722" s="72">
        <v>4.0</v>
      </c>
      <c r="F722" s="75">
        <v>42031.0</v>
      </c>
      <c r="G722" s="76"/>
      <c r="H722" s="76"/>
      <c r="I722" s="73" t="s">
        <v>366</v>
      </c>
      <c r="J722" s="76"/>
    </row>
    <row r="723">
      <c r="A723" s="72">
        <v>720.0</v>
      </c>
      <c r="B723" s="73" t="s">
        <v>880</v>
      </c>
      <c r="C723" s="74">
        <v>9.00755542E8</v>
      </c>
      <c r="D723" s="73" t="s">
        <v>1087</v>
      </c>
      <c r="E723" s="72">
        <v>8.0</v>
      </c>
      <c r="F723" s="75">
        <v>42038.0</v>
      </c>
      <c r="G723" s="76"/>
      <c r="H723" s="76"/>
      <c r="I723" s="73" t="s">
        <v>366</v>
      </c>
      <c r="J723" s="76"/>
    </row>
    <row r="724">
      <c r="A724" s="72">
        <v>721.0</v>
      </c>
      <c r="B724" s="73" t="s">
        <v>880</v>
      </c>
      <c r="C724" s="74">
        <v>9.007752E8</v>
      </c>
      <c r="D724" s="73" t="s">
        <v>1088</v>
      </c>
      <c r="E724" s="72">
        <v>16.0</v>
      </c>
      <c r="F724" s="75">
        <v>42058.0</v>
      </c>
      <c r="G724" s="76"/>
      <c r="H724" s="76"/>
      <c r="I724" s="73" t="s">
        <v>366</v>
      </c>
      <c r="J724" s="76"/>
    </row>
    <row r="725">
      <c r="A725" s="72">
        <v>722.0</v>
      </c>
      <c r="B725" s="73" t="s">
        <v>880</v>
      </c>
      <c r="C725" s="74">
        <v>9.00360737E8</v>
      </c>
      <c r="D725" s="73" t="s">
        <v>1089</v>
      </c>
      <c r="E725" s="72">
        <v>59.0</v>
      </c>
      <c r="F725" s="75">
        <v>42178.0</v>
      </c>
      <c r="G725" s="76"/>
      <c r="H725" s="76"/>
      <c r="I725" s="73" t="s">
        <v>366</v>
      </c>
      <c r="J725" s="76"/>
    </row>
    <row r="726">
      <c r="A726" s="72">
        <v>723.0</v>
      </c>
      <c r="B726" s="73" t="s">
        <v>880</v>
      </c>
      <c r="C726" s="74">
        <v>9.00575589E8</v>
      </c>
      <c r="D726" s="73" t="s">
        <v>1090</v>
      </c>
      <c r="E726" s="72">
        <v>56.0</v>
      </c>
      <c r="F726" s="75">
        <v>42178.0</v>
      </c>
      <c r="G726" s="76"/>
      <c r="H726" s="76"/>
      <c r="I726" s="73" t="s">
        <v>366</v>
      </c>
      <c r="J726" s="76"/>
    </row>
    <row r="727">
      <c r="A727" s="72">
        <v>724.0</v>
      </c>
      <c r="B727" s="73" t="s">
        <v>880</v>
      </c>
      <c r="C727" s="74">
        <v>8.02004356E8</v>
      </c>
      <c r="D727" s="73" t="s">
        <v>1091</v>
      </c>
      <c r="E727" s="72">
        <v>87.0</v>
      </c>
      <c r="F727" s="75">
        <v>42185.0</v>
      </c>
      <c r="G727" s="76"/>
      <c r="H727" s="76"/>
      <c r="I727" s="73" t="s">
        <v>366</v>
      </c>
      <c r="J727" s="76"/>
    </row>
    <row r="728">
      <c r="A728" s="72">
        <v>725.0</v>
      </c>
      <c r="B728" s="73" t="s">
        <v>880</v>
      </c>
      <c r="C728" s="74">
        <v>9.00069089E8</v>
      </c>
      <c r="D728" s="73" t="s">
        <v>1092</v>
      </c>
      <c r="E728" s="72">
        <v>63.0</v>
      </c>
      <c r="F728" s="75">
        <v>42208.0</v>
      </c>
      <c r="G728" s="76"/>
      <c r="H728" s="76"/>
      <c r="I728" s="73" t="s">
        <v>366</v>
      </c>
      <c r="J728" s="76"/>
    </row>
    <row r="729">
      <c r="A729" s="72">
        <v>726.0</v>
      </c>
      <c r="B729" s="73" t="s">
        <v>880</v>
      </c>
      <c r="C729" s="74">
        <v>9.00867796E8</v>
      </c>
      <c r="D729" s="73" t="s">
        <v>1093</v>
      </c>
      <c r="E729" s="72">
        <v>73.0</v>
      </c>
      <c r="F729" s="75">
        <v>42261.0</v>
      </c>
      <c r="G729" s="76"/>
      <c r="H729" s="76"/>
      <c r="I729" s="73" t="s">
        <v>366</v>
      </c>
      <c r="J729" s="76"/>
    </row>
    <row r="730">
      <c r="A730" s="72">
        <v>727.0</v>
      </c>
      <c r="B730" s="73" t="s">
        <v>880</v>
      </c>
      <c r="C730" s="74">
        <v>9.00858872E8</v>
      </c>
      <c r="D730" s="73" t="s">
        <v>1094</v>
      </c>
      <c r="E730" s="72">
        <v>76.0</v>
      </c>
      <c r="F730" s="75">
        <v>42271.0</v>
      </c>
      <c r="G730" s="76"/>
      <c r="H730" s="76"/>
      <c r="I730" s="73" t="s">
        <v>366</v>
      </c>
      <c r="J730" s="76"/>
    </row>
    <row r="731">
      <c r="A731" s="72">
        <v>728.0</v>
      </c>
      <c r="B731" s="73" t="s">
        <v>880</v>
      </c>
      <c r="C731" s="74">
        <v>9.001094E8</v>
      </c>
      <c r="D731" s="73" t="s">
        <v>1095</v>
      </c>
      <c r="E731" s="72">
        <v>90.0</v>
      </c>
      <c r="F731" s="77">
        <v>42338.0</v>
      </c>
      <c r="G731" s="76"/>
      <c r="H731" s="76"/>
      <c r="I731" s="73" t="s">
        <v>366</v>
      </c>
      <c r="J731" s="76"/>
    </row>
    <row r="732">
      <c r="A732" s="72">
        <v>729.0</v>
      </c>
      <c r="B732" s="73" t="s">
        <v>880</v>
      </c>
      <c r="C732" s="74">
        <v>9.00475398E8</v>
      </c>
      <c r="D732" s="73" t="s">
        <v>1096</v>
      </c>
      <c r="E732" s="72">
        <v>91.0</v>
      </c>
      <c r="F732" s="77">
        <v>42347.0</v>
      </c>
      <c r="G732" s="76"/>
      <c r="H732" s="76"/>
      <c r="I732" s="73" t="s">
        <v>366</v>
      </c>
      <c r="J732" s="76"/>
    </row>
    <row r="733">
      <c r="A733" s="72">
        <v>730.0</v>
      </c>
      <c r="B733" s="73" t="s">
        <v>880</v>
      </c>
      <c r="C733" s="74">
        <v>9.00906634E8</v>
      </c>
      <c r="D733" s="73" t="s">
        <v>1097</v>
      </c>
      <c r="E733" s="72">
        <v>8.0</v>
      </c>
      <c r="F733" s="75">
        <v>42425.0</v>
      </c>
      <c r="G733" s="76"/>
      <c r="H733" s="76"/>
      <c r="I733" s="73" t="s">
        <v>366</v>
      </c>
      <c r="J733" s="76"/>
    </row>
    <row r="734">
      <c r="A734" s="72">
        <v>731.0</v>
      </c>
      <c r="B734" s="73" t="s">
        <v>880</v>
      </c>
      <c r="C734" s="74">
        <v>9.00906634E8</v>
      </c>
      <c r="D734" s="73" t="s">
        <v>1098</v>
      </c>
      <c r="E734" s="72">
        <v>8.0</v>
      </c>
      <c r="F734" s="75">
        <v>42425.0</v>
      </c>
      <c r="G734" s="76"/>
      <c r="H734" s="76"/>
      <c r="I734" s="73" t="s">
        <v>366</v>
      </c>
      <c r="J734" s="76"/>
    </row>
    <row r="735">
      <c r="A735" s="72">
        <v>732.0</v>
      </c>
      <c r="B735" s="73" t="s">
        <v>880</v>
      </c>
      <c r="C735" s="74">
        <v>9.00903071E8</v>
      </c>
      <c r="D735" s="73" t="s">
        <v>1099</v>
      </c>
      <c r="E735" s="72">
        <v>9.0</v>
      </c>
      <c r="F735" s="75">
        <v>42430.0</v>
      </c>
      <c r="G735" s="76"/>
      <c r="H735" s="76"/>
      <c r="I735" s="73" t="s">
        <v>366</v>
      </c>
      <c r="J735" s="76"/>
    </row>
    <row r="736">
      <c r="A736" s="72">
        <v>733.0</v>
      </c>
      <c r="B736" s="73" t="s">
        <v>880</v>
      </c>
      <c r="C736" s="74">
        <v>9.00643744E8</v>
      </c>
      <c r="D736" s="73" t="s">
        <v>1100</v>
      </c>
      <c r="E736" s="72">
        <v>18.0</v>
      </c>
      <c r="F736" s="75">
        <v>42475.0</v>
      </c>
      <c r="G736" s="76"/>
      <c r="H736" s="76"/>
      <c r="I736" s="73" t="s">
        <v>366</v>
      </c>
      <c r="J736" s="76"/>
    </row>
    <row r="737">
      <c r="A737" s="72">
        <v>734.0</v>
      </c>
      <c r="B737" s="73" t="s">
        <v>880</v>
      </c>
      <c r="C737" s="74">
        <v>9.00462334E8</v>
      </c>
      <c r="D737" s="73" t="s">
        <v>1101</v>
      </c>
      <c r="E737" s="72">
        <v>21.0</v>
      </c>
      <c r="F737" s="75">
        <v>42500.0</v>
      </c>
      <c r="G737" s="76"/>
      <c r="H737" s="76"/>
      <c r="I737" s="73" t="s">
        <v>366</v>
      </c>
      <c r="J737" s="76"/>
    </row>
    <row r="738">
      <c r="A738" s="72">
        <v>735.0</v>
      </c>
      <c r="B738" s="73" t="s">
        <v>880</v>
      </c>
      <c r="C738" s="74">
        <v>9.00750987E8</v>
      </c>
      <c r="D738" s="73" t="s">
        <v>1102</v>
      </c>
      <c r="E738" s="72">
        <v>53.0</v>
      </c>
      <c r="F738" s="75">
        <v>42593.0</v>
      </c>
      <c r="G738" s="76"/>
      <c r="H738" s="76"/>
      <c r="I738" s="73" t="s">
        <v>366</v>
      </c>
      <c r="J738" s="76"/>
    </row>
    <row r="739">
      <c r="A739" s="72">
        <v>736.0</v>
      </c>
      <c r="B739" s="73" t="s">
        <v>880</v>
      </c>
      <c r="C739" s="74">
        <v>9.00378817E8</v>
      </c>
      <c r="D739" s="73" t="s">
        <v>1103</v>
      </c>
      <c r="E739" s="72">
        <v>65.0</v>
      </c>
      <c r="F739" s="75">
        <v>42614.0</v>
      </c>
      <c r="G739" s="76"/>
      <c r="H739" s="76"/>
      <c r="I739" s="73" t="s">
        <v>366</v>
      </c>
      <c r="J739" s="76"/>
    </row>
    <row r="740">
      <c r="A740" s="72">
        <v>737.0</v>
      </c>
      <c r="B740" s="73" t="s">
        <v>880</v>
      </c>
      <c r="C740" s="74">
        <v>9.00683804E8</v>
      </c>
      <c r="D740" s="73" t="s">
        <v>1104</v>
      </c>
      <c r="E740" s="72">
        <v>66.0</v>
      </c>
      <c r="F740" s="75">
        <v>42614.0</v>
      </c>
      <c r="G740" s="76"/>
      <c r="H740" s="76"/>
      <c r="I740" s="73" t="s">
        <v>366</v>
      </c>
      <c r="J740" s="76"/>
    </row>
    <row r="741">
      <c r="A741" s="78">
        <v>738.0</v>
      </c>
      <c r="B741" s="79" t="s">
        <v>880</v>
      </c>
      <c r="C741" s="80">
        <v>9.00962819E8</v>
      </c>
      <c r="D741" s="79" t="s">
        <v>1105</v>
      </c>
      <c r="E741" s="81">
        <v>68.0</v>
      </c>
      <c r="F741" s="84">
        <v>42620.0</v>
      </c>
      <c r="G741" s="83"/>
      <c r="H741" s="83"/>
      <c r="I741" s="73" t="s">
        <v>366</v>
      </c>
      <c r="J741" s="76"/>
    </row>
    <row r="742">
      <c r="A742" s="72">
        <v>739.0</v>
      </c>
      <c r="B742" s="73" t="s">
        <v>880</v>
      </c>
      <c r="C742" s="74">
        <v>8.05031761E8</v>
      </c>
      <c r="D742" s="73" t="s">
        <v>1106</v>
      </c>
      <c r="E742" s="72">
        <v>110.0</v>
      </c>
      <c r="F742" s="77">
        <v>42713.0</v>
      </c>
      <c r="G742" s="76"/>
      <c r="H742" s="76"/>
      <c r="I742" s="73" t="s">
        <v>366</v>
      </c>
      <c r="J742" s="76"/>
    </row>
    <row r="743">
      <c r="A743" s="72">
        <v>740.0</v>
      </c>
      <c r="B743" s="73" t="s">
        <v>880</v>
      </c>
      <c r="C743" s="74">
        <v>9.01055344E8</v>
      </c>
      <c r="D743" s="73" t="s">
        <v>1107</v>
      </c>
      <c r="E743" s="72">
        <v>16.0</v>
      </c>
      <c r="F743" s="75">
        <v>42802.0</v>
      </c>
      <c r="G743" s="76"/>
      <c r="H743" s="76"/>
      <c r="I743" s="73" t="s">
        <v>366</v>
      </c>
      <c r="J743" s="76"/>
    </row>
    <row r="744">
      <c r="A744" s="72">
        <v>741.0</v>
      </c>
      <c r="B744" s="73" t="s">
        <v>880</v>
      </c>
      <c r="C744" s="74">
        <v>9.00826498E8</v>
      </c>
      <c r="D744" s="73" t="s">
        <v>1108</v>
      </c>
      <c r="E744" s="72">
        <v>24.0</v>
      </c>
      <c r="F744" s="75">
        <v>42822.0</v>
      </c>
      <c r="G744" s="76"/>
      <c r="H744" s="76"/>
      <c r="I744" s="73" t="s">
        <v>366</v>
      </c>
      <c r="J744" s="76"/>
    </row>
    <row r="745">
      <c r="A745" s="72">
        <v>742.0</v>
      </c>
      <c r="B745" s="73" t="s">
        <v>880</v>
      </c>
      <c r="C745" s="74">
        <v>9.01072607E8</v>
      </c>
      <c r="D745" s="73" t="s">
        <v>1109</v>
      </c>
      <c r="E745" s="72">
        <v>23.0</v>
      </c>
      <c r="F745" s="75">
        <v>42867.0</v>
      </c>
      <c r="G745" s="76"/>
      <c r="H745" s="76"/>
      <c r="I745" s="73" t="s">
        <v>366</v>
      </c>
      <c r="J745" s="76"/>
    </row>
    <row r="746">
      <c r="A746" s="72">
        <v>743.0</v>
      </c>
      <c r="B746" s="73" t="s">
        <v>880</v>
      </c>
      <c r="C746" s="74">
        <v>9.00122375E8</v>
      </c>
      <c r="D746" s="73" t="s">
        <v>1110</v>
      </c>
      <c r="E746" s="72">
        <v>75.0</v>
      </c>
      <c r="F746" s="75">
        <v>42956.0</v>
      </c>
      <c r="G746" s="76"/>
      <c r="H746" s="76"/>
      <c r="I746" s="73" t="s">
        <v>366</v>
      </c>
      <c r="J746" s="76"/>
    </row>
    <row r="747">
      <c r="A747" s="72">
        <v>744.0</v>
      </c>
      <c r="B747" s="73" t="s">
        <v>880</v>
      </c>
      <c r="C747" s="74">
        <v>9.01066226E8</v>
      </c>
      <c r="D747" s="73" t="s">
        <v>1111</v>
      </c>
      <c r="E747" s="72">
        <v>126.0</v>
      </c>
      <c r="F747" s="75">
        <v>42986.0</v>
      </c>
      <c r="G747" s="76"/>
      <c r="H747" s="76"/>
      <c r="I747" s="73" t="s">
        <v>366</v>
      </c>
      <c r="J747" s="76"/>
    </row>
    <row r="748">
      <c r="A748" s="72">
        <v>745.0</v>
      </c>
      <c r="B748" s="73" t="s">
        <v>880</v>
      </c>
      <c r="C748" s="74">
        <v>9.01113107E8</v>
      </c>
      <c r="D748" s="73" t="s">
        <v>1112</v>
      </c>
      <c r="E748" s="72">
        <v>105.0</v>
      </c>
      <c r="F748" s="77">
        <v>43020.0</v>
      </c>
      <c r="G748" s="76"/>
      <c r="H748" s="76"/>
      <c r="I748" s="73" t="s">
        <v>366</v>
      </c>
      <c r="J748" s="76"/>
    </row>
    <row r="749">
      <c r="A749" s="72">
        <v>746.0</v>
      </c>
      <c r="B749" s="73" t="s">
        <v>880</v>
      </c>
      <c r="C749" s="74">
        <v>9.01053055E8</v>
      </c>
      <c r="D749" s="73" t="s">
        <v>1113</v>
      </c>
      <c r="E749" s="72">
        <v>174.0</v>
      </c>
      <c r="F749" s="77">
        <v>43053.0</v>
      </c>
      <c r="G749" s="76"/>
      <c r="H749" s="76"/>
      <c r="I749" s="73" t="s">
        <v>366</v>
      </c>
      <c r="J749" s="76"/>
    </row>
    <row r="750">
      <c r="A750" s="72">
        <v>747.0</v>
      </c>
      <c r="B750" s="73" t="s">
        <v>880</v>
      </c>
      <c r="C750" s="74">
        <v>9.00162986E8</v>
      </c>
      <c r="D750" s="73" t="s">
        <v>1114</v>
      </c>
      <c r="E750" s="72">
        <v>138.0</v>
      </c>
      <c r="F750" s="77">
        <v>43063.0</v>
      </c>
      <c r="G750" s="76"/>
      <c r="H750" s="76"/>
      <c r="I750" s="73" t="s">
        <v>366</v>
      </c>
      <c r="J750" s="76"/>
    </row>
    <row r="751">
      <c r="A751" s="72">
        <v>748.0</v>
      </c>
      <c r="B751" s="73" t="s">
        <v>880</v>
      </c>
      <c r="C751" s="74">
        <v>9.01133995E8</v>
      </c>
      <c r="D751" s="73" t="s">
        <v>1115</v>
      </c>
      <c r="E751" s="72">
        <v>17.0</v>
      </c>
      <c r="F751" s="75">
        <v>43138.0</v>
      </c>
      <c r="G751" s="76"/>
      <c r="H751" s="76"/>
      <c r="I751" s="73" t="s">
        <v>366</v>
      </c>
      <c r="J751" s="76"/>
    </row>
    <row r="752">
      <c r="A752" s="72">
        <v>749.0</v>
      </c>
      <c r="B752" s="73" t="s">
        <v>880</v>
      </c>
      <c r="C752" s="74">
        <v>9.0068897E8</v>
      </c>
      <c r="D752" s="73" t="s">
        <v>1116</v>
      </c>
      <c r="E752" s="72">
        <v>228.0</v>
      </c>
      <c r="F752" s="75">
        <v>43159.0</v>
      </c>
      <c r="G752" s="76"/>
      <c r="H752" s="76"/>
      <c r="I752" s="73" t="s">
        <v>366</v>
      </c>
      <c r="J752" s="76"/>
    </row>
    <row r="753">
      <c r="A753" s="72">
        <v>750.0</v>
      </c>
      <c r="B753" s="73" t="s">
        <v>880</v>
      </c>
      <c r="C753" s="74">
        <v>9.01035855E8</v>
      </c>
      <c r="D753" s="73" t="s">
        <v>1117</v>
      </c>
      <c r="E753" s="72">
        <v>38.0</v>
      </c>
      <c r="F753" s="75">
        <v>43171.0</v>
      </c>
      <c r="G753" s="76"/>
      <c r="H753" s="76"/>
      <c r="I753" s="73" t="s">
        <v>366</v>
      </c>
      <c r="J753" s="76"/>
    </row>
    <row r="754">
      <c r="A754" s="72">
        <v>751.0</v>
      </c>
      <c r="B754" s="73" t="s">
        <v>880</v>
      </c>
      <c r="C754" s="74">
        <v>9.01003462E8</v>
      </c>
      <c r="D754" s="73" t="s">
        <v>1118</v>
      </c>
      <c r="E754" s="72">
        <v>46.0</v>
      </c>
      <c r="F754" s="75">
        <v>43180.0</v>
      </c>
      <c r="G754" s="76"/>
      <c r="H754" s="76"/>
      <c r="I754" s="73" t="s">
        <v>366</v>
      </c>
      <c r="J754" s="76"/>
    </row>
    <row r="755">
      <c r="A755" s="72">
        <v>752.0</v>
      </c>
      <c r="B755" s="73" t="s">
        <v>880</v>
      </c>
      <c r="C755" s="74">
        <v>9.00955716E8</v>
      </c>
      <c r="D755" s="73" t="s">
        <v>1119</v>
      </c>
      <c r="E755" s="72">
        <v>119.0</v>
      </c>
      <c r="F755" s="75">
        <v>43251.0</v>
      </c>
      <c r="G755" s="76"/>
      <c r="H755" s="76"/>
      <c r="I755" s="73" t="s">
        <v>366</v>
      </c>
      <c r="J755" s="76"/>
    </row>
    <row r="756">
      <c r="A756" s="72">
        <v>753.0</v>
      </c>
      <c r="B756" s="73" t="s">
        <v>880</v>
      </c>
      <c r="C756" s="74">
        <v>9.01182654E8</v>
      </c>
      <c r="D756" s="73" t="s">
        <v>1120</v>
      </c>
      <c r="E756" s="72">
        <v>129.0</v>
      </c>
      <c r="F756" s="75">
        <v>43266.0</v>
      </c>
      <c r="G756" s="76"/>
      <c r="H756" s="76"/>
      <c r="I756" s="73" t="s">
        <v>366</v>
      </c>
      <c r="J756" s="76"/>
    </row>
    <row r="757">
      <c r="A757" s="72">
        <v>754.0</v>
      </c>
      <c r="B757" s="73" t="s">
        <v>880</v>
      </c>
      <c r="C757" s="74">
        <v>9.01194997E8</v>
      </c>
      <c r="D757" s="73" t="s">
        <v>1121</v>
      </c>
      <c r="E757" s="72">
        <v>168.0</v>
      </c>
      <c r="F757" s="75">
        <v>43314.0</v>
      </c>
      <c r="G757" s="76"/>
      <c r="H757" s="76"/>
      <c r="I757" s="73" t="s">
        <v>366</v>
      </c>
      <c r="J757" s="76"/>
    </row>
    <row r="758">
      <c r="A758" s="72">
        <v>755.0</v>
      </c>
      <c r="B758" s="73" t="s">
        <v>880</v>
      </c>
      <c r="C758" s="74">
        <v>9.00380988E8</v>
      </c>
      <c r="D758" s="73" t="s">
        <v>1122</v>
      </c>
      <c r="E758" s="72">
        <v>8.0</v>
      </c>
      <c r="F758" s="75">
        <v>43496.0</v>
      </c>
      <c r="G758" s="76"/>
      <c r="H758" s="76"/>
      <c r="I758" s="73" t="s">
        <v>366</v>
      </c>
      <c r="J758" s="76"/>
    </row>
    <row r="759">
      <c r="A759" s="72">
        <v>756.0</v>
      </c>
      <c r="B759" s="73" t="s">
        <v>880</v>
      </c>
      <c r="C759" s="74">
        <v>9.00393605E8</v>
      </c>
      <c r="D759" s="73" t="s">
        <v>1123</v>
      </c>
      <c r="E759" s="72">
        <v>39.0</v>
      </c>
      <c r="F759" s="75">
        <v>43559.0</v>
      </c>
      <c r="G759" s="76"/>
      <c r="H759" s="76"/>
      <c r="I759" s="73" t="s">
        <v>366</v>
      </c>
      <c r="J759" s="76"/>
    </row>
    <row r="760">
      <c r="A760" s="72">
        <v>757.0</v>
      </c>
      <c r="B760" s="73" t="s">
        <v>880</v>
      </c>
      <c r="C760" s="74">
        <v>9.0124517E8</v>
      </c>
      <c r="D760" s="73" t="s">
        <v>1124</v>
      </c>
      <c r="E760" s="72">
        <v>48.0</v>
      </c>
      <c r="F760" s="75">
        <v>43581.0</v>
      </c>
      <c r="G760" s="76"/>
      <c r="H760" s="76"/>
      <c r="I760" s="73" t="s">
        <v>366</v>
      </c>
      <c r="J760" s="76"/>
    </row>
    <row r="761">
      <c r="A761" s="72">
        <v>758.0</v>
      </c>
      <c r="B761" s="73" t="s">
        <v>880</v>
      </c>
      <c r="C761" s="74">
        <v>9.00461599E8</v>
      </c>
      <c r="D761" s="73" t="s">
        <v>1125</v>
      </c>
      <c r="E761" s="72">
        <v>79.0</v>
      </c>
      <c r="F761" s="75">
        <v>43644.0</v>
      </c>
      <c r="G761" s="76"/>
      <c r="H761" s="76"/>
      <c r="I761" s="73" t="s">
        <v>366</v>
      </c>
      <c r="J761" s="76"/>
    </row>
    <row r="762">
      <c r="A762" s="72">
        <v>759.0</v>
      </c>
      <c r="B762" s="73" t="s">
        <v>880</v>
      </c>
      <c r="C762" s="74">
        <v>9.00694551E8</v>
      </c>
      <c r="D762" s="73" t="s">
        <v>1126</v>
      </c>
      <c r="E762" s="72">
        <v>47.0</v>
      </c>
      <c r="F762" s="75">
        <v>43832.0</v>
      </c>
      <c r="G762" s="76"/>
      <c r="H762" s="76"/>
      <c r="I762" s="73" t="s">
        <v>366</v>
      </c>
      <c r="J762" s="76"/>
    </row>
    <row r="763">
      <c r="A763" s="72">
        <v>760.0</v>
      </c>
      <c r="B763" s="73" t="s">
        <v>880</v>
      </c>
      <c r="C763" s="74">
        <v>9.0060828E8</v>
      </c>
      <c r="D763" s="73" t="s">
        <v>1127</v>
      </c>
      <c r="E763" s="72">
        <v>12.0</v>
      </c>
      <c r="F763" s="75">
        <v>43838.0</v>
      </c>
      <c r="G763" s="76"/>
      <c r="H763" s="76"/>
      <c r="I763" s="73" t="s">
        <v>366</v>
      </c>
      <c r="J763" s="76"/>
    </row>
    <row r="764">
      <c r="A764" s="72">
        <v>761.0</v>
      </c>
      <c r="B764" s="73" t="s">
        <v>880</v>
      </c>
      <c r="C764" s="74">
        <v>9.0060828E8</v>
      </c>
      <c r="D764" s="73" t="s">
        <v>1127</v>
      </c>
      <c r="E764" s="72">
        <v>12.0</v>
      </c>
      <c r="F764" s="75">
        <v>43838.0</v>
      </c>
      <c r="G764" s="76"/>
      <c r="H764" s="76"/>
      <c r="I764" s="73" t="s">
        <v>366</v>
      </c>
      <c r="J764" s="76"/>
    </row>
    <row r="765">
      <c r="A765" s="72">
        <v>762.0</v>
      </c>
      <c r="B765" s="73" t="s">
        <v>880</v>
      </c>
      <c r="C765" s="74">
        <v>9.00904845E8</v>
      </c>
      <c r="D765" s="73" t="s">
        <v>1128</v>
      </c>
      <c r="E765" s="72">
        <v>13.0</v>
      </c>
      <c r="F765" s="75">
        <v>43838.0</v>
      </c>
      <c r="G765" s="76"/>
      <c r="H765" s="76"/>
      <c r="I765" s="73" t="s">
        <v>366</v>
      </c>
      <c r="J765" s="76"/>
    </row>
    <row r="766">
      <c r="A766" s="72">
        <v>763.0</v>
      </c>
      <c r="B766" s="73" t="s">
        <v>880</v>
      </c>
      <c r="C766" s="74">
        <v>9.01123074E8</v>
      </c>
      <c r="D766" s="73" t="s">
        <v>1129</v>
      </c>
      <c r="E766" s="72">
        <v>10.0</v>
      </c>
      <c r="F766" s="75">
        <v>43838.0</v>
      </c>
      <c r="G766" s="76"/>
      <c r="H766" s="76"/>
      <c r="I766" s="73" t="s">
        <v>366</v>
      </c>
      <c r="J766" s="76"/>
    </row>
    <row r="767">
      <c r="A767" s="72">
        <v>764.0</v>
      </c>
      <c r="B767" s="73" t="s">
        <v>880</v>
      </c>
      <c r="C767" s="74">
        <v>9.01316273E8</v>
      </c>
      <c r="D767" s="73" t="s">
        <v>1130</v>
      </c>
      <c r="E767" s="72">
        <v>11.0</v>
      </c>
      <c r="F767" s="75">
        <v>43838.0</v>
      </c>
      <c r="G767" s="76"/>
      <c r="H767" s="76"/>
      <c r="I767" s="73" t="s">
        <v>366</v>
      </c>
      <c r="J767" s="76"/>
    </row>
    <row r="768">
      <c r="A768" s="72">
        <v>765.0</v>
      </c>
      <c r="B768" s="73" t="s">
        <v>880</v>
      </c>
      <c r="C768" s="74">
        <v>9.00146183E8</v>
      </c>
      <c r="D768" s="73" t="s">
        <v>1131</v>
      </c>
      <c r="E768" s="72">
        <v>39.0</v>
      </c>
      <c r="F768" s="75">
        <v>43868.0</v>
      </c>
      <c r="G768" s="76"/>
      <c r="H768" s="76"/>
      <c r="I768" s="73" t="s">
        <v>366</v>
      </c>
      <c r="J768" s="76"/>
    </row>
    <row r="769">
      <c r="A769" s="72">
        <v>766.0</v>
      </c>
      <c r="B769" s="73" t="s">
        <v>880</v>
      </c>
      <c r="C769" s="74">
        <v>9.0046186E8</v>
      </c>
      <c r="D769" s="73" t="s">
        <v>1132</v>
      </c>
      <c r="E769" s="72">
        <v>40.0</v>
      </c>
      <c r="F769" s="75">
        <v>43871.0</v>
      </c>
      <c r="G769" s="76"/>
      <c r="H769" s="76"/>
      <c r="I769" s="73" t="s">
        <v>366</v>
      </c>
      <c r="J769" s="76"/>
    </row>
    <row r="770">
      <c r="A770" s="72">
        <v>767.0</v>
      </c>
      <c r="B770" s="73" t="s">
        <v>880</v>
      </c>
      <c r="C770" s="74">
        <v>9.01199562E8</v>
      </c>
      <c r="D770" s="73" t="s">
        <v>1133</v>
      </c>
      <c r="E770" s="72">
        <v>2.0203040008975E13</v>
      </c>
      <c r="F770" s="75">
        <v>44035.0</v>
      </c>
      <c r="G770" s="76"/>
      <c r="H770" s="76"/>
      <c r="I770" s="73" t="s">
        <v>366</v>
      </c>
      <c r="J770" s="76"/>
    </row>
    <row r="771">
      <c r="A771" s="72">
        <v>768.0</v>
      </c>
      <c r="B771" s="73" t="s">
        <v>880</v>
      </c>
      <c r="C771" s="74">
        <v>9.01167727E8</v>
      </c>
      <c r="D771" s="73" t="s">
        <v>1134</v>
      </c>
      <c r="E771" s="72">
        <v>2.0213040004905E13</v>
      </c>
      <c r="F771" s="75">
        <v>44236.0</v>
      </c>
      <c r="G771" s="76"/>
      <c r="H771" s="76"/>
      <c r="I771" s="73" t="s">
        <v>366</v>
      </c>
      <c r="J771" s="76"/>
    </row>
    <row r="772">
      <c r="A772" s="72">
        <v>769.0</v>
      </c>
      <c r="B772" s="73" t="s">
        <v>880</v>
      </c>
      <c r="C772" s="74">
        <v>9.01106709E8</v>
      </c>
      <c r="D772" s="73" t="s">
        <v>1135</v>
      </c>
      <c r="E772" s="72">
        <v>2.021208005865E12</v>
      </c>
      <c r="F772" s="75">
        <v>44242.0</v>
      </c>
      <c r="G772" s="76"/>
      <c r="H772" s="76"/>
      <c r="I772" s="73" t="s">
        <v>366</v>
      </c>
      <c r="J772" s="76"/>
    </row>
    <row r="773">
      <c r="A773" s="72">
        <v>770.0</v>
      </c>
      <c r="B773" s="73" t="s">
        <v>880</v>
      </c>
      <c r="C773" s="74">
        <v>9.00826106E8</v>
      </c>
      <c r="D773" s="73" t="s">
        <v>1136</v>
      </c>
      <c r="E773" s="72">
        <v>2.0212080013295E13</v>
      </c>
      <c r="F773" s="75">
        <v>44285.0</v>
      </c>
      <c r="G773" s="76"/>
      <c r="H773" s="76"/>
      <c r="I773" s="73" t="s">
        <v>366</v>
      </c>
      <c r="J773" s="76"/>
    </row>
    <row r="774">
      <c r="A774" s="72">
        <v>771.0</v>
      </c>
      <c r="B774" s="73" t="s">
        <v>880</v>
      </c>
      <c r="C774" s="74">
        <v>9.0138012E8</v>
      </c>
      <c r="D774" s="73" t="s">
        <v>1137</v>
      </c>
      <c r="E774" s="72">
        <v>2.0212080018675E13</v>
      </c>
      <c r="F774" s="75">
        <v>44320.0</v>
      </c>
      <c r="G774" s="76"/>
      <c r="H774" s="76"/>
      <c r="I774" s="73" t="s">
        <v>366</v>
      </c>
      <c r="J774" s="76"/>
    </row>
    <row r="775">
      <c r="A775" s="72">
        <v>772.0</v>
      </c>
      <c r="B775" s="73" t="s">
        <v>880</v>
      </c>
      <c r="C775" s="74">
        <v>8.02007653E8</v>
      </c>
      <c r="D775" s="73" t="s">
        <v>1138</v>
      </c>
      <c r="E775" s="72">
        <v>2.0212080021245E13</v>
      </c>
      <c r="F775" s="75">
        <v>44337.0</v>
      </c>
      <c r="G775" s="76"/>
      <c r="H775" s="76"/>
      <c r="I775" s="73" t="s">
        <v>366</v>
      </c>
      <c r="J775" s="76"/>
    </row>
    <row r="776">
      <c r="A776" s="72">
        <v>773.0</v>
      </c>
      <c r="B776" s="73" t="s">
        <v>880</v>
      </c>
      <c r="C776" s="74">
        <v>9.01435965E8</v>
      </c>
      <c r="D776" s="73" t="s">
        <v>1139</v>
      </c>
      <c r="E776" s="72">
        <v>2.0212080030395E13</v>
      </c>
      <c r="F776" s="75">
        <v>44396.0</v>
      </c>
      <c r="G776" s="76"/>
      <c r="H776" s="76"/>
      <c r="I776" s="73" t="s">
        <v>366</v>
      </c>
      <c r="J776" s="76"/>
    </row>
    <row r="777">
      <c r="A777" s="72">
        <v>774.0</v>
      </c>
      <c r="B777" s="73" t="s">
        <v>880</v>
      </c>
      <c r="C777" s="74">
        <v>9.01354711E8</v>
      </c>
      <c r="D777" s="73" t="s">
        <v>1140</v>
      </c>
      <c r="E777" s="72">
        <v>2.0212080059285E13</v>
      </c>
      <c r="F777" s="77">
        <v>44539.0</v>
      </c>
      <c r="G777" s="76"/>
      <c r="H777" s="76"/>
      <c r="I777" s="73" t="s">
        <v>366</v>
      </c>
      <c r="J777" s="76"/>
    </row>
    <row r="778">
      <c r="A778" s="72">
        <v>775.0</v>
      </c>
      <c r="B778" s="73" t="s">
        <v>880</v>
      </c>
      <c r="C778" s="74">
        <v>9.00724717E8</v>
      </c>
      <c r="D778" s="73" t="s">
        <v>1141</v>
      </c>
      <c r="E778" s="72">
        <v>2.0212080063085E13</v>
      </c>
      <c r="F778" s="77">
        <v>44557.0</v>
      </c>
      <c r="G778" s="76"/>
      <c r="H778" s="76"/>
      <c r="I778" s="73" t="s">
        <v>366</v>
      </c>
      <c r="J778" s="76"/>
    </row>
    <row r="779">
      <c r="A779" s="72">
        <v>776.0</v>
      </c>
      <c r="B779" s="73" t="s">
        <v>880</v>
      </c>
      <c r="C779" s="74">
        <v>9.01308391E8</v>
      </c>
      <c r="D779" s="73" t="s">
        <v>1142</v>
      </c>
      <c r="E779" s="72">
        <v>2.0222080000535E13</v>
      </c>
      <c r="F779" s="75">
        <v>44567.0</v>
      </c>
      <c r="G779" s="76"/>
      <c r="H779" s="76"/>
      <c r="I779" s="73" t="s">
        <v>366</v>
      </c>
      <c r="J779" s="76"/>
    </row>
    <row r="780">
      <c r="A780" s="72">
        <v>777.0</v>
      </c>
      <c r="B780" s="73" t="s">
        <v>880</v>
      </c>
      <c r="C780" s="74">
        <v>9.01354829E8</v>
      </c>
      <c r="D780" s="73" t="s">
        <v>1143</v>
      </c>
      <c r="E780" s="72">
        <v>2.0222080004215E13</v>
      </c>
      <c r="F780" s="75">
        <v>44589.0</v>
      </c>
      <c r="G780" s="76"/>
      <c r="H780" s="76"/>
      <c r="I780" s="73" t="s">
        <v>366</v>
      </c>
      <c r="J780" s="76"/>
    </row>
    <row r="781">
      <c r="A781" s="72">
        <v>778.0</v>
      </c>
      <c r="B781" s="73" t="s">
        <v>880</v>
      </c>
      <c r="C781" s="74">
        <v>9.00738673E8</v>
      </c>
      <c r="D781" s="73" t="s">
        <v>1144</v>
      </c>
      <c r="E781" s="72">
        <v>2.0222080005195E13</v>
      </c>
      <c r="F781" s="75">
        <v>44595.0</v>
      </c>
      <c r="G781" s="76"/>
      <c r="H781" s="76"/>
      <c r="I781" s="73" t="s">
        <v>366</v>
      </c>
      <c r="J781" s="76"/>
    </row>
    <row r="782">
      <c r="A782" s="72">
        <v>779.0</v>
      </c>
      <c r="B782" s="73" t="s">
        <v>880</v>
      </c>
      <c r="C782" s="74">
        <v>9.01517926E8</v>
      </c>
      <c r="D782" s="73" t="s">
        <v>1145</v>
      </c>
      <c r="E782" s="72">
        <v>2.0223080013075E13</v>
      </c>
      <c r="F782" s="75">
        <v>44607.0</v>
      </c>
      <c r="G782" s="76"/>
      <c r="H782" s="76"/>
      <c r="I782" s="73" t="s">
        <v>366</v>
      </c>
      <c r="J782" s="76"/>
    </row>
    <row r="783">
      <c r="A783" s="72">
        <v>780.0</v>
      </c>
      <c r="B783" s="73" t="s">
        <v>880</v>
      </c>
      <c r="C783" s="74">
        <v>9.00877509E8</v>
      </c>
      <c r="D783" s="73" t="s">
        <v>1146</v>
      </c>
      <c r="E783" s="72">
        <v>2.0222080018735E13</v>
      </c>
      <c r="F783" s="75">
        <v>44659.0</v>
      </c>
      <c r="G783" s="76"/>
      <c r="H783" s="76"/>
      <c r="I783" s="73" t="s">
        <v>366</v>
      </c>
      <c r="J783" s="76"/>
    </row>
    <row r="784">
      <c r="A784" s="72">
        <v>781.0</v>
      </c>
      <c r="B784" s="73" t="s">
        <v>880</v>
      </c>
      <c r="C784" s="74">
        <v>9.00697291E8</v>
      </c>
      <c r="D784" s="73" t="s">
        <v>1147</v>
      </c>
      <c r="E784" s="72">
        <v>2.0222080020505E13</v>
      </c>
      <c r="F784" s="75">
        <v>44672.0</v>
      </c>
      <c r="G784" s="76"/>
      <c r="H784" s="76"/>
      <c r="I784" s="73" t="s">
        <v>366</v>
      </c>
      <c r="J784" s="76"/>
    </row>
    <row r="785">
      <c r="A785" s="72">
        <v>782.0</v>
      </c>
      <c r="B785" s="73" t="s">
        <v>880</v>
      </c>
      <c r="C785" s="74">
        <v>9.00870894E8</v>
      </c>
      <c r="D785" s="73" t="s">
        <v>1148</v>
      </c>
      <c r="E785" s="72">
        <v>2.0223080023205E13</v>
      </c>
      <c r="F785" s="75">
        <v>44683.0</v>
      </c>
      <c r="G785" s="76"/>
      <c r="H785" s="76"/>
      <c r="I785" s="73" t="s">
        <v>366</v>
      </c>
      <c r="J785" s="76"/>
    </row>
    <row r="786">
      <c r="A786" s="72">
        <v>783.0</v>
      </c>
      <c r="B786" s="73" t="s">
        <v>880</v>
      </c>
      <c r="C786" s="74">
        <v>9.01437487E8</v>
      </c>
      <c r="D786" s="73" t="s">
        <v>1149</v>
      </c>
      <c r="E786" s="72">
        <v>2.0222080029725E13</v>
      </c>
      <c r="F786" s="75">
        <v>44707.0</v>
      </c>
      <c r="G786" s="76"/>
      <c r="H786" s="76"/>
      <c r="I786" s="73" t="s">
        <v>366</v>
      </c>
      <c r="J786" s="76"/>
    </row>
    <row r="787">
      <c r="A787" s="72">
        <v>784.0</v>
      </c>
      <c r="B787" s="73" t="s">
        <v>880</v>
      </c>
      <c r="C787" s="74">
        <v>9.01431338E8</v>
      </c>
      <c r="D787" s="73" t="s">
        <v>1150</v>
      </c>
      <c r="E787" s="72">
        <v>2.0222080048795E13</v>
      </c>
      <c r="F787" s="75">
        <v>44792.0</v>
      </c>
      <c r="G787" s="76"/>
      <c r="H787" s="76"/>
      <c r="I787" s="73" t="s">
        <v>366</v>
      </c>
      <c r="J787" s="76"/>
    </row>
    <row r="788">
      <c r="A788" s="72">
        <v>785.0</v>
      </c>
      <c r="B788" s="73" t="s">
        <v>880</v>
      </c>
      <c r="C788" s="74">
        <v>9.0063243E8</v>
      </c>
      <c r="D788" s="73" t="s">
        <v>1151</v>
      </c>
      <c r="E788" s="72">
        <v>2.0222080072335E13</v>
      </c>
      <c r="F788" s="77">
        <v>44895.0</v>
      </c>
      <c r="G788" s="76"/>
      <c r="H788" s="76"/>
      <c r="I788" s="73" t="s">
        <v>366</v>
      </c>
      <c r="J788" s="76"/>
    </row>
    <row r="789">
      <c r="A789" s="72">
        <v>786.0</v>
      </c>
      <c r="B789" s="73" t="s">
        <v>880</v>
      </c>
      <c r="C789" s="74">
        <v>9.00901644E8</v>
      </c>
      <c r="D789" s="73" t="s">
        <v>1152</v>
      </c>
      <c r="E789" s="72">
        <v>2.0223080078655E13</v>
      </c>
      <c r="F789" s="77">
        <v>44923.0</v>
      </c>
      <c r="G789" s="76"/>
      <c r="H789" s="76"/>
      <c r="I789" s="73" t="s">
        <v>366</v>
      </c>
      <c r="J789" s="76"/>
    </row>
    <row r="790">
      <c r="A790" s="72">
        <v>787.0</v>
      </c>
      <c r="B790" s="73" t="s">
        <v>880</v>
      </c>
      <c r="C790" s="74">
        <v>9.01156004E8</v>
      </c>
      <c r="D790" s="73" t="s">
        <v>1153</v>
      </c>
      <c r="E790" s="72">
        <v>2.0222080078915E13</v>
      </c>
      <c r="F790" s="77">
        <v>44923.0</v>
      </c>
      <c r="G790" s="76"/>
      <c r="H790" s="76"/>
      <c r="I790" s="73" t="s">
        <v>366</v>
      </c>
      <c r="J790" s="76"/>
    </row>
    <row r="791">
      <c r="A791" s="72">
        <v>788.0</v>
      </c>
      <c r="B791" s="73" t="s">
        <v>880</v>
      </c>
      <c r="C791" s="74">
        <v>9.01182933E8</v>
      </c>
      <c r="D791" s="73" t="s">
        <v>1154</v>
      </c>
      <c r="E791" s="72">
        <v>2.0222080078665E13</v>
      </c>
      <c r="F791" s="77">
        <v>44923.0</v>
      </c>
      <c r="G791" s="76"/>
      <c r="H791" s="76"/>
      <c r="I791" s="73" t="s">
        <v>366</v>
      </c>
      <c r="J791" s="76"/>
    </row>
    <row r="792">
      <c r="A792" s="72">
        <v>789.0</v>
      </c>
      <c r="B792" s="73" t="s">
        <v>880</v>
      </c>
      <c r="C792" s="74">
        <v>9.01332781E8</v>
      </c>
      <c r="D792" s="73" t="s">
        <v>1155</v>
      </c>
      <c r="E792" s="72">
        <v>2.0222080079435E13</v>
      </c>
      <c r="F792" s="77">
        <v>44925.0</v>
      </c>
      <c r="G792" s="76"/>
      <c r="H792" s="76"/>
      <c r="I792" s="73" t="s">
        <v>366</v>
      </c>
      <c r="J792" s="76"/>
    </row>
    <row r="793">
      <c r="A793" s="72">
        <v>790.0</v>
      </c>
      <c r="B793" s="73" t="s">
        <v>880</v>
      </c>
      <c r="C793" s="74">
        <v>9.00808163E8</v>
      </c>
      <c r="D793" s="73" t="s">
        <v>1156</v>
      </c>
      <c r="E793" s="72">
        <v>2.0232080003825E13</v>
      </c>
      <c r="F793" s="75">
        <v>44958.0</v>
      </c>
      <c r="G793" s="76"/>
      <c r="H793" s="76"/>
      <c r="I793" s="73" t="s">
        <v>366</v>
      </c>
      <c r="J793" s="76"/>
    </row>
    <row r="794">
      <c r="A794" s="78">
        <v>791.0</v>
      </c>
      <c r="B794" s="79" t="s">
        <v>880</v>
      </c>
      <c r="C794" s="80">
        <v>9.01391085E8</v>
      </c>
      <c r="D794" s="79" t="s">
        <v>1157</v>
      </c>
      <c r="E794" s="81">
        <v>2.0223080007375E13</v>
      </c>
      <c r="F794" s="84">
        <v>44981.0</v>
      </c>
      <c r="G794" s="83"/>
      <c r="H794" s="83"/>
      <c r="I794" s="73" t="s">
        <v>366</v>
      </c>
      <c r="J794" s="76"/>
    </row>
    <row r="795">
      <c r="A795" s="72">
        <v>792.0</v>
      </c>
      <c r="B795" s="73" t="s">
        <v>880</v>
      </c>
      <c r="C795" s="74">
        <v>8.00033755E8</v>
      </c>
      <c r="D795" s="73" t="s">
        <v>1158</v>
      </c>
      <c r="E795" s="72">
        <v>2.0232080017735E13</v>
      </c>
      <c r="F795" s="75">
        <v>45050.0</v>
      </c>
      <c r="G795" s="76"/>
      <c r="H795" s="76"/>
      <c r="I795" s="73" t="s">
        <v>366</v>
      </c>
      <c r="J795" s="76"/>
    </row>
    <row r="796">
      <c r="A796" s="72">
        <v>793.0</v>
      </c>
      <c r="B796" s="73" t="s">
        <v>880</v>
      </c>
      <c r="C796" s="74">
        <v>9.01252381E8</v>
      </c>
      <c r="D796" s="73" t="s">
        <v>1159</v>
      </c>
      <c r="E796" s="72">
        <v>2.0232080021715E13</v>
      </c>
      <c r="F796" s="75">
        <v>45075.0</v>
      </c>
      <c r="G796" s="76"/>
      <c r="H796" s="76"/>
      <c r="I796" s="73" t="s">
        <v>366</v>
      </c>
      <c r="J796" s="76"/>
    </row>
    <row r="797">
      <c r="A797" s="72">
        <v>794.0</v>
      </c>
      <c r="B797" s="73" t="s">
        <v>880</v>
      </c>
      <c r="C797" s="74">
        <v>9.01701452E8</v>
      </c>
      <c r="D797" s="73" t="s">
        <v>1160</v>
      </c>
      <c r="E797" s="72">
        <v>2.0232080024935E13</v>
      </c>
      <c r="F797" s="75">
        <v>45092.0</v>
      </c>
      <c r="G797" s="76"/>
      <c r="H797" s="76"/>
      <c r="I797" s="73" t="s">
        <v>366</v>
      </c>
      <c r="J797" s="76"/>
    </row>
    <row r="798">
      <c r="A798" s="72">
        <v>795.0</v>
      </c>
      <c r="B798" s="73" t="s">
        <v>880</v>
      </c>
      <c r="C798" s="74">
        <v>9.01564957E8</v>
      </c>
      <c r="D798" s="73" t="s">
        <v>1161</v>
      </c>
      <c r="E798" s="72">
        <v>2.0232080027515E13</v>
      </c>
      <c r="F798" s="75">
        <v>45111.0</v>
      </c>
      <c r="G798" s="76"/>
      <c r="H798" s="76"/>
      <c r="I798" s="73" t="s">
        <v>366</v>
      </c>
      <c r="J798" s="76"/>
    </row>
    <row r="799">
      <c r="A799" s="72">
        <v>796.0</v>
      </c>
      <c r="B799" s="73" t="s">
        <v>880</v>
      </c>
      <c r="C799" s="74">
        <v>9.01701807E8</v>
      </c>
      <c r="D799" s="73" t="s">
        <v>1162</v>
      </c>
      <c r="E799" s="72">
        <v>2.0232080028605E13</v>
      </c>
      <c r="F799" s="75">
        <v>45114.0</v>
      </c>
      <c r="G799" s="76"/>
      <c r="H799" s="76"/>
      <c r="I799" s="73" t="s">
        <v>366</v>
      </c>
      <c r="J799" s="76"/>
    </row>
    <row r="800">
      <c r="A800" s="72">
        <v>797.0</v>
      </c>
      <c r="B800" s="73" t="s">
        <v>880</v>
      </c>
      <c r="C800" s="74">
        <v>9.01693274E8</v>
      </c>
      <c r="D800" s="73" t="s">
        <v>1163</v>
      </c>
      <c r="E800" s="72">
        <v>2.0232080033615E13</v>
      </c>
      <c r="F800" s="75">
        <v>45142.0</v>
      </c>
      <c r="G800" s="76"/>
      <c r="H800" s="76"/>
      <c r="I800" s="73" t="s">
        <v>366</v>
      </c>
      <c r="J800" s="76"/>
    </row>
    <row r="801">
      <c r="A801" s="72">
        <v>798.0</v>
      </c>
      <c r="B801" s="73" t="s">
        <v>880</v>
      </c>
      <c r="C801" s="74">
        <v>9.00216051E8</v>
      </c>
      <c r="D801" s="73" t="s">
        <v>1164</v>
      </c>
      <c r="E801" s="72">
        <v>2.0232080034595E13</v>
      </c>
      <c r="F801" s="75">
        <v>45152.0</v>
      </c>
      <c r="G801" s="76"/>
      <c r="H801" s="76"/>
      <c r="I801" s="73" t="s">
        <v>366</v>
      </c>
      <c r="J801" s="76"/>
    </row>
    <row r="802">
      <c r="A802" s="72">
        <v>799.0</v>
      </c>
      <c r="B802" s="73" t="s">
        <v>880</v>
      </c>
      <c r="C802" s="74">
        <v>9.00459898E8</v>
      </c>
      <c r="D802" s="73" t="s">
        <v>1165</v>
      </c>
      <c r="E802" s="72">
        <v>2.0232080036435E13</v>
      </c>
      <c r="F802" s="75">
        <v>45163.0</v>
      </c>
      <c r="G802" s="76"/>
      <c r="H802" s="76"/>
      <c r="I802" s="73" t="s">
        <v>366</v>
      </c>
      <c r="J802" s="76"/>
    </row>
    <row r="803">
      <c r="A803" s="72">
        <v>800.0</v>
      </c>
      <c r="B803" s="73" t="s">
        <v>880</v>
      </c>
      <c r="C803" s="74">
        <v>9.00552379E8</v>
      </c>
      <c r="D803" s="73" t="s">
        <v>1166</v>
      </c>
      <c r="E803" s="72">
        <v>2.0232080039855E13</v>
      </c>
      <c r="F803" s="75">
        <v>45184.0</v>
      </c>
      <c r="G803" s="76"/>
      <c r="H803" s="76"/>
      <c r="I803" s="73" t="s">
        <v>366</v>
      </c>
      <c r="J803" s="76"/>
    </row>
    <row r="804">
      <c r="A804" s="72">
        <v>801.0</v>
      </c>
      <c r="B804" s="73" t="s">
        <v>880</v>
      </c>
      <c r="C804" s="74">
        <v>9.00795511E8</v>
      </c>
      <c r="D804" s="73" t="s">
        <v>1167</v>
      </c>
      <c r="E804" s="72">
        <v>2.0232080039925E13</v>
      </c>
      <c r="F804" s="75">
        <v>45184.0</v>
      </c>
      <c r="G804" s="76"/>
      <c r="H804" s="76"/>
      <c r="I804" s="73" t="s">
        <v>366</v>
      </c>
      <c r="J804" s="76"/>
    </row>
    <row r="805">
      <c r="A805" s="72">
        <v>802.0</v>
      </c>
      <c r="B805" s="73" t="s">
        <v>880</v>
      </c>
      <c r="C805" s="74">
        <v>9.01060109E8</v>
      </c>
      <c r="D805" s="73" t="s">
        <v>1168</v>
      </c>
      <c r="E805" s="72">
        <v>2.0232080044305E13</v>
      </c>
      <c r="F805" s="77">
        <v>45212.0</v>
      </c>
      <c r="G805" s="76"/>
      <c r="H805" s="76"/>
      <c r="I805" s="73" t="s">
        <v>366</v>
      </c>
      <c r="J805" s="76"/>
    </row>
    <row r="806">
      <c r="A806" s="72">
        <v>803.0</v>
      </c>
      <c r="B806" s="73" t="s">
        <v>880</v>
      </c>
      <c r="C806" s="74">
        <v>9.00274087E8</v>
      </c>
      <c r="D806" s="73" t="s">
        <v>1169</v>
      </c>
      <c r="E806" s="72">
        <v>2.0232080045285E13</v>
      </c>
      <c r="F806" s="77">
        <v>45219.0</v>
      </c>
      <c r="G806" s="76"/>
      <c r="H806" s="76"/>
      <c r="I806" s="73" t="s">
        <v>366</v>
      </c>
      <c r="J806" s="76"/>
    </row>
    <row r="807">
      <c r="A807" s="72">
        <v>804.0</v>
      </c>
      <c r="B807" s="73" t="s">
        <v>880</v>
      </c>
      <c r="C807" s="74">
        <v>9.0153046E8</v>
      </c>
      <c r="D807" s="73" t="s">
        <v>1170</v>
      </c>
      <c r="E807" s="72">
        <v>2.0232080045875E13</v>
      </c>
      <c r="F807" s="77">
        <v>45223.0</v>
      </c>
      <c r="G807" s="76"/>
      <c r="H807" s="76"/>
      <c r="I807" s="73" t="s">
        <v>366</v>
      </c>
      <c r="J807" s="76"/>
    </row>
    <row r="808">
      <c r="A808" s="72">
        <v>805.0</v>
      </c>
      <c r="B808" s="73" t="s">
        <v>880</v>
      </c>
      <c r="C808" s="74">
        <v>9.00796301E8</v>
      </c>
      <c r="D808" s="73" t="s">
        <v>1171</v>
      </c>
      <c r="E808" s="72">
        <v>2.0232080046525E13</v>
      </c>
      <c r="F808" s="77">
        <v>45226.0</v>
      </c>
      <c r="G808" s="76"/>
      <c r="H808" s="76"/>
      <c r="I808" s="73" t="s">
        <v>366</v>
      </c>
      <c r="J808" s="76"/>
    </row>
    <row r="809">
      <c r="A809" s="72">
        <v>806.0</v>
      </c>
      <c r="B809" s="73" t="s">
        <v>880</v>
      </c>
      <c r="C809" s="74">
        <v>9.01567761E8</v>
      </c>
      <c r="D809" s="73" t="s">
        <v>1172</v>
      </c>
      <c r="E809" s="72">
        <v>2.0232080048895E13</v>
      </c>
      <c r="F809" s="77">
        <v>45244.0</v>
      </c>
      <c r="G809" s="76"/>
      <c r="H809" s="76"/>
      <c r="I809" s="73" t="s">
        <v>366</v>
      </c>
      <c r="J809" s="76"/>
    </row>
    <row r="810">
      <c r="A810" s="72">
        <v>807.0</v>
      </c>
      <c r="B810" s="73" t="s">
        <v>880</v>
      </c>
      <c r="C810" s="74">
        <v>9.00921404E8</v>
      </c>
      <c r="D810" s="73" t="s">
        <v>1173</v>
      </c>
      <c r="E810" s="72">
        <v>2.0232080055345E13</v>
      </c>
      <c r="F810" s="77">
        <v>45272.0</v>
      </c>
      <c r="G810" s="76"/>
      <c r="H810" s="76"/>
      <c r="I810" s="73" t="s">
        <v>366</v>
      </c>
      <c r="J810" s="76"/>
    </row>
    <row r="811">
      <c r="A811" s="72">
        <v>808.0</v>
      </c>
      <c r="B811" s="73" t="s">
        <v>880</v>
      </c>
      <c r="C811" s="74">
        <v>9.01479584E8</v>
      </c>
      <c r="D811" s="73" t="s">
        <v>1174</v>
      </c>
      <c r="E811" s="72">
        <v>2.0232080058905E13</v>
      </c>
      <c r="F811" s="77">
        <v>45289.0</v>
      </c>
      <c r="G811" s="76"/>
      <c r="H811" s="76"/>
      <c r="I811" s="73" t="s">
        <v>366</v>
      </c>
      <c r="J811" s="76"/>
    </row>
    <row r="812">
      <c r="A812" s="72">
        <v>809.0</v>
      </c>
      <c r="B812" s="73" t="s">
        <v>880</v>
      </c>
      <c r="C812" s="74">
        <v>9.01328265E8</v>
      </c>
      <c r="D812" s="73" t="s">
        <v>1175</v>
      </c>
      <c r="E812" s="72">
        <v>2.0242080002115E13</v>
      </c>
      <c r="F812" s="75">
        <v>45315.0</v>
      </c>
      <c r="G812" s="76"/>
      <c r="H812" s="76"/>
      <c r="I812" s="73" t="s">
        <v>366</v>
      </c>
      <c r="J812" s="76"/>
    </row>
    <row r="813">
      <c r="A813" s="72">
        <v>810.0</v>
      </c>
      <c r="B813" s="73" t="s">
        <v>880</v>
      </c>
      <c r="C813" s="74">
        <v>9.017797E8</v>
      </c>
      <c r="D813" s="73" t="s">
        <v>1176</v>
      </c>
      <c r="E813" s="72">
        <v>2.0242080002535E13</v>
      </c>
      <c r="F813" s="75">
        <v>45320.0</v>
      </c>
      <c r="G813" s="76"/>
      <c r="H813" s="76"/>
      <c r="I813" s="73" t="s">
        <v>366</v>
      </c>
      <c r="J813" s="76"/>
    </row>
    <row r="814">
      <c r="A814" s="72">
        <v>811.0</v>
      </c>
      <c r="B814" s="73" t="s">
        <v>880</v>
      </c>
      <c r="C814" s="74">
        <v>9.01561365E8</v>
      </c>
      <c r="D814" s="73" t="s">
        <v>1177</v>
      </c>
      <c r="E814" s="72">
        <v>2.0242080011445E13</v>
      </c>
      <c r="F814" s="75">
        <v>45371.0</v>
      </c>
      <c r="G814" s="76"/>
      <c r="H814" s="76"/>
      <c r="I814" s="73" t="s">
        <v>366</v>
      </c>
      <c r="J814" s="76"/>
    </row>
    <row r="815">
      <c r="A815" s="72">
        <v>812.0</v>
      </c>
      <c r="B815" s="73" t="s">
        <v>880</v>
      </c>
      <c r="C815" s="74">
        <v>9.01053708E8</v>
      </c>
      <c r="D815" s="73" t="s">
        <v>1178</v>
      </c>
      <c r="E815" s="72">
        <v>2.0242080012615E13</v>
      </c>
      <c r="F815" s="75">
        <v>45383.0</v>
      </c>
      <c r="G815" s="76"/>
      <c r="H815" s="76"/>
      <c r="I815" s="73" t="s">
        <v>366</v>
      </c>
      <c r="J815" s="76"/>
    </row>
    <row r="816">
      <c r="A816" s="72">
        <v>813.0</v>
      </c>
      <c r="B816" s="73" t="s">
        <v>880</v>
      </c>
      <c r="C816" s="74">
        <v>9.01727108E8</v>
      </c>
      <c r="D816" s="73" t="s">
        <v>1179</v>
      </c>
      <c r="E816" s="72">
        <v>2.0242080016595E13</v>
      </c>
      <c r="F816" s="75">
        <v>45400.0</v>
      </c>
      <c r="G816" s="76"/>
      <c r="H816" s="76"/>
      <c r="I816" s="73" t="s">
        <v>366</v>
      </c>
      <c r="J816" s="76"/>
    </row>
    <row r="817">
      <c r="A817" s="72">
        <v>814.0</v>
      </c>
      <c r="B817" s="73" t="s">
        <v>880</v>
      </c>
      <c r="C817" s="74">
        <v>9.00886722E8</v>
      </c>
      <c r="D817" s="73" t="s">
        <v>1180</v>
      </c>
      <c r="E817" s="72">
        <v>2.0242080019535E13</v>
      </c>
      <c r="F817" s="75">
        <v>45418.0</v>
      </c>
      <c r="G817" s="76"/>
      <c r="H817" s="76"/>
      <c r="I817" s="73" t="s">
        <v>366</v>
      </c>
      <c r="J817" s="76"/>
    </row>
    <row r="818">
      <c r="A818" s="72">
        <v>815.0</v>
      </c>
      <c r="B818" s="73" t="s">
        <v>880</v>
      </c>
      <c r="C818" s="74">
        <v>8.00181114E8</v>
      </c>
      <c r="D818" s="73" t="s">
        <v>1181</v>
      </c>
      <c r="E818" s="72">
        <v>2.0242080021385E13</v>
      </c>
      <c r="F818" s="75">
        <v>45427.0</v>
      </c>
      <c r="G818" s="76"/>
      <c r="H818" s="76"/>
      <c r="I818" s="73" t="s">
        <v>366</v>
      </c>
      <c r="J818" s="76"/>
    </row>
    <row r="819">
      <c r="A819" s="72">
        <v>816.0</v>
      </c>
      <c r="B819" s="73" t="s">
        <v>880</v>
      </c>
      <c r="C819" s="74">
        <v>9.01650264E8</v>
      </c>
      <c r="D819" s="73" t="s">
        <v>1182</v>
      </c>
      <c r="E819" s="72">
        <v>2.0242080024565E13</v>
      </c>
      <c r="F819" s="75">
        <v>45443.0</v>
      </c>
      <c r="G819" s="76"/>
      <c r="H819" s="76"/>
      <c r="I819" s="73" t="s">
        <v>366</v>
      </c>
      <c r="J819" s="76"/>
    </row>
    <row r="820">
      <c r="A820" s="72">
        <v>817.0</v>
      </c>
      <c r="B820" s="73" t="s">
        <v>880</v>
      </c>
      <c r="C820" s="74">
        <v>9.0181325E8</v>
      </c>
      <c r="D820" s="73" t="s">
        <v>1183</v>
      </c>
      <c r="E820" s="72">
        <v>2.0242080051835E13</v>
      </c>
      <c r="F820" s="75">
        <v>45448.0</v>
      </c>
      <c r="G820" s="76"/>
      <c r="H820" s="76"/>
      <c r="I820" s="73" t="s">
        <v>366</v>
      </c>
      <c r="J820" s="76"/>
    </row>
    <row r="821">
      <c r="A821" s="72">
        <v>818.0</v>
      </c>
      <c r="B821" s="73" t="s">
        <v>880</v>
      </c>
      <c r="C821" s="74">
        <v>9.00340618E8</v>
      </c>
      <c r="D821" s="73" t="s">
        <v>1184</v>
      </c>
      <c r="E821" s="72">
        <v>2.0242080027615E13</v>
      </c>
      <c r="F821" s="75">
        <v>45463.0</v>
      </c>
      <c r="G821" s="76"/>
      <c r="H821" s="76"/>
      <c r="I821" s="73" t="s">
        <v>366</v>
      </c>
      <c r="J821" s="76"/>
    </row>
    <row r="822">
      <c r="A822" s="72">
        <v>819.0</v>
      </c>
      <c r="B822" s="73" t="s">
        <v>880</v>
      </c>
      <c r="C822" s="74">
        <v>9.01693071E8</v>
      </c>
      <c r="D822" s="73" t="s">
        <v>1185</v>
      </c>
      <c r="E822" s="72">
        <v>2.0242080033635E13</v>
      </c>
      <c r="F822" s="75">
        <v>45495.0</v>
      </c>
      <c r="G822" s="76"/>
      <c r="H822" s="76"/>
      <c r="I822" s="73" t="s">
        <v>366</v>
      </c>
      <c r="J822" s="76"/>
    </row>
    <row r="823">
      <c r="A823" s="72">
        <v>820.0</v>
      </c>
      <c r="B823" s="73" t="s">
        <v>880</v>
      </c>
      <c r="C823" s="74">
        <v>9.00954573E8</v>
      </c>
      <c r="D823" s="73" t="s">
        <v>1186</v>
      </c>
      <c r="E823" s="72">
        <v>2.0242080039245E13</v>
      </c>
      <c r="F823" s="75">
        <v>45505.0</v>
      </c>
      <c r="G823" s="76"/>
      <c r="H823" s="76"/>
      <c r="I823" s="73" t="s">
        <v>366</v>
      </c>
      <c r="J823" s="76"/>
    </row>
    <row r="824">
      <c r="A824" s="72">
        <v>821.0</v>
      </c>
      <c r="B824" s="73" t="s">
        <v>880</v>
      </c>
      <c r="C824" s="74">
        <v>9.01802084E8</v>
      </c>
      <c r="D824" s="73" t="s">
        <v>1187</v>
      </c>
      <c r="E824" s="72">
        <v>2.0242080041735E13</v>
      </c>
      <c r="F824" s="75">
        <v>45538.0</v>
      </c>
      <c r="G824" s="76"/>
      <c r="H824" s="76"/>
      <c r="I824" s="73" t="s">
        <v>366</v>
      </c>
      <c r="J824" s="76"/>
    </row>
    <row r="825">
      <c r="A825" s="72">
        <v>822.0</v>
      </c>
      <c r="B825" s="73" t="s">
        <v>880</v>
      </c>
      <c r="C825" s="74">
        <v>9.00529675E8</v>
      </c>
      <c r="D825" s="73" t="s">
        <v>1188</v>
      </c>
      <c r="E825" s="72">
        <v>2.0242080043365E13</v>
      </c>
      <c r="F825" s="75">
        <v>45546.0</v>
      </c>
      <c r="G825" s="76"/>
      <c r="H825" s="76"/>
      <c r="I825" s="73" t="s">
        <v>366</v>
      </c>
      <c r="J825" s="76"/>
    </row>
    <row r="826">
      <c r="A826" s="72">
        <v>823.0</v>
      </c>
      <c r="B826" s="73" t="s">
        <v>880</v>
      </c>
      <c r="C826" s="74">
        <v>9.01847137E8</v>
      </c>
      <c r="D826" s="73" t="s">
        <v>1189</v>
      </c>
      <c r="E826" s="72">
        <v>2.0242080046745E13</v>
      </c>
      <c r="F826" s="75">
        <v>45561.0</v>
      </c>
      <c r="G826" s="76"/>
      <c r="H826" s="76"/>
      <c r="I826" s="73" t="s">
        <v>366</v>
      </c>
      <c r="J826" s="76"/>
    </row>
    <row r="827">
      <c r="A827" s="72">
        <v>824.0</v>
      </c>
      <c r="B827" s="73" t="s">
        <v>880</v>
      </c>
      <c r="C827" s="74">
        <v>9.01818324E8</v>
      </c>
      <c r="D827" s="73" t="s">
        <v>1190</v>
      </c>
      <c r="E827" s="72">
        <v>2.0242080049745E13</v>
      </c>
      <c r="F827" s="77">
        <v>45576.0</v>
      </c>
      <c r="G827" s="76"/>
      <c r="H827" s="76"/>
      <c r="I827" s="73" t="s">
        <v>366</v>
      </c>
      <c r="J827" s="76"/>
    </row>
    <row r="828">
      <c r="A828" s="72">
        <v>825.0</v>
      </c>
      <c r="B828" s="73" t="s">
        <v>880</v>
      </c>
      <c r="C828" s="74">
        <v>9.01871694E8</v>
      </c>
      <c r="D828" s="73" t="s">
        <v>1191</v>
      </c>
      <c r="E828" s="72">
        <v>2.0242080051835E13</v>
      </c>
      <c r="F828" s="77">
        <v>45588.0</v>
      </c>
      <c r="G828" s="76"/>
      <c r="H828" s="76"/>
      <c r="I828" s="73" t="s">
        <v>366</v>
      </c>
      <c r="J828" s="76"/>
    </row>
    <row r="829">
      <c r="A829" s="72">
        <v>826.0</v>
      </c>
      <c r="B829" s="73" t="s">
        <v>880</v>
      </c>
      <c r="C829" s="74">
        <v>9.01774342E8</v>
      </c>
      <c r="D829" s="73" t="s">
        <v>1192</v>
      </c>
      <c r="E829" s="72">
        <v>2.0242080054425E13</v>
      </c>
      <c r="F829" s="77">
        <v>45604.0</v>
      </c>
      <c r="G829" s="76"/>
      <c r="H829" s="76"/>
      <c r="I829" s="73" t="s">
        <v>366</v>
      </c>
      <c r="J829" s="76"/>
    </row>
    <row r="830">
      <c r="A830" s="72">
        <v>827.0</v>
      </c>
      <c r="B830" s="73" t="s">
        <v>880</v>
      </c>
      <c r="C830" s="74">
        <v>9.01539057E8</v>
      </c>
      <c r="D830" s="73" t="s">
        <v>1193</v>
      </c>
      <c r="E830" s="72">
        <v>2.0242080060905E13</v>
      </c>
      <c r="F830" s="77">
        <v>45639.0</v>
      </c>
      <c r="G830" s="76"/>
      <c r="H830" s="76"/>
      <c r="I830" s="73" t="s">
        <v>366</v>
      </c>
      <c r="J830" s="76"/>
    </row>
    <row r="831">
      <c r="A831" s="72">
        <v>828.0</v>
      </c>
      <c r="B831" s="73" t="s">
        <v>1194</v>
      </c>
      <c r="C831" s="74">
        <v>8.90400436E8</v>
      </c>
      <c r="D831" s="73" t="s">
        <v>1195</v>
      </c>
      <c r="E831" s="72">
        <v>31.0</v>
      </c>
      <c r="F831" s="77">
        <v>36455.0</v>
      </c>
      <c r="G831" s="76"/>
      <c r="H831" s="76"/>
      <c r="I831" s="73" t="s">
        <v>366</v>
      </c>
      <c r="J831" s="76"/>
    </row>
    <row r="832">
      <c r="A832" s="72">
        <v>829.0</v>
      </c>
      <c r="B832" s="73" t="s">
        <v>1194</v>
      </c>
      <c r="C832" s="74">
        <v>8.06002911E8</v>
      </c>
      <c r="D832" s="73" t="s">
        <v>1196</v>
      </c>
      <c r="E832" s="72">
        <v>3.0</v>
      </c>
      <c r="F832" s="75">
        <v>36629.0</v>
      </c>
      <c r="G832" s="76"/>
      <c r="H832" s="76"/>
      <c r="I832" s="73" t="s">
        <v>366</v>
      </c>
      <c r="J832" s="76"/>
    </row>
    <row r="833">
      <c r="A833" s="72">
        <v>830.0</v>
      </c>
      <c r="B833" s="73" t="s">
        <v>1194</v>
      </c>
      <c r="C833" s="74">
        <v>8.06004229E8</v>
      </c>
      <c r="D833" s="73" t="s">
        <v>1197</v>
      </c>
      <c r="E833" s="72">
        <v>12.0</v>
      </c>
      <c r="F833" s="75">
        <v>36676.0</v>
      </c>
      <c r="G833" s="76"/>
      <c r="H833" s="76"/>
      <c r="I833" s="73" t="s">
        <v>366</v>
      </c>
      <c r="J833" s="76"/>
    </row>
    <row r="834">
      <c r="A834" s="72">
        <v>831.0</v>
      </c>
      <c r="B834" s="73" t="s">
        <v>1194</v>
      </c>
      <c r="C834" s="74">
        <v>8.90400158E8</v>
      </c>
      <c r="D834" s="73" t="s">
        <v>1198</v>
      </c>
      <c r="E834" s="72">
        <v>14.0</v>
      </c>
      <c r="F834" s="75">
        <v>36689.0</v>
      </c>
      <c r="G834" s="76"/>
      <c r="H834" s="76"/>
      <c r="I834" s="73" t="s">
        <v>366</v>
      </c>
      <c r="J834" s="76"/>
    </row>
    <row r="835">
      <c r="A835" s="72">
        <v>832.0</v>
      </c>
      <c r="B835" s="73" t="s">
        <v>1194</v>
      </c>
      <c r="C835" s="74">
        <v>8.90400435E8</v>
      </c>
      <c r="D835" s="73" t="s">
        <v>1199</v>
      </c>
      <c r="E835" s="72">
        <v>15.0</v>
      </c>
      <c r="F835" s="75">
        <v>36702.0</v>
      </c>
      <c r="G835" s="76"/>
      <c r="H835" s="76"/>
      <c r="I835" s="73" t="s">
        <v>366</v>
      </c>
      <c r="J835" s="76"/>
    </row>
    <row r="836">
      <c r="A836" s="72">
        <v>833.0</v>
      </c>
      <c r="B836" s="73" t="s">
        <v>1194</v>
      </c>
      <c r="C836" s="74">
        <v>8.00149129E8</v>
      </c>
      <c r="D836" s="73" t="s">
        <v>1200</v>
      </c>
      <c r="E836" s="72">
        <v>29.0</v>
      </c>
      <c r="F836" s="77">
        <v>36832.0</v>
      </c>
      <c r="G836" s="76"/>
      <c r="H836" s="76"/>
      <c r="I836" s="73" t="s">
        <v>366</v>
      </c>
      <c r="J836" s="76"/>
    </row>
    <row r="837">
      <c r="A837" s="72">
        <v>834.0</v>
      </c>
      <c r="B837" s="73" t="s">
        <v>1194</v>
      </c>
      <c r="C837" s="74">
        <v>8.00253705E8</v>
      </c>
      <c r="D837" s="73" t="s">
        <v>1201</v>
      </c>
      <c r="E837" s="72">
        <v>31.0</v>
      </c>
      <c r="F837" s="77">
        <v>36844.0</v>
      </c>
      <c r="G837" s="76"/>
      <c r="H837" s="76"/>
      <c r="I837" s="73" t="s">
        <v>366</v>
      </c>
      <c r="J837" s="76"/>
    </row>
    <row r="838">
      <c r="A838" s="72">
        <v>835.0</v>
      </c>
      <c r="B838" s="73" t="s">
        <v>1194</v>
      </c>
      <c r="C838" s="74">
        <v>8.00177598E8</v>
      </c>
      <c r="D838" s="73" t="s">
        <v>1202</v>
      </c>
      <c r="E838" s="72">
        <v>55.0</v>
      </c>
      <c r="F838" s="77">
        <v>36880.0</v>
      </c>
      <c r="G838" s="76"/>
      <c r="H838" s="76"/>
      <c r="I838" s="73" t="s">
        <v>366</v>
      </c>
      <c r="J838" s="76"/>
    </row>
    <row r="839">
      <c r="A839" s="72">
        <v>836.0</v>
      </c>
      <c r="B839" s="73" t="s">
        <v>1194</v>
      </c>
      <c r="C839" s="74">
        <v>8.00034706E8</v>
      </c>
      <c r="D839" s="73" t="s">
        <v>1203</v>
      </c>
      <c r="E839" s="72">
        <v>1.0</v>
      </c>
      <c r="F839" s="75">
        <v>36894.0</v>
      </c>
      <c r="G839" s="76"/>
      <c r="H839" s="76"/>
      <c r="I839" s="73" t="s">
        <v>366</v>
      </c>
      <c r="J839" s="76"/>
    </row>
    <row r="840">
      <c r="A840" s="72">
        <v>837.0</v>
      </c>
      <c r="B840" s="73" t="s">
        <v>1194</v>
      </c>
      <c r="C840" s="74">
        <v>8.02000724E8</v>
      </c>
      <c r="D840" s="73" t="s">
        <v>1204</v>
      </c>
      <c r="E840" s="72">
        <v>1.0</v>
      </c>
      <c r="F840" s="75">
        <v>36913.0</v>
      </c>
      <c r="G840" s="76"/>
      <c r="H840" s="76"/>
      <c r="I840" s="73" t="s">
        <v>366</v>
      </c>
      <c r="J840" s="76"/>
    </row>
    <row r="841">
      <c r="A841" s="72">
        <v>838.0</v>
      </c>
      <c r="B841" s="73" t="s">
        <v>1194</v>
      </c>
      <c r="C841" s="74">
        <v>8.90406716E8</v>
      </c>
      <c r="D841" s="73" t="s">
        <v>1205</v>
      </c>
      <c r="E841" s="72">
        <v>3.0</v>
      </c>
      <c r="F841" s="75">
        <v>36924.0</v>
      </c>
      <c r="G841" s="76"/>
      <c r="H841" s="76"/>
      <c r="I841" s="73" t="s">
        <v>366</v>
      </c>
      <c r="J841" s="76"/>
    </row>
    <row r="842">
      <c r="A842" s="72">
        <v>839.0</v>
      </c>
      <c r="B842" s="73" t="s">
        <v>1194</v>
      </c>
      <c r="C842" s="74">
        <v>8.00168867E8</v>
      </c>
      <c r="D842" s="73" t="s">
        <v>1206</v>
      </c>
      <c r="E842" s="72">
        <v>4.0</v>
      </c>
      <c r="F842" s="75">
        <v>36929.0</v>
      </c>
      <c r="G842" s="76"/>
      <c r="H842" s="76"/>
      <c r="I842" s="73" t="s">
        <v>366</v>
      </c>
      <c r="J842" s="76"/>
    </row>
    <row r="843">
      <c r="A843" s="72">
        <v>840.0</v>
      </c>
      <c r="B843" s="73" t="s">
        <v>1194</v>
      </c>
      <c r="C843" s="74">
        <v>8.90401761E8</v>
      </c>
      <c r="D843" s="73" t="s">
        <v>1207</v>
      </c>
      <c r="E843" s="72">
        <v>8.0</v>
      </c>
      <c r="F843" s="75">
        <v>36973.0</v>
      </c>
      <c r="G843" s="76"/>
      <c r="H843" s="76"/>
      <c r="I843" s="73" t="s">
        <v>366</v>
      </c>
      <c r="J843" s="76"/>
    </row>
    <row r="844">
      <c r="A844" s="72">
        <v>841.0</v>
      </c>
      <c r="B844" s="73" t="s">
        <v>1194</v>
      </c>
      <c r="C844" s="74">
        <v>8.0005626E8</v>
      </c>
      <c r="D844" s="73" t="s">
        <v>1208</v>
      </c>
      <c r="E844" s="72">
        <v>9.0</v>
      </c>
      <c r="F844" s="75">
        <v>36976.0</v>
      </c>
      <c r="G844" s="76"/>
      <c r="H844" s="76"/>
      <c r="I844" s="73" t="s">
        <v>366</v>
      </c>
      <c r="J844" s="76"/>
    </row>
    <row r="845">
      <c r="A845" s="72">
        <v>842.0</v>
      </c>
      <c r="B845" s="73" t="s">
        <v>1194</v>
      </c>
      <c r="C845" s="74">
        <v>8.9040157E8</v>
      </c>
      <c r="D845" s="73" t="s">
        <v>1209</v>
      </c>
      <c r="E845" s="72">
        <v>35.0</v>
      </c>
      <c r="F845" s="75">
        <v>37148.0</v>
      </c>
      <c r="G845" s="76"/>
      <c r="H845" s="76"/>
      <c r="I845" s="73" t="s">
        <v>366</v>
      </c>
      <c r="J845" s="76"/>
    </row>
    <row r="846">
      <c r="A846" s="72">
        <v>843.0</v>
      </c>
      <c r="B846" s="73" t="s">
        <v>1194</v>
      </c>
      <c r="C846" s="74">
        <v>8.06010313E8</v>
      </c>
      <c r="D846" s="73" t="s">
        <v>1210</v>
      </c>
      <c r="E846" s="72">
        <v>47.0</v>
      </c>
      <c r="F846" s="77">
        <v>37173.0</v>
      </c>
      <c r="G846" s="76"/>
      <c r="H846" s="76"/>
      <c r="I846" s="73" t="s">
        <v>366</v>
      </c>
      <c r="J846" s="76"/>
    </row>
    <row r="847">
      <c r="A847" s="78">
        <v>844.0</v>
      </c>
      <c r="B847" s="79" t="s">
        <v>1194</v>
      </c>
      <c r="C847" s="80">
        <v>8.00149306E8</v>
      </c>
      <c r="D847" s="79" t="s">
        <v>1211</v>
      </c>
      <c r="E847" s="81">
        <v>53.0</v>
      </c>
      <c r="F847" s="82">
        <v>37215.0</v>
      </c>
      <c r="G847" s="83"/>
      <c r="H847" s="83"/>
      <c r="I847" s="73" t="s">
        <v>366</v>
      </c>
      <c r="J847" s="76"/>
    </row>
    <row r="848">
      <c r="A848" s="72">
        <v>845.0</v>
      </c>
      <c r="B848" s="73" t="s">
        <v>1194</v>
      </c>
      <c r="C848" s="74">
        <v>8.06005591E8</v>
      </c>
      <c r="D848" s="73" t="s">
        <v>1212</v>
      </c>
      <c r="E848" s="72">
        <v>56.0</v>
      </c>
      <c r="F848" s="77">
        <v>37217.0</v>
      </c>
      <c r="G848" s="76"/>
      <c r="H848" s="76"/>
      <c r="I848" s="73" t="s">
        <v>366</v>
      </c>
      <c r="J848" s="76"/>
    </row>
    <row r="849">
      <c r="A849" s="72">
        <v>846.0</v>
      </c>
      <c r="B849" s="73" t="s">
        <v>1194</v>
      </c>
      <c r="C849" s="74">
        <v>9.01234395E8</v>
      </c>
      <c r="D849" s="73" t="s">
        <v>1213</v>
      </c>
      <c r="E849" s="72">
        <v>250.0</v>
      </c>
      <c r="F849" s="77">
        <v>37252.0</v>
      </c>
      <c r="G849" s="76"/>
      <c r="H849" s="76"/>
      <c r="I849" s="73" t="s">
        <v>366</v>
      </c>
      <c r="J849" s="76"/>
    </row>
    <row r="850">
      <c r="A850" s="72">
        <v>847.0</v>
      </c>
      <c r="B850" s="73" t="s">
        <v>1194</v>
      </c>
      <c r="C850" s="74">
        <v>8.9030696E8</v>
      </c>
      <c r="D850" s="73" t="s">
        <v>1214</v>
      </c>
      <c r="E850" s="72">
        <v>9.0</v>
      </c>
      <c r="F850" s="75">
        <v>37316.0</v>
      </c>
      <c r="G850" s="76"/>
      <c r="H850" s="76"/>
      <c r="I850" s="73" t="s">
        <v>366</v>
      </c>
      <c r="J850" s="76"/>
    </row>
    <row r="851">
      <c r="A851" s="72">
        <v>848.0</v>
      </c>
      <c r="B851" s="73" t="s">
        <v>1194</v>
      </c>
      <c r="C851" s="74">
        <v>8.00196857E8</v>
      </c>
      <c r="D851" s="73" t="s">
        <v>1215</v>
      </c>
      <c r="E851" s="72">
        <v>53.0</v>
      </c>
      <c r="F851" s="75">
        <v>37375.0</v>
      </c>
      <c r="G851" s="76"/>
      <c r="H851" s="76"/>
      <c r="I851" s="73" t="s">
        <v>366</v>
      </c>
      <c r="J851" s="76"/>
    </row>
    <row r="852">
      <c r="A852" s="72">
        <v>849.0</v>
      </c>
      <c r="B852" s="73" t="s">
        <v>1194</v>
      </c>
      <c r="C852" s="74">
        <v>8.00002191E8</v>
      </c>
      <c r="D852" s="73" t="s">
        <v>1216</v>
      </c>
      <c r="E852" s="72">
        <v>62.0</v>
      </c>
      <c r="F852" s="75">
        <v>37381.0</v>
      </c>
      <c r="G852" s="76"/>
      <c r="H852" s="76"/>
      <c r="I852" s="73" t="s">
        <v>366</v>
      </c>
      <c r="J852" s="76"/>
    </row>
    <row r="853">
      <c r="A853" s="72">
        <v>850.0</v>
      </c>
      <c r="B853" s="73" t="s">
        <v>1194</v>
      </c>
      <c r="C853" s="74">
        <v>8.060113E8</v>
      </c>
      <c r="D853" s="73" t="s">
        <v>1217</v>
      </c>
      <c r="E853" s="72">
        <v>76.0</v>
      </c>
      <c r="F853" s="75">
        <v>37391.0</v>
      </c>
      <c r="G853" s="76"/>
      <c r="H853" s="76"/>
      <c r="I853" s="73" t="s">
        <v>366</v>
      </c>
      <c r="J853" s="76"/>
    </row>
    <row r="854">
      <c r="A854" s="72">
        <v>851.0</v>
      </c>
      <c r="B854" s="73" t="s">
        <v>1194</v>
      </c>
      <c r="C854" s="74">
        <v>8.00034003E8</v>
      </c>
      <c r="D854" s="73" t="s">
        <v>1218</v>
      </c>
      <c r="E854" s="72">
        <v>109.0</v>
      </c>
      <c r="F854" s="75">
        <v>37463.0</v>
      </c>
      <c r="G854" s="76"/>
      <c r="H854" s="76"/>
      <c r="I854" s="73" t="s">
        <v>366</v>
      </c>
      <c r="J854" s="76"/>
    </row>
    <row r="855">
      <c r="A855" s="72">
        <v>852.0</v>
      </c>
      <c r="B855" s="73" t="s">
        <v>1194</v>
      </c>
      <c r="C855" s="74">
        <v>8.00201638E8</v>
      </c>
      <c r="D855" s="73" t="s">
        <v>1219</v>
      </c>
      <c r="E855" s="72">
        <v>114.0</v>
      </c>
      <c r="F855" s="75">
        <v>37474.0</v>
      </c>
      <c r="G855" s="76"/>
      <c r="H855" s="76"/>
      <c r="I855" s="73" t="s">
        <v>366</v>
      </c>
      <c r="J855" s="76"/>
    </row>
    <row r="856">
      <c r="A856" s="72">
        <v>853.0</v>
      </c>
      <c r="B856" s="73" t="s">
        <v>1194</v>
      </c>
      <c r="C856" s="74">
        <v>8.06011655E8</v>
      </c>
      <c r="D856" s="73" t="s">
        <v>1220</v>
      </c>
      <c r="E856" s="72">
        <v>25.0</v>
      </c>
      <c r="F856" s="75">
        <v>37651.0</v>
      </c>
      <c r="G856" s="76"/>
      <c r="H856" s="76"/>
      <c r="I856" s="73" t="s">
        <v>366</v>
      </c>
      <c r="J856" s="76"/>
    </row>
    <row r="857">
      <c r="A857" s="72">
        <v>854.0</v>
      </c>
      <c r="B857" s="73" t="s">
        <v>1194</v>
      </c>
      <c r="C857" s="74">
        <v>8.25000532E8</v>
      </c>
      <c r="D857" s="73" t="s">
        <v>1221</v>
      </c>
      <c r="E857" s="72">
        <v>3.0</v>
      </c>
      <c r="F857" s="75">
        <v>37700.0</v>
      </c>
      <c r="G857" s="76"/>
      <c r="H857" s="76"/>
      <c r="I857" s="73" t="s">
        <v>366</v>
      </c>
      <c r="J857" s="76"/>
    </row>
    <row r="858">
      <c r="A858" s="72">
        <v>855.0</v>
      </c>
      <c r="B858" s="73" t="s">
        <v>1194</v>
      </c>
      <c r="C858" s="74">
        <v>8.06014041E8</v>
      </c>
      <c r="D858" s="73" t="s">
        <v>1222</v>
      </c>
      <c r="E858" s="72">
        <v>215.0</v>
      </c>
      <c r="F858" s="75">
        <v>37788.0</v>
      </c>
      <c r="G858" s="76"/>
      <c r="H858" s="76"/>
      <c r="I858" s="73" t="s">
        <v>366</v>
      </c>
      <c r="J858" s="76"/>
    </row>
    <row r="859">
      <c r="A859" s="72">
        <v>856.0</v>
      </c>
      <c r="B859" s="73" t="s">
        <v>1194</v>
      </c>
      <c r="C859" s="74">
        <v>8.06014425E8</v>
      </c>
      <c r="D859" s="73" t="s">
        <v>1223</v>
      </c>
      <c r="E859" s="72">
        <v>297.0</v>
      </c>
      <c r="F859" s="75">
        <v>37886.0</v>
      </c>
      <c r="G859" s="76"/>
      <c r="H859" s="76"/>
      <c r="I859" s="73" t="s">
        <v>366</v>
      </c>
      <c r="J859" s="76"/>
    </row>
    <row r="860">
      <c r="A860" s="72">
        <v>857.0</v>
      </c>
      <c r="B860" s="73" t="s">
        <v>1194</v>
      </c>
      <c r="C860" s="74">
        <v>8.060133E8</v>
      </c>
      <c r="D860" s="73" t="s">
        <v>1224</v>
      </c>
      <c r="E860" s="72">
        <v>299.0</v>
      </c>
      <c r="F860" s="77">
        <v>37917.0</v>
      </c>
      <c r="G860" s="76"/>
      <c r="H860" s="76"/>
      <c r="I860" s="73" t="s">
        <v>366</v>
      </c>
      <c r="J860" s="76"/>
    </row>
    <row r="861">
      <c r="A861" s="72">
        <v>858.0</v>
      </c>
      <c r="B861" s="73" t="s">
        <v>1194</v>
      </c>
      <c r="C861" s="74">
        <v>8.3011765E8</v>
      </c>
      <c r="D861" s="73" t="s">
        <v>1225</v>
      </c>
      <c r="E861" s="72">
        <v>9.0</v>
      </c>
      <c r="F861" s="75">
        <v>37993.0</v>
      </c>
      <c r="G861" s="76"/>
      <c r="H861" s="76"/>
      <c r="I861" s="73" t="s">
        <v>366</v>
      </c>
      <c r="J861" s="76"/>
    </row>
    <row r="862">
      <c r="A862" s="72">
        <v>859.0</v>
      </c>
      <c r="B862" s="73" t="s">
        <v>1194</v>
      </c>
      <c r="C862" s="74">
        <v>8.06015676E8</v>
      </c>
      <c r="D862" s="73" t="s">
        <v>1226</v>
      </c>
      <c r="E862" s="72">
        <v>7.0</v>
      </c>
      <c r="F862" s="75">
        <v>38107.0</v>
      </c>
      <c r="G862" s="76"/>
      <c r="H862" s="76"/>
      <c r="I862" s="73" t="s">
        <v>366</v>
      </c>
      <c r="J862" s="76"/>
    </row>
    <row r="863">
      <c r="A863" s="72">
        <v>860.0</v>
      </c>
      <c r="B863" s="73" t="s">
        <v>1194</v>
      </c>
      <c r="C863" s="74">
        <v>8.30510918E8</v>
      </c>
      <c r="D863" s="73" t="s">
        <v>1227</v>
      </c>
      <c r="E863" s="72">
        <v>3.0</v>
      </c>
      <c r="F863" s="75">
        <v>38380.0</v>
      </c>
      <c r="G863" s="76"/>
      <c r="H863" s="76"/>
      <c r="I863" s="73" t="s">
        <v>366</v>
      </c>
      <c r="J863" s="76"/>
    </row>
    <row r="864">
      <c r="A864" s="72">
        <v>861.0</v>
      </c>
      <c r="B864" s="73" t="s">
        <v>1194</v>
      </c>
      <c r="C864" s="74">
        <v>8.30511627E8</v>
      </c>
      <c r="D864" s="73" t="s">
        <v>1228</v>
      </c>
      <c r="E864" s="72">
        <v>4.0</v>
      </c>
      <c r="F864" s="75">
        <v>38380.0</v>
      </c>
      <c r="G864" s="76"/>
      <c r="H864" s="76"/>
      <c r="I864" s="73" t="s">
        <v>366</v>
      </c>
      <c r="J864" s="76"/>
    </row>
    <row r="865">
      <c r="A865" s="72">
        <v>862.0</v>
      </c>
      <c r="B865" s="73" t="s">
        <v>1194</v>
      </c>
      <c r="C865" s="74">
        <v>8.30508512E8</v>
      </c>
      <c r="D865" s="73" t="s">
        <v>1229</v>
      </c>
      <c r="E865" s="72">
        <v>20.0</v>
      </c>
      <c r="F865" s="75">
        <v>38492.0</v>
      </c>
      <c r="G865" s="76"/>
      <c r="H865" s="76"/>
      <c r="I865" s="73" t="s">
        <v>366</v>
      </c>
      <c r="J865" s="76"/>
    </row>
    <row r="866">
      <c r="A866" s="72">
        <v>863.0</v>
      </c>
      <c r="B866" s="73" t="s">
        <v>1194</v>
      </c>
      <c r="C866" s="74">
        <v>9.00024495E8</v>
      </c>
      <c r="D866" s="73" t="s">
        <v>1230</v>
      </c>
      <c r="E866" s="72">
        <v>89.0</v>
      </c>
      <c r="F866" s="75">
        <v>38545.0</v>
      </c>
      <c r="G866" s="76"/>
      <c r="H866" s="76"/>
      <c r="I866" s="73" t="s">
        <v>366</v>
      </c>
      <c r="J866" s="76"/>
    </row>
    <row r="867">
      <c r="A867" s="72">
        <v>864.0</v>
      </c>
      <c r="B867" s="73" t="s">
        <v>1194</v>
      </c>
      <c r="C867" s="74">
        <v>8.00198796E8</v>
      </c>
      <c r="D867" s="73" t="s">
        <v>1231</v>
      </c>
      <c r="E867" s="72">
        <v>34.0</v>
      </c>
      <c r="F867" s="75">
        <v>38547.0</v>
      </c>
      <c r="G867" s="76"/>
      <c r="H867" s="76"/>
      <c r="I867" s="73" t="s">
        <v>366</v>
      </c>
      <c r="J867" s="76"/>
    </row>
    <row r="868">
      <c r="A868" s="72">
        <v>865.0</v>
      </c>
      <c r="B868" s="73" t="s">
        <v>1194</v>
      </c>
      <c r="C868" s="74">
        <v>9.00029975E8</v>
      </c>
      <c r="D868" s="73" t="s">
        <v>1232</v>
      </c>
      <c r="E868" s="72">
        <v>1319.0</v>
      </c>
      <c r="F868" s="75">
        <v>38558.0</v>
      </c>
      <c r="G868" s="76"/>
      <c r="H868" s="76"/>
      <c r="I868" s="73" t="s">
        <v>366</v>
      </c>
      <c r="J868" s="76"/>
    </row>
    <row r="869">
      <c r="A869" s="72">
        <v>866.0</v>
      </c>
      <c r="B869" s="73" t="s">
        <v>1194</v>
      </c>
      <c r="C869" s="74">
        <v>9.00082055E8</v>
      </c>
      <c r="D869" s="73" t="s">
        <v>1233</v>
      </c>
      <c r="E869" s="72">
        <v>25.0</v>
      </c>
      <c r="F869" s="75">
        <v>38904.0</v>
      </c>
      <c r="G869" s="76"/>
      <c r="H869" s="76"/>
      <c r="I869" s="73" t="s">
        <v>366</v>
      </c>
      <c r="J869" s="76"/>
    </row>
    <row r="870">
      <c r="A870" s="72">
        <v>867.0</v>
      </c>
      <c r="B870" s="73" t="s">
        <v>1194</v>
      </c>
      <c r="C870" s="74">
        <v>9.0009218E8</v>
      </c>
      <c r="D870" s="73" t="s">
        <v>1234</v>
      </c>
      <c r="E870" s="72">
        <v>33.0</v>
      </c>
      <c r="F870" s="75">
        <v>38937.0</v>
      </c>
      <c r="G870" s="76"/>
      <c r="H870" s="76"/>
      <c r="I870" s="73" t="s">
        <v>366</v>
      </c>
      <c r="J870" s="76"/>
    </row>
    <row r="871">
      <c r="A871" s="72">
        <v>868.0</v>
      </c>
      <c r="B871" s="73" t="s">
        <v>1194</v>
      </c>
      <c r="C871" s="74">
        <v>8.29000965E8</v>
      </c>
      <c r="D871" s="73" t="s">
        <v>1235</v>
      </c>
      <c r="E871" s="72">
        <v>43.0</v>
      </c>
      <c r="F871" s="75">
        <v>38953.0</v>
      </c>
      <c r="G871" s="76"/>
      <c r="H871" s="76"/>
      <c r="I871" s="73" t="s">
        <v>366</v>
      </c>
      <c r="J871" s="76"/>
    </row>
    <row r="872">
      <c r="A872" s="72">
        <v>869.0</v>
      </c>
      <c r="B872" s="73" t="s">
        <v>1194</v>
      </c>
      <c r="C872" s="74">
        <v>8.00216808E8</v>
      </c>
      <c r="D872" s="73" t="s">
        <v>1236</v>
      </c>
      <c r="E872" s="72">
        <v>54.0</v>
      </c>
      <c r="F872" s="77">
        <v>38999.0</v>
      </c>
      <c r="G872" s="76"/>
      <c r="H872" s="76"/>
      <c r="I872" s="73" t="s">
        <v>366</v>
      </c>
      <c r="J872" s="76"/>
    </row>
    <row r="873">
      <c r="A873" s="72">
        <v>870.0</v>
      </c>
      <c r="B873" s="73" t="s">
        <v>1194</v>
      </c>
      <c r="C873" s="74">
        <v>8.11017503E8</v>
      </c>
      <c r="D873" s="73" t="s">
        <v>1237</v>
      </c>
      <c r="E873" s="72">
        <v>17.0</v>
      </c>
      <c r="F873" s="75">
        <v>39156.0</v>
      </c>
      <c r="G873" s="76"/>
      <c r="H873" s="76"/>
      <c r="I873" s="73" t="s">
        <v>366</v>
      </c>
      <c r="J873" s="76"/>
    </row>
    <row r="874">
      <c r="A874" s="72">
        <v>871.0</v>
      </c>
      <c r="B874" s="73" t="s">
        <v>1194</v>
      </c>
      <c r="C874" s="74">
        <v>9.00139756E8</v>
      </c>
      <c r="D874" s="73" t="s">
        <v>1238</v>
      </c>
      <c r="E874" s="72">
        <v>32.0</v>
      </c>
      <c r="F874" s="75">
        <v>39225.0</v>
      </c>
      <c r="G874" s="76"/>
      <c r="H874" s="76"/>
      <c r="I874" s="73" t="s">
        <v>366</v>
      </c>
      <c r="J874" s="76"/>
    </row>
    <row r="875">
      <c r="A875" s="72">
        <v>872.0</v>
      </c>
      <c r="B875" s="73" t="s">
        <v>1194</v>
      </c>
      <c r="C875" s="74">
        <v>9.00146292E8</v>
      </c>
      <c r="D875" s="73" t="s">
        <v>1239</v>
      </c>
      <c r="E875" s="72">
        <v>34.0</v>
      </c>
      <c r="F875" s="75">
        <v>39233.0</v>
      </c>
      <c r="G875" s="76"/>
      <c r="H875" s="76"/>
      <c r="I875" s="73" t="s">
        <v>366</v>
      </c>
      <c r="J875" s="76"/>
    </row>
    <row r="876">
      <c r="A876" s="72">
        <v>873.0</v>
      </c>
      <c r="B876" s="73" t="s">
        <v>1194</v>
      </c>
      <c r="C876" s="74">
        <v>9.00115136E8</v>
      </c>
      <c r="D876" s="73" t="s">
        <v>1240</v>
      </c>
      <c r="E876" s="72">
        <v>47.0</v>
      </c>
      <c r="F876" s="75">
        <v>39308.0</v>
      </c>
      <c r="G876" s="76"/>
      <c r="H876" s="76"/>
      <c r="I876" s="73" t="s">
        <v>366</v>
      </c>
      <c r="J876" s="76"/>
    </row>
    <row r="877">
      <c r="A877" s="72">
        <v>874.0</v>
      </c>
      <c r="B877" s="73" t="s">
        <v>1194</v>
      </c>
      <c r="C877" s="74">
        <v>8.06012364E8</v>
      </c>
      <c r="D877" s="73" t="s">
        <v>1241</v>
      </c>
      <c r="E877" s="72">
        <v>54.0</v>
      </c>
      <c r="F877" s="77">
        <v>39357.0</v>
      </c>
      <c r="G877" s="76"/>
      <c r="H877" s="76"/>
      <c r="I877" s="73" t="s">
        <v>366</v>
      </c>
      <c r="J877" s="76"/>
    </row>
    <row r="878">
      <c r="A878" s="72">
        <v>875.0</v>
      </c>
      <c r="B878" s="73" t="s">
        <v>1194</v>
      </c>
      <c r="C878" s="74">
        <v>9.00179614E8</v>
      </c>
      <c r="D878" s="73" t="s">
        <v>1242</v>
      </c>
      <c r="E878" s="72">
        <v>64.0</v>
      </c>
      <c r="F878" s="77">
        <v>39435.0</v>
      </c>
      <c r="G878" s="76"/>
      <c r="H878" s="76"/>
      <c r="I878" s="73" t="s">
        <v>366</v>
      </c>
      <c r="J878" s="76"/>
    </row>
    <row r="879">
      <c r="A879" s="72">
        <v>876.0</v>
      </c>
      <c r="B879" s="73" t="s">
        <v>1194</v>
      </c>
      <c r="C879" s="74">
        <v>8.90481284E8</v>
      </c>
      <c r="D879" s="73" t="s">
        <v>1243</v>
      </c>
      <c r="E879" s="72">
        <v>67.0</v>
      </c>
      <c r="F879" s="77">
        <v>39447.0</v>
      </c>
      <c r="G879" s="76"/>
      <c r="H879" s="76"/>
      <c r="I879" s="73" t="s">
        <v>366</v>
      </c>
      <c r="J879" s="76"/>
    </row>
    <row r="880">
      <c r="A880" s="72">
        <v>877.0</v>
      </c>
      <c r="B880" s="73" t="s">
        <v>1194</v>
      </c>
      <c r="C880" s="74">
        <v>8.00188083E8</v>
      </c>
      <c r="D880" s="73" t="s">
        <v>1244</v>
      </c>
      <c r="E880" s="72">
        <v>1.0</v>
      </c>
      <c r="F880" s="75">
        <v>39469.0</v>
      </c>
      <c r="G880" s="76"/>
      <c r="H880" s="76"/>
      <c r="I880" s="73" t="s">
        <v>366</v>
      </c>
      <c r="J880" s="76"/>
    </row>
    <row r="881">
      <c r="A881" s="72">
        <v>878.0</v>
      </c>
      <c r="B881" s="73" t="s">
        <v>1194</v>
      </c>
      <c r="C881" s="74">
        <v>9.00204431E8</v>
      </c>
      <c r="D881" s="73" t="s">
        <v>1245</v>
      </c>
      <c r="E881" s="72">
        <v>17.0</v>
      </c>
      <c r="F881" s="75">
        <v>39559.0</v>
      </c>
      <c r="G881" s="76"/>
      <c r="H881" s="76"/>
      <c r="I881" s="73" t="s">
        <v>366</v>
      </c>
      <c r="J881" s="76"/>
    </row>
    <row r="882">
      <c r="A882" s="72">
        <v>879.0</v>
      </c>
      <c r="B882" s="73" t="s">
        <v>1194</v>
      </c>
      <c r="C882" s="74">
        <v>8.30142864E8</v>
      </c>
      <c r="D882" s="73" t="s">
        <v>1246</v>
      </c>
      <c r="E882" s="72">
        <v>425.0</v>
      </c>
      <c r="F882" s="75">
        <v>39561.0</v>
      </c>
      <c r="G882" s="76"/>
      <c r="H882" s="76"/>
      <c r="I882" s="73" t="s">
        <v>366</v>
      </c>
      <c r="J882" s="76"/>
    </row>
    <row r="883">
      <c r="A883" s="72">
        <v>880.0</v>
      </c>
      <c r="B883" s="73" t="s">
        <v>1194</v>
      </c>
      <c r="C883" s="74">
        <v>9.00218311E8</v>
      </c>
      <c r="D883" s="73" t="s">
        <v>1247</v>
      </c>
      <c r="E883" s="72">
        <v>42.0</v>
      </c>
      <c r="F883" s="75">
        <v>39660.0</v>
      </c>
      <c r="G883" s="76"/>
      <c r="H883" s="76"/>
      <c r="I883" s="73" t="s">
        <v>366</v>
      </c>
      <c r="J883" s="76"/>
    </row>
    <row r="884">
      <c r="A884" s="72">
        <v>881.0</v>
      </c>
      <c r="B884" s="73" t="s">
        <v>1194</v>
      </c>
      <c r="C884" s="74">
        <v>9.00228068E8</v>
      </c>
      <c r="D884" s="73" t="s">
        <v>1248</v>
      </c>
      <c r="E884" s="72">
        <v>44.0</v>
      </c>
      <c r="F884" s="75">
        <v>39660.0</v>
      </c>
      <c r="G884" s="76"/>
      <c r="H884" s="76"/>
      <c r="I884" s="73" t="s">
        <v>366</v>
      </c>
      <c r="J884" s="76"/>
    </row>
    <row r="885">
      <c r="A885" s="72">
        <v>882.0</v>
      </c>
      <c r="B885" s="73" t="s">
        <v>1194</v>
      </c>
      <c r="C885" s="74">
        <v>9.00170437E8</v>
      </c>
      <c r="D885" s="73" t="s">
        <v>1249</v>
      </c>
      <c r="E885" s="72">
        <v>45.0</v>
      </c>
      <c r="F885" s="75">
        <v>39664.0</v>
      </c>
      <c r="G885" s="76"/>
      <c r="H885" s="76"/>
      <c r="I885" s="73" t="s">
        <v>366</v>
      </c>
      <c r="J885" s="76"/>
    </row>
    <row r="886">
      <c r="A886" s="72">
        <v>883.0</v>
      </c>
      <c r="B886" s="73" t="s">
        <v>1194</v>
      </c>
      <c r="C886" s="74">
        <v>9.00242851E8</v>
      </c>
      <c r="D886" s="73" t="s">
        <v>1250</v>
      </c>
      <c r="E886" s="72">
        <v>14.0</v>
      </c>
      <c r="F886" s="75">
        <v>40008.0</v>
      </c>
      <c r="G886" s="76"/>
      <c r="H886" s="76"/>
      <c r="I886" s="73" t="s">
        <v>366</v>
      </c>
      <c r="J886" s="76"/>
    </row>
    <row r="887">
      <c r="A887" s="72">
        <v>884.0</v>
      </c>
      <c r="B887" s="73" t="s">
        <v>1194</v>
      </c>
      <c r="C887" s="74">
        <v>8.30509385E8</v>
      </c>
      <c r="D887" s="73" t="s">
        <v>1251</v>
      </c>
      <c r="E887" s="72">
        <v>16.0</v>
      </c>
      <c r="F887" s="77">
        <v>40108.0</v>
      </c>
      <c r="G887" s="76"/>
      <c r="H887" s="76"/>
      <c r="I887" s="73" t="s">
        <v>366</v>
      </c>
      <c r="J887" s="76"/>
    </row>
    <row r="888">
      <c r="A888" s="72">
        <v>885.0</v>
      </c>
      <c r="B888" s="73" t="s">
        <v>1194</v>
      </c>
      <c r="C888" s="74">
        <v>8.06004504E8</v>
      </c>
      <c r="D888" s="73" t="s">
        <v>1252</v>
      </c>
      <c r="E888" s="72">
        <v>17.0</v>
      </c>
      <c r="F888" s="77">
        <v>40168.0</v>
      </c>
      <c r="G888" s="76"/>
      <c r="H888" s="76"/>
      <c r="I888" s="73" t="s">
        <v>366</v>
      </c>
      <c r="J888" s="76"/>
    </row>
    <row r="889">
      <c r="A889" s="72">
        <v>886.0</v>
      </c>
      <c r="B889" s="73" t="s">
        <v>1194</v>
      </c>
      <c r="C889" s="74">
        <v>8.90406946E8</v>
      </c>
      <c r="D889" s="73" t="s">
        <v>1253</v>
      </c>
      <c r="E889" s="72">
        <v>1.0</v>
      </c>
      <c r="F889" s="75">
        <v>40560.0</v>
      </c>
      <c r="G889" s="76"/>
      <c r="H889" s="76"/>
      <c r="I889" s="73" t="s">
        <v>366</v>
      </c>
      <c r="J889" s="76"/>
    </row>
    <row r="890">
      <c r="A890" s="72">
        <v>887.0</v>
      </c>
      <c r="B890" s="73" t="s">
        <v>1194</v>
      </c>
      <c r="C890" s="74">
        <v>9.00402552E8</v>
      </c>
      <c r="D890" s="73" t="s">
        <v>1254</v>
      </c>
      <c r="E890" s="72">
        <v>7.0</v>
      </c>
      <c r="F890" s="75">
        <v>40571.0</v>
      </c>
      <c r="G890" s="76"/>
      <c r="H890" s="76"/>
      <c r="I890" s="73" t="s">
        <v>366</v>
      </c>
      <c r="J890" s="76"/>
    </row>
    <row r="891">
      <c r="A891" s="72">
        <v>888.0</v>
      </c>
      <c r="B891" s="73" t="s">
        <v>1194</v>
      </c>
      <c r="C891" s="74">
        <v>9.0008048E8</v>
      </c>
      <c r="D891" s="73" t="s">
        <v>1255</v>
      </c>
      <c r="E891" s="72">
        <v>8.0</v>
      </c>
      <c r="F891" s="75">
        <v>40574.0</v>
      </c>
      <c r="G891" s="76"/>
      <c r="H891" s="76"/>
      <c r="I891" s="73" t="s">
        <v>366</v>
      </c>
      <c r="J891" s="76"/>
    </row>
    <row r="892">
      <c r="A892" s="72">
        <v>889.0</v>
      </c>
      <c r="B892" s="73" t="s">
        <v>1194</v>
      </c>
      <c r="C892" s="74">
        <v>9.00266002E8</v>
      </c>
      <c r="D892" s="73" t="s">
        <v>1256</v>
      </c>
      <c r="E892" s="72">
        <v>9.0</v>
      </c>
      <c r="F892" s="75">
        <v>40574.0</v>
      </c>
      <c r="G892" s="76"/>
      <c r="H892" s="76"/>
      <c r="I892" s="73" t="s">
        <v>366</v>
      </c>
      <c r="J892" s="76"/>
    </row>
    <row r="893">
      <c r="A893" s="72">
        <v>890.0</v>
      </c>
      <c r="B893" s="73" t="s">
        <v>1194</v>
      </c>
      <c r="C893" s="74">
        <v>9.0034844E8</v>
      </c>
      <c r="D893" s="73" t="s">
        <v>1257</v>
      </c>
      <c r="E893" s="72">
        <v>13.0</v>
      </c>
      <c r="F893" s="75">
        <v>40626.0</v>
      </c>
      <c r="G893" s="76"/>
      <c r="H893" s="76"/>
      <c r="I893" s="73" t="s">
        <v>366</v>
      </c>
      <c r="J893" s="76"/>
    </row>
    <row r="894">
      <c r="A894" s="72">
        <v>891.0</v>
      </c>
      <c r="B894" s="73" t="s">
        <v>1194</v>
      </c>
      <c r="C894" s="74">
        <v>9.00425764E8</v>
      </c>
      <c r="D894" s="73" t="s">
        <v>1258</v>
      </c>
      <c r="E894" s="72">
        <v>19.0</v>
      </c>
      <c r="F894" s="75">
        <v>40661.0</v>
      </c>
      <c r="G894" s="76"/>
      <c r="H894" s="76"/>
      <c r="I894" s="73" t="s">
        <v>366</v>
      </c>
      <c r="J894" s="76"/>
    </row>
    <row r="895">
      <c r="A895" s="72">
        <v>892.0</v>
      </c>
      <c r="B895" s="73" t="s">
        <v>1194</v>
      </c>
      <c r="C895" s="74">
        <v>9.00428906E8</v>
      </c>
      <c r="D895" s="73" t="s">
        <v>1259</v>
      </c>
      <c r="E895" s="72">
        <v>20.0</v>
      </c>
      <c r="F895" s="75">
        <v>40661.0</v>
      </c>
      <c r="G895" s="76"/>
      <c r="H895" s="76"/>
      <c r="I895" s="73" t="s">
        <v>366</v>
      </c>
      <c r="J895" s="76"/>
    </row>
    <row r="896">
      <c r="A896" s="72">
        <v>893.0</v>
      </c>
      <c r="B896" s="73" t="s">
        <v>1194</v>
      </c>
      <c r="C896" s="74">
        <v>9.00431666E8</v>
      </c>
      <c r="D896" s="73" t="s">
        <v>1260</v>
      </c>
      <c r="E896" s="72">
        <v>26.0</v>
      </c>
      <c r="F896" s="75">
        <v>40707.0</v>
      </c>
      <c r="G896" s="76"/>
      <c r="H896" s="76"/>
      <c r="I896" s="73" t="s">
        <v>366</v>
      </c>
      <c r="J896" s="76"/>
    </row>
    <row r="897">
      <c r="A897" s="72">
        <v>894.0</v>
      </c>
      <c r="B897" s="73" t="s">
        <v>1194</v>
      </c>
      <c r="C897" s="74">
        <v>9.00416879E8</v>
      </c>
      <c r="D897" s="73" t="s">
        <v>1261</v>
      </c>
      <c r="E897" s="72">
        <v>29.0</v>
      </c>
      <c r="F897" s="75">
        <v>40731.0</v>
      </c>
      <c r="G897" s="76"/>
      <c r="H897" s="76"/>
      <c r="I897" s="73" t="s">
        <v>366</v>
      </c>
      <c r="J897" s="76"/>
    </row>
    <row r="898">
      <c r="A898" s="72">
        <v>895.0</v>
      </c>
      <c r="B898" s="73" t="s">
        <v>1194</v>
      </c>
      <c r="C898" s="74">
        <v>9.00216052E8</v>
      </c>
      <c r="D898" s="73" t="s">
        <v>1262</v>
      </c>
      <c r="E898" s="72">
        <v>33.0</v>
      </c>
      <c r="F898" s="75">
        <v>40781.0</v>
      </c>
      <c r="G898" s="76"/>
      <c r="H898" s="76"/>
      <c r="I898" s="73" t="s">
        <v>366</v>
      </c>
      <c r="J898" s="76"/>
    </row>
    <row r="899">
      <c r="A899" s="72">
        <v>896.0</v>
      </c>
      <c r="B899" s="73" t="s">
        <v>1194</v>
      </c>
      <c r="C899" s="74">
        <v>9.00337364E8</v>
      </c>
      <c r="D899" s="73" t="s">
        <v>1263</v>
      </c>
      <c r="E899" s="72">
        <v>64.0</v>
      </c>
      <c r="F899" s="75">
        <v>40781.0</v>
      </c>
      <c r="G899" s="76"/>
      <c r="H899" s="76"/>
      <c r="I899" s="73" t="s">
        <v>366</v>
      </c>
      <c r="J899" s="76"/>
    </row>
    <row r="900">
      <c r="A900" s="78">
        <v>897.0</v>
      </c>
      <c r="B900" s="79" t="s">
        <v>1194</v>
      </c>
      <c r="C900" s="80">
        <v>9.00406178E8</v>
      </c>
      <c r="D900" s="79" t="s">
        <v>1264</v>
      </c>
      <c r="E900" s="81">
        <v>38.0</v>
      </c>
      <c r="F900" s="84">
        <v>40813.0</v>
      </c>
      <c r="G900" s="83"/>
      <c r="H900" s="83"/>
      <c r="I900" s="73" t="s">
        <v>366</v>
      </c>
      <c r="J900" s="76"/>
    </row>
    <row r="901">
      <c r="A901" s="72">
        <v>898.0</v>
      </c>
      <c r="B901" s="73" t="s">
        <v>1194</v>
      </c>
      <c r="C901" s="74">
        <v>9.00360137E8</v>
      </c>
      <c r="D901" s="73" t="s">
        <v>1265</v>
      </c>
      <c r="E901" s="72">
        <v>39.0</v>
      </c>
      <c r="F901" s="77">
        <v>40851.0</v>
      </c>
      <c r="G901" s="76"/>
      <c r="H901" s="76"/>
      <c r="I901" s="73" t="s">
        <v>366</v>
      </c>
      <c r="J901" s="76"/>
    </row>
    <row r="902">
      <c r="A902" s="72">
        <v>899.0</v>
      </c>
      <c r="B902" s="73" t="s">
        <v>1194</v>
      </c>
      <c r="C902" s="74">
        <v>8.00070942E8</v>
      </c>
      <c r="D902" s="73" t="s">
        <v>1266</v>
      </c>
      <c r="E902" s="72">
        <v>1.0</v>
      </c>
      <c r="F902" s="75">
        <v>40952.0</v>
      </c>
      <c r="G902" s="76"/>
      <c r="H902" s="76"/>
      <c r="I902" s="73" t="s">
        <v>366</v>
      </c>
      <c r="J902" s="76"/>
    </row>
    <row r="903">
      <c r="A903" s="72">
        <v>900.0</v>
      </c>
      <c r="B903" s="73" t="s">
        <v>1194</v>
      </c>
      <c r="C903" s="74">
        <v>8.90270661E8</v>
      </c>
      <c r="D903" s="73" t="s">
        <v>1267</v>
      </c>
      <c r="E903" s="72">
        <v>8.0</v>
      </c>
      <c r="F903" s="75">
        <v>41002.0</v>
      </c>
      <c r="G903" s="76"/>
      <c r="H903" s="76"/>
      <c r="I903" s="73" t="s">
        <v>366</v>
      </c>
      <c r="J903" s="76"/>
    </row>
    <row r="904">
      <c r="A904" s="72">
        <v>901.0</v>
      </c>
      <c r="B904" s="73" t="s">
        <v>1194</v>
      </c>
      <c r="C904" s="74">
        <v>9.00498774E8</v>
      </c>
      <c r="D904" s="73" t="s">
        <v>1268</v>
      </c>
      <c r="E904" s="72">
        <v>7.0</v>
      </c>
      <c r="F904" s="75">
        <v>41002.0</v>
      </c>
      <c r="G904" s="76"/>
      <c r="H904" s="76"/>
      <c r="I904" s="73" t="s">
        <v>366</v>
      </c>
      <c r="J904" s="76"/>
    </row>
    <row r="905">
      <c r="A905" s="72">
        <v>902.0</v>
      </c>
      <c r="B905" s="73" t="s">
        <v>1194</v>
      </c>
      <c r="C905" s="74">
        <v>9.00503325E8</v>
      </c>
      <c r="D905" s="73" t="s">
        <v>1269</v>
      </c>
      <c r="E905" s="72">
        <v>5.0</v>
      </c>
      <c r="F905" s="75">
        <v>41002.0</v>
      </c>
      <c r="G905" s="76"/>
      <c r="H905" s="76"/>
      <c r="I905" s="73" t="s">
        <v>366</v>
      </c>
      <c r="J905" s="76"/>
    </row>
    <row r="906">
      <c r="A906" s="72">
        <v>903.0</v>
      </c>
      <c r="B906" s="73" t="s">
        <v>1194</v>
      </c>
      <c r="C906" s="74">
        <v>9.00515767E8</v>
      </c>
      <c r="D906" s="73" t="s">
        <v>1270</v>
      </c>
      <c r="E906" s="72">
        <v>13.0</v>
      </c>
      <c r="F906" s="75">
        <v>41058.0</v>
      </c>
      <c r="G906" s="76"/>
      <c r="H906" s="76"/>
      <c r="I906" s="73" t="s">
        <v>366</v>
      </c>
      <c r="J906" s="76"/>
    </row>
    <row r="907">
      <c r="A907" s="72">
        <v>904.0</v>
      </c>
      <c r="B907" s="73" t="s">
        <v>1194</v>
      </c>
      <c r="C907" s="74">
        <v>8.00088993E8</v>
      </c>
      <c r="D907" s="73" t="s">
        <v>1271</v>
      </c>
      <c r="E907" s="72">
        <v>20.0</v>
      </c>
      <c r="F907" s="75">
        <v>41086.0</v>
      </c>
      <c r="G907" s="76"/>
      <c r="H907" s="76"/>
      <c r="I907" s="73" t="s">
        <v>366</v>
      </c>
      <c r="J907" s="76"/>
    </row>
    <row r="908">
      <c r="A908" s="72">
        <v>905.0</v>
      </c>
      <c r="B908" s="73" t="s">
        <v>1194</v>
      </c>
      <c r="C908" s="74">
        <v>9.00552625E8</v>
      </c>
      <c r="D908" s="73" t="s">
        <v>1272</v>
      </c>
      <c r="E908" s="72">
        <v>33.0</v>
      </c>
      <c r="F908" s="75">
        <v>41180.0</v>
      </c>
      <c r="G908" s="76"/>
      <c r="H908" s="76"/>
      <c r="I908" s="73" t="s">
        <v>366</v>
      </c>
      <c r="J908" s="76"/>
    </row>
    <row r="909">
      <c r="A909" s="72">
        <v>906.0</v>
      </c>
      <c r="B909" s="73" t="s">
        <v>1194</v>
      </c>
      <c r="C909" s="74">
        <v>9.00041597E8</v>
      </c>
      <c r="D909" s="73" t="s">
        <v>1273</v>
      </c>
      <c r="E909" s="72">
        <v>42.0</v>
      </c>
      <c r="F909" s="77">
        <v>41262.0</v>
      </c>
      <c r="G909" s="76"/>
      <c r="H909" s="76"/>
      <c r="I909" s="73" t="s">
        <v>366</v>
      </c>
      <c r="J909" s="76"/>
    </row>
    <row r="910">
      <c r="A910" s="72">
        <v>907.0</v>
      </c>
      <c r="B910" s="73" t="s">
        <v>1194</v>
      </c>
      <c r="C910" s="74">
        <v>9.0051264E8</v>
      </c>
      <c r="D910" s="73" t="s">
        <v>1274</v>
      </c>
      <c r="E910" s="72">
        <v>10.0</v>
      </c>
      <c r="F910" s="75">
        <v>41347.0</v>
      </c>
      <c r="G910" s="76"/>
      <c r="H910" s="76"/>
      <c r="I910" s="73" t="s">
        <v>366</v>
      </c>
      <c r="J910" s="76"/>
    </row>
    <row r="911">
      <c r="A911" s="72">
        <v>908.0</v>
      </c>
      <c r="B911" s="73" t="s">
        <v>1194</v>
      </c>
      <c r="C911" s="74">
        <v>8.00013029E8</v>
      </c>
      <c r="D911" s="73" t="s">
        <v>1275</v>
      </c>
      <c r="E911" s="72">
        <v>13.0</v>
      </c>
      <c r="F911" s="75">
        <v>41389.0</v>
      </c>
      <c r="G911" s="76"/>
      <c r="H911" s="76"/>
      <c r="I911" s="73" t="s">
        <v>366</v>
      </c>
      <c r="J911" s="76"/>
    </row>
    <row r="912">
      <c r="A912" s="72">
        <v>909.0</v>
      </c>
      <c r="B912" s="73" t="s">
        <v>1194</v>
      </c>
      <c r="C912" s="74">
        <v>9.00605949E8</v>
      </c>
      <c r="D912" s="73" t="s">
        <v>1276</v>
      </c>
      <c r="E912" s="72">
        <v>15.0</v>
      </c>
      <c r="F912" s="75">
        <v>41394.0</v>
      </c>
      <c r="G912" s="76"/>
      <c r="H912" s="76"/>
      <c r="I912" s="73" t="s">
        <v>366</v>
      </c>
      <c r="J912" s="76"/>
    </row>
    <row r="913">
      <c r="A913" s="72">
        <v>910.0</v>
      </c>
      <c r="B913" s="73" t="s">
        <v>1194</v>
      </c>
      <c r="C913" s="74">
        <v>9.00461304E8</v>
      </c>
      <c r="D913" s="73" t="s">
        <v>1277</v>
      </c>
      <c r="E913" s="72">
        <v>18.0</v>
      </c>
      <c r="F913" s="75">
        <v>41421.0</v>
      </c>
      <c r="G913" s="76"/>
      <c r="H913" s="76"/>
      <c r="I913" s="73" t="s">
        <v>366</v>
      </c>
      <c r="J913" s="76"/>
    </row>
    <row r="914">
      <c r="A914" s="72">
        <v>911.0</v>
      </c>
      <c r="B914" s="73" t="s">
        <v>1194</v>
      </c>
      <c r="C914" s="74">
        <v>9.00614097E8</v>
      </c>
      <c r="D914" s="73" t="s">
        <v>1278</v>
      </c>
      <c r="E914" s="72">
        <v>21.0</v>
      </c>
      <c r="F914" s="75">
        <v>41432.0</v>
      </c>
      <c r="G914" s="76"/>
      <c r="H914" s="76"/>
      <c r="I914" s="73" t="s">
        <v>366</v>
      </c>
      <c r="J914" s="76"/>
    </row>
    <row r="915">
      <c r="A915" s="72">
        <v>912.0</v>
      </c>
      <c r="B915" s="73" t="s">
        <v>1194</v>
      </c>
      <c r="C915" s="74">
        <v>9.00223171E8</v>
      </c>
      <c r="D915" s="73" t="s">
        <v>1279</v>
      </c>
      <c r="E915" s="72">
        <v>24.0</v>
      </c>
      <c r="F915" s="75">
        <v>41449.0</v>
      </c>
      <c r="G915" s="76"/>
      <c r="H915" s="76"/>
      <c r="I915" s="73" t="s">
        <v>366</v>
      </c>
      <c r="J915" s="76"/>
    </row>
    <row r="916">
      <c r="A916" s="72">
        <v>913.0</v>
      </c>
      <c r="B916" s="73" t="s">
        <v>1194</v>
      </c>
      <c r="C916" s="74">
        <v>9.00529665E8</v>
      </c>
      <c r="D916" s="73" t="s">
        <v>1280</v>
      </c>
      <c r="E916" s="72">
        <v>25.0</v>
      </c>
      <c r="F916" s="75">
        <v>41467.0</v>
      </c>
      <c r="G916" s="76"/>
      <c r="H916" s="76"/>
      <c r="I916" s="73" t="s">
        <v>366</v>
      </c>
      <c r="J916" s="76"/>
    </row>
    <row r="917">
      <c r="A917" s="72">
        <v>914.0</v>
      </c>
      <c r="B917" s="73" t="s">
        <v>1194</v>
      </c>
      <c r="C917" s="74">
        <v>9.00637327E8</v>
      </c>
      <c r="D917" s="73" t="s">
        <v>1281</v>
      </c>
      <c r="E917" s="72">
        <v>33.0</v>
      </c>
      <c r="F917" s="75">
        <v>41501.0</v>
      </c>
      <c r="G917" s="76"/>
      <c r="H917" s="76"/>
      <c r="I917" s="73" t="s">
        <v>366</v>
      </c>
      <c r="J917" s="76"/>
    </row>
    <row r="918">
      <c r="A918" s="72">
        <v>915.0</v>
      </c>
      <c r="B918" s="73" t="s">
        <v>1194</v>
      </c>
      <c r="C918" s="74">
        <v>8.00179208E8</v>
      </c>
      <c r="D918" s="73" t="s">
        <v>1282</v>
      </c>
      <c r="E918" s="72">
        <v>8800.0</v>
      </c>
      <c r="F918" s="75">
        <v>41509.0</v>
      </c>
      <c r="G918" s="76"/>
      <c r="H918" s="76"/>
      <c r="I918" s="73" t="s">
        <v>366</v>
      </c>
      <c r="J918" s="76"/>
    </row>
    <row r="919">
      <c r="A919" s="72">
        <v>916.0</v>
      </c>
      <c r="B919" s="73" t="s">
        <v>1194</v>
      </c>
      <c r="C919" s="74">
        <v>9.00421601E8</v>
      </c>
      <c r="D919" s="73" t="s">
        <v>1283</v>
      </c>
      <c r="E919" s="72">
        <v>43.0</v>
      </c>
      <c r="F919" s="75">
        <v>41536.0</v>
      </c>
      <c r="G919" s="76"/>
      <c r="H919" s="76"/>
      <c r="I919" s="73" t="s">
        <v>366</v>
      </c>
      <c r="J919" s="76"/>
    </row>
    <row r="920">
      <c r="A920" s="72">
        <v>917.0</v>
      </c>
      <c r="B920" s="73" t="s">
        <v>1194</v>
      </c>
      <c r="C920" s="74">
        <v>9.00363025E8</v>
      </c>
      <c r="D920" s="73" t="s">
        <v>1284</v>
      </c>
      <c r="E920" s="72">
        <v>50.0</v>
      </c>
      <c r="F920" s="77">
        <v>41568.0</v>
      </c>
      <c r="G920" s="76"/>
      <c r="H920" s="76"/>
      <c r="I920" s="73" t="s">
        <v>366</v>
      </c>
      <c r="J920" s="76"/>
    </row>
    <row r="921">
      <c r="A921" s="72">
        <v>918.0</v>
      </c>
      <c r="B921" s="73" t="s">
        <v>1194</v>
      </c>
      <c r="C921" s="74">
        <v>9.00663748E8</v>
      </c>
      <c r="D921" s="73" t="s">
        <v>1285</v>
      </c>
      <c r="E921" s="72">
        <v>58.0</v>
      </c>
      <c r="F921" s="77">
        <v>41593.0</v>
      </c>
      <c r="G921" s="76"/>
      <c r="H921" s="76"/>
      <c r="I921" s="73" t="s">
        <v>366</v>
      </c>
      <c r="J921" s="76"/>
    </row>
    <row r="922">
      <c r="A922" s="72">
        <v>919.0</v>
      </c>
      <c r="B922" s="73" t="s">
        <v>1194</v>
      </c>
      <c r="C922" s="74">
        <v>9.00669189E8</v>
      </c>
      <c r="D922" s="73" t="s">
        <v>1286</v>
      </c>
      <c r="E922" s="72">
        <v>66.0</v>
      </c>
      <c r="F922" s="77">
        <v>41606.0</v>
      </c>
      <c r="G922" s="76"/>
      <c r="H922" s="76"/>
      <c r="I922" s="73" t="s">
        <v>366</v>
      </c>
      <c r="J922" s="76"/>
    </row>
    <row r="923">
      <c r="A923" s="72">
        <v>920.0</v>
      </c>
      <c r="B923" s="73" t="s">
        <v>1194</v>
      </c>
      <c r="C923" s="74">
        <v>9.0033626E8</v>
      </c>
      <c r="D923" s="73" t="s">
        <v>1287</v>
      </c>
      <c r="E923" s="72">
        <v>72.0</v>
      </c>
      <c r="F923" s="77">
        <v>41621.0</v>
      </c>
      <c r="G923" s="76"/>
      <c r="H923" s="76"/>
      <c r="I923" s="73" t="s">
        <v>366</v>
      </c>
      <c r="J923" s="76"/>
    </row>
    <row r="924">
      <c r="A924" s="72">
        <v>921.0</v>
      </c>
      <c r="B924" s="73" t="s">
        <v>1194</v>
      </c>
      <c r="C924" s="74">
        <v>9.00679586E8</v>
      </c>
      <c r="D924" s="73" t="s">
        <v>1288</v>
      </c>
      <c r="E924" s="72">
        <v>1.0</v>
      </c>
      <c r="F924" s="75">
        <v>41655.0</v>
      </c>
      <c r="G924" s="76"/>
      <c r="H924" s="76"/>
      <c r="I924" s="73" t="s">
        <v>366</v>
      </c>
      <c r="J924" s="76"/>
    </row>
    <row r="925">
      <c r="A925" s="72">
        <v>922.0</v>
      </c>
      <c r="B925" s="73" t="s">
        <v>1194</v>
      </c>
      <c r="C925" s="74">
        <v>9.00617646E8</v>
      </c>
      <c r="D925" s="73" t="s">
        <v>1289</v>
      </c>
      <c r="E925" s="72">
        <v>9.0</v>
      </c>
      <c r="F925" s="75">
        <v>41687.0</v>
      </c>
      <c r="G925" s="76"/>
      <c r="H925" s="76"/>
      <c r="I925" s="73" t="s">
        <v>366</v>
      </c>
      <c r="J925" s="76"/>
    </row>
    <row r="926">
      <c r="A926" s="72">
        <v>923.0</v>
      </c>
      <c r="B926" s="73" t="s">
        <v>1194</v>
      </c>
      <c r="C926" s="74">
        <v>9.00386568E8</v>
      </c>
      <c r="D926" s="73" t="s">
        <v>1290</v>
      </c>
      <c r="E926" s="72">
        <v>20.0</v>
      </c>
      <c r="F926" s="75">
        <v>41716.0</v>
      </c>
      <c r="G926" s="76"/>
      <c r="H926" s="76"/>
      <c r="I926" s="73" t="s">
        <v>366</v>
      </c>
      <c r="J926" s="76"/>
    </row>
    <row r="927">
      <c r="A927" s="72">
        <v>924.0</v>
      </c>
      <c r="B927" s="73" t="s">
        <v>1194</v>
      </c>
      <c r="C927" s="74">
        <v>9.00634378E8</v>
      </c>
      <c r="D927" s="73" t="s">
        <v>1291</v>
      </c>
      <c r="E927" s="72">
        <v>21.0</v>
      </c>
      <c r="F927" s="75">
        <v>41718.0</v>
      </c>
      <c r="G927" s="76"/>
      <c r="H927" s="76"/>
      <c r="I927" s="73" t="s">
        <v>366</v>
      </c>
      <c r="J927" s="76"/>
    </row>
    <row r="928">
      <c r="A928" s="72">
        <v>925.0</v>
      </c>
      <c r="B928" s="73" t="s">
        <v>1194</v>
      </c>
      <c r="C928" s="74">
        <v>9.00718222E8</v>
      </c>
      <c r="D928" s="73" t="s">
        <v>1292</v>
      </c>
      <c r="E928" s="72">
        <v>50.0</v>
      </c>
      <c r="F928" s="75">
        <v>41764.0</v>
      </c>
      <c r="G928" s="76"/>
      <c r="H928" s="76"/>
      <c r="I928" s="73" t="s">
        <v>366</v>
      </c>
      <c r="J928" s="76"/>
    </row>
    <row r="929">
      <c r="A929" s="72">
        <v>926.0</v>
      </c>
      <c r="B929" s="73" t="s">
        <v>1194</v>
      </c>
      <c r="C929" s="74">
        <v>9.00724802E8</v>
      </c>
      <c r="D929" s="73" t="s">
        <v>1293</v>
      </c>
      <c r="E929" s="72">
        <v>53.0</v>
      </c>
      <c r="F929" s="75">
        <v>41780.0</v>
      </c>
      <c r="G929" s="76"/>
      <c r="H929" s="76"/>
      <c r="I929" s="73" t="s">
        <v>366</v>
      </c>
      <c r="J929" s="76"/>
    </row>
    <row r="930">
      <c r="A930" s="72">
        <v>927.0</v>
      </c>
      <c r="B930" s="73" t="s">
        <v>1194</v>
      </c>
      <c r="C930" s="74">
        <v>9.00738917E8</v>
      </c>
      <c r="D930" s="73" t="s">
        <v>1294</v>
      </c>
      <c r="E930" s="72">
        <v>63.0</v>
      </c>
      <c r="F930" s="75">
        <v>41816.0</v>
      </c>
      <c r="G930" s="76"/>
      <c r="H930" s="76"/>
      <c r="I930" s="73" t="s">
        <v>366</v>
      </c>
      <c r="J930" s="76"/>
    </row>
    <row r="931">
      <c r="A931" s="72">
        <v>928.0</v>
      </c>
      <c r="B931" s="73" t="s">
        <v>1194</v>
      </c>
      <c r="C931" s="74">
        <v>9.00741019E8</v>
      </c>
      <c r="D931" s="73" t="s">
        <v>1295</v>
      </c>
      <c r="E931" s="72">
        <v>64.0</v>
      </c>
      <c r="F931" s="75">
        <v>41822.0</v>
      </c>
      <c r="G931" s="76"/>
      <c r="H931" s="76"/>
      <c r="I931" s="73" t="s">
        <v>366</v>
      </c>
      <c r="J931" s="76"/>
    </row>
    <row r="932">
      <c r="A932" s="72">
        <v>929.0</v>
      </c>
      <c r="B932" s="73" t="s">
        <v>1194</v>
      </c>
      <c r="C932" s="74">
        <v>8.06010295E8</v>
      </c>
      <c r="D932" s="73" t="s">
        <v>1296</v>
      </c>
      <c r="E932" s="72">
        <v>67.0</v>
      </c>
      <c r="F932" s="75">
        <v>41849.0</v>
      </c>
      <c r="G932" s="76"/>
      <c r="H932" s="76"/>
      <c r="I932" s="73" t="s">
        <v>366</v>
      </c>
      <c r="J932" s="76"/>
    </row>
    <row r="933">
      <c r="A933" s="72">
        <v>930.0</v>
      </c>
      <c r="B933" s="73" t="s">
        <v>1194</v>
      </c>
      <c r="C933" s="74">
        <v>9.00386516E8</v>
      </c>
      <c r="D933" s="73" t="s">
        <v>1297</v>
      </c>
      <c r="E933" s="72">
        <v>85.0</v>
      </c>
      <c r="F933" s="77">
        <v>41921.0</v>
      </c>
      <c r="G933" s="76"/>
      <c r="H933" s="76"/>
      <c r="I933" s="73" t="s">
        <v>366</v>
      </c>
      <c r="J933" s="76"/>
    </row>
    <row r="934">
      <c r="A934" s="72">
        <v>931.0</v>
      </c>
      <c r="B934" s="73" t="s">
        <v>1194</v>
      </c>
      <c r="C934" s="74">
        <v>9.00680849E8</v>
      </c>
      <c r="D934" s="73" t="s">
        <v>1298</v>
      </c>
      <c r="E934" s="72">
        <v>97.0</v>
      </c>
      <c r="F934" s="77">
        <v>41947.0</v>
      </c>
      <c r="G934" s="76"/>
      <c r="H934" s="76"/>
      <c r="I934" s="73" t="s">
        <v>366</v>
      </c>
      <c r="J934" s="76"/>
    </row>
    <row r="935">
      <c r="A935" s="72">
        <v>932.0</v>
      </c>
      <c r="B935" s="73" t="s">
        <v>1194</v>
      </c>
      <c r="C935" s="74">
        <v>9.00488556E8</v>
      </c>
      <c r="D935" s="73" t="s">
        <v>1299</v>
      </c>
      <c r="E935" s="72">
        <v>102.0</v>
      </c>
      <c r="F935" s="77">
        <v>41949.0</v>
      </c>
      <c r="G935" s="76"/>
      <c r="H935" s="76"/>
      <c r="I935" s="73" t="s">
        <v>366</v>
      </c>
      <c r="J935" s="76"/>
    </row>
    <row r="936">
      <c r="A936" s="72">
        <v>933.0</v>
      </c>
      <c r="B936" s="73" t="s">
        <v>1194</v>
      </c>
      <c r="C936" s="74">
        <v>9.00776567E8</v>
      </c>
      <c r="D936" s="73" t="s">
        <v>1300</v>
      </c>
      <c r="E936" s="72">
        <v>104.0</v>
      </c>
      <c r="F936" s="77">
        <v>41990.0</v>
      </c>
      <c r="G936" s="76"/>
      <c r="H936" s="76"/>
      <c r="I936" s="73" t="s">
        <v>366</v>
      </c>
      <c r="J936" s="76"/>
    </row>
    <row r="937">
      <c r="A937" s="72">
        <v>934.0</v>
      </c>
      <c r="B937" s="73" t="s">
        <v>1194</v>
      </c>
      <c r="C937" s="74">
        <v>9.00819839E8</v>
      </c>
      <c r="D937" s="73" t="s">
        <v>1301</v>
      </c>
      <c r="E937" s="72">
        <v>19.0</v>
      </c>
      <c r="F937" s="75">
        <v>42076.0</v>
      </c>
      <c r="G937" s="76"/>
      <c r="H937" s="76"/>
      <c r="I937" s="73" t="s">
        <v>366</v>
      </c>
      <c r="J937" s="76"/>
    </row>
    <row r="938">
      <c r="A938" s="72">
        <v>935.0</v>
      </c>
      <c r="B938" s="73" t="s">
        <v>1194</v>
      </c>
      <c r="C938" s="74">
        <v>9.00823108E8</v>
      </c>
      <c r="D938" s="73" t="s">
        <v>1302</v>
      </c>
      <c r="E938" s="72">
        <v>20.0</v>
      </c>
      <c r="F938" s="75">
        <v>42076.0</v>
      </c>
      <c r="G938" s="76"/>
      <c r="H938" s="76"/>
      <c r="I938" s="73" t="s">
        <v>366</v>
      </c>
      <c r="J938" s="76"/>
    </row>
    <row r="939">
      <c r="A939" s="72">
        <v>936.0</v>
      </c>
      <c r="B939" s="73" t="s">
        <v>1194</v>
      </c>
      <c r="C939" s="74">
        <v>9.00508612E8</v>
      </c>
      <c r="D939" s="73" t="s">
        <v>1303</v>
      </c>
      <c r="E939" s="72">
        <v>40.0</v>
      </c>
      <c r="F939" s="75">
        <v>42186.0</v>
      </c>
      <c r="G939" s="76"/>
      <c r="H939" s="76"/>
      <c r="I939" s="73" t="s">
        <v>366</v>
      </c>
      <c r="J939" s="76"/>
    </row>
    <row r="940">
      <c r="A940" s="72">
        <v>937.0</v>
      </c>
      <c r="B940" s="73" t="s">
        <v>1194</v>
      </c>
      <c r="C940" s="74">
        <v>9.00871508E8</v>
      </c>
      <c r="D940" s="73" t="s">
        <v>1304</v>
      </c>
      <c r="E940" s="72">
        <v>88.0</v>
      </c>
      <c r="F940" s="75">
        <v>42277.0</v>
      </c>
      <c r="G940" s="76"/>
      <c r="H940" s="76"/>
      <c r="I940" s="73" t="s">
        <v>366</v>
      </c>
      <c r="J940" s="76"/>
    </row>
    <row r="941">
      <c r="A941" s="72">
        <v>938.0</v>
      </c>
      <c r="B941" s="73" t="s">
        <v>1194</v>
      </c>
      <c r="C941" s="74">
        <v>9.00162134E8</v>
      </c>
      <c r="D941" s="73" t="s">
        <v>1305</v>
      </c>
      <c r="E941" s="72">
        <v>104.0</v>
      </c>
      <c r="F941" s="77">
        <v>42335.0</v>
      </c>
      <c r="G941" s="76"/>
      <c r="H941" s="76"/>
      <c r="I941" s="73" t="s">
        <v>366</v>
      </c>
      <c r="J941" s="76"/>
    </row>
    <row r="942">
      <c r="A942" s="72">
        <v>939.0</v>
      </c>
      <c r="B942" s="73" t="s">
        <v>1194</v>
      </c>
      <c r="C942" s="74">
        <v>9.0082209E8</v>
      </c>
      <c r="D942" s="73" t="s">
        <v>1306</v>
      </c>
      <c r="E942" s="72">
        <v>102.0</v>
      </c>
      <c r="F942" s="77">
        <v>42335.0</v>
      </c>
      <c r="G942" s="76"/>
      <c r="H942" s="76"/>
      <c r="I942" s="73" t="s">
        <v>366</v>
      </c>
      <c r="J942" s="76"/>
    </row>
    <row r="943">
      <c r="A943" s="72">
        <v>940.0</v>
      </c>
      <c r="B943" s="73" t="s">
        <v>1194</v>
      </c>
      <c r="C943" s="74">
        <v>9.00763678E8</v>
      </c>
      <c r="D943" s="73" t="s">
        <v>1307</v>
      </c>
      <c r="E943" s="72">
        <v>27.0</v>
      </c>
      <c r="F943" s="75">
        <v>42404.0</v>
      </c>
      <c r="G943" s="76"/>
      <c r="H943" s="76"/>
      <c r="I943" s="73" t="s">
        <v>366</v>
      </c>
      <c r="J943" s="76"/>
    </row>
    <row r="944">
      <c r="A944" s="72">
        <v>941.0</v>
      </c>
      <c r="B944" s="73" t="s">
        <v>1194</v>
      </c>
      <c r="C944" s="74">
        <v>9.0026624E8</v>
      </c>
      <c r="D944" s="73" t="s">
        <v>1308</v>
      </c>
      <c r="E944" s="72">
        <v>48.0</v>
      </c>
      <c r="F944" s="75">
        <v>42439.0</v>
      </c>
      <c r="G944" s="76"/>
      <c r="H944" s="76"/>
      <c r="I944" s="73" t="s">
        <v>366</v>
      </c>
      <c r="J944" s="76"/>
    </row>
    <row r="945">
      <c r="A945" s="72">
        <v>942.0</v>
      </c>
      <c r="B945" s="73" t="s">
        <v>1194</v>
      </c>
      <c r="C945" s="74">
        <v>8.90404029E8</v>
      </c>
      <c r="D945" s="73" t="s">
        <v>1309</v>
      </c>
      <c r="E945" s="72">
        <v>60.0</v>
      </c>
      <c r="F945" s="75">
        <v>42464.0</v>
      </c>
      <c r="G945" s="76"/>
      <c r="H945" s="76"/>
      <c r="I945" s="73" t="s">
        <v>366</v>
      </c>
      <c r="J945" s="76"/>
    </row>
    <row r="946">
      <c r="A946" s="72">
        <v>943.0</v>
      </c>
      <c r="B946" s="73" t="s">
        <v>1194</v>
      </c>
      <c r="C946" s="74">
        <v>9.00940782E8</v>
      </c>
      <c r="D946" s="73" t="s">
        <v>1310</v>
      </c>
      <c r="E946" s="72">
        <v>62.0</v>
      </c>
      <c r="F946" s="75">
        <v>42467.0</v>
      </c>
      <c r="G946" s="76"/>
      <c r="H946" s="76"/>
      <c r="I946" s="73" t="s">
        <v>366</v>
      </c>
      <c r="J946" s="76"/>
    </row>
    <row r="947">
      <c r="A947" s="72">
        <v>944.0</v>
      </c>
      <c r="B947" s="73" t="s">
        <v>1194</v>
      </c>
      <c r="C947" s="74">
        <v>9.00949782E8</v>
      </c>
      <c r="D947" s="73" t="s">
        <v>1311</v>
      </c>
      <c r="E947" s="72">
        <v>62.0</v>
      </c>
      <c r="F947" s="75">
        <v>42467.0</v>
      </c>
      <c r="G947" s="76"/>
      <c r="H947" s="76"/>
      <c r="I947" s="73" t="s">
        <v>366</v>
      </c>
      <c r="J947" s="76"/>
    </row>
    <row r="948">
      <c r="A948" s="72">
        <v>945.0</v>
      </c>
      <c r="B948" s="73" t="s">
        <v>1194</v>
      </c>
      <c r="C948" s="74">
        <v>9.00421E8</v>
      </c>
      <c r="D948" s="73" t="s">
        <v>1312</v>
      </c>
      <c r="E948" s="72">
        <v>69.0</v>
      </c>
      <c r="F948" s="75">
        <v>42482.0</v>
      </c>
      <c r="G948" s="76"/>
      <c r="H948" s="76"/>
      <c r="I948" s="73" t="s">
        <v>366</v>
      </c>
      <c r="J948" s="76"/>
    </row>
    <row r="949">
      <c r="A949" s="72">
        <v>946.0</v>
      </c>
      <c r="B949" s="73" t="s">
        <v>1194</v>
      </c>
      <c r="C949" s="74">
        <v>9.00947039E8</v>
      </c>
      <c r="D949" s="73" t="s">
        <v>1313</v>
      </c>
      <c r="E949" s="72">
        <v>67.0</v>
      </c>
      <c r="F949" s="75">
        <v>42482.0</v>
      </c>
      <c r="G949" s="76"/>
      <c r="H949" s="76"/>
      <c r="I949" s="73" t="s">
        <v>366</v>
      </c>
      <c r="J949" s="76"/>
    </row>
    <row r="950">
      <c r="A950" s="72">
        <v>947.0</v>
      </c>
      <c r="B950" s="73" t="s">
        <v>1194</v>
      </c>
      <c r="C950" s="74">
        <v>9.0096168E8</v>
      </c>
      <c r="D950" s="73" t="s">
        <v>1314</v>
      </c>
      <c r="E950" s="72">
        <v>96.0</v>
      </c>
      <c r="F950" s="75">
        <v>42537.0</v>
      </c>
      <c r="G950" s="76"/>
      <c r="H950" s="76"/>
      <c r="I950" s="73" t="s">
        <v>366</v>
      </c>
      <c r="J950" s="76"/>
    </row>
    <row r="951">
      <c r="A951" s="72">
        <v>948.0</v>
      </c>
      <c r="B951" s="73" t="s">
        <v>1194</v>
      </c>
      <c r="C951" s="74">
        <v>9.00958944E8</v>
      </c>
      <c r="D951" s="73" t="s">
        <v>1315</v>
      </c>
      <c r="E951" s="72">
        <v>98.0</v>
      </c>
      <c r="F951" s="75">
        <v>42541.0</v>
      </c>
      <c r="G951" s="76"/>
      <c r="H951" s="76"/>
      <c r="I951" s="73" t="s">
        <v>366</v>
      </c>
      <c r="J951" s="76"/>
    </row>
    <row r="952">
      <c r="A952" s="72">
        <v>949.0</v>
      </c>
      <c r="B952" s="73" t="s">
        <v>1194</v>
      </c>
      <c r="C952" s="74">
        <v>9.00623452E8</v>
      </c>
      <c r="D952" s="73" t="s">
        <v>1316</v>
      </c>
      <c r="E952" s="72">
        <v>111.0</v>
      </c>
      <c r="F952" s="75">
        <v>42583.0</v>
      </c>
      <c r="G952" s="76"/>
      <c r="H952" s="76"/>
      <c r="I952" s="73" t="s">
        <v>366</v>
      </c>
      <c r="J952" s="76"/>
    </row>
    <row r="953">
      <c r="A953" s="78">
        <v>950.0</v>
      </c>
      <c r="B953" s="79" t="s">
        <v>1194</v>
      </c>
      <c r="C953" s="80">
        <v>9.0019629E8</v>
      </c>
      <c r="D953" s="79" t="s">
        <v>1317</v>
      </c>
      <c r="E953" s="81">
        <v>121.0</v>
      </c>
      <c r="F953" s="84">
        <v>42604.0</v>
      </c>
      <c r="G953" s="83"/>
      <c r="H953" s="83"/>
      <c r="I953" s="73" t="s">
        <v>366</v>
      </c>
      <c r="J953" s="76"/>
    </row>
    <row r="954">
      <c r="A954" s="74">
        <v>951.0</v>
      </c>
      <c r="B954" s="73" t="s">
        <v>1194</v>
      </c>
      <c r="C954" s="74">
        <v>9.00868915E8</v>
      </c>
      <c r="D954" s="73" t="s">
        <v>1318</v>
      </c>
      <c r="E954" s="72">
        <v>135.0</v>
      </c>
      <c r="F954" s="75">
        <v>42626.0</v>
      </c>
      <c r="G954" s="76"/>
      <c r="H954" s="76"/>
      <c r="I954" s="73" t="s">
        <v>366</v>
      </c>
      <c r="J954" s="76"/>
    </row>
    <row r="955">
      <c r="A955" s="74">
        <v>952.0</v>
      </c>
      <c r="B955" s="73" t="s">
        <v>1194</v>
      </c>
      <c r="C955" s="74">
        <v>9.00897971E8</v>
      </c>
      <c r="D955" s="73" t="s">
        <v>1319</v>
      </c>
      <c r="E955" s="72">
        <v>147.0</v>
      </c>
      <c r="F955" s="75">
        <v>42642.0</v>
      </c>
      <c r="G955" s="76"/>
      <c r="H955" s="76"/>
      <c r="I955" s="73" t="s">
        <v>366</v>
      </c>
      <c r="J955" s="76"/>
    </row>
    <row r="956">
      <c r="A956" s="74">
        <v>953.0</v>
      </c>
      <c r="B956" s="73" t="s">
        <v>1194</v>
      </c>
      <c r="C956" s="74">
        <v>9.01010697E8</v>
      </c>
      <c r="D956" s="73" t="s">
        <v>1320</v>
      </c>
      <c r="E956" s="72">
        <v>149.0</v>
      </c>
      <c r="F956" s="77">
        <v>42653.0</v>
      </c>
      <c r="G956" s="76"/>
      <c r="H956" s="76"/>
      <c r="I956" s="73" t="s">
        <v>366</v>
      </c>
      <c r="J956" s="76"/>
    </row>
    <row r="957">
      <c r="A957" s="74">
        <v>954.0</v>
      </c>
      <c r="B957" s="73" t="s">
        <v>1194</v>
      </c>
      <c r="C957" s="74">
        <v>9.01039464E8</v>
      </c>
      <c r="D957" s="73" t="s">
        <v>1321</v>
      </c>
      <c r="E957" s="72">
        <v>37.0</v>
      </c>
      <c r="F957" s="75">
        <v>42814.0</v>
      </c>
      <c r="G957" s="76"/>
      <c r="H957" s="76"/>
      <c r="I957" s="73" t="s">
        <v>366</v>
      </c>
      <c r="J957" s="76"/>
    </row>
    <row r="958">
      <c r="A958" s="74">
        <v>955.0</v>
      </c>
      <c r="B958" s="73" t="s">
        <v>1194</v>
      </c>
      <c r="C958" s="74">
        <v>9.01062639E8</v>
      </c>
      <c r="D958" s="73" t="s">
        <v>1322</v>
      </c>
      <c r="E958" s="72">
        <v>26.0</v>
      </c>
      <c r="F958" s="75">
        <v>42816.0</v>
      </c>
      <c r="G958" s="76"/>
      <c r="H958" s="76"/>
      <c r="I958" s="73" t="s">
        <v>366</v>
      </c>
      <c r="J958" s="76"/>
    </row>
    <row r="959">
      <c r="A959" s="74">
        <v>956.0</v>
      </c>
      <c r="B959" s="73" t="s">
        <v>1194</v>
      </c>
      <c r="C959" s="74">
        <v>8.06005329E8</v>
      </c>
      <c r="D959" s="73" t="s">
        <v>1323</v>
      </c>
      <c r="E959" s="72">
        <v>85.0</v>
      </c>
      <c r="F959" s="75">
        <v>42921.0</v>
      </c>
      <c r="G959" s="76"/>
      <c r="H959" s="76"/>
      <c r="I959" s="73" t="s">
        <v>366</v>
      </c>
      <c r="J959" s="76"/>
    </row>
    <row r="960">
      <c r="A960" s="74">
        <v>957.0</v>
      </c>
      <c r="B960" s="73" t="s">
        <v>1194</v>
      </c>
      <c r="C960" s="74">
        <v>9.01112804E8</v>
      </c>
      <c r="D960" s="73" t="s">
        <v>1324</v>
      </c>
      <c r="E960" s="72">
        <v>168.0</v>
      </c>
      <c r="F960" s="75">
        <v>43004.0</v>
      </c>
      <c r="G960" s="76"/>
      <c r="H960" s="76"/>
      <c r="I960" s="73" t="s">
        <v>366</v>
      </c>
      <c r="J960" s="76"/>
    </row>
    <row r="961">
      <c r="A961" s="74">
        <v>958.0</v>
      </c>
      <c r="B961" s="73" t="s">
        <v>1194</v>
      </c>
      <c r="C961" s="74">
        <v>9.01126524E8</v>
      </c>
      <c r="D961" s="73" t="s">
        <v>1325</v>
      </c>
      <c r="E961" s="72">
        <v>173.0</v>
      </c>
      <c r="F961" s="77">
        <v>43053.0</v>
      </c>
      <c r="G961" s="76"/>
      <c r="H961" s="76"/>
      <c r="I961" s="73" t="s">
        <v>366</v>
      </c>
      <c r="J961" s="76"/>
    </row>
    <row r="962">
      <c r="A962" s="74">
        <v>959.0</v>
      </c>
      <c r="B962" s="73" t="s">
        <v>1194</v>
      </c>
      <c r="C962" s="74">
        <v>9.01129875E8</v>
      </c>
      <c r="D962" s="73" t="s">
        <v>1326</v>
      </c>
      <c r="E962" s="72">
        <v>207.0</v>
      </c>
      <c r="F962" s="77">
        <v>43084.0</v>
      </c>
      <c r="G962" s="76"/>
      <c r="H962" s="76"/>
      <c r="I962" s="73" t="s">
        <v>366</v>
      </c>
      <c r="J962" s="76"/>
    </row>
    <row r="963">
      <c r="A963" s="74">
        <v>960.0</v>
      </c>
      <c r="B963" s="73" t="s">
        <v>1194</v>
      </c>
      <c r="C963" s="74">
        <v>9.01160281E8</v>
      </c>
      <c r="D963" s="73" t="s">
        <v>1327</v>
      </c>
      <c r="E963" s="72">
        <v>46.0</v>
      </c>
      <c r="F963" s="75">
        <v>43199.0</v>
      </c>
      <c r="G963" s="76"/>
      <c r="H963" s="76"/>
      <c r="I963" s="73" t="s">
        <v>366</v>
      </c>
      <c r="J963" s="76"/>
    </row>
    <row r="964">
      <c r="A964" s="74">
        <v>961.0</v>
      </c>
      <c r="B964" s="73" t="s">
        <v>1194</v>
      </c>
      <c r="C964" s="74">
        <v>9.00709353E8</v>
      </c>
      <c r="D964" s="73" t="s">
        <v>1328</v>
      </c>
      <c r="E964" s="72">
        <v>51.0</v>
      </c>
      <c r="F964" s="75">
        <v>43203.0</v>
      </c>
      <c r="G964" s="76"/>
      <c r="H964" s="76"/>
      <c r="I964" s="73" t="s">
        <v>366</v>
      </c>
      <c r="J964" s="76"/>
    </row>
    <row r="965">
      <c r="A965" s="74">
        <v>962.0</v>
      </c>
      <c r="B965" s="73" t="s">
        <v>1194</v>
      </c>
      <c r="C965" s="74">
        <v>9.01177272E8</v>
      </c>
      <c r="D965" s="73" t="s">
        <v>1329</v>
      </c>
      <c r="E965" s="72">
        <v>105.0</v>
      </c>
      <c r="F965" s="75">
        <v>43245.0</v>
      </c>
      <c r="G965" s="76"/>
      <c r="H965" s="76"/>
      <c r="I965" s="73" t="s">
        <v>366</v>
      </c>
      <c r="J965" s="76"/>
    </row>
    <row r="966">
      <c r="A966" s="74">
        <v>963.0</v>
      </c>
      <c r="B966" s="73" t="s">
        <v>1194</v>
      </c>
      <c r="C966" s="74">
        <v>9.01020675E8</v>
      </c>
      <c r="D966" s="73" t="s">
        <v>1330</v>
      </c>
      <c r="E966" s="72">
        <v>83.0</v>
      </c>
      <c r="F966" s="75">
        <v>43251.0</v>
      </c>
      <c r="G966" s="76"/>
      <c r="H966" s="76"/>
      <c r="I966" s="73" t="s">
        <v>366</v>
      </c>
      <c r="J966" s="76"/>
    </row>
    <row r="967">
      <c r="A967" s="74">
        <v>964.0</v>
      </c>
      <c r="B967" s="73" t="s">
        <v>1194</v>
      </c>
      <c r="C967" s="74">
        <v>9.0118127E8</v>
      </c>
      <c r="D967" s="73" t="s">
        <v>1331</v>
      </c>
      <c r="E967" s="72">
        <v>123.0</v>
      </c>
      <c r="F967" s="75">
        <v>43273.0</v>
      </c>
      <c r="G967" s="76"/>
      <c r="H967" s="76"/>
      <c r="I967" s="73" t="s">
        <v>366</v>
      </c>
      <c r="J967" s="76"/>
    </row>
    <row r="968">
      <c r="A968" s="74">
        <v>965.0</v>
      </c>
      <c r="B968" s="73" t="s">
        <v>1194</v>
      </c>
      <c r="C968" s="74">
        <v>9.01189696E8</v>
      </c>
      <c r="D968" s="73" t="s">
        <v>1332</v>
      </c>
      <c r="E968" s="72">
        <v>133.0</v>
      </c>
      <c r="F968" s="75">
        <v>43280.0</v>
      </c>
      <c r="G968" s="76"/>
      <c r="H968" s="76"/>
      <c r="I968" s="73" t="s">
        <v>366</v>
      </c>
      <c r="J968" s="76"/>
    </row>
    <row r="969">
      <c r="A969" s="74">
        <v>966.0</v>
      </c>
      <c r="B969" s="73" t="s">
        <v>1194</v>
      </c>
      <c r="C969" s="74">
        <v>9.0118025E8</v>
      </c>
      <c r="D969" s="73" t="s">
        <v>1333</v>
      </c>
      <c r="E969" s="72">
        <v>124.0</v>
      </c>
      <c r="F969" s="75">
        <v>43293.0</v>
      </c>
      <c r="G969" s="76"/>
      <c r="H969" s="76"/>
      <c r="I969" s="73" t="s">
        <v>366</v>
      </c>
      <c r="J969" s="76"/>
    </row>
    <row r="970">
      <c r="A970" s="74">
        <v>967.0</v>
      </c>
      <c r="B970" s="73" t="s">
        <v>1194</v>
      </c>
      <c r="C970" s="74">
        <v>9.01101646E8</v>
      </c>
      <c r="D970" s="73" t="s">
        <v>1334</v>
      </c>
      <c r="E970" s="72">
        <v>125.0</v>
      </c>
      <c r="F970" s="75">
        <v>43307.0</v>
      </c>
      <c r="G970" s="76"/>
      <c r="H970" s="76"/>
      <c r="I970" s="73" t="s">
        <v>366</v>
      </c>
      <c r="J970" s="76"/>
    </row>
    <row r="971">
      <c r="A971" s="74">
        <v>968.0</v>
      </c>
      <c r="B971" s="73" t="s">
        <v>1194</v>
      </c>
      <c r="C971" s="74">
        <v>9.00859491E8</v>
      </c>
      <c r="D971" s="73" t="s">
        <v>1335</v>
      </c>
      <c r="E971" s="72">
        <v>191.0</v>
      </c>
      <c r="F971" s="75">
        <v>43364.0</v>
      </c>
      <c r="G971" s="76"/>
      <c r="H971" s="76"/>
      <c r="I971" s="73" t="s">
        <v>366</v>
      </c>
      <c r="J971" s="76"/>
    </row>
    <row r="972">
      <c r="A972" s="74">
        <v>969.0</v>
      </c>
      <c r="B972" s="73" t="s">
        <v>1194</v>
      </c>
      <c r="C972" s="74">
        <v>9.01098382E8</v>
      </c>
      <c r="D972" s="73" t="s">
        <v>1336</v>
      </c>
      <c r="E972" s="72">
        <v>199.0</v>
      </c>
      <c r="F972" s="77">
        <v>43378.0</v>
      </c>
      <c r="G972" s="76"/>
      <c r="H972" s="76"/>
      <c r="I972" s="73" t="s">
        <v>366</v>
      </c>
      <c r="J972" s="76"/>
    </row>
    <row r="973">
      <c r="A973" s="74">
        <v>970.0</v>
      </c>
      <c r="B973" s="73" t="s">
        <v>1194</v>
      </c>
      <c r="C973" s="74">
        <v>9.00477133E8</v>
      </c>
      <c r="D973" s="73" t="s">
        <v>1337</v>
      </c>
      <c r="E973" s="72">
        <v>200.0</v>
      </c>
      <c r="F973" s="77">
        <v>43381.0</v>
      </c>
      <c r="G973" s="76"/>
      <c r="H973" s="76"/>
      <c r="I973" s="73" t="s">
        <v>366</v>
      </c>
      <c r="J973" s="76"/>
    </row>
    <row r="974">
      <c r="A974" s="74">
        <v>971.0</v>
      </c>
      <c r="B974" s="73" t="s">
        <v>1194</v>
      </c>
      <c r="C974" s="74">
        <v>9.01223573E8</v>
      </c>
      <c r="D974" s="73" t="s">
        <v>1338</v>
      </c>
      <c r="E974" s="72">
        <v>228.0</v>
      </c>
      <c r="F974" s="77">
        <v>43426.0</v>
      </c>
      <c r="G974" s="76"/>
      <c r="H974" s="76"/>
      <c r="I974" s="73" t="s">
        <v>366</v>
      </c>
      <c r="J974" s="76"/>
    </row>
    <row r="975">
      <c r="A975" s="74">
        <v>972.0</v>
      </c>
      <c r="B975" s="73" t="s">
        <v>1194</v>
      </c>
      <c r="C975" s="74">
        <v>9.01223212E8</v>
      </c>
      <c r="D975" s="73" t="s">
        <v>1339</v>
      </c>
      <c r="E975" s="72">
        <v>229.0</v>
      </c>
      <c r="F975" s="77">
        <v>43430.0</v>
      </c>
      <c r="G975" s="76"/>
      <c r="H975" s="76"/>
      <c r="I975" s="73" t="s">
        <v>366</v>
      </c>
      <c r="J975" s="76"/>
    </row>
    <row r="976">
      <c r="A976" s="74">
        <v>973.0</v>
      </c>
      <c r="B976" s="73" t="s">
        <v>1194</v>
      </c>
      <c r="C976" s="74">
        <v>9.00310155E8</v>
      </c>
      <c r="D976" s="73" t="s">
        <v>1340</v>
      </c>
      <c r="E976" s="72">
        <v>248.0</v>
      </c>
      <c r="F976" s="77">
        <v>43455.0</v>
      </c>
      <c r="G976" s="76"/>
      <c r="H976" s="76"/>
      <c r="I976" s="73" t="s">
        <v>366</v>
      </c>
      <c r="J976" s="76"/>
    </row>
    <row r="977">
      <c r="A977" s="74">
        <v>974.0</v>
      </c>
      <c r="B977" s="73" t="s">
        <v>1194</v>
      </c>
      <c r="C977" s="74">
        <v>9.01234394E8</v>
      </c>
      <c r="D977" s="73" t="s">
        <v>1341</v>
      </c>
      <c r="E977" s="72">
        <v>252.0</v>
      </c>
      <c r="F977" s="77">
        <v>43461.0</v>
      </c>
      <c r="G977" s="76"/>
      <c r="H977" s="76"/>
      <c r="I977" s="73" t="s">
        <v>366</v>
      </c>
      <c r="J977" s="76"/>
    </row>
    <row r="978">
      <c r="A978" s="74">
        <v>975.0</v>
      </c>
      <c r="B978" s="73" t="s">
        <v>1194</v>
      </c>
      <c r="C978" s="74">
        <v>9.01234396E8</v>
      </c>
      <c r="D978" s="73" t="s">
        <v>1342</v>
      </c>
      <c r="E978" s="72">
        <v>251.0</v>
      </c>
      <c r="F978" s="77">
        <v>43461.0</v>
      </c>
      <c r="G978" s="76"/>
      <c r="H978" s="76"/>
      <c r="I978" s="73" t="s">
        <v>366</v>
      </c>
      <c r="J978" s="76"/>
    </row>
    <row r="979">
      <c r="A979" s="74">
        <v>976.0</v>
      </c>
      <c r="B979" s="73" t="s">
        <v>1194</v>
      </c>
      <c r="C979" s="74">
        <v>9.01057472E8</v>
      </c>
      <c r="D979" s="73" t="s">
        <v>1343</v>
      </c>
      <c r="E979" s="72">
        <v>28.0</v>
      </c>
      <c r="F979" s="75">
        <v>43514.0</v>
      </c>
      <c r="G979" s="76"/>
      <c r="H979" s="76"/>
      <c r="I979" s="73" t="s">
        <v>366</v>
      </c>
      <c r="J979" s="76"/>
    </row>
    <row r="980">
      <c r="A980" s="74">
        <v>977.0</v>
      </c>
      <c r="B980" s="73" t="s">
        <v>1194</v>
      </c>
      <c r="C980" s="74">
        <v>9.01252611E8</v>
      </c>
      <c r="D980" s="73" t="s">
        <v>1344</v>
      </c>
      <c r="E980" s="72">
        <v>36.0</v>
      </c>
      <c r="F980" s="75">
        <v>43523.0</v>
      </c>
      <c r="G980" s="76"/>
      <c r="H980" s="76"/>
      <c r="I980" s="73" t="s">
        <v>366</v>
      </c>
      <c r="J980" s="76"/>
    </row>
    <row r="981">
      <c r="A981" s="74">
        <v>978.0</v>
      </c>
      <c r="B981" s="73" t="s">
        <v>1194</v>
      </c>
      <c r="C981" s="74">
        <v>9.00516068E8</v>
      </c>
      <c r="D981" s="73" t="s">
        <v>1345</v>
      </c>
      <c r="E981" s="72">
        <v>79.0</v>
      </c>
      <c r="F981" s="75">
        <v>43541.0</v>
      </c>
      <c r="G981" s="76"/>
      <c r="H981" s="76"/>
      <c r="I981" s="73" t="s">
        <v>366</v>
      </c>
      <c r="J981" s="76"/>
    </row>
    <row r="982">
      <c r="A982" s="74">
        <v>979.0</v>
      </c>
      <c r="B982" s="73" t="s">
        <v>1194</v>
      </c>
      <c r="C982" s="74">
        <v>9.00893611E8</v>
      </c>
      <c r="D982" s="73" t="s">
        <v>1346</v>
      </c>
      <c r="E982" s="72">
        <v>59.0</v>
      </c>
      <c r="F982" s="75">
        <v>43565.0</v>
      </c>
      <c r="G982" s="76"/>
      <c r="H982" s="76"/>
      <c r="I982" s="73" t="s">
        <v>366</v>
      </c>
      <c r="J982" s="76"/>
    </row>
    <row r="983">
      <c r="A983" s="74">
        <v>980.0</v>
      </c>
      <c r="B983" s="73" t="s">
        <v>1194</v>
      </c>
      <c r="C983" s="74">
        <v>9.01265564E8</v>
      </c>
      <c r="D983" s="73" t="s">
        <v>1347</v>
      </c>
      <c r="E983" s="72">
        <v>60.0</v>
      </c>
      <c r="F983" s="75">
        <v>43565.0</v>
      </c>
      <c r="G983" s="76"/>
      <c r="H983" s="76"/>
      <c r="I983" s="73" t="s">
        <v>366</v>
      </c>
      <c r="J983" s="76"/>
    </row>
    <row r="984">
      <c r="A984" s="74">
        <v>981.0</v>
      </c>
      <c r="B984" s="73" t="s">
        <v>1194</v>
      </c>
      <c r="C984" s="74">
        <v>9.01274493E8</v>
      </c>
      <c r="D984" s="73" t="s">
        <v>1348</v>
      </c>
      <c r="E984" s="72">
        <v>64.0</v>
      </c>
      <c r="F984" s="75">
        <v>43580.0</v>
      </c>
      <c r="G984" s="76"/>
      <c r="H984" s="76"/>
      <c r="I984" s="73" t="s">
        <v>366</v>
      </c>
      <c r="J984" s="76"/>
    </row>
    <row r="985">
      <c r="A985" s="74">
        <v>982.0</v>
      </c>
      <c r="B985" s="73" t="s">
        <v>1194</v>
      </c>
      <c r="C985" s="74">
        <v>9.01301328E8</v>
      </c>
      <c r="D985" s="73" t="s">
        <v>1349</v>
      </c>
      <c r="E985" s="72">
        <v>118.0</v>
      </c>
      <c r="F985" s="75">
        <v>43672.0</v>
      </c>
      <c r="G985" s="76"/>
      <c r="H985" s="76"/>
      <c r="I985" s="73" t="s">
        <v>366</v>
      </c>
      <c r="J985" s="76"/>
    </row>
    <row r="986">
      <c r="A986" s="74">
        <v>983.0</v>
      </c>
      <c r="B986" s="73" t="s">
        <v>1194</v>
      </c>
      <c r="C986" s="74">
        <v>9.01311727E8</v>
      </c>
      <c r="D986" s="73" t="s">
        <v>1350</v>
      </c>
      <c r="E986" s="72">
        <v>151.0</v>
      </c>
      <c r="F986" s="75">
        <v>43710.0</v>
      </c>
      <c r="G986" s="76"/>
      <c r="H986" s="76"/>
      <c r="I986" s="73" t="s">
        <v>366</v>
      </c>
      <c r="J986" s="76"/>
    </row>
    <row r="987">
      <c r="A987" s="74">
        <v>984.0</v>
      </c>
      <c r="B987" s="73" t="s">
        <v>1194</v>
      </c>
      <c r="C987" s="74">
        <v>9.01282822E8</v>
      </c>
      <c r="D987" s="73" t="s">
        <v>1351</v>
      </c>
      <c r="E987" s="72">
        <v>176.0</v>
      </c>
      <c r="F987" s="75">
        <v>43724.0</v>
      </c>
      <c r="G987" s="76"/>
      <c r="H987" s="76"/>
      <c r="I987" s="73" t="s">
        <v>366</v>
      </c>
      <c r="J987" s="76"/>
    </row>
    <row r="988">
      <c r="A988" s="74">
        <v>985.0</v>
      </c>
      <c r="B988" s="73" t="s">
        <v>1194</v>
      </c>
      <c r="C988" s="74">
        <v>9.00795449E8</v>
      </c>
      <c r="D988" s="73" t="s">
        <v>1352</v>
      </c>
      <c r="E988" s="72">
        <v>216.0</v>
      </c>
      <c r="F988" s="77">
        <v>43749.0</v>
      </c>
      <c r="G988" s="76"/>
      <c r="H988" s="76"/>
      <c r="I988" s="73" t="s">
        <v>366</v>
      </c>
      <c r="J988" s="76"/>
    </row>
    <row r="989">
      <c r="A989" s="74">
        <v>986.0</v>
      </c>
      <c r="B989" s="73" t="s">
        <v>1194</v>
      </c>
      <c r="C989" s="74">
        <v>9.01030799E8</v>
      </c>
      <c r="D989" s="73" t="s">
        <v>1353</v>
      </c>
      <c r="E989" s="72">
        <v>257.0</v>
      </c>
      <c r="F989" s="77">
        <v>43795.0</v>
      </c>
      <c r="G989" s="76"/>
      <c r="H989" s="76"/>
      <c r="I989" s="73" t="s">
        <v>366</v>
      </c>
      <c r="J989" s="76"/>
    </row>
    <row r="990">
      <c r="A990" s="74">
        <v>987.0</v>
      </c>
      <c r="B990" s="73" t="s">
        <v>1194</v>
      </c>
      <c r="C990" s="74">
        <v>9.01336387E8</v>
      </c>
      <c r="D990" s="73" t="s">
        <v>1354</v>
      </c>
      <c r="E990" s="72">
        <v>253.0</v>
      </c>
      <c r="F990" s="77">
        <v>43795.0</v>
      </c>
      <c r="G990" s="76"/>
      <c r="H990" s="76"/>
      <c r="I990" s="73" t="s">
        <v>366</v>
      </c>
      <c r="J990" s="76"/>
    </row>
    <row r="991">
      <c r="A991" s="74">
        <v>988.0</v>
      </c>
      <c r="B991" s="73" t="s">
        <v>1194</v>
      </c>
      <c r="C991" s="74">
        <v>9.01340624E8</v>
      </c>
      <c r="D991" s="73" t="s">
        <v>1355</v>
      </c>
      <c r="E991" s="72">
        <v>254.0</v>
      </c>
      <c r="F991" s="77">
        <v>43795.0</v>
      </c>
      <c r="G991" s="76"/>
      <c r="H991" s="76"/>
      <c r="I991" s="73" t="s">
        <v>366</v>
      </c>
      <c r="J991" s="76"/>
    </row>
    <row r="992">
      <c r="A992" s="74">
        <v>989.0</v>
      </c>
      <c r="B992" s="73" t="s">
        <v>1194</v>
      </c>
      <c r="C992" s="74">
        <v>9.00750386E8</v>
      </c>
      <c r="D992" s="73" t="s">
        <v>1356</v>
      </c>
      <c r="E992" s="72">
        <v>258.0</v>
      </c>
      <c r="F992" s="77">
        <v>43801.0</v>
      </c>
      <c r="G992" s="76"/>
      <c r="H992" s="76"/>
      <c r="I992" s="73" t="s">
        <v>366</v>
      </c>
      <c r="J992" s="76"/>
    </row>
    <row r="993">
      <c r="A993" s="74">
        <v>990.0</v>
      </c>
      <c r="B993" s="73" t="s">
        <v>1194</v>
      </c>
      <c r="C993" s="74">
        <v>9.01342488E8</v>
      </c>
      <c r="D993" s="73" t="s">
        <v>1357</v>
      </c>
      <c r="E993" s="72">
        <v>265.0</v>
      </c>
      <c r="F993" s="77">
        <v>43810.0</v>
      </c>
      <c r="G993" s="76"/>
      <c r="H993" s="76"/>
      <c r="I993" s="73" t="s">
        <v>366</v>
      </c>
      <c r="J993" s="76"/>
    </row>
    <row r="994">
      <c r="A994" s="74">
        <v>991.0</v>
      </c>
      <c r="B994" s="73" t="s">
        <v>1194</v>
      </c>
      <c r="C994" s="74">
        <v>9.01343057E8</v>
      </c>
      <c r="D994" s="73" t="s">
        <v>1358</v>
      </c>
      <c r="E994" s="72">
        <v>263.0</v>
      </c>
      <c r="F994" s="77">
        <v>43810.0</v>
      </c>
      <c r="G994" s="76"/>
      <c r="H994" s="76"/>
      <c r="I994" s="73" t="s">
        <v>366</v>
      </c>
      <c r="J994" s="76"/>
    </row>
    <row r="995">
      <c r="A995" s="74">
        <v>992.0</v>
      </c>
      <c r="B995" s="73" t="s">
        <v>1194</v>
      </c>
      <c r="C995" s="74">
        <v>9.01342827E8</v>
      </c>
      <c r="D995" s="73" t="s">
        <v>1359</v>
      </c>
      <c r="E995" s="72">
        <v>271.0</v>
      </c>
      <c r="F995" s="77">
        <v>43812.0</v>
      </c>
      <c r="G995" s="76"/>
      <c r="H995" s="76"/>
      <c r="I995" s="73" t="s">
        <v>366</v>
      </c>
      <c r="J995" s="76"/>
    </row>
    <row r="996">
      <c r="A996" s="74">
        <v>993.0</v>
      </c>
      <c r="B996" s="73" t="s">
        <v>1194</v>
      </c>
      <c r="C996" s="74">
        <v>9.0135836E8</v>
      </c>
      <c r="D996" s="73" t="s">
        <v>1360</v>
      </c>
      <c r="E996" s="72">
        <v>17.0</v>
      </c>
      <c r="F996" s="75">
        <v>43864.0</v>
      </c>
      <c r="G996" s="76"/>
      <c r="H996" s="76"/>
      <c r="I996" s="73" t="s">
        <v>366</v>
      </c>
      <c r="J996" s="76"/>
    </row>
    <row r="997">
      <c r="A997" s="74">
        <v>994.0</v>
      </c>
      <c r="B997" s="73" t="s">
        <v>1194</v>
      </c>
      <c r="C997" s="74">
        <v>9.01277719E8</v>
      </c>
      <c r="D997" s="73" t="s">
        <v>1361</v>
      </c>
      <c r="E997" s="72">
        <v>18.0</v>
      </c>
      <c r="F997" s="75">
        <v>43868.0</v>
      </c>
      <c r="G997" s="76"/>
      <c r="H997" s="76"/>
      <c r="I997" s="73" t="s">
        <v>366</v>
      </c>
      <c r="J997" s="76"/>
    </row>
    <row r="998">
      <c r="A998" s="74">
        <v>995.0</v>
      </c>
      <c r="B998" s="73" t="s">
        <v>1194</v>
      </c>
      <c r="C998" s="74">
        <v>9.01362545E8</v>
      </c>
      <c r="D998" s="73" t="s">
        <v>1362</v>
      </c>
      <c r="E998" s="72">
        <v>21.0</v>
      </c>
      <c r="F998" s="75">
        <v>43872.0</v>
      </c>
      <c r="G998" s="76"/>
      <c r="H998" s="76"/>
      <c r="I998" s="73" t="s">
        <v>366</v>
      </c>
      <c r="J998" s="76"/>
    </row>
    <row r="999">
      <c r="A999" s="74">
        <v>996.0</v>
      </c>
      <c r="B999" s="73" t="s">
        <v>1194</v>
      </c>
      <c r="C999" s="74">
        <v>9.01361181E8</v>
      </c>
      <c r="D999" s="73" t="s">
        <v>1363</v>
      </c>
      <c r="E999" s="72">
        <v>24.0</v>
      </c>
      <c r="F999" s="75">
        <v>43875.0</v>
      </c>
      <c r="G999" s="76"/>
      <c r="H999" s="76"/>
      <c r="I999" s="73" t="s">
        <v>366</v>
      </c>
      <c r="J999" s="76"/>
    </row>
    <row r="1000">
      <c r="A1000" s="74">
        <v>997.0</v>
      </c>
      <c r="B1000" s="73" t="s">
        <v>1194</v>
      </c>
      <c r="C1000" s="74">
        <v>9.01361686E8</v>
      </c>
      <c r="D1000" s="73" t="s">
        <v>1364</v>
      </c>
      <c r="E1000" s="72">
        <v>28.0</v>
      </c>
      <c r="F1000" s="75">
        <v>43879.0</v>
      </c>
      <c r="G1000" s="76"/>
      <c r="H1000" s="76"/>
      <c r="I1000" s="73" t="s">
        <v>366</v>
      </c>
      <c r="J1000" s="76"/>
    </row>
    <row r="1001">
      <c r="A1001" s="74">
        <v>998.0</v>
      </c>
      <c r="B1001" s="73" t="s">
        <v>1194</v>
      </c>
      <c r="C1001" s="74">
        <v>9.00546497E8</v>
      </c>
      <c r="D1001" s="73" t="s">
        <v>1365</v>
      </c>
      <c r="E1001" s="72">
        <v>46.0</v>
      </c>
      <c r="F1001" s="75">
        <v>43889.0</v>
      </c>
      <c r="G1001" s="76"/>
      <c r="H1001" s="76"/>
      <c r="I1001" s="73" t="s">
        <v>366</v>
      </c>
      <c r="J1001" s="76"/>
    </row>
    <row r="1002">
      <c r="A1002" s="74">
        <v>999.0</v>
      </c>
      <c r="B1002" s="73" t="s">
        <v>1194</v>
      </c>
      <c r="C1002" s="74">
        <v>9.01389202E8</v>
      </c>
      <c r="D1002" s="73" t="s">
        <v>1366</v>
      </c>
      <c r="E1002" s="72">
        <v>778.0</v>
      </c>
      <c r="F1002" s="75">
        <v>44019.0</v>
      </c>
      <c r="G1002" s="76"/>
      <c r="H1002" s="76"/>
      <c r="I1002" s="73" t="s">
        <v>366</v>
      </c>
      <c r="J1002" s="76"/>
    </row>
    <row r="1003">
      <c r="A1003" s="74">
        <v>1000.0</v>
      </c>
      <c r="B1003" s="73" t="s">
        <v>1194</v>
      </c>
      <c r="C1003" s="74">
        <v>9.00113428E8</v>
      </c>
      <c r="D1003" s="73" t="s">
        <v>1367</v>
      </c>
      <c r="E1003" s="72">
        <v>1417.0</v>
      </c>
      <c r="F1003" s="77">
        <v>44106.0</v>
      </c>
      <c r="G1003" s="76"/>
      <c r="H1003" s="76"/>
      <c r="I1003" s="73" t="s">
        <v>366</v>
      </c>
      <c r="J1003" s="76"/>
    </row>
    <row r="1004">
      <c r="A1004" s="74">
        <v>1001.0</v>
      </c>
      <c r="B1004" s="73" t="s">
        <v>1194</v>
      </c>
      <c r="C1004" s="74">
        <v>9.01413217E8</v>
      </c>
      <c r="D1004" s="73" t="s">
        <v>1368</v>
      </c>
      <c r="E1004" s="72">
        <v>1603.0</v>
      </c>
      <c r="F1004" s="77">
        <v>44120.0</v>
      </c>
      <c r="G1004" s="76"/>
      <c r="H1004" s="76"/>
      <c r="I1004" s="73" t="s">
        <v>366</v>
      </c>
      <c r="J1004" s="76"/>
    </row>
    <row r="1005">
      <c r="A1005" s="74">
        <v>1002.0</v>
      </c>
      <c r="B1005" s="73" t="s">
        <v>1194</v>
      </c>
      <c r="C1005" s="74">
        <v>9.00771906E8</v>
      </c>
      <c r="D1005" s="73" t="s">
        <v>1369</v>
      </c>
      <c r="E1005" s="72">
        <v>53.0</v>
      </c>
      <c r="F1005" s="75">
        <v>44203.0</v>
      </c>
      <c r="G1005" s="76"/>
      <c r="H1005" s="76"/>
      <c r="I1005" s="73" t="s">
        <v>366</v>
      </c>
      <c r="J1005" s="76"/>
    </row>
    <row r="1006">
      <c r="A1006" s="85">
        <v>1003.0</v>
      </c>
      <c r="B1006" s="79" t="s">
        <v>1194</v>
      </c>
      <c r="C1006" s="80">
        <v>9.01265547E8</v>
      </c>
      <c r="D1006" s="79" t="s">
        <v>1370</v>
      </c>
      <c r="E1006" s="81">
        <v>343.0</v>
      </c>
      <c r="F1006" s="84">
        <v>44224.0</v>
      </c>
      <c r="G1006" s="83"/>
      <c r="H1006" s="83"/>
      <c r="I1006" s="73" t="s">
        <v>366</v>
      </c>
      <c r="J1006" s="76"/>
    </row>
    <row r="1007">
      <c r="A1007" s="74">
        <v>1004.0</v>
      </c>
      <c r="B1007" s="73" t="s">
        <v>1194</v>
      </c>
      <c r="C1007" s="74">
        <v>8.00206027E8</v>
      </c>
      <c r="D1007" s="73" t="s">
        <v>1371</v>
      </c>
      <c r="E1007" s="72">
        <v>7225.0</v>
      </c>
      <c r="F1007" s="75">
        <v>44251.0</v>
      </c>
      <c r="G1007" s="76"/>
      <c r="H1007" s="76"/>
      <c r="I1007" s="73" t="s">
        <v>366</v>
      </c>
      <c r="J1007" s="76"/>
    </row>
    <row r="1008">
      <c r="A1008" s="74">
        <v>1005.0</v>
      </c>
      <c r="B1008" s="73" t="s">
        <v>1194</v>
      </c>
      <c r="C1008" s="74">
        <v>9.01155013E8</v>
      </c>
      <c r="D1008" s="73" t="s">
        <v>1372</v>
      </c>
      <c r="E1008" s="72">
        <v>1335.0</v>
      </c>
      <c r="F1008" s="75">
        <v>44285.0</v>
      </c>
      <c r="G1008" s="76"/>
      <c r="H1008" s="76"/>
      <c r="I1008" s="73" t="s">
        <v>366</v>
      </c>
      <c r="J1008" s="76"/>
    </row>
    <row r="1009">
      <c r="A1009" s="74">
        <v>1006.0</v>
      </c>
      <c r="B1009" s="73" t="s">
        <v>1194</v>
      </c>
      <c r="C1009" s="74">
        <v>9.00318263E8</v>
      </c>
      <c r="D1009" s="73" t="s">
        <v>1373</v>
      </c>
      <c r="E1009" s="72">
        <v>1561.0</v>
      </c>
      <c r="F1009" s="75">
        <v>44300.0</v>
      </c>
      <c r="G1009" s="76"/>
      <c r="H1009" s="76"/>
      <c r="I1009" s="73" t="s">
        <v>366</v>
      </c>
      <c r="J1009" s="76"/>
    </row>
    <row r="1010">
      <c r="A1010" s="74">
        <v>1007.0</v>
      </c>
      <c r="B1010" s="73" t="s">
        <v>1194</v>
      </c>
      <c r="C1010" s="74">
        <v>9.01464746E8</v>
      </c>
      <c r="D1010" s="73" t="s">
        <v>1374</v>
      </c>
      <c r="E1010" s="72">
        <v>2585.0</v>
      </c>
      <c r="F1010" s="75">
        <v>44369.0</v>
      </c>
      <c r="G1010" s="76"/>
      <c r="H1010" s="76"/>
      <c r="I1010" s="73" t="s">
        <v>366</v>
      </c>
      <c r="J1010" s="76"/>
    </row>
    <row r="1011">
      <c r="A1011" s="74">
        <v>1008.0</v>
      </c>
      <c r="B1011" s="73" t="s">
        <v>1194</v>
      </c>
      <c r="C1011" s="74">
        <v>9.01481117E8</v>
      </c>
      <c r="D1011" s="73" t="s">
        <v>1375</v>
      </c>
      <c r="E1011" s="72">
        <v>25875.0</v>
      </c>
      <c r="F1011" s="75">
        <v>44369.0</v>
      </c>
      <c r="G1011" s="76"/>
      <c r="H1011" s="76"/>
      <c r="I1011" s="73" t="s">
        <v>366</v>
      </c>
      <c r="J1011" s="76"/>
    </row>
    <row r="1012">
      <c r="A1012" s="74">
        <v>1009.0</v>
      </c>
      <c r="B1012" s="73" t="s">
        <v>1194</v>
      </c>
      <c r="C1012" s="74">
        <v>9.01482389E8</v>
      </c>
      <c r="D1012" s="73" t="s">
        <v>1376</v>
      </c>
      <c r="E1012" s="72">
        <v>25885.0</v>
      </c>
      <c r="F1012" s="75">
        <v>44369.0</v>
      </c>
      <c r="G1012" s="76"/>
      <c r="H1012" s="76"/>
      <c r="I1012" s="73" t="s">
        <v>366</v>
      </c>
      <c r="J1012" s="76"/>
    </row>
    <row r="1013">
      <c r="A1013" s="74">
        <v>1010.0</v>
      </c>
      <c r="B1013" s="73" t="s">
        <v>1194</v>
      </c>
      <c r="C1013" s="74">
        <v>9.01471602E8</v>
      </c>
      <c r="D1013" s="73" t="s">
        <v>1377</v>
      </c>
      <c r="E1013" s="72">
        <v>2789.0</v>
      </c>
      <c r="F1013" s="75">
        <v>44379.0</v>
      </c>
      <c r="G1013" s="76"/>
      <c r="H1013" s="76"/>
      <c r="I1013" s="73" t="s">
        <v>366</v>
      </c>
      <c r="J1013" s="76"/>
    </row>
    <row r="1014">
      <c r="A1014" s="74">
        <v>1011.0</v>
      </c>
      <c r="B1014" s="73" t="s">
        <v>1194</v>
      </c>
      <c r="C1014" s="74">
        <v>9.01488504E8</v>
      </c>
      <c r="D1014" s="73" t="s">
        <v>1378</v>
      </c>
      <c r="E1014" s="72">
        <v>28365.0</v>
      </c>
      <c r="F1014" s="75">
        <v>44384.0</v>
      </c>
      <c r="G1014" s="76"/>
      <c r="H1014" s="76"/>
      <c r="I1014" s="73" t="s">
        <v>366</v>
      </c>
      <c r="J1014" s="76"/>
    </row>
    <row r="1015">
      <c r="A1015" s="74">
        <v>1012.0</v>
      </c>
      <c r="B1015" s="73" t="s">
        <v>1194</v>
      </c>
      <c r="C1015" s="74">
        <v>9.0148874E8</v>
      </c>
      <c r="D1015" s="73" t="s">
        <v>1379</v>
      </c>
      <c r="E1015" s="72">
        <v>28395.0</v>
      </c>
      <c r="F1015" s="75">
        <v>44384.0</v>
      </c>
      <c r="G1015" s="76"/>
      <c r="H1015" s="76"/>
      <c r="I1015" s="73" t="s">
        <v>366</v>
      </c>
      <c r="J1015" s="76"/>
    </row>
    <row r="1016">
      <c r="A1016" s="74">
        <v>1013.0</v>
      </c>
      <c r="B1016" s="73" t="s">
        <v>1194</v>
      </c>
      <c r="C1016" s="74">
        <v>9.01488816E8</v>
      </c>
      <c r="D1016" s="73" t="s">
        <v>1380</v>
      </c>
      <c r="E1016" s="72">
        <v>28405.0</v>
      </c>
      <c r="F1016" s="75">
        <v>44384.0</v>
      </c>
      <c r="G1016" s="76"/>
      <c r="H1016" s="76"/>
      <c r="I1016" s="73" t="s">
        <v>366</v>
      </c>
      <c r="J1016" s="76"/>
    </row>
    <row r="1017">
      <c r="A1017" s="74">
        <v>1014.0</v>
      </c>
      <c r="B1017" s="73" t="s">
        <v>1194</v>
      </c>
      <c r="C1017" s="74">
        <v>9.01488818E8</v>
      </c>
      <c r="D1017" s="73" t="s">
        <v>1381</v>
      </c>
      <c r="E1017" s="72">
        <v>28375.0</v>
      </c>
      <c r="F1017" s="75">
        <v>44384.0</v>
      </c>
      <c r="G1017" s="76"/>
      <c r="H1017" s="76"/>
      <c r="I1017" s="73" t="s">
        <v>366</v>
      </c>
      <c r="J1017" s="76"/>
    </row>
    <row r="1018">
      <c r="A1018" s="74">
        <v>1015.0</v>
      </c>
      <c r="B1018" s="73" t="s">
        <v>1194</v>
      </c>
      <c r="C1018" s="74">
        <v>9.01489218E8</v>
      </c>
      <c r="D1018" s="73" t="s">
        <v>1382</v>
      </c>
      <c r="E1018" s="72">
        <v>28415.0</v>
      </c>
      <c r="F1018" s="75">
        <v>44384.0</v>
      </c>
      <c r="G1018" s="76"/>
      <c r="H1018" s="76"/>
      <c r="I1018" s="73" t="s">
        <v>366</v>
      </c>
      <c r="J1018" s="76"/>
    </row>
    <row r="1019">
      <c r="A1019" s="74">
        <v>1016.0</v>
      </c>
      <c r="B1019" s="73" t="s">
        <v>1194</v>
      </c>
      <c r="C1019" s="74">
        <v>9.00531531E8</v>
      </c>
      <c r="D1019" s="73" t="s">
        <v>1383</v>
      </c>
      <c r="E1019" s="72">
        <v>35075.0</v>
      </c>
      <c r="F1019" s="75">
        <v>44419.0</v>
      </c>
      <c r="G1019" s="76"/>
      <c r="H1019" s="76"/>
      <c r="I1019" s="73" t="s">
        <v>366</v>
      </c>
      <c r="J1019" s="76"/>
    </row>
    <row r="1020">
      <c r="A1020" s="74">
        <v>1017.0</v>
      </c>
      <c r="B1020" s="73" t="s">
        <v>1194</v>
      </c>
      <c r="C1020" s="74">
        <v>9.01276869E8</v>
      </c>
      <c r="D1020" s="73" t="s">
        <v>1384</v>
      </c>
      <c r="E1020" s="72">
        <v>134.0</v>
      </c>
      <c r="F1020" s="75">
        <v>44429.0</v>
      </c>
      <c r="G1020" s="76"/>
      <c r="H1020" s="76"/>
      <c r="I1020" s="73" t="s">
        <v>366</v>
      </c>
      <c r="J1020" s="76"/>
    </row>
    <row r="1021">
      <c r="A1021" s="74">
        <v>1018.0</v>
      </c>
      <c r="B1021" s="73" t="s">
        <v>1194</v>
      </c>
      <c r="C1021" s="74">
        <v>9.01512051E8</v>
      </c>
      <c r="D1021" s="73" t="s">
        <v>1385</v>
      </c>
      <c r="E1021" s="72">
        <v>46245.0</v>
      </c>
      <c r="F1021" s="77">
        <v>44474.0</v>
      </c>
      <c r="G1021" s="76"/>
      <c r="H1021" s="76"/>
      <c r="I1021" s="73" t="s">
        <v>366</v>
      </c>
      <c r="J1021" s="76"/>
    </row>
    <row r="1022">
      <c r="A1022" s="74">
        <v>1019.0</v>
      </c>
      <c r="B1022" s="73" t="s">
        <v>1194</v>
      </c>
      <c r="C1022" s="74">
        <v>9.01508597E8</v>
      </c>
      <c r="D1022" s="73" t="s">
        <v>1386</v>
      </c>
      <c r="E1022" s="72">
        <v>46615.0</v>
      </c>
      <c r="F1022" s="77">
        <v>44475.0</v>
      </c>
      <c r="G1022" s="76"/>
      <c r="H1022" s="76"/>
      <c r="I1022" s="73" t="s">
        <v>366</v>
      </c>
      <c r="J1022" s="76"/>
    </row>
    <row r="1023">
      <c r="A1023" s="74">
        <v>1020.0</v>
      </c>
      <c r="B1023" s="73" t="s">
        <v>1194</v>
      </c>
      <c r="C1023" s="74">
        <v>9.01509427E8</v>
      </c>
      <c r="D1023" s="73" t="s">
        <v>1387</v>
      </c>
      <c r="E1023" s="72">
        <v>46645.0</v>
      </c>
      <c r="F1023" s="77">
        <v>44475.0</v>
      </c>
      <c r="G1023" s="76"/>
      <c r="H1023" s="76"/>
      <c r="I1023" s="73" t="s">
        <v>366</v>
      </c>
      <c r="J1023" s="76"/>
    </row>
    <row r="1024">
      <c r="A1024" s="74">
        <v>1021.0</v>
      </c>
      <c r="B1024" s="73" t="s">
        <v>1194</v>
      </c>
      <c r="C1024" s="74">
        <v>9.01509697E8</v>
      </c>
      <c r="D1024" s="73" t="s">
        <v>1388</v>
      </c>
      <c r="E1024" s="72">
        <v>46635.0</v>
      </c>
      <c r="F1024" s="77">
        <v>44475.0</v>
      </c>
      <c r="G1024" s="76"/>
      <c r="H1024" s="76"/>
      <c r="I1024" s="73" t="s">
        <v>366</v>
      </c>
      <c r="J1024" s="76"/>
    </row>
    <row r="1025">
      <c r="A1025" s="74">
        <v>1022.0</v>
      </c>
      <c r="B1025" s="73" t="s">
        <v>1194</v>
      </c>
      <c r="C1025" s="74">
        <v>9.0127128E8</v>
      </c>
      <c r="D1025" s="73" t="s">
        <v>1389</v>
      </c>
      <c r="E1025" s="72">
        <v>47045.0</v>
      </c>
      <c r="F1025" s="77">
        <v>44477.0</v>
      </c>
      <c r="G1025" s="76"/>
      <c r="H1025" s="76"/>
      <c r="I1025" s="73" t="s">
        <v>366</v>
      </c>
      <c r="J1025" s="76"/>
    </row>
    <row r="1026">
      <c r="A1026" s="74">
        <v>1023.0</v>
      </c>
      <c r="B1026" s="73" t="s">
        <v>1194</v>
      </c>
      <c r="C1026" s="74">
        <v>9.01509178E8</v>
      </c>
      <c r="D1026" s="73" t="s">
        <v>1390</v>
      </c>
      <c r="E1026" s="72">
        <v>47185.0</v>
      </c>
      <c r="F1026" s="77">
        <v>44477.0</v>
      </c>
      <c r="G1026" s="76"/>
      <c r="H1026" s="76"/>
      <c r="I1026" s="73" t="s">
        <v>366</v>
      </c>
      <c r="J1026" s="76"/>
    </row>
    <row r="1027">
      <c r="A1027" s="74">
        <v>1024.0</v>
      </c>
      <c r="B1027" s="73" t="s">
        <v>1194</v>
      </c>
      <c r="C1027" s="74">
        <v>9.01509608E8</v>
      </c>
      <c r="D1027" s="73" t="s">
        <v>1391</v>
      </c>
      <c r="E1027" s="72">
        <v>47085.0</v>
      </c>
      <c r="F1027" s="77">
        <v>44477.0</v>
      </c>
      <c r="G1027" s="76"/>
      <c r="H1027" s="76"/>
      <c r="I1027" s="73" t="s">
        <v>366</v>
      </c>
      <c r="J1027" s="76"/>
    </row>
    <row r="1028">
      <c r="A1028" s="74">
        <v>1025.0</v>
      </c>
      <c r="B1028" s="73" t="s">
        <v>1194</v>
      </c>
      <c r="C1028" s="74">
        <v>9.01515261E8</v>
      </c>
      <c r="D1028" s="73" t="s">
        <v>1392</v>
      </c>
      <c r="E1028" s="72">
        <v>47195.0</v>
      </c>
      <c r="F1028" s="77">
        <v>44477.0</v>
      </c>
      <c r="G1028" s="76"/>
      <c r="H1028" s="76"/>
      <c r="I1028" s="73" t="s">
        <v>366</v>
      </c>
      <c r="J1028" s="76"/>
    </row>
    <row r="1029">
      <c r="A1029" s="74">
        <v>1026.0</v>
      </c>
      <c r="B1029" s="73" t="s">
        <v>1194</v>
      </c>
      <c r="C1029" s="74">
        <v>9.00913745E8</v>
      </c>
      <c r="D1029" s="73" t="s">
        <v>1393</v>
      </c>
      <c r="E1029" s="72">
        <v>41195.0</v>
      </c>
      <c r="F1029" s="77">
        <v>44490.0</v>
      </c>
      <c r="G1029" s="76"/>
      <c r="H1029" s="76"/>
      <c r="I1029" s="73" t="s">
        <v>366</v>
      </c>
      <c r="J1029" s="76"/>
    </row>
    <row r="1030">
      <c r="A1030" s="74">
        <v>1027.0</v>
      </c>
      <c r="B1030" s="73" t="s">
        <v>1194</v>
      </c>
      <c r="C1030" s="74">
        <v>9.00785073E8</v>
      </c>
      <c r="D1030" s="73" t="s">
        <v>1394</v>
      </c>
      <c r="E1030" s="72">
        <v>51345.0</v>
      </c>
      <c r="F1030" s="77">
        <v>44497.0</v>
      </c>
      <c r="G1030" s="76"/>
      <c r="H1030" s="76"/>
      <c r="I1030" s="73" t="s">
        <v>366</v>
      </c>
      <c r="J1030" s="76"/>
    </row>
    <row r="1031">
      <c r="A1031" s="74">
        <v>1028.0</v>
      </c>
      <c r="B1031" s="73" t="s">
        <v>1194</v>
      </c>
      <c r="C1031" s="74">
        <v>9.01507502E8</v>
      </c>
      <c r="D1031" s="73" t="s">
        <v>1395</v>
      </c>
      <c r="E1031" s="72">
        <v>51735.0</v>
      </c>
      <c r="F1031" s="77">
        <v>44498.0</v>
      </c>
      <c r="G1031" s="76"/>
      <c r="H1031" s="76"/>
      <c r="I1031" s="73" t="s">
        <v>366</v>
      </c>
      <c r="J1031" s="76"/>
    </row>
    <row r="1032">
      <c r="A1032" s="74">
        <v>1029.0</v>
      </c>
      <c r="B1032" s="73" t="s">
        <v>1194</v>
      </c>
      <c r="C1032" s="74">
        <v>9.0150764E8</v>
      </c>
      <c r="D1032" s="73" t="s">
        <v>1396</v>
      </c>
      <c r="E1032" s="72">
        <v>51745.0</v>
      </c>
      <c r="F1032" s="77">
        <v>44498.0</v>
      </c>
      <c r="G1032" s="76"/>
      <c r="H1032" s="76"/>
      <c r="I1032" s="73" t="s">
        <v>366</v>
      </c>
      <c r="J1032" s="76"/>
    </row>
    <row r="1033">
      <c r="A1033" s="74">
        <v>1030.0</v>
      </c>
      <c r="B1033" s="73" t="s">
        <v>1194</v>
      </c>
      <c r="C1033" s="74">
        <v>9.01508604E8</v>
      </c>
      <c r="D1033" s="73" t="s">
        <v>1397</v>
      </c>
      <c r="E1033" s="72">
        <v>51765.0</v>
      </c>
      <c r="F1033" s="77">
        <v>44498.0</v>
      </c>
      <c r="G1033" s="76"/>
      <c r="H1033" s="76"/>
      <c r="I1033" s="73" t="s">
        <v>366</v>
      </c>
      <c r="J1033" s="76"/>
    </row>
    <row r="1034">
      <c r="A1034" s="74">
        <v>1031.0</v>
      </c>
      <c r="B1034" s="73" t="s">
        <v>1194</v>
      </c>
      <c r="C1034" s="74">
        <v>9.01508728E8</v>
      </c>
      <c r="D1034" s="73" t="s">
        <v>1398</v>
      </c>
      <c r="E1034" s="72">
        <v>51555.0</v>
      </c>
      <c r="F1034" s="77">
        <v>44498.0</v>
      </c>
      <c r="G1034" s="76"/>
      <c r="H1034" s="76"/>
      <c r="I1034" s="73" t="s">
        <v>366</v>
      </c>
      <c r="J1034" s="76"/>
    </row>
    <row r="1035">
      <c r="A1035" s="74">
        <v>1032.0</v>
      </c>
      <c r="B1035" s="73" t="s">
        <v>1194</v>
      </c>
      <c r="C1035" s="74">
        <v>9.01509177E8</v>
      </c>
      <c r="D1035" s="73" t="s">
        <v>1399</v>
      </c>
      <c r="E1035" s="72">
        <v>51705.0</v>
      </c>
      <c r="F1035" s="77">
        <v>44498.0</v>
      </c>
      <c r="G1035" s="76"/>
      <c r="H1035" s="76"/>
      <c r="I1035" s="73" t="s">
        <v>366</v>
      </c>
      <c r="J1035" s="76"/>
    </row>
    <row r="1036">
      <c r="A1036" s="74">
        <v>1033.0</v>
      </c>
      <c r="B1036" s="73" t="s">
        <v>1194</v>
      </c>
      <c r="C1036" s="74">
        <v>9.01529205E8</v>
      </c>
      <c r="D1036" s="73" t="s">
        <v>844</v>
      </c>
      <c r="E1036" s="72">
        <v>52095.0</v>
      </c>
      <c r="F1036" s="77">
        <v>44502.0</v>
      </c>
      <c r="G1036" s="76"/>
      <c r="H1036" s="76"/>
      <c r="I1036" s="73" t="s">
        <v>366</v>
      </c>
      <c r="J1036" s="76"/>
    </row>
    <row r="1037">
      <c r="A1037" s="74">
        <v>1034.0</v>
      </c>
      <c r="B1037" s="73" t="s">
        <v>1194</v>
      </c>
      <c r="C1037" s="74">
        <v>9.01317228E8</v>
      </c>
      <c r="D1037" s="73" t="s">
        <v>1400</v>
      </c>
      <c r="E1037" s="72">
        <v>63555.0</v>
      </c>
      <c r="F1037" s="77">
        <v>44558.0</v>
      </c>
      <c r="G1037" s="76"/>
      <c r="H1037" s="76"/>
      <c r="I1037" s="73" t="s">
        <v>366</v>
      </c>
      <c r="J1037" s="76"/>
    </row>
    <row r="1038">
      <c r="A1038" s="74">
        <v>1035.0</v>
      </c>
      <c r="B1038" s="73" t="s">
        <v>1194</v>
      </c>
      <c r="C1038" s="74">
        <v>9.01551461E8</v>
      </c>
      <c r="D1038" s="73" t="s">
        <v>1401</v>
      </c>
      <c r="E1038" s="72">
        <v>1705.0</v>
      </c>
      <c r="F1038" s="75">
        <v>44575.0</v>
      </c>
      <c r="G1038" s="76"/>
      <c r="H1038" s="76"/>
      <c r="I1038" s="73" t="s">
        <v>366</v>
      </c>
      <c r="J1038" s="76"/>
    </row>
    <row r="1039">
      <c r="A1039" s="74">
        <v>1036.0</v>
      </c>
      <c r="B1039" s="73" t="s">
        <v>1194</v>
      </c>
      <c r="C1039" s="74">
        <v>9.01542871E8</v>
      </c>
      <c r="D1039" s="73" t="s">
        <v>1402</v>
      </c>
      <c r="E1039" s="72">
        <v>23755.0</v>
      </c>
      <c r="F1039" s="75">
        <v>44579.0</v>
      </c>
      <c r="G1039" s="76"/>
      <c r="H1039" s="76"/>
      <c r="I1039" s="73" t="s">
        <v>366</v>
      </c>
      <c r="J1039" s="76"/>
    </row>
    <row r="1040">
      <c r="A1040" s="74">
        <v>1037.0</v>
      </c>
      <c r="B1040" s="73" t="s">
        <v>1194</v>
      </c>
      <c r="C1040" s="74">
        <v>9.01546144E8</v>
      </c>
      <c r="D1040" s="73" t="s">
        <v>1403</v>
      </c>
      <c r="E1040" s="72">
        <v>7045.0</v>
      </c>
      <c r="F1040" s="75">
        <v>44603.0</v>
      </c>
      <c r="G1040" s="76"/>
      <c r="H1040" s="76"/>
      <c r="I1040" s="73" t="s">
        <v>366</v>
      </c>
      <c r="J1040" s="76"/>
    </row>
    <row r="1041">
      <c r="A1041" s="74">
        <v>1038.0</v>
      </c>
      <c r="B1041" s="73" t="s">
        <v>1194</v>
      </c>
      <c r="C1041" s="74">
        <v>9.0130888E8</v>
      </c>
      <c r="D1041" s="73" t="s">
        <v>1404</v>
      </c>
      <c r="E1041" s="72">
        <v>10245.0</v>
      </c>
      <c r="F1041" s="75">
        <v>44621.0</v>
      </c>
      <c r="G1041" s="76"/>
      <c r="H1041" s="76"/>
      <c r="I1041" s="73" t="s">
        <v>366</v>
      </c>
      <c r="J1041" s="76"/>
    </row>
    <row r="1042">
      <c r="A1042" s="74">
        <v>1039.0</v>
      </c>
      <c r="B1042" s="73" t="s">
        <v>1194</v>
      </c>
      <c r="C1042" s="74">
        <v>9.0155022E8</v>
      </c>
      <c r="D1042" s="73" t="s">
        <v>1405</v>
      </c>
      <c r="E1042" s="72">
        <v>11675.0</v>
      </c>
      <c r="F1042" s="75">
        <v>44621.0</v>
      </c>
      <c r="G1042" s="76"/>
      <c r="H1042" s="76"/>
      <c r="I1042" s="73" t="s">
        <v>366</v>
      </c>
      <c r="J1042" s="76"/>
    </row>
    <row r="1043">
      <c r="A1043" s="74">
        <v>1040.0</v>
      </c>
      <c r="B1043" s="73" t="s">
        <v>1194</v>
      </c>
      <c r="C1043" s="74">
        <v>9.01555426E8</v>
      </c>
      <c r="D1043" s="73" t="s">
        <v>1406</v>
      </c>
      <c r="E1043" s="72">
        <v>11685.0</v>
      </c>
      <c r="F1043" s="75">
        <v>44628.0</v>
      </c>
      <c r="G1043" s="76"/>
      <c r="H1043" s="76"/>
      <c r="I1043" s="73" t="s">
        <v>366</v>
      </c>
      <c r="J1043" s="76"/>
    </row>
    <row r="1044">
      <c r="A1044" s="74">
        <v>1041.0</v>
      </c>
      <c r="B1044" s="73" t="s">
        <v>1194</v>
      </c>
      <c r="C1044" s="74">
        <v>9.01570469E8</v>
      </c>
      <c r="D1044" s="73" t="s">
        <v>1407</v>
      </c>
      <c r="E1044" s="72">
        <v>21155.0</v>
      </c>
      <c r="F1044" s="75">
        <v>44673.0</v>
      </c>
      <c r="G1044" s="76"/>
      <c r="H1044" s="76"/>
      <c r="I1044" s="73" t="s">
        <v>366</v>
      </c>
      <c r="J1044" s="76"/>
    </row>
    <row r="1045">
      <c r="A1045" s="74">
        <v>1042.0</v>
      </c>
      <c r="B1045" s="73" t="s">
        <v>1194</v>
      </c>
      <c r="C1045" s="74">
        <v>9.01416965E8</v>
      </c>
      <c r="D1045" s="73" t="s">
        <v>1408</v>
      </c>
      <c r="E1045" s="72">
        <v>21345.0</v>
      </c>
      <c r="F1045" s="75">
        <v>44676.0</v>
      </c>
      <c r="G1045" s="76"/>
      <c r="H1045" s="76"/>
      <c r="I1045" s="73" t="s">
        <v>366</v>
      </c>
      <c r="J1045" s="76"/>
    </row>
    <row r="1046">
      <c r="A1046" s="74">
        <v>1043.0</v>
      </c>
      <c r="B1046" s="73" t="s">
        <v>1194</v>
      </c>
      <c r="C1046" s="74">
        <v>9.01560653E8</v>
      </c>
      <c r="D1046" s="73" t="s">
        <v>1409</v>
      </c>
      <c r="E1046" s="72">
        <v>22905.0</v>
      </c>
      <c r="F1046" s="75">
        <v>44680.0</v>
      </c>
      <c r="G1046" s="76"/>
      <c r="H1046" s="76"/>
      <c r="I1046" s="73" t="s">
        <v>366</v>
      </c>
      <c r="J1046" s="76"/>
    </row>
    <row r="1047">
      <c r="A1047" s="74">
        <v>1044.0</v>
      </c>
      <c r="B1047" s="73" t="s">
        <v>1194</v>
      </c>
      <c r="C1047" s="74">
        <v>9.01567468E8</v>
      </c>
      <c r="D1047" s="73" t="s">
        <v>1410</v>
      </c>
      <c r="E1047" s="72">
        <v>25565.0</v>
      </c>
      <c r="F1047" s="75">
        <v>44691.0</v>
      </c>
      <c r="G1047" s="76"/>
      <c r="H1047" s="76"/>
      <c r="I1047" s="73" t="s">
        <v>366</v>
      </c>
      <c r="J1047" s="76"/>
    </row>
    <row r="1048">
      <c r="A1048" s="74">
        <v>1045.0</v>
      </c>
      <c r="B1048" s="73" t="s">
        <v>1194</v>
      </c>
      <c r="C1048" s="74">
        <v>9.01576721E8</v>
      </c>
      <c r="D1048" s="73" t="s">
        <v>1411</v>
      </c>
      <c r="E1048" s="72">
        <v>25585.0</v>
      </c>
      <c r="F1048" s="75">
        <v>44691.0</v>
      </c>
      <c r="G1048" s="76"/>
      <c r="H1048" s="76"/>
      <c r="I1048" s="73" t="s">
        <v>366</v>
      </c>
      <c r="J1048" s="76"/>
    </row>
    <row r="1049">
      <c r="A1049" s="74">
        <v>1046.0</v>
      </c>
      <c r="B1049" s="73" t="s">
        <v>1194</v>
      </c>
      <c r="C1049" s="74">
        <v>9.01509819E8</v>
      </c>
      <c r="D1049" s="73" t="s">
        <v>1412</v>
      </c>
      <c r="E1049" s="72">
        <v>34075.0</v>
      </c>
      <c r="F1049" s="75">
        <v>44727.0</v>
      </c>
      <c r="G1049" s="76"/>
      <c r="H1049" s="76"/>
      <c r="I1049" s="73" t="s">
        <v>366</v>
      </c>
      <c r="J1049" s="76"/>
    </row>
    <row r="1050">
      <c r="A1050" s="74">
        <v>1047.0</v>
      </c>
      <c r="B1050" s="73" t="s">
        <v>1194</v>
      </c>
      <c r="C1050" s="74">
        <v>9.01508727E8</v>
      </c>
      <c r="D1050" s="73" t="s">
        <v>1413</v>
      </c>
      <c r="E1050" s="72">
        <v>34465.0</v>
      </c>
      <c r="F1050" s="75">
        <v>44728.0</v>
      </c>
      <c r="G1050" s="76"/>
      <c r="H1050" s="76"/>
      <c r="I1050" s="73" t="s">
        <v>366</v>
      </c>
      <c r="J1050" s="76"/>
    </row>
    <row r="1051">
      <c r="A1051" s="74">
        <v>1048.0</v>
      </c>
      <c r="B1051" s="73" t="s">
        <v>1194</v>
      </c>
      <c r="C1051" s="74">
        <v>9.01509175E8</v>
      </c>
      <c r="D1051" s="73" t="s">
        <v>1414</v>
      </c>
      <c r="E1051" s="72">
        <v>34425.0</v>
      </c>
      <c r="F1051" s="75">
        <v>44728.0</v>
      </c>
      <c r="G1051" s="76"/>
      <c r="H1051" s="76"/>
      <c r="I1051" s="73" t="s">
        <v>366</v>
      </c>
      <c r="J1051" s="76"/>
    </row>
    <row r="1052">
      <c r="A1052" s="74">
        <v>1049.0</v>
      </c>
      <c r="B1052" s="73" t="s">
        <v>1194</v>
      </c>
      <c r="C1052" s="74">
        <v>9.01512616E8</v>
      </c>
      <c r="D1052" s="73" t="s">
        <v>1415</v>
      </c>
      <c r="E1052" s="72">
        <v>34455.0</v>
      </c>
      <c r="F1052" s="75">
        <v>44728.0</v>
      </c>
      <c r="G1052" s="76"/>
      <c r="H1052" s="76"/>
      <c r="I1052" s="73" t="s">
        <v>366</v>
      </c>
      <c r="J1052" s="76"/>
    </row>
    <row r="1053">
      <c r="A1053" s="74">
        <v>1050.0</v>
      </c>
      <c r="B1053" s="73" t="s">
        <v>1194</v>
      </c>
      <c r="C1053" s="74">
        <v>9.01578813E8</v>
      </c>
      <c r="D1053" s="73" t="s">
        <v>1416</v>
      </c>
      <c r="E1053" s="72">
        <v>34335.0</v>
      </c>
      <c r="F1053" s="75">
        <v>44728.0</v>
      </c>
      <c r="G1053" s="76"/>
      <c r="H1053" s="76"/>
      <c r="I1053" s="73" t="s">
        <v>366</v>
      </c>
      <c r="J1053" s="76"/>
    </row>
    <row r="1054">
      <c r="A1054" s="74">
        <v>1051.0</v>
      </c>
      <c r="B1054" s="73" t="s">
        <v>1194</v>
      </c>
      <c r="C1054" s="74">
        <v>9.01508141E8</v>
      </c>
      <c r="D1054" s="73" t="s">
        <v>1417</v>
      </c>
      <c r="E1054" s="72">
        <v>37485.0</v>
      </c>
      <c r="F1054" s="75">
        <v>44741.0</v>
      </c>
      <c r="G1054" s="76"/>
      <c r="H1054" s="76"/>
      <c r="I1054" s="73" t="s">
        <v>366</v>
      </c>
      <c r="J1054" s="76"/>
    </row>
    <row r="1055">
      <c r="A1055" s="74">
        <v>1052.0</v>
      </c>
      <c r="B1055" s="73" t="s">
        <v>1194</v>
      </c>
      <c r="C1055" s="74">
        <v>9.01508623E8</v>
      </c>
      <c r="D1055" s="73" t="s">
        <v>1418</v>
      </c>
      <c r="E1055" s="72">
        <v>37515.0</v>
      </c>
      <c r="F1055" s="75">
        <v>44741.0</v>
      </c>
      <c r="G1055" s="76"/>
      <c r="H1055" s="76"/>
      <c r="I1055" s="73" t="s">
        <v>366</v>
      </c>
      <c r="J1055" s="76"/>
    </row>
    <row r="1056">
      <c r="A1056" s="74">
        <v>1053.0</v>
      </c>
      <c r="B1056" s="73" t="s">
        <v>1194</v>
      </c>
      <c r="C1056" s="74">
        <v>9.01511765E8</v>
      </c>
      <c r="D1056" s="73" t="s">
        <v>1419</v>
      </c>
      <c r="E1056" s="72">
        <v>37375.0</v>
      </c>
      <c r="F1056" s="75">
        <v>44741.0</v>
      </c>
      <c r="G1056" s="76"/>
      <c r="H1056" s="76"/>
      <c r="I1056" s="73" t="s">
        <v>366</v>
      </c>
      <c r="J1056" s="76"/>
    </row>
    <row r="1057">
      <c r="A1057" s="74">
        <v>1054.0</v>
      </c>
      <c r="B1057" s="73" t="s">
        <v>1194</v>
      </c>
      <c r="C1057" s="74">
        <v>9.01520485E8</v>
      </c>
      <c r="D1057" s="73" t="s">
        <v>1420</v>
      </c>
      <c r="E1057" s="72">
        <v>37505.0</v>
      </c>
      <c r="F1057" s="75">
        <v>44741.0</v>
      </c>
      <c r="G1057" s="76"/>
      <c r="H1057" s="76"/>
      <c r="I1057" s="73" t="s">
        <v>366</v>
      </c>
      <c r="J1057" s="76"/>
    </row>
    <row r="1058">
      <c r="A1058" s="74">
        <v>1055.0</v>
      </c>
      <c r="B1058" s="73" t="s">
        <v>1194</v>
      </c>
      <c r="C1058" s="74">
        <v>9.0150843E8</v>
      </c>
      <c r="D1058" s="73" t="s">
        <v>1421</v>
      </c>
      <c r="E1058" s="72">
        <v>37845.0</v>
      </c>
      <c r="F1058" s="75">
        <v>44742.0</v>
      </c>
      <c r="G1058" s="76"/>
      <c r="H1058" s="76"/>
      <c r="I1058" s="73" t="s">
        <v>366</v>
      </c>
      <c r="J1058" s="76"/>
    </row>
    <row r="1059">
      <c r="A1059" s="85">
        <v>1056.0</v>
      </c>
      <c r="B1059" s="79" t="s">
        <v>1194</v>
      </c>
      <c r="C1059" s="80">
        <v>9.01269574E8</v>
      </c>
      <c r="D1059" s="79" t="s">
        <v>1422</v>
      </c>
      <c r="E1059" s="81">
        <v>38185.0</v>
      </c>
      <c r="F1059" s="84">
        <v>44743.0</v>
      </c>
      <c r="G1059" s="83"/>
      <c r="H1059" s="83"/>
      <c r="I1059" s="73" t="s">
        <v>366</v>
      </c>
      <c r="J1059" s="76"/>
    </row>
    <row r="1060">
      <c r="A1060" s="74">
        <v>1057.0</v>
      </c>
      <c r="B1060" s="73" t="s">
        <v>1194</v>
      </c>
      <c r="C1060" s="74">
        <v>9.01603285E8</v>
      </c>
      <c r="D1060" s="73" t="s">
        <v>1423</v>
      </c>
      <c r="E1060" s="72">
        <v>41165.0</v>
      </c>
      <c r="F1060" s="75">
        <v>44756.0</v>
      </c>
      <c r="G1060" s="76"/>
      <c r="H1060" s="76"/>
      <c r="I1060" s="73" t="s">
        <v>366</v>
      </c>
      <c r="J1060" s="76"/>
    </row>
    <row r="1061">
      <c r="A1061" s="74">
        <v>1058.0</v>
      </c>
      <c r="B1061" s="73" t="s">
        <v>1194</v>
      </c>
      <c r="C1061" s="74">
        <v>9.01591617E8</v>
      </c>
      <c r="D1061" s="73" t="s">
        <v>1424</v>
      </c>
      <c r="E1061" s="72">
        <v>41585.0</v>
      </c>
      <c r="F1061" s="75">
        <v>44758.0</v>
      </c>
      <c r="G1061" s="76"/>
      <c r="H1061" s="76"/>
      <c r="I1061" s="73" t="s">
        <v>366</v>
      </c>
      <c r="J1061" s="76"/>
    </row>
    <row r="1062">
      <c r="A1062" s="74">
        <v>1059.0</v>
      </c>
      <c r="B1062" s="73" t="s">
        <v>1194</v>
      </c>
      <c r="C1062" s="74">
        <v>9.01529086E8</v>
      </c>
      <c r="D1062" s="73" t="s">
        <v>1425</v>
      </c>
      <c r="E1062" s="72">
        <v>42285.0</v>
      </c>
      <c r="F1062" s="75">
        <v>44763.0</v>
      </c>
      <c r="G1062" s="76"/>
      <c r="H1062" s="76"/>
      <c r="I1062" s="73" t="s">
        <v>366</v>
      </c>
      <c r="J1062" s="76"/>
    </row>
    <row r="1063">
      <c r="A1063" s="74">
        <v>1060.0</v>
      </c>
      <c r="B1063" s="73" t="s">
        <v>1194</v>
      </c>
      <c r="C1063" s="74">
        <v>9.01530577E8</v>
      </c>
      <c r="D1063" s="73" t="s">
        <v>1426</v>
      </c>
      <c r="E1063" s="72">
        <v>44365.0</v>
      </c>
      <c r="F1063" s="75">
        <v>44774.0</v>
      </c>
      <c r="G1063" s="76"/>
      <c r="H1063" s="76"/>
      <c r="I1063" s="73" t="s">
        <v>366</v>
      </c>
      <c r="J1063" s="76"/>
    </row>
    <row r="1064">
      <c r="A1064" s="74">
        <v>1061.0</v>
      </c>
      <c r="B1064" s="73" t="s">
        <v>1194</v>
      </c>
      <c r="C1064" s="74">
        <v>9.00863098E8</v>
      </c>
      <c r="D1064" s="73" t="s">
        <v>1427</v>
      </c>
      <c r="E1064" s="72">
        <v>45325.0</v>
      </c>
      <c r="F1064" s="75">
        <v>44777.0</v>
      </c>
      <c r="G1064" s="76"/>
      <c r="H1064" s="76"/>
      <c r="I1064" s="73" t="s">
        <v>366</v>
      </c>
      <c r="J1064" s="76"/>
    </row>
    <row r="1065">
      <c r="A1065" s="74">
        <v>1062.0</v>
      </c>
      <c r="B1065" s="73" t="s">
        <v>1194</v>
      </c>
      <c r="C1065" s="74">
        <v>9.01001869E8</v>
      </c>
      <c r="D1065" s="73" t="s">
        <v>1428</v>
      </c>
      <c r="E1065" s="72">
        <v>45335.0</v>
      </c>
      <c r="F1065" s="75">
        <v>44777.0</v>
      </c>
      <c r="G1065" s="76"/>
      <c r="H1065" s="76"/>
      <c r="I1065" s="73" t="s">
        <v>366</v>
      </c>
      <c r="J1065" s="76"/>
    </row>
    <row r="1066">
      <c r="A1066" s="74">
        <v>1063.0</v>
      </c>
      <c r="B1066" s="73" t="s">
        <v>1194</v>
      </c>
      <c r="C1066" s="74">
        <v>9.01605004E8</v>
      </c>
      <c r="D1066" s="73" t="s">
        <v>1429</v>
      </c>
      <c r="E1066" s="72">
        <v>45815.0</v>
      </c>
      <c r="F1066" s="75">
        <v>44781.0</v>
      </c>
      <c r="G1066" s="76"/>
      <c r="H1066" s="76"/>
      <c r="I1066" s="73" t="s">
        <v>366</v>
      </c>
      <c r="J1066" s="76"/>
    </row>
    <row r="1067">
      <c r="A1067" s="74">
        <v>1064.0</v>
      </c>
      <c r="B1067" s="73" t="s">
        <v>1194</v>
      </c>
      <c r="C1067" s="74">
        <v>9.014854E8</v>
      </c>
      <c r="D1067" s="73" t="s">
        <v>1430</v>
      </c>
      <c r="E1067" s="72">
        <v>48105.0</v>
      </c>
      <c r="F1067" s="75">
        <v>44790.0</v>
      </c>
      <c r="G1067" s="76"/>
      <c r="H1067" s="76"/>
      <c r="I1067" s="73" t="s">
        <v>366</v>
      </c>
      <c r="J1067" s="76"/>
    </row>
    <row r="1068">
      <c r="A1068" s="74">
        <v>1065.0</v>
      </c>
      <c r="B1068" s="73" t="s">
        <v>1194</v>
      </c>
      <c r="C1068" s="74">
        <v>9.01623528E8</v>
      </c>
      <c r="D1068" s="73" t="s">
        <v>1431</v>
      </c>
      <c r="E1068" s="72">
        <v>1185.0</v>
      </c>
      <c r="F1068" s="75">
        <v>44799.0</v>
      </c>
      <c r="G1068" s="76"/>
      <c r="H1068" s="76"/>
      <c r="I1068" s="73" t="s">
        <v>366</v>
      </c>
      <c r="J1068" s="76"/>
    </row>
    <row r="1069">
      <c r="A1069" s="74">
        <v>1066.0</v>
      </c>
      <c r="B1069" s="73" t="s">
        <v>1194</v>
      </c>
      <c r="C1069" s="74">
        <v>9.01340154E8</v>
      </c>
      <c r="D1069" s="73" t="s">
        <v>1432</v>
      </c>
      <c r="E1069" s="72">
        <v>61695.0</v>
      </c>
      <c r="F1069" s="77">
        <v>44845.0</v>
      </c>
      <c r="G1069" s="76"/>
      <c r="H1069" s="76"/>
      <c r="I1069" s="73" t="s">
        <v>366</v>
      </c>
      <c r="J1069" s="76"/>
    </row>
    <row r="1070">
      <c r="A1070" s="74">
        <v>1067.0</v>
      </c>
      <c r="B1070" s="73" t="s">
        <v>1194</v>
      </c>
      <c r="C1070" s="74">
        <v>9.00584006E8</v>
      </c>
      <c r="D1070" s="73" t="s">
        <v>1433</v>
      </c>
      <c r="E1070" s="72">
        <v>72305.0</v>
      </c>
      <c r="F1070" s="77">
        <v>44895.0</v>
      </c>
      <c r="G1070" s="76"/>
      <c r="H1070" s="76"/>
      <c r="I1070" s="73" t="s">
        <v>366</v>
      </c>
      <c r="J1070" s="76"/>
    </row>
    <row r="1071">
      <c r="A1071" s="74">
        <v>1068.0</v>
      </c>
      <c r="B1071" s="73" t="s">
        <v>1194</v>
      </c>
      <c r="C1071" s="74">
        <v>9.00200129E8</v>
      </c>
      <c r="D1071" s="73" t="s">
        <v>1434</v>
      </c>
      <c r="E1071" s="72">
        <v>74855.0</v>
      </c>
      <c r="F1071" s="77">
        <v>44907.0</v>
      </c>
      <c r="G1071" s="76"/>
      <c r="H1071" s="76"/>
      <c r="I1071" s="73" t="s">
        <v>366</v>
      </c>
      <c r="J1071" s="76"/>
    </row>
    <row r="1072">
      <c r="A1072" s="74">
        <v>1069.0</v>
      </c>
      <c r="B1072" s="73" t="s">
        <v>1194</v>
      </c>
      <c r="C1072" s="74">
        <v>9.01201525E8</v>
      </c>
      <c r="D1072" s="73" t="s">
        <v>1435</v>
      </c>
      <c r="E1072" s="72">
        <v>525.0</v>
      </c>
      <c r="F1072" s="75">
        <v>44937.0</v>
      </c>
      <c r="G1072" s="76"/>
      <c r="H1072" s="76"/>
      <c r="I1072" s="73" t="s">
        <v>366</v>
      </c>
      <c r="J1072" s="76"/>
    </row>
    <row r="1073">
      <c r="A1073" s="74">
        <v>1070.0</v>
      </c>
      <c r="B1073" s="73" t="s">
        <v>1194</v>
      </c>
      <c r="C1073" s="74">
        <v>9.01389375E8</v>
      </c>
      <c r="D1073" s="73" t="s">
        <v>1436</v>
      </c>
      <c r="E1073" s="72">
        <v>845.0</v>
      </c>
      <c r="F1073" s="75">
        <v>44938.0</v>
      </c>
      <c r="G1073" s="76"/>
      <c r="H1073" s="76"/>
      <c r="I1073" s="73" t="s">
        <v>366</v>
      </c>
      <c r="J1073" s="76"/>
    </row>
    <row r="1074">
      <c r="A1074" s="74">
        <v>1071.0</v>
      </c>
      <c r="B1074" s="73" t="s">
        <v>1194</v>
      </c>
      <c r="C1074" s="74">
        <v>9.01630134E8</v>
      </c>
      <c r="D1074" s="73" t="s">
        <v>1437</v>
      </c>
      <c r="E1074" s="72">
        <v>4155.0</v>
      </c>
      <c r="F1074" s="75">
        <v>44963.0</v>
      </c>
      <c r="G1074" s="76"/>
      <c r="H1074" s="76"/>
      <c r="I1074" s="73" t="s">
        <v>366</v>
      </c>
      <c r="J1074" s="76"/>
    </row>
    <row r="1075">
      <c r="A1075" s="74">
        <v>1072.0</v>
      </c>
      <c r="B1075" s="73" t="s">
        <v>1194</v>
      </c>
      <c r="C1075" s="74">
        <v>9.01352795E8</v>
      </c>
      <c r="D1075" s="73" t="s">
        <v>1438</v>
      </c>
      <c r="E1075" s="72">
        <v>6985.0</v>
      </c>
      <c r="F1075" s="75">
        <v>44979.0</v>
      </c>
      <c r="G1075" s="76"/>
      <c r="H1075" s="76"/>
      <c r="I1075" s="73" t="s">
        <v>366</v>
      </c>
      <c r="J1075" s="76"/>
    </row>
    <row r="1076">
      <c r="A1076" s="74">
        <v>1073.0</v>
      </c>
      <c r="B1076" s="73" t="s">
        <v>1194</v>
      </c>
      <c r="C1076" s="74">
        <v>9.01645622E8</v>
      </c>
      <c r="D1076" s="73" t="s">
        <v>1439</v>
      </c>
      <c r="E1076" s="72">
        <v>8615.0</v>
      </c>
      <c r="F1076" s="75">
        <v>44987.0</v>
      </c>
      <c r="G1076" s="76"/>
      <c r="H1076" s="76"/>
      <c r="I1076" s="73" t="s">
        <v>366</v>
      </c>
      <c r="J1076" s="76"/>
    </row>
    <row r="1077">
      <c r="A1077" s="74">
        <v>1074.0</v>
      </c>
      <c r="B1077" s="73" t="s">
        <v>1194</v>
      </c>
      <c r="C1077" s="74">
        <v>9.01631921E8</v>
      </c>
      <c r="D1077" s="73" t="s">
        <v>1440</v>
      </c>
      <c r="E1077" s="72">
        <v>10825.0</v>
      </c>
      <c r="F1077" s="75">
        <v>45000.0</v>
      </c>
      <c r="G1077" s="76"/>
      <c r="H1077" s="76"/>
      <c r="I1077" s="73" t="s">
        <v>366</v>
      </c>
      <c r="J1077" s="76"/>
    </row>
    <row r="1078">
      <c r="A1078" s="74">
        <v>1075.0</v>
      </c>
      <c r="B1078" s="73" t="s">
        <v>1194</v>
      </c>
      <c r="C1078" s="74">
        <v>9.01637697E8</v>
      </c>
      <c r="D1078" s="73" t="s">
        <v>1441</v>
      </c>
      <c r="E1078" s="72">
        <v>10795.0</v>
      </c>
      <c r="F1078" s="75">
        <v>45000.0</v>
      </c>
      <c r="G1078" s="76"/>
      <c r="H1078" s="76"/>
      <c r="I1078" s="73" t="s">
        <v>366</v>
      </c>
      <c r="J1078" s="76"/>
    </row>
    <row r="1079">
      <c r="A1079" s="74">
        <v>1076.0</v>
      </c>
      <c r="B1079" s="73" t="s">
        <v>1194</v>
      </c>
      <c r="C1079" s="74">
        <v>9.01694938E8</v>
      </c>
      <c r="D1079" s="73" t="s">
        <v>1442</v>
      </c>
      <c r="E1079" s="72">
        <v>13435.0</v>
      </c>
      <c r="F1079" s="75">
        <v>45015.0</v>
      </c>
      <c r="G1079" s="76"/>
      <c r="H1079" s="76"/>
      <c r="I1079" s="73" t="s">
        <v>366</v>
      </c>
      <c r="J1079" s="76"/>
    </row>
    <row r="1080">
      <c r="A1080" s="74">
        <v>1077.0</v>
      </c>
      <c r="B1080" s="73" t="s">
        <v>1194</v>
      </c>
      <c r="C1080" s="74">
        <v>9.01509804E8</v>
      </c>
      <c r="D1080" s="73" t="s">
        <v>1443</v>
      </c>
      <c r="E1080" s="72">
        <v>15995.0</v>
      </c>
      <c r="F1080" s="75">
        <v>45040.0</v>
      </c>
      <c r="G1080" s="76"/>
      <c r="H1080" s="76"/>
      <c r="I1080" s="73" t="s">
        <v>366</v>
      </c>
      <c r="J1080" s="76"/>
    </row>
    <row r="1081">
      <c r="A1081" s="74">
        <v>1078.0</v>
      </c>
      <c r="B1081" s="73" t="s">
        <v>1194</v>
      </c>
      <c r="C1081" s="74">
        <v>9.01511644E8</v>
      </c>
      <c r="D1081" s="73" t="s">
        <v>1444</v>
      </c>
      <c r="E1081" s="72">
        <v>16105.0</v>
      </c>
      <c r="F1081" s="75">
        <v>45040.0</v>
      </c>
      <c r="G1081" s="76"/>
      <c r="H1081" s="76"/>
      <c r="I1081" s="73" t="s">
        <v>366</v>
      </c>
      <c r="J1081" s="76"/>
    </row>
    <row r="1082">
      <c r="A1082" s="74">
        <v>1079.0</v>
      </c>
      <c r="B1082" s="73" t="s">
        <v>1194</v>
      </c>
      <c r="C1082" s="74">
        <v>9.01647976E8</v>
      </c>
      <c r="D1082" s="73" t="s">
        <v>1445</v>
      </c>
      <c r="E1082" s="72">
        <v>17515.0</v>
      </c>
      <c r="F1082" s="75">
        <v>45049.0</v>
      </c>
      <c r="G1082" s="76"/>
      <c r="H1082" s="76"/>
      <c r="I1082" s="73" t="s">
        <v>366</v>
      </c>
      <c r="J1082" s="76"/>
    </row>
    <row r="1083">
      <c r="A1083" s="74">
        <v>1080.0</v>
      </c>
      <c r="B1083" s="73" t="s">
        <v>1194</v>
      </c>
      <c r="C1083" s="74">
        <v>9.01608343E8</v>
      </c>
      <c r="D1083" s="73" t="s">
        <v>1446</v>
      </c>
      <c r="E1083" s="72">
        <v>18125.0</v>
      </c>
      <c r="F1083" s="75">
        <v>45054.0</v>
      </c>
      <c r="G1083" s="76"/>
      <c r="H1083" s="76"/>
      <c r="I1083" s="73" t="s">
        <v>366</v>
      </c>
      <c r="J1083" s="76"/>
    </row>
    <row r="1084">
      <c r="A1084" s="74">
        <v>1081.0</v>
      </c>
      <c r="B1084" s="73" t="s">
        <v>1194</v>
      </c>
      <c r="C1084" s="74">
        <v>9.01275443E8</v>
      </c>
      <c r="D1084" s="73" t="s">
        <v>1447</v>
      </c>
      <c r="E1084" s="72">
        <v>21495.0</v>
      </c>
      <c r="F1084" s="75">
        <v>45072.0</v>
      </c>
      <c r="G1084" s="76"/>
      <c r="H1084" s="76"/>
      <c r="I1084" s="73" t="s">
        <v>366</v>
      </c>
      <c r="J1084" s="76"/>
    </row>
    <row r="1085">
      <c r="A1085" s="74">
        <v>1082.0</v>
      </c>
      <c r="B1085" s="73" t="s">
        <v>1194</v>
      </c>
      <c r="C1085" s="74">
        <v>9.01588305E8</v>
      </c>
      <c r="D1085" s="73" t="s">
        <v>1448</v>
      </c>
      <c r="E1085" s="72">
        <v>25385.0</v>
      </c>
      <c r="F1085" s="75">
        <v>45097.0</v>
      </c>
      <c r="G1085" s="76"/>
      <c r="H1085" s="76"/>
      <c r="I1085" s="73" t="s">
        <v>366</v>
      </c>
      <c r="J1085" s="76"/>
    </row>
    <row r="1086">
      <c r="A1086" s="74">
        <v>1083.0</v>
      </c>
      <c r="B1086" s="73" t="s">
        <v>1194</v>
      </c>
      <c r="C1086" s="74">
        <v>9.01507371E8</v>
      </c>
      <c r="D1086" s="73" t="s">
        <v>1449</v>
      </c>
      <c r="E1086" s="72">
        <v>25365.0</v>
      </c>
      <c r="F1086" s="75">
        <v>45098.0</v>
      </c>
      <c r="G1086" s="76"/>
      <c r="H1086" s="76"/>
      <c r="I1086" s="73" t="s">
        <v>366</v>
      </c>
      <c r="J1086" s="76"/>
    </row>
    <row r="1087">
      <c r="A1087" s="74">
        <v>1084.0</v>
      </c>
      <c r="B1087" s="73" t="s">
        <v>1194</v>
      </c>
      <c r="C1087" s="74">
        <v>9.01112446E8</v>
      </c>
      <c r="D1087" s="73" t="s">
        <v>1450</v>
      </c>
      <c r="E1087" s="72">
        <v>26795.0</v>
      </c>
      <c r="F1087" s="75">
        <v>45105.0</v>
      </c>
      <c r="G1087" s="76"/>
      <c r="H1087" s="76"/>
      <c r="I1087" s="73" t="s">
        <v>366</v>
      </c>
      <c r="J1087" s="76"/>
    </row>
    <row r="1088">
      <c r="A1088" s="74">
        <v>1085.0</v>
      </c>
      <c r="B1088" s="73" t="s">
        <v>1194</v>
      </c>
      <c r="C1088" s="74">
        <v>9.01510284E8</v>
      </c>
      <c r="D1088" s="73" t="s">
        <v>1451</v>
      </c>
      <c r="E1088" s="72">
        <v>31185.0</v>
      </c>
      <c r="F1088" s="75">
        <v>45131.0</v>
      </c>
      <c r="G1088" s="76"/>
      <c r="H1088" s="76"/>
      <c r="I1088" s="73" t="s">
        <v>366</v>
      </c>
      <c r="J1088" s="76"/>
    </row>
    <row r="1089">
      <c r="A1089" s="74">
        <v>1086.0</v>
      </c>
      <c r="B1089" s="73" t="s">
        <v>1194</v>
      </c>
      <c r="C1089" s="74">
        <v>9.01730465E8</v>
      </c>
      <c r="D1089" s="73" t="s">
        <v>1452</v>
      </c>
      <c r="E1089" s="72">
        <v>32235.0</v>
      </c>
      <c r="F1089" s="75">
        <v>45135.0</v>
      </c>
      <c r="G1089" s="76"/>
      <c r="H1089" s="76"/>
      <c r="I1089" s="73" t="s">
        <v>366</v>
      </c>
      <c r="J1089" s="76"/>
    </row>
    <row r="1090">
      <c r="A1090" s="74">
        <v>1087.0</v>
      </c>
      <c r="B1090" s="73" t="s">
        <v>1194</v>
      </c>
      <c r="C1090" s="74">
        <v>9.00294104E8</v>
      </c>
      <c r="D1090" s="73" t="s">
        <v>1453</v>
      </c>
      <c r="E1090" s="72">
        <v>34055.0</v>
      </c>
      <c r="F1090" s="75">
        <v>45148.0</v>
      </c>
      <c r="G1090" s="76"/>
      <c r="H1090" s="76"/>
      <c r="I1090" s="73" t="s">
        <v>366</v>
      </c>
      <c r="J1090" s="76"/>
    </row>
    <row r="1091">
      <c r="A1091" s="74">
        <v>1088.0</v>
      </c>
      <c r="B1091" s="73" t="s">
        <v>1194</v>
      </c>
      <c r="C1091" s="74">
        <v>9.01533208E8</v>
      </c>
      <c r="D1091" s="73" t="s">
        <v>1454</v>
      </c>
      <c r="E1091" s="72">
        <v>36095.0</v>
      </c>
      <c r="F1091" s="75">
        <v>45161.0</v>
      </c>
      <c r="G1091" s="76"/>
      <c r="H1091" s="76"/>
      <c r="I1091" s="73" t="s">
        <v>366</v>
      </c>
      <c r="J1091" s="76"/>
    </row>
    <row r="1092">
      <c r="A1092" s="74">
        <v>1089.0</v>
      </c>
      <c r="B1092" s="73" t="s">
        <v>1194</v>
      </c>
      <c r="C1092" s="74">
        <v>9.01739257E8</v>
      </c>
      <c r="D1092" s="73" t="s">
        <v>1455</v>
      </c>
      <c r="E1092" s="72">
        <v>36015.0</v>
      </c>
      <c r="F1092" s="75">
        <v>45161.0</v>
      </c>
      <c r="G1092" s="76"/>
      <c r="H1092" s="76"/>
      <c r="I1092" s="73" t="s">
        <v>366</v>
      </c>
      <c r="J1092" s="76"/>
    </row>
    <row r="1093">
      <c r="A1093" s="74">
        <v>1090.0</v>
      </c>
      <c r="B1093" s="73" t="s">
        <v>1194</v>
      </c>
      <c r="C1093" s="74">
        <v>9.01738895E8</v>
      </c>
      <c r="D1093" s="73" t="s">
        <v>1456</v>
      </c>
      <c r="E1093" s="72">
        <v>2.0232130040715E13</v>
      </c>
      <c r="F1093" s="75">
        <v>45190.0</v>
      </c>
      <c r="G1093" s="76"/>
      <c r="H1093" s="76"/>
      <c r="I1093" s="73" t="s">
        <v>366</v>
      </c>
      <c r="J1093" s="76"/>
    </row>
    <row r="1094">
      <c r="A1094" s="74">
        <v>1091.0</v>
      </c>
      <c r="B1094" s="73" t="s">
        <v>1194</v>
      </c>
      <c r="C1094" s="74">
        <v>9.01508088E8</v>
      </c>
      <c r="D1094" s="73" t="s">
        <v>1457</v>
      </c>
      <c r="E1094" s="72">
        <v>2.0232130041965E13</v>
      </c>
      <c r="F1094" s="75">
        <v>45197.0</v>
      </c>
      <c r="G1094" s="76"/>
      <c r="H1094" s="76"/>
      <c r="I1094" s="73" t="s">
        <v>366</v>
      </c>
      <c r="J1094" s="76"/>
    </row>
    <row r="1095">
      <c r="A1095" s="74">
        <v>1092.0</v>
      </c>
      <c r="B1095" s="73" t="s">
        <v>1194</v>
      </c>
      <c r="C1095" s="74">
        <v>9.0150814E8</v>
      </c>
      <c r="D1095" s="73" t="s">
        <v>1458</v>
      </c>
      <c r="E1095" s="72">
        <v>2.0232130041955E13</v>
      </c>
      <c r="F1095" s="75">
        <v>45197.0</v>
      </c>
      <c r="G1095" s="76"/>
      <c r="H1095" s="76"/>
      <c r="I1095" s="73" t="s">
        <v>366</v>
      </c>
      <c r="J1095" s="76"/>
    </row>
    <row r="1096">
      <c r="A1096" s="74">
        <v>1093.0</v>
      </c>
      <c r="B1096" s="73" t="s">
        <v>1194</v>
      </c>
      <c r="C1096" s="74">
        <v>9.0174705E8</v>
      </c>
      <c r="D1096" s="73" t="s">
        <v>1459</v>
      </c>
      <c r="E1096" s="72">
        <v>2.0232130041905E13</v>
      </c>
      <c r="F1096" s="75">
        <v>45197.0</v>
      </c>
      <c r="G1096" s="76"/>
      <c r="H1096" s="76"/>
      <c r="I1096" s="73" t="s">
        <v>366</v>
      </c>
      <c r="J1096" s="76"/>
    </row>
    <row r="1097">
      <c r="A1097" s="74">
        <v>1094.0</v>
      </c>
      <c r="B1097" s="73" t="s">
        <v>1194</v>
      </c>
      <c r="C1097" s="74">
        <v>9.01587884E8</v>
      </c>
      <c r="D1097" s="73" t="s">
        <v>1460</v>
      </c>
      <c r="E1097" s="72">
        <v>2.0232130047705E13</v>
      </c>
      <c r="F1097" s="77">
        <v>45233.0</v>
      </c>
      <c r="G1097" s="76"/>
      <c r="H1097" s="76"/>
      <c r="I1097" s="73" t="s">
        <v>366</v>
      </c>
      <c r="J1097" s="76"/>
    </row>
    <row r="1098">
      <c r="A1098" s="74">
        <v>1095.0</v>
      </c>
      <c r="B1098" s="73" t="s">
        <v>1194</v>
      </c>
      <c r="C1098" s="74">
        <v>9.01509609E8</v>
      </c>
      <c r="D1098" s="73" t="s">
        <v>1461</v>
      </c>
      <c r="E1098" s="72">
        <v>2.0232130051465E13</v>
      </c>
      <c r="F1098" s="77">
        <v>45258.0</v>
      </c>
      <c r="G1098" s="76"/>
      <c r="H1098" s="76"/>
      <c r="I1098" s="73" t="s">
        <v>366</v>
      </c>
      <c r="J1098" s="76"/>
    </row>
    <row r="1099">
      <c r="A1099" s="74">
        <v>1096.0</v>
      </c>
      <c r="B1099" s="73" t="s">
        <v>1194</v>
      </c>
      <c r="C1099" s="74">
        <v>9.01574929E8</v>
      </c>
      <c r="D1099" s="73" t="s">
        <v>1462</v>
      </c>
      <c r="E1099" s="72">
        <v>2.0232130056175E13</v>
      </c>
      <c r="F1099" s="77">
        <v>45278.0</v>
      </c>
      <c r="G1099" s="76"/>
      <c r="H1099" s="76"/>
      <c r="I1099" s="73" t="s">
        <v>366</v>
      </c>
      <c r="J1099" s="76"/>
    </row>
    <row r="1100">
      <c r="A1100" s="74">
        <v>1097.0</v>
      </c>
      <c r="B1100" s="73" t="s">
        <v>1194</v>
      </c>
      <c r="C1100" s="74">
        <v>9.01472205E8</v>
      </c>
      <c r="D1100" s="73" t="s">
        <v>1463</v>
      </c>
      <c r="E1100" s="72">
        <v>2.0232130057885E13</v>
      </c>
      <c r="F1100" s="77">
        <v>45282.0</v>
      </c>
      <c r="G1100" s="76"/>
      <c r="H1100" s="76"/>
      <c r="I1100" s="73" t="s">
        <v>366</v>
      </c>
      <c r="J1100" s="76"/>
    </row>
    <row r="1101">
      <c r="A1101" s="74">
        <v>1098.0</v>
      </c>
      <c r="B1101" s="73" t="s">
        <v>1194</v>
      </c>
      <c r="C1101" s="74">
        <v>9.01691877E8</v>
      </c>
      <c r="D1101" s="73" t="s">
        <v>1464</v>
      </c>
      <c r="E1101" s="72">
        <v>2.0242130000335E13</v>
      </c>
      <c r="F1101" s="75">
        <v>45300.0</v>
      </c>
      <c r="G1101" s="76"/>
      <c r="H1101" s="76"/>
      <c r="I1101" s="73" t="s">
        <v>366</v>
      </c>
      <c r="J1101" s="76"/>
    </row>
    <row r="1102">
      <c r="A1102" s="74">
        <v>1099.0</v>
      </c>
      <c r="B1102" s="73" t="s">
        <v>1194</v>
      </c>
      <c r="C1102" s="74">
        <v>9.01783923E8</v>
      </c>
      <c r="D1102" s="73" t="s">
        <v>1465</v>
      </c>
      <c r="E1102" s="72">
        <v>2.0242130000365E13</v>
      </c>
      <c r="F1102" s="75">
        <v>45300.0</v>
      </c>
      <c r="G1102" s="76"/>
      <c r="H1102" s="76"/>
      <c r="I1102" s="73" t="s">
        <v>366</v>
      </c>
      <c r="J1102" s="76"/>
    </row>
    <row r="1103">
      <c r="A1103" s="74">
        <v>1100.0</v>
      </c>
      <c r="B1103" s="73" t="s">
        <v>1194</v>
      </c>
      <c r="C1103" s="74">
        <v>9.01123829E8</v>
      </c>
      <c r="D1103" s="73" t="s">
        <v>1466</v>
      </c>
      <c r="E1103" s="72">
        <v>2.0242130000855E13</v>
      </c>
      <c r="F1103" s="75">
        <v>45303.0</v>
      </c>
      <c r="G1103" s="76"/>
      <c r="H1103" s="76"/>
      <c r="I1103" s="73" t="s">
        <v>366</v>
      </c>
      <c r="J1103" s="76"/>
    </row>
    <row r="1104">
      <c r="A1104" s="74">
        <v>1101.0</v>
      </c>
      <c r="B1104" s="73" t="s">
        <v>1194</v>
      </c>
      <c r="C1104" s="74">
        <v>9.01740724E8</v>
      </c>
      <c r="D1104" s="73" t="s">
        <v>1467</v>
      </c>
      <c r="E1104" s="72">
        <v>2.0242130002915E13</v>
      </c>
      <c r="F1104" s="75">
        <v>45322.0</v>
      </c>
      <c r="G1104" s="76"/>
      <c r="H1104" s="76"/>
      <c r="I1104" s="73" t="s">
        <v>366</v>
      </c>
      <c r="J1104" s="76"/>
    </row>
    <row r="1105">
      <c r="A1105" s="74">
        <v>1102.0</v>
      </c>
      <c r="B1105" s="73" t="s">
        <v>1194</v>
      </c>
      <c r="C1105" s="74">
        <v>9.01783154E8</v>
      </c>
      <c r="D1105" s="73" t="s">
        <v>1468</v>
      </c>
      <c r="E1105" s="72">
        <v>2.0242130002925E13</v>
      </c>
      <c r="F1105" s="75">
        <v>45322.0</v>
      </c>
      <c r="G1105" s="76"/>
      <c r="H1105" s="76"/>
      <c r="I1105" s="73" t="s">
        <v>366</v>
      </c>
      <c r="J1105" s="76"/>
    </row>
    <row r="1106">
      <c r="A1106" s="74">
        <v>1103.0</v>
      </c>
      <c r="B1106" s="73" t="s">
        <v>1194</v>
      </c>
      <c r="C1106" s="74">
        <v>9.01777581E8</v>
      </c>
      <c r="D1106" s="73" t="s">
        <v>1469</v>
      </c>
      <c r="E1106" s="72">
        <v>2.0242130003665E13</v>
      </c>
      <c r="F1106" s="75">
        <v>45324.0</v>
      </c>
      <c r="G1106" s="76"/>
      <c r="H1106" s="76"/>
      <c r="I1106" s="73" t="s">
        <v>366</v>
      </c>
      <c r="J1106" s="76"/>
    </row>
    <row r="1107">
      <c r="A1107" s="74">
        <v>1104.0</v>
      </c>
      <c r="B1107" s="73" t="s">
        <v>1194</v>
      </c>
      <c r="C1107" s="74">
        <v>9.01768762E8</v>
      </c>
      <c r="D1107" s="73" t="s">
        <v>1470</v>
      </c>
      <c r="E1107" s="72">
        <v>2.0242130004505E13</v>
      </c>
      <c r="F1107" s="75">
        <v>45329.0</v>
      </c>
      <c r="G1107" s="76"/>
      <c r="H1107" s="76"/>
      <c r="I1107" s="73" t="s">
        <v>366</v>
      </c>
      <c r="J1107" s="76"/>
    </row>
    <row r="1108">
      <c r="A1108" s="74">
        <v>1105.0</v>
      </c>
      <c r="B1108" s="73" t="s">
        <v>1194</v>
      </c>
      <c r="C1108" s="74">
        <v>9.01769449E8</v>
      </c>
      <c r="D1108" s="73" t="s">
        <v>1471</v>
      </c>
      <c r="E1108" s="72">
        <v>2.0242130004595E13</v>
      </c>
      <c r="F1108" s="75">
        <v>45330.0</v>
      </c>
      <c r="G1108" s="76"/>
      <c r="H1108" s="76"/>
      <c r="I1108" s="73" t="s">
        <v>366</v>
      </c>
      <c r="J1108" s="76"/>
    </row>
    <row r="1109">
      <c r="A1109" s="74">
        <v>1106.0</v>
      </c>
      <c r="B1109" s="73" t="s">
        <v>1194</v>
      </c>
      <c r="C1109" s="74">
        <v>9.01677877E8</v>
      </c>
      <c r="D1109" s="73" t="s">
        <v>1472</v>
      </c>
      <c r="E1109" s="72">
        <v>2.0242130004575E13</v>
      </c>
      <c r="F1109" s="75">
        <v>45331.0</v>
      </c>
      <c r="G1109" s="76"/>
      <c r="H1109" s="76"/>
      <c r="I1109" s="73" t="s">
        <v>366</v>
      </c>
      <c r="J1109" s="76"/>
    </row>
    <row r="1110">
      <c r="A1110" s="74">
        <v>1107.0</v>
      </c>
      <c r="B1110" s="73" t="s">
        <v>1194</v>
      </c>
      <c r="C1110" s="74">
        <v>9.00886696E8</v>
      </c>
      <c r="D1110" s="73" t="s">
        <v>1473</v>
      </c>
      <c r="E1110" s="72">
        <v>2.0242130006505E13</v>
      </c>
      <c r="F1110" s="75">
        <v>45342.0</v>
      </c>
      <c r="G1110" s="76"/>
      <c r="H1110" s="76"/>
      <c r="I1110" s="73" t="s">
        <v>366</v>
      </c>
      <c r="J1110" s="76"/>
    </row>
    <row r="1111">
      <c r="A1111" s="74">
        <v>1108.0</v>
      </c>
      <c r="B1111" s="73" t="s">
        <v>1194</v>
      </c>
      <c r="C1111" s="74">
        <v>9.01045892E8</v>
      </c>
      <c r="D1111" s="73" t="s">
        <v>1474</v>
      </c>
      <c r="E1111" s="72">
        <v>2.0242130009915E13</v>
      </c>
      <c r="F1111" s="75">
        <v>45358.0</v>
      </c>
      <c r="G1111" s="76"/>
      <c r="H1111" s="76"/>
      <c r="I1111" s="73" t="s">
        <v>366</v>
      </c>
      <c r="J1111" s="76"/>
    </row>
    <row r="1112">
      <c r="A1112" s="85">
        <v>1109.0</v>
      </c>
      <c r="B1112" s="79" t="s">
        <v>1194</v>
      </c>
      <c r="C1112" s="80">
        <v>9.01772249E8</v>
      </c>
      <c r="D1112" s="79" t="s">
        <v>1475</v>
      </c>
      <c r="E1112" s="81">
        <v>2.0242130010295E13</v>
      </c>
      <c r="F1112" s="84">
        <v>45362.0</v>
      </c>
      <c r="G1112" s="83"/>
      <c r="H1112" s="83"/>
      <c r="I1112" s="73" t="s">
        <v>366</v>
      </c>
      <c r="J1112" s="76"/>
    </row>
    <row r="1113">
      <c r="A1113" s="74">
        <v>1110.0</v>
      </c>
      <c r="B1113" s="73" t="s">
        <v>1194</v>
      </c>
      <c r="C1113" s="74">
        <v>9.01605061E8</v>
      </c>
      <c r="D1113" s="73" t="s">
        <v>1476</v>
      </c>
      <c r="E1113" s="72">
        <v>2.0242130011065E13</v>
      </c>
      <c r="F1113" s="75">
        <v>45366.0</v>
      </c>
      <c r="G1113" s="76"/>
      <c r="H1113" s="76"/>
      <c r="I1113" s="73" t="s">
        <v>366</v>
      </c>
      <c r="J1113" s="76"/>
    </row>
    <row r="1114">
      <c r="A1114" s="74">
        <v>1111.0</v>
      </c>
      <c r="B1114" s="73" t="s">
        <v>1194</v>
      </c>
      <c r="C1114" s="74">
        <v>9.01776822E8</v>
      </c>
      <c r="D1114" s="73" t="s">
        <v>1477</v>
      </c>
      <c r="E1114" s="72">
        <v>2.0242130011045E13</v>
      </c>
      <c r="F1114" s="75">
        <v>45366.0</v>
      </c>
      <c r="G1114" s="76"/>
      <c r="H1114" s="76"/>
      <c r="I1114" s="73" t="s">
        <v>366</v>
      </c>
      <c r="J1114" s="76"/>
    </row>
    <row r="1115">
      <c r="A1115" s="74">
        <v>1112.0</v>
      </c>
      <c r="B1115" s="73" t="s">
        <v>1194</v>
      </c>
      <c r="C1115" s="74">
        <v>9.01777932E8</v>
      </c>
      <c r="D1115" s="73" t="s">
        <v>1478</v>
      </c>
      <c r="E1115" s="72">
        <v>2.0242130011775E13</v>
      </c>
      <c r="F1115" s="75">
        <v>45372.0</v>
      </c>
      <c r="G1115" s="76"/>
      <c r="H1115" s="76"/>
      <c r="I1115" s="73" t="s">
        <v>366</v>
      </c>
      <c r="J1115" s="76"/>
    </row>
    <row r="1116">
      <c r="A1116" s="74">
        <v>1113.0</v>
      </c>
      <c r="B1116" s="73" t="s">
        <v>1194</v>
      </c>
      <c r="C1116" s="74">
        <v>9.00658614E8</v>
      </c>
      <c r="D1116" s="73" t="s">
        <v>1479</v>
      </c>
      <c r="E1116" s="72">
        <v>2.0242130012195E13</v>
      </c>
      <c r="F1116" s="75">
        <v>45373.0</v>
      </c>
      <c r="G1116" s="76"/>
      <c r="H1116" s="76"/>
      <c r="I1116" s="73" t="s">
        <v>366</v>
      </c>
      <c r="J1116" s="76"/>
    </row>
    <row r="1117">
      <c r="A1117" s="74">
        <v>1114.0</v>
      </c>
      <c r="B1117" s="73" t="s">
        <v>1194</v>
      </c>
      <c r="C1117" s="74">
        <v>9.0089053E8</v>
      </c>
      <c r="D1117" s="73" t="s">
        <v>1480</v>
      </c>
      <c r="E1117" s="72">
        <v>2.0242130015085E13</v>
      </c>
      <c r="F1117" s="75">
        <v>45393.0</v>
      </c>
      <c r="G1117" s="76"/>
      <c r="H1117" s="76"/>
      <c r="I1117" s="73" t="s">
        <v>366</v>
      </c>
      <c r="J1117" s="76"/>
    </row>
    <row r="1118">
      <c r="A1118" s="74">
        <v>1115.0</v>
      </c>
      <c r="B1118" s="73" t="s">
        <v>1194</v>
      </c>
      <c r="C1118" s="74">
        <v>9.00702087E8</v>
      </c>
      <c r="D1118" s="73" t="s">
        <v>1481</v>
      </c>
      <c r="E1118" s="72">
        <v>2.0242130026745E13</v>
      </c>
      <c r="F1118" s="75">
        <v>45457.0</v>
      </c>
      <c r="G1118" s="76"/>
      <c r="H1118" s="76"/>
      <c r="I1118" s="73" t="s">
        <v>366</v>
      </c>
      <c r="J1118" s="76"/>
    </row>
    <row r="1119">
      <c r="A1119" s="74">
        <v>1116.0</v>
      </c>
      <c r="B1119" s="73" t="s">
        <v>1194</v>
      </c>
      <c r="C1119" s="74">
        <v>9.01184624E8</v>
      </c>
      <c r="D1119" s="73" t="s">
        <v>1482</v>
      </c>
      <c r="E1119" s="72">
        <v>2.0242130027405E13</v>
      </c>
      <c r="F1119" s="75">
        <v>45462.0</v>
      </c>
      <c r="G1119" s="76"/>
      <c r="H1119" s="76"/>
      <c r="I1119" s="73" t="s">
        <v>366</v>
      </c>
      <c r="J1119" s="76"/>
    </row>
    <row r="1120">
      <c r="A1120" s="74">
        <v>1117.0</v>
      </c>
      <c r="B1120" s="73" t="s">
        <v>1194</v>
      </c>
      <c r="C1120" s="74">
        <v>9.01826242E8</v>
      </c>
      <c r="D1120" s="73" t="s">
        <v>1483</v>
      </c>
      <c r="E1120" s="72">
        <v>2.0242130036425E13</v>
      </c>
      <c r="F1120" s="75">
        <v>45506.0</v>
      </c>
      <c r="G1120" s="76"/>
      <c r="H1120" s="76"/>
      <c r="I1120" s="73" t="s">
        <v>366</v>
      </c>
      <c r="J1120" s="76"/>
    </row>
    <row r="1121">
      <c r="A1121" s="74">
        <v>1118.0</v>
      </c>
      <c r="B1121" s="73" t="s">
        <v>1194</v>
      </c>
      <c r="C1121" s="74">
        <v>9.01803728E8</v>
      </c>
      <c r="D1121" s="73" t="s">
        <v>1484</v>
      </c>
      <c r="E1121" s="72">
        <v>2.0242130040325E13</v>
      </c>
      <c r="F1121" s="75">
        <v>45530.0</v>
      </c>
      <c r="G1121" s="76"/>
      <c r="H1121" s="76"/>
      <c r="I1121" s="73" t="s">
        <v>366</v>
      </c>
      <c r="J1121" s="76"/>
    </row>
    <row r="1122">
      <c r="A1122" s="74">
        <v>1119.0</v>
      </c>
      <c r="B1122" s="73" t="s">
        <v>1194</v>
      </c>
      <c r="C1122" s="74">
        <v>9.01826231E8</v>
      </c>
      <c r="D1122" s="73" t="s">
        <v>1485</v>
      </c>
      <c r="E1122" s="72">
        <v>2.0242130036865E13</v>
      </c>
      <c r="F1122" s="75">
        <v>45541.0</v>
      </c>
      <c r="G1122" s="76"/>
      <c r="H1122" s="76"/>
      <c r="I1122" s="73" t="s">
        <v>366</v>
      </c>
      <c r="J1122" s="76"/>
    </row>
    <row r="1123">
      <c r="A1123" s="74">
        <v>1120.0</v>
      </c>
      <c r="B1123" s="73" t="s">
        <v>1194</v>
      </c>
      <c r="C1123" s="74">
        <v>9.01748108E8</v>
      </c>
      <c r="D1123" s="73" t="s">
        <v>1486</v>
      </c>
      <c r="E1123" s="72">
        <v>2.0242130044065E13</v>
      </c>
      <c r="F1123" s="75">
        <v>45547.0</v>
      </c>
      <c r="G1123" s="76"/>
      <c r="H1123" s="76"/>
      <c r="I1123" s="73" t="s">
        <v>366</v>
      </c>
      <c r="J1123" s="76"/>
    </row>
    <row r="1124">
      <c r="A1124" s="74">
        <v>1121.0</v>
      </c>
      <c r="B1124" s="73" t="s">
        <v>1194</v>
      </c>
      <c r="C1124" s="74">
        <v>9.01085534E8</v>
      </c>
      <c r="D1124" s="73" t="s">
        <v>1487</v>
      </c>
      <c r="E1124" s="72">
        <v>2.0242130044255E13</v>
      </c>
      <c r="F1124" s="75">
        <v>45548.0</v>
      </c>
      <c r="G1124" s="76"/>
      <c r="H1124" s="76"/>
      <c r="I1124" s="73" t="s">
        <v>366</v>
      </c>
      <c r="J1124" s="76"/>
    </row>
    <row r="1125">
      <c r="A1125" s="74">
        <v>1122.0</v>
      </c>
      <c r="B1125" s="73" t="s">
        <v>1194</v>
      </c>
      <c r="C1125" s="74">
        <v>9.01840824E8</v>
      </c>
      <c r="D1125" s="73" t="s">
        <v>1488</v>
      </c>
      <c r="E1125" s="72">
        <v>2.0242130047525E13</v>
      </c>
      <c r="F1125" s="77">
        <v>45566.0</v>
      </c>
      <c r="G1125" s="76"/>
      <c r="H1125" s="76"/>
      <c r="I1125" s="73" t="s">
        <v>366</v>
      </c>
      <c r="J1125" s="76"/>
    </row>
    <row r="1126">
      <c r="A1126" s="74">
        <v>1123.0</v>
      </c>
      <c r="B1126" s="73" t="s">
        <v>1194</v>
      </c>
      <c r="C1126" s="74">
        <v>9.0130946E8</v>
      </c>
      <c r="D1126" s="73" t="s">
        <v>1489</v>
      </c>
      <c r="E1126" s="72">
        <v>2.0242130048625E13</v>
      </c>
      <c r="F1126" s="77">
        <v>45572.0</v>
      </c>
      <c r="G1126" s="76"/>
      <c r="H1126" s="76"/>
      <c r="I1126" s="73" t="s">
        <v>366</v>
      </c>
      <c r="J1126" s="76"/>
    </row>
    <row r="1127">
      <c r="A1127" s="74">
        <v>1124.0</v>
      </c>
      <c r="B1127" s="73" t="s">
        <v>1194</v>
      </c>
      <c r="C1127" s="74">
        <v>9.01848212E8</v>
      </c>
      <c r="D1127" s="73" t="s">
        <v>1490</v>
      </c>
      <c r="E1127" s="72">
        <v>2.0242130049155E13</v>
      </c>
      <c r="F1127" s="77">
        <v>45574.0</v>
      </c>
      <c r="G1127" s="76"/>
      <c r="H1127" s="76"/>
      <c r="I1127" s="73" t="s">
        <v>366</v>
      </c>
      <c r="J1127" s="76"/>
    </row>
    <row r="1128">
      <c r="A1128" s="74">
        <v>1125.0</v>
      </c>
      <c r="B1128" s="73" t="s">
        <v>1194</v>
      </c>
      <c r="C1128" s="74">
        <v>9.01858554E8</v>
      </c>
      <c r="D1128" s="73" t="s">
        <v>1491</v>
      </c>
      <c r="E1128" s="72">
        <v>2.0242130049965E13</v>
      </c>
      <c r="F1128" s="77">
        <v>45580.0</v>
      </c>
      <c r="G1128" s="76"/>
      <c r="H1128" s="76"/>
      <c r="I1128" s="73" t="s">
        <v>366</v>
      </c>
      <c r="J1128" s="76"/>
    </row>
    <row r="1129">
      <c r="A1129" s="74">
        <v>1126.0</v>
      </c>
      <c r="B1129" s="73" t="s">
        <v>1194</v>
      </c>
      <c r="C1129" s="74">
        <v>9.00847667E8</v>
      </c>
      <c r="D1129" s="73" t="s">
        <v>1492</v>
      </c>
      <c r="E1129" s="72">
        <v>2.0242130052895E13</v>
      </c>
      <c r="F1129" s="77">
        <v>45594.0</v>
      </c>
      <c r="G1129" s="76"/>
      <c r="H1129" s="76"/>
      <c r="I1129" s="73" t="s">
        <v>366</v>
      </c>
      <c r="J1129" s="76"/>
    </row>
    <row r="1130">
      <c r="A1130" s="74">
        <v>1127.0</v>
      </c>
      <c r="B1130" s="73" t="s">
        <v>1194</v>
      </c>
      <c r="C1130" s="74">
        <v>9.01875512E8</v>
      </c>
      <c r="D1130" s="73" t="s">
        <v>1493</v>
      </c>
      <c r="E1130" s="72">
        <v>2.0242130057745E13</v>
      </c>
      <c r="F1130" s="77">
        <v>45623.0</v>
      </c>
      <c r="G1130" s="76"/>
      <c r="H1130" s="76"/>
      <c r="I1130" s="73" t="s">
        <v>366</v>
      </c>
      <c r="J1130" s="76"/>
    </row>
    <row r="1131">
      <c r="A1131" s="74">
        <v>1128.0</v>
      </c>
      <c r="B1131" s="73" t="s">
        <v>1194</v>
      </c>
      <c r="C1131" s="74">
        <v>9.01887165E8</v>
      </c>
      <c r="D1131" s="73" t="s">
        <v>1494</v>
      </c>
      <c r="E1131" s="72">
        <v>2.0242130063925E13</v>
      </c>
      <c r="F1131" s="77">
        <v>45652.0</v>
      </c>
      <c r="G1131" s="76"/>
      <c r="H1131" s="76"/>
      <c r="I1131" s="73" t="s">
        <v>366</v>
      </c>
      <c r="J1131" s="76"/>
    </row>
    <row r="1132">
      <c r="A1132" s="74">
        <v>1129.0</v>
      </c>
      <c r="B1132" s="73" t="s">
        <v>1194</v>
      </c>
      <c r="C1132" s="74">
        <v>9.01888868E8</v>
      </c>
      <c r="D1132" s="73" t="s">
        <v>1495</v>
      </c>
      <c r="E1132" s="72">
        <v>2.0242130063935E13</v>
      </c>
      <c r="F1132" s="77">
        <v>45652.0</v>
      </c>
      <c r="G1132" s="76"/>
      <c r="H1132" s="76"/>
      <c r="I1132" s="73" t="s">
        <v>366</v>
      </c>
      <c r="J1132" s="76"/>
    </row>
    <row r="1133">
      <c r="A1133" s="74">
        <v>1130.0</v>
      </c>
      <c r="B1133" s="73" t="s">
        <v>1194</v>
      </c>
      <c r="C1133" s="74">
        <v>9.01890016E8</v>
      </c>
      <c r="D1133" s="73" t="s">
        <v>1496</v>
      </c>
      <c r="E1133" s="72">
        <v>2.0242130064375E13</v>
      </c>
      <c r="F1133" s="77">
        <v>45653.0</v>
      </c>
      <c r="G1133" s="76"/>
      <c r="H1133" s="76"/>
      <c r="I1133" s="73" t="s">
        <v>366</v>
      </c>
      <c r="J1133" s="76"/>
    </row>
    <row r="1134">
      <c r="A1134" s="74">
        <v>1131.0</v>
      </c>
      <c r="B1134" s="73" t="s">
        <v>1194</v>
      </c>
      <c r="C1134" s="74">
        <v>9.01627942E8</v>
      </c>
      <c r="D1134" s="73" t="s">
        <v>1497</v>
      </c>
      <c r="E1134" s="72">
        <v>2.0253040000655E13</v>
      </c>
      <c r="F1134" s="75">
        <v>45673.0</v>
      </c>
      <c r="G1134" s="76"/>
      <c r="H1134" s="76"/>
      <c r="I1134" s="73" t="s">
        <v>366</v>
      </c>
      <c r="J1134" s="76"/>
    </row>
    <row r="1135">
      <c r="A1135" s="74">
        <v>1132.0</v>
      </c>
      <c r="B1135" s="73" t="s">
        <v>1194</v>
      </c>
      <c r="C1135" s="74">
        <v>9.0189335E8</v>
      </c>
      <c r="D1135" s="73" t="s">
        <v>1498</v>
      </c>
      <c r="E1135" s="72">
        <v>2.0253040000895E13</v>
      </c>
      <c r="F1135" s="75">
        <v>45674.0</v>
      </c>
      <c r="G1135" s="76"/>
      <c r="H1135" s="76"/>
      <c r="I1135" s="73" t="s">
        <v>366</v>
      </c>
      <c r="J1135" s="76"/>
    </row>
    <row r="1136">
      <c r="A1136" s="74">
        <v>1133.0</v>
      </c>
      <c r="B1136" s="73" t="s">
        <v>1194</v>
      </c>
      <c r="C1136" s="74">
        <v>9.01904494E8</v>
      </c>
      <c r="D1136" s="73" t="s">
        <v>1499</v>
      </c>
      <c r="E1136" s="72">
        <v>2.0253040005625E13</v>
      </c>
      <c r="F1136" s="75">
        <v>45712.0</v>
      </c>
      <c r="G1136" s="76"/>
      <c r="H1136" s="76"/>
      <c r="I1136" s="73" t="s">
        <v>366</v>
      </c>
      <c r="J1136" s="76"/>
    </row>
    <row r="1137">
      <c r="A1137" s="74">
        <v>1134.0</v>
      </c>
      <c r="B1137" s="73" t="s">
        <v>1194</v>
      </c>
      <c r="C1137" s="74">
        <v>9.01896354E8</v>
      </c>
      <c r="D1137" s="73" t="s">
        <v>1500</v>
      </c>
      <c r="E1137" s="72">
        <v>2.0253040005615E13</v>
      </c>
      <c r="F1137" s="75">
        <v>45712.0</v>
      </c>
      <c r="G1137" s="76"/>
      <c r="H1137" s="76"/>
      <c r="I1137" s="73" t="s">
        <v>366</v>
      </c>
      <c r="J1137" s="76"/>
    </row>
    <row r="1138">
      <c r="A1138" s="74">
        <v>1135.0</v>
      </c>
      <c r="B1138" s="73" t="s">
        <v>1501</v>
      </c>
      <c r="C1138" s="74">
        <v>8.32000217E8</v>
      </c>
      <c r="D1138" s="73" t="s">
        <v>1502</v>
      </c>
      <c r="E1138" s="72">
        <v>319.0</v>
      </c>
      <c r="F1138" s="77">
        <v>36508.0</v>
      </c>
      <c r="G1138" s="76"/>
      <c r="H1138" s="76"/>
      <c r="I1138" s="73" t="s">
        <v>366</v>
      </c>
      <c r="J1138" s="76"/>
    </row>
    <row r="1139">
      <c r="A1139" s="74">
        <v>1136.0</v>
      </c>
      <c r="B1139" s="73" t="s">
        <v>1501</v>
      </c>
      <c r="C1139" s="74">
        <v>8.0013631E8</v>
      </c>
      <c r="D1139" s="73" t="s">
        <v>1503</v>
      </c>
      <c r="E1139" s="72">
        <v>321.0</v>
      </c>
      <c r="F1139" s="77">
        <v>36516.0</v>
      </c>
      <c r="G1139" s="76"/>
      <c r="H1139" s="76"/>
      <c r="I1139" s="73" t="s">
        <v>366</v>
      </c>
      <c r="J1139" s="76"/>
    </row>
    <row r="1140">
      <c r="A1140" s="74">
        <v>1137.0</v>
      </c>
      <c r="B1140" s="73" t="s">
        <v>1501</v>
      </c>
      <c r="C1140" s="74">
        <v>8.26001767E8</v>
      </c>
      <c r="D1140" s="73" t="s">
        <v>1504</v>
      </c>
      <c r="E1140" s="72">
        <v>325.0</v>
      </c>
      <c r="F1140" s="77">
        <v>36518.0</v>
      </c>
      <c r="G1140" s="76"/>
      <c r="H1140" s="76"/>
      <c r="I1140" s="73" t="s">
        <v>366</v>
      </c>
      <c r="J1140" s="76"/>
    </row>
    <row r="1141">
      <c r="A1141" s="74">
        <v>1138.0</v>
      </c>
      <c r="B1141" s="73" t="s">
        <v>1501</v>
      </c>
      <c r="C1141" s="74">
        <v>8.26001705E8</v>
      </c>
      <c r="D1141" s="73" t="s">
        <v>1505</v>
      </c>
      <c r="E1141" s="72">
        <v>90.0</v>
      </c>
      <c r="F1141" s="75">
        <v>36586.0</v>
      </c>
      <c r="G1141" s="76"/>
      <c r="H1141" s="76"/>
      <c r="I1141" s="73" t="s">
        <v>366</v>
      </c>
      <c r="J1141" s="76"/>
    </row>
    <row r="1142">
      <c r="A1142" s="74">
        <v>1139.0</v>
      </c>
      <c r="B1142" s="73" t="s">
        <v>1501</v>
      </c>
      <c r="C1142" s="74">
        <v>8.44000205E8</v>
      </c>
      <c r="D1142" s="73" t="s">
        <v>1506</v>
      </c>
      <c r="E1142" s="72">
        <v>1.0</v>
      </c>
      <c r="F1142" s="75">
        <v>36627.0</v>
      </c>
      <c r="G1142" s="72">
        <v>91.0</v>
      </c>
      <c r="H1142" s="77">
        <v>42295.0</v>
      </c>
      <c r="I1142" s="73" t="s">
        <v>366</v>
      </c>
      <c r="J1142" s="76"/>
    </row>
    <row r="1143">
      <c r="A1143" s="74">
        <v>1140.0</v>
      </c>
      <c r="B1143" s="73" t="s">
        <v>1501</v>
      </c>
      <c r="C1143" s="74">
        <v>8.26001502E8</v>
      </c>
      <c r="D1143" s="73" t="s">
        <v>1507</v>
      </c>
      <c r="E1143" s="72">
        <v>4.0</v>
      </c>
      <c r="F1143" s="75">
        <v>36642.0</v>
      </c>
      <c r="G1143" s="76"/>
      <c r="H1143" s="76"/>
      <c r="I1143" s="73" t="s">
        <v>366</v>
      </c>
      <c r="J1143" s="76"/>
    </row>
    <row r="1144">
      <c r="A1144" s="74">
        <v>1141.0</v>
      </c>
      <c r="B1144" s="73" t="s">
        <v>1501</v>
      </c>
      <c r="C1144" s="74">
        <v>8.00213811E8</v>
      </c>
      <c r="D1144" s="73" t="s">
        <v>1508</v>
      </c>
      <c r="E1144" s="72">
        <v>6.0</v>
      </c>
      <c r="F1144" s="75">
        <v>36658.0</v>
      </c>
      <c r="G1144" s="76"/>
      <c r="H1144" s="76"/>
      <c r="I1144" s="73" t="s">
        <v>366</v>
      </c>
      <c r="J1144" s="76"/>
    </row>
    <row r="1145">
      <c r="A1145" s="74">
        <v>1142.0</v>
      </c>
      <c r="B1145" s="73" t="s">
        <v>1501</v>
      </c>
      <c r="C1145" s="74">
        <v>8.26000851E8</v>
      </c>
      <c r="D1145" s="73" t="s">
        <v>1509</v>
      </c>
      <c r="E1145" s="72">
        <v>25.0</v>
      </c>
      <c r="F1145" s="75">
        <v>36766.0</v>
      </c>
      <c r="G1145" s="76"/>
      <c r="H1145" s="76"/>
      <c r="I1145" s="73" t="s">
        <v>366</v>
      </c>
      <c r="J1145" s="76"/>
    </row>
    <row r="1146">
      <c r="A1146" s="74">
        <v>1143.0</v>
      </c>
      <c r="B1146" s="73" t="s">
        <v>1501</v>
      </c>
      <c r="C1146" s="74">
        <v>8.44001863E8</v>
      </c>
      <c r="D1146" s="73" t="s">
        <v>1510</v>
      </c>
      <c r="E1146" s="72">
        <v>119.0</v>
      </c>
      <c r="F1146" s="77">
        <v>36819.0</v>
      </c>
      <c r="G1146" s="76"/>
      <c r="H1146" s="76"/>
      <c r="I1146" s="73" t="s">
        <v>366</v>
      </c>
      <c r="J1146" s="76"/>
    </row>
    <row r="1147">
      <c r="A1147" s="74">
        <v>1144.0</v>
      </c>
      <c r="B1147" s="73" t="s">
        <v>1501</v>
      </c>
      <c r="C1147" s="74">
        <v>8.26001735E8</v>
      </c>
      <c r="D1147" s="73" t="s">
        <v>1511</v>
      </c>
      <c r="E1147" s="72">
        <v>1118.0</v>
      </c>
      <c r="F1147" s="77">
        <v>36819.0</v>
      </c>
      <c r="G1147" s="76"/>
      <c r="H1147" s="76"/>
      <c r="I1147" s="73" t="s">
        <v>366</v>
      </c>
      <c r="J1147" s="76"/>
    </row>
    <row r="1148">
      <c r="A1148" s="74">
        <v>1145.0</v>
      </c>
      <c r="B1148" s="73" t="s">
        <v>1501</v>
      </c>
      <c r="C1148" s="74">
        <v>8.00178864E8</v>
      </c>
      <c r="D1148" s="73" t="s">
        <v>1512</v>
      </c>
      <c r="E1148" s="72">
        <v>223.0</v>
      </c>
      <c r="F1148" s="77">
        <v>36840.0</v>
      </c>
      <c r="G1148" s="76"/>
      <c r="H1148" s="76"/>
      <c r="I1148" s="73" t="s">
        <v>366</v>
      </c>
      <c r="J1148" s="76"/>
    </row>
    <row r="1149">
      <c r="A1149" s="74">
        <v>1146.0</v>
      </c>
      <c r="B1149" s="73" t="s">
        <v>1501</v>
      </c>
      <c r="C1149" s="74">
        <v>8.00178864E8</v>
      </c>
      <c r="D1149" s="73" t="s">
        <v>1513</v>
      </c>
      <c r="E1149" s="72">
        <v>223.0</v>
      </c>
      <c r="F1149" s="77">
        <v>36840.0</v>
      </c>
      <c r="G1149" s="76"/>
      <c r="H1149" s="76"/>
      <c r="I1149" s="73" t="s">
        <v>366</v>
      </c>
      <c r="J1149" s="76"/>
    </row>
    <row r="1150">
      <c r="A1150" s="74">
        <v>1147.0</v>
      </c>
      <c r="B1150" s="73" t="s">
        <v>1501</v>
      </c>
      <c r="C1150" s="74">
        <v>8.00171328E8</v>
      </c>
      <c r="D1150" s="73" t="s">
        <v>1514</v>
      </c>
      <c r="E1150" s="72">
        <v>224.0</v>
      </c>
      <c r="F1150" s="77">
        <v>36854.0</v>
      </c>
      <c r="G1150" s="76"/>
      <c r="H1150" s="76"/>
      <c r="I1150" s="73" t="s">
        <v>366</v>
      </c>
      <c r="J1150" s="76"/>
    </row>
    <row r="1151">
      <c r="A1151" s="74">
        <v>1148.0</v>
      </c>
      <c r="B1151" s="73" t="s">
        <v>1501</v>
      </c>
      <c r="C1151" s="74">
        <v>8.00244321E8</v>
      </c>
      <c r="D1151" s="73" t="s">
        <v>1515</v>
      </c>
      <c r="E1151" s="72">
        <v>293.0</v>
      </c>
      <c r="F1151" s="77">
        <v>36878.0</v>
      </c>
      <c r="G1151" s="76"/>
      <c r="H1151" s="76"/>
      <c r="I1151" s="73" t="s">
        <v>366</v>
      </c>
      <c r="J1151" s="76"/>
    </row>
    <row r="1152">
      <c r="A1152" s="74">
        <v>1149.0</v>
      </c>
      <c r="B1152" s="73" t="s">
        <v>1501</v>
      </c>
      <c r="C1152" s="74">
        <v>8.91800208E8</v>
      </c>
      <c r="D1152" s="73" t="s">
        <v>1516</v>
      </c>
      <c r="E1152" s="72">
        <v>17.0</v>
      </c>
      <c r="F1152" s="75">
        <v>36937.0</v>
      </c>
      <c r="G1152" s="76"/>
      <c r="H1152" s="76"/>
      <c r="I1152" s="73" t="s">
        <v>366</v>
      </c>
      <c r="J1152" s="76"/>
    </row>
    <row r="1153">
      <c r="A1153" s="74">
        <v>1150.0</v>
      </c>
      <c r="B1153" s="73" t="s">
        <v>1501</v>
      </c>
      <c r="C1153" s="74">
        <v>8.44002349E8</v>
      </c>
      <c r="D1153" s="73" t="s">
        <v>1517</v>
      </c>
      <c r="E1153" s="72">
        <v>21.0</v>
      </c>
      <c r="F1153" s="75">
        <v>36948.0</v>
      </c>
      <c r="G1153" s="76"/>
      <c r="H1153" s="76"/>
      <c r="I1153" s="73" t="s">
        <v>366</v>
      </c>
      <c r="J1153" s="76"/>
    </row>
    <row r="1154">
      <c r="A1154" s="74">
        <v>1151.0</v>
      </c>
      <c r="B1154" s="73" t="s">
        <v>1501</v>
      </c>
      <c r="C1154" s="74">
        <v>8.26001705E8</v>
      </c>
      <c r="D1154" s="73" t="s">
        <v>1505</v>
      </c>
      <c r="E1154" s="72">
        <v>90.0</v>
      </c>
      <c r="F1154" s="75">
        <v>36951.0</v>
      </c>
      <c r="G1154" s="76"/>
      <c r="H1154" s="76"/>
      <c r="I1154" s="73" t="s">
        <v>366</v>
      </c>
      <c r="J1154" s="76"/>
    </row>
    <row r="1155">
      <c r="A1155" s="74">
        <v>1152.0</v>
      </c>
      <c r="B1155" s="73" t="s">
        <v>1501</v>
      </c>
      <c r="C1155" s="74">
        <v>8.91800045E8</v>
      </c>
      <c r="D1155" s="73" t="s">
        <v>1518</v>
      </c>
      <c r="E1155" s="72">
        <v>80.0</v>
      </c>
      <c r="F1155" s="75">
        <v>36966.0</v>
      </c>
      <c r="G1155" s="76"/>
      <c r="H1155" s="76"/>
      <c r="I1155" s="73" t="s">
        <v>366</v>
      </c>
      <c r="J1155" s="76"/>
    </row>
    <row r="1156">
      <c r="A1156" s="74">
        <v>1153.0</v>
      </c>
      <c r="B1156" s="73" t="s">
        <v>1501</v>
      </c>
      <c r="C1156" s="74">
        <v>8.00092348E8</v>
      </c>
      <c r="D1156" s="73" t="s">
        <v>1519</v>
      </c>
      <c r="E1156" s="72">
        <v>82.0</v>
      </c>
      <c r="F1156" s="75">
        <v>36972.0</v>
      </c>
      <c r="G1156" s="76"/>
      <c r="H1156" s="76"/>
      <c r="I1156" s="73" t="s">
        <v>366</v>
      </c>
      <c r="J1156" s="76"/>
    </row>
    <row r="1157">
      <c r="A1157" s="74">
        <v>1154.0</v>
      </c>
      <c r="B1157" s="73" t="s">
        <v>1501</v>
      </c>
      <c r="C1157" s="74">
        <v>8.00145434E8</v>
      </c>
      <c r="D1157" s="73" t="s">
        <v>1520</v>
      </c>
      <c r="E1157" s="72">
        <v>102.0</v>
      </c>
      <c r="F1157" s="75">
        <v>36992.0</v>
      </c>
      <c r="G1157" s="76"/>
      <c r="H1157" s="76"/>
      <c r="I1157" s="73" t="s">
        <v>366</v>
      </c>
      <c r="J1157" s="76"/>
    </row>
    <row r="1158">
      <c r="A1158" s="74">
        <v>1155.0</v>
      </c>
      <c r="B1158" s="73" t="s">
        <v>1501</v>
      </c>
      <c r="C1158" s="74">
        <v>8.00110717E8</v>
      </c>
      <c r="D1158" s="73" t="s">
        <v>1521</v>
      </c>
      <c r="E1158" s="72">
        <v>133.0</v>
      </c>
      <c r="F1158" s="75">
        <v>37034.0</v>
      </c>
      <c r="G1158" s="76"/>
      <c r="H1158" s="76"/>
      <c r="I1158" s="73" t="s">
        <v>366</v>
      </c>
      <c r="J1158" s="76"/>
    </row>
    <row r="1159">
      <c r="A1159" s="74">
        <v>1156.0</v>
      </c>
      <c r="B1159" s="73" t="s">
        <v>1501</v>
      </c>
      <c r="C1159" s="74">
        <v>8.00180861E8</v>
      </c>
      <c r="D1159" s="73" t="s">
        <v>1522</v>
      </c>
      <c r="E1159" s="72">
        <v>193.0</v>
      </c>
      <c r="F1159" s="75">
        <v>37081.0</v>
      </c>
      <c r="G1159" s="76"/>
      <c r="H1159" s="76"/>
      <c r="I1159" s="73" t="s">
        <v>366</v>
      </c>
      <c r="J1159" s="76"/>
    </row>
    <row r="1160">
      <c r="A1160" s="74">
        <v>1157.0</v>
      </c>
      <c r="B1160" s="73" t="s">
        <v>1501</v>
      </c>
      <c r="C1160" s="74">
        <v>8.00253162E8</v>
      </c>
      <c r="D1160" s="73" t="s">
        <v>1523</v>
      </c>
      <c r="E1160" s="72">
        <v>226.0</v>
      </c>
      <c r="F1160" s="75">
        <v>37084.0</v>
      </c>
      <c r="G1160" s="76"/>
      <c r="H1160" s="76"/>
      <c r="I1160" s="73" t="s">
        <v>366</v>
      </c>
      <c r="J1160" s="76"/>
    </row>
    <row r="1161">
      <c r="A1161" s="74">
        <v>1158.0</v>
      </c>
      <c r="B1161" s="73" t="s">
        <v>1501</v>
      </c>
      <c r="C1161" s="74">
        <v>8.91857894E8</v>
      </c>
      <c r="D1161" s="73" t="s">
        <v>1524</v>
      </c>
      <c r="E1161" s="72">
        <v>227.0</v>
      </c>
      <c r="F1161" s="75">
        <v>37084.0</v>
      </c>
      <c r="G1161" s="76"/>
      <c r="H1161" s="76"/>
      <c r="I1161" s="73" t="s">
        <v>366</v>
      </c>
      <c r="J1161" s="76"/>
    </row>
    <row r="1162">
      <c r="A1162" s="74">
        <v>1159.0</v>
      </c>
      <c r="B1162" s="73" t="s">
        <v>1501</v>
      </c>
      <c r="C1162" s="74">
        <v>8.20000086E8</v>
      </c>
      <c r="D1162" s="73" t="s">
        <v>1525</v>
      </c>
      <c r="E1162" s="72">
        <v>235.0</v>
      </c>
      <c r="F1162" s="75">
        <v>37095.0</v>
      </c>
      <c r="G1162" s="72">
        <v>2.0253040003345E13</v>
      </c>
      <c r="H1162" s="75">
        <v>45695.0</v>
      </c>
      <c r="I1162" s="73" t="s">
        <v>366</v>
      </c>
      <c r="J1162" s="73" t="s">
        <v>1526</v>
      </c>
    </row>
    <row r="1163">
      <c r="A1163" s="74">
        <v>1160.0</v>
      </c>
      <c r="B1163" s="73" t="s">
        <v>1501</v>
      </c>
      <c r="C1163" s="74">
        <v>8.00168408E8</v>
      </c>
      <c r="D1163" s="73" t="s">
        <v>1527</v>
      </c>
      <c r="E1163" s="72">
        <v>254.0</v>
      </c>
      <c r="F1163" s="75">
        <v>37124.0</v>
      </c>
      <c r="G1163" s="76"/>
      <c r="H1163" s="76"/>
      <c r="I1163" s="73" t="s">
        <v>366</v>
      </c>
      <c r="J1163" s="76"/>
    </row>
    <row r="1164">
      <c r="A1164" s="74">
        <v>1161.0</v>
      </c>
      <c r="B1164" s="73" t="s">
        <v>1501</v>
      </c>
      <c r="C1164" s="74">
        <v>8.32000591E8</v>
      </c>
      <c r="D1164" s="73" t="s">
        <v>1528</v>
      </c>
      <c r="E1164" s="72">
        <v>334.0</v>
      </c>
      <c r="F1164" s="77">
        <v>37183.0</v>
      </c>
      <c r="G1164" s="72">
        <v>15.0</v>
      </c>
      <c r="H1164" s="75">
        <v>42459.0</v>
      </c>
      <c r="I1164" s="73" t="s">
        <v>366</v>
      </c>
      <c r="J1164" s="76"/>
    </row>
    <row r="1165">
      <c r="A1165" s="85">
        <v>1162.0</v>
      </c>
      <c r="B1165" s="79" t="s">
        <v>1501</v>
      </c>
      <c r="C1165" s="80">
        <v>8.44002912E8</v>
      </c>
      <c r="D1165" s="79" t="s">
        <v>1529</v>
      </c>
      <c r="E1165" s="81">
        <v>343.0</v>
      </c>
      <c r="F1165" s="82">
        <v>37202.0</v>
      </c>
      <c r="G1165" s="83"/>
      <c r="H1165" s="83"/>
      <c r="I1165" s="73" t="s">
        <v>366</v>
      </c>
      <c r="J1165" s="76"/>
    </row>
    <row r="1166">
      <c r="A1166" s="74">
        <v>1163.0</v>
      </c>
      <c r="B1166" s="73" t="s">
        <v>1501</v>
      </c>
      <c r="C1166" s="74">
        <v>8.44002514E8</v>
      </c>
      <c r="D1166" s="73" t="s">
        <v>1530</v>
      </c>
      <c r="E1166" s="72">
        <v>354.0</v>
      </c>
      <c r="F1166" s="77">
        <v>37204.0</v>
      </c>
      <c r="G1166" s="76"/>
      <c r="H1166" s="76"/>
      <c r="I1166" s="73" t="s">
        <v>366</v>
      </c>
      <c r="J1166" s="76"/>
    </row>
    <row r="1167">
      <c r="A1167" s="74">
        <v>1164.0</v>
      </c>
      <c r="B1167" s="73" t="s">
        <v>1501</v>
      </c>
      <c r="C1167" s="74">
        <v>8.44002514E8</v>
      </c>
      <c r="D1167" s="73" t="s">
        <v>1531</v>
      </c>
      <c r="E1167" s="72">
        <v>354.0</v>
      </c>
      <c r="F1167" s="77">
        <v>37204.0</v>
      </c>
      <c r="G1167" s="76"/>
      <c r="H1167" s="76"/>
      <c r="I1167" s="73" t="s">
        <v>366</v>
      </c>
      <c r="J1167" s="76"/>
    </row>
    <row r="1168">
      <c r="A1168" s="74">
        <v>1165.0</v>
      </c>
      <c r="B1168" s="73" t="s">
        <v>1501</v>
      </c>
      <c r="C1168" s="74">
        <v>8.44001363E8</v>
      </c>
      <c r="D1168" s="73" t="s">
        <v>1532</v>
      </c>
      <c r="E1168" s="72">
        <v>357.0</v>
      </c>
      <c r="F1168" s="77">
        <v>37210.0</v>
      </c>
      <c r="G1168" s="76"/>
      <c r="H1168" s="76"/>
      <c r="I1168" s="73" t="s">
        <v>366</v>
      </c>
      <c r="J1168" s="76"/>
    </row>
    <row r="1169">
      <c r="A1169" s="74">
        <v>1166.0</v>
      </c>
      <c r="B1169" s="73" t="s">
        <v>1501</v>
      </c>
      <c r="C1169" s="74">
        <v>8.26002626E8</v>
      </c>
      <c r="D1169" s="73" t="s">
        <v>1533</v>
      </c>
      <c r="E1169" s="72">
        <v>365.0</v>
      </c>
      <c r="F1169" s="77">
        <v>37217.0</v>
      </c>
      <c r="G1169" s="76"/>
      <c r="H1169" s="76"/>
      <c r="I1169" s="73" t="s">
        <v>366</v>
      </c>
      <c r="J1169" s="76"/>
    </row>
    <row r="1170">
      <c r="A1170" s="74">
        <v>1167.0</v>
      </c>
      <c r="B1170" s="73" t="s">
        <v>1501</v>
      </c>
      <c r="C1170" s="74">
        <v>8.00209179E8</v>
      </c>
      <c r="D1170" s="73" t="s">
        <v>1534</v>
      </c>
      <c r="E1170" s="72">
        <v>386.0</v>
      </c>
      <c r="F1170" s="77">
        <v>37235.0</v>
      </c>
      <c r="G1170" s="76"/>
      <c r="H1170" s="76"/>
      <c r="I1170" s="73" t="s">
        <v>366</v>
      </c>
      <c r="J1170" s="76"/>
    </row>
    <row r="1171">
      <c r="A1171" s="74">
        <v>1168.0</v>
      </c>
      <c r="B1171" s="73" t="s">
        <v>1501</v>
      </c>
      <c r="C1171" s="74">
        <v>8.00152509E8</v>
      </c>
      <c r="D1171" s="73" t="s">
        <v>1535</v>
      </c>
      <c r="E1171" s="72">
        <v>427.0</v>
      </c>
      <c r="F1171" s="77">
        <v>37245.0</v>
      </c>
      <c r="G1171" s="76"/>
      <c r="H1171" s="76"/>
      <c r="I1171" s="73" t="s">
        <v>366</v>
      </c>
      <c r="J1171" s="76"/>
    </row>
    <row r="1172">
      <c r="A1172" s="74">
        <v>1169.0</v>
      </c>
      <c r="B1172" s="73" t="s">
        <v>1501</v>
      </c>
      <c r="C1172" s="74">
        <v>8.91857878E8</v>
      </c>
      <c r="D1172" s="73" t="s">
        <v>1536</v>
      </c>
      <c r="E1172" s="72">
        <v>436.0</v>
      </c>
      <c r="F1172" s="77">
        <v>37246.0</v>
      </c>
      <c r="G1172" s="76"/>
      <c r="H1172" s="76"/>
      <c r="I1172" s="73" t="s">
        <v>366</v>
      </c>
      <c r="J1172" s="76"/>
    </row>
    <row r="1173">
      <c r="A1173" s="74">
        <v>1170.0</v>
      </c>
      <c r="B1173" s="73" t="s">
        <v>1501</v>
      </c>
      <c r="C1173" s="74">
        <v>8.26002513E8</v>
      </c>
      <c r="D1173" s="73" t="s">
        <v>1537</v>
      </c>
      <c r="E1173" s="72">
        <v>169.0</v>
      </c>
      <c r="F1173" s="75">
        <v>37365.0</v>
      </c>
      <c r="G1173" s="76"/>
      <c r="H1173" s="76"/>
      <c r="I1173" s="73" t="s">
        <v>366</v>
      </c>
      <c r="J1173" s="76"/>
    </row>
    <row r="1174">
      <c r="A1174" s="74">
        <v>1171.0</v>
      </c>
      <c r="B1174" s="73" t="s">
        <v>1501</v>
      </c>
      <c r="C1174" s="74">
        <v>8.26002563E8</v>
      </c>
      <c r="D1174" s="73" t="s">
        <v>1538</v>
      </c>
      <c r="E1174" s="72">
        <v>194.0</v>
      </c>
      <c r="F1174" s="75">
        <v>37383.0</v>
      </c>
      <c r="G1174" s="76"/>
      <c r="H1174" s="76"/>
      <c r="I1174" s="73" t="s">
        <v>366</v>
      </c>
      <c r="J1174" s="76"/>
    </row>
    <row r="1175">
      <c r="A1175" s="74">
        <v>1172.0</v>
      </c>
      <c r="B1175" s="73" t="s">
        <v>1501</v>
      </c>
      <c r="C1175" s="74">
        <v>8.91800432E8</v>
      </c>
      <c r="D1175" s="73" t="s">
        <v>1539</v>
      </c>
      <c r="E1175" s="72">
        <v>197.0</v>
      </c>
      <c r="F1175" s="75">
        <v>37385.0</v>
      </c>
      <c r="G1175" s="76"/>
      <c r="H1175" s="76"/>
      <c r="I1175" s="73" t="s">
        <v>366</v>
      </c>
      <c r="J1175" s="76"/>
    </row>
    <row r="1176">
      <c r="A1176" s="74">
        <v>1173.0</v>
      </c>
      <c r="B1176" s="73" t="s">
        <v>1501</v>
      </c>
      <c r="C1176" s="74">
        <v>8.91855332E8</v>
      </c>
      <c r="D1176" s="73" t="s">
        <v>1540</v>
      </c>
      <c r="E1176" s="72">
        <v>196.0</v>
      </c>
      <c r="F1176" s="75">
        <v>37385.0</v>
      </c>
      <c r="G1176" s="76"/>
      <c r="H1176" s="76"/>
      <c r="I1176" s="73" t="s">
        <v>366</v>
      </c>
      <c r="J1176" s="76"/>
    </row>
    <row r="1177">
      <c r="A1177" s="74">
        <v>1174.0</v>
      </c>
      <c r="B1177" s="73" t="s">
        <v>1501</v>
      </c>
      <c r="C1177" s="74">
        <v>8.91800075E8</v>
      </c>
      <c r="D1177" s="73" t="s">
        <v>1541</v>
      </c>
      <c r="E1177" s="72">
        <v>217.0</v>
      </c>
      <c r="F1177" s="75">
        <v>37393.0</v>
      </c>
      <c r="G1177" s="76"/>
      <c r="H1177" s="76"/>
      <c r="I1177" s="73" t="s">
        <v>366</v>
      </c>
      <c r="J1177" s="76"/>
    </row>
    <row r="1178">
      <c r="A1178" s="74">
        <v>1175.0</v>
      </c>
      <c r="B1178" s="73" t="s">
        <v>1501</v>
      </c>
      <c r="C1178" s="74">
        <v>8.91800203E8</v>
      </c>
      <c r="D1178" s="73" t="s">
        <v>1542</v>
      </c>
      <c r="E1178" s="72">
        <v>214.0</v>
      </c>
      <c r="F1178" s="75">
        <v>37393.0</v>
      </c>
      <c r="G1178" s="76"/>
      <c r="H1178" s="76"/>
      <c r="I1178" s="73" t="s">
        <v>366</v>
      </c>
      <c r="J1178" s="76"/>
    </row>
    <row r="1179">
      <c r="A1179" s="74">
        <v>1176.0</v>
      </c>
      <c r="B1179" s="73" t="s">
        <v>1501</v>
      </c>
      <c r="C1179" s="74">
        <v>8.91856709E8</v>
      </c>
      <c r="D1179" s="73" t="s">
        <v>1543</v>
      </c>
      <c r="E1179" s="72">
        <v>237.0</v>
      </c>
      <c r="F1179" s="75">
        <v>37404.0</v>
      </c>
      <c r="G1179" s="76"/>
      <c r="H1179" s="76"/>
      <c r="I1179" s="73" t="s">
        <v>366</v>
      </c>
      <c r="J1179" s="76"/>
    </row>
    <row r="1180">
      <c r="A1180" s="74">
        <v>1177.0</v>
      </c>
      <c r="B1180" s="73" t="s">
        <v>1501</v>
      </c>
      <c r="C1180" s="74">
        <v>8.05021621E8</v>
      </c>
      <c r="D1180" s="73" t="s">
        <v>1544</v>
      </c>
      <c r="E1180" s="72">
        <v>552.0</v>
      </c>
      <c r="F1180" s="75">
        <v>37452.0</v>
      </c>
      <c r="G1180" s="76"/>
      <c r="H1180" s="76"/>
      <c r="I1180" s="73" t="s">
        <v>366</v>
      </c>
      <c r="J1180" s="76"/>
    </row>
    <row r="1181">
      <c r="A1181" s="74">
        <v>1178.0</v>
      </c>
      <c r="B1181" s="73" t="s">
        <v>1501</v>
      </c>
      <c r="C1181" s="74">
        <v>8.2000035E8</v>
      </c>
      <c r="D1181" s="73" t="s">
        <v>1545</v>
      </c>
      <c r="E1181" s="72">
        <v>260.0</v>
      </c>
      <c r="F1181" s="75">
        <v>37455.0</v>
      </c>
      <c r="G1181" s="76"/>
      <c r="H1181" s="76"/>
      <c r="I1181" s="73" t="s">
        <v>366</v>
      </c>
      <c r="J1181" s="76"/>
    </row>
    <row r="1182">
      <c r="A1182" s="74">
        <v>1179.0</v>
      </c>
      <c r="B1182" s="73" t="s">
        <v>1501</v>
      </c>
      <c r="C1182" s="74">
        <v>8.44001177E8</v>
      </c>
      <c r="D1182" s="73" t="s">
        <v>1546</v>
      </c>
      <c r="E1182" s="72">
        <v>262.0</v>
      </c>
      <c r="F1182" s="75">
        <v>37460.0</v>
      </c>
      <c r="G1182" s="76"/>
      <c r="H1182" s="76"/>
      <c r="I1182" s="73" t="s">
        <v>366</v>
      </c>
      <c r="J1182" s="76"/>
    </row>
    <row r="1183">
      <c r="A1183" s="74">
        <v>1180.0</v>
      </c>
      <c r="B1183" s="73" t="s">
        <v>1501</v>
      </c>
      <c r="C1183" s="74">
        <v>8.91856187E8</v>
      </c>
      <c r="D1183" s="73" t="s">
        <v>1547</v>
      </c>
      <c r="E1183" s="72">
        <v>263.0</v>
      </c>
      <c r="F1183" s="75">
        <v>37460.0</v>
      </c>
      <c r="G1183" s="76"/>
      <c r="H1183" s="76"/>
      <c r="I1183" s="73" t="s">
        <v>366</v>
      </c>
      <c r="J1183" s="76"/>
    </row>
    <row r="1184">
      <c r="A1184" s="74">
        <v>1181.0</v>
      </c>
      <c r="B1184" s="73" t="s">
        <v>1501</v>
      </c>
      <c r="C1184" s="74">
        <v>8.26002881E8</v>
      </c>
      <c r="D1184" s="73" t="s">
        <v>1548</v>
      </c>
      <c r="E1184" s="72">
        <v>279.0</v>
      </c>
      <c r="F1184" s="75">
        <v>37482.0</v>
      </c>
      <c r="G1184" s="76"/>
      <c r="H1184" s="76"/>
      <c r="I1184" s="73" t="s">
        <v>366</v>
      </c>
      <c r="J1184" s="76"/>
    </row>
    <row r="1185">
      <c r="A1185" s="74">
        <v>1182.0</v>
      </c>
      <c r="B1185" s="73" t="s">
        <v>1501</v>
      </c>
      <c r="C1185" s="74">
        <v>8.20003957E8</v>
      </c>
      <c r="D1185" s="73" t="s">
        <v>1549</v>
      </c>
      <c r="E1185" s="72">
        <v>362.0</v>
      </c>
      <c r="F1185" s="75">
        <v>37496.0</v>
      </c>
      <c r="G1185" s="76"/>
      <c r="H1185" s="76"/>
      <c r="I1185" s="73" t="s">
        <v>366</v>
      </c>
      <c r="J1185" s="76"/>
    </row>
    <row r="1186">
      <c r="A1186" s="74">
        <v>1183.0</v>
      </c>
      <c r="B1186" s="73" t="s">
        <v>1501</v>
      </c>
      <c r="C1186" s="74">
        <v>8.44003909E8</v>
      </c>
      <c r="D1186" s="73" t="s">
        <v>1550</v>
      </c>
      <c r="E1186" s="72">
        <v>1029.0</v>
      </c>
      <c r="F1186" s="77">
        <v>37566.0</v>
      </c>
      <c r="G1186" s="76"/>
      <c r="H1186" s="76"/>
      <c r="I1186" s="73" t="s">
        <v>366</v>
      </c>
      <c r="J1186" s="76"/>
    </row>
    <row r="1187">
      <c r="A1187" s="74">
        <v>1184.0</v>
      </c>
      <c r="B1187" s="73" t="s">
        <v>1501</v>
      </c>
      <c r="C1187" s="74">
        <v>8.00138568E8</v>
      </c>
      <c r="D1187" s="73" t="s">
        <v>1551</v>
      </c>
      <c r="E1187" s="72">
        <v>2.0</v>
      </c>
      <c r="F1187" s="75">
        <v>37634.0</v>
      </c>
      <c r="G1187" s="76"/>
      <c r="H1187" s="76"/>
      <c r="I1187" s="73" t="s">
        <v>366</v>
      </c>
      <c r="J1187" s="76"/>
    </row>
    <row r="1188">
      <c r="A1188" s="74">
        <v>1185.0</v>
      </c>
      <c r="B1188" s="73" t="s">
        <v>1501</v>
      </c>
      <c r="C1188" s="74">
        <v>8.20001997E8</v>
      </c>
      <c r="D1188" s="73" t="s">
        <v>1552</v>
      </c>
      <c r="E1188" s="72">
        <v>82.0</v>
      </c>
      <c r="F1188" s="75">
        <v>37673.0</v>
      </c>
      <c r="G1188" s="76"/>
      <c r="H1188" s="76"/>
      <c r="I1188" s="73" t="s">
        <v>366</v>
      </c>
      <c r="J1188" s="76"/>
    </row>
    <row r="1189">
      <c r="A1189" s="74">
        <v>1186.0</v>
      </c>
      <c r="B1189" s="73" t="s">
        <v>1501</v>
      </c>
      <c r="C1189" s="74">
        <v>8.26000063E8</v>
      </c>
      <c r="D1189" s="73" t="s">
        <v>1553</v>
      </c>
      <c r="E1189" s="72">
        <v>282.0</v>
      </c>
      <c r="F1189" s="75">
        <v>37781.0</v>
      </c>
      <c r="G1189" s="76"/>
      <c r="H1189" s="76"/>
      <c r="I1189" s="73" t="s">
        <v>366</v>
      </c>
      <c r="J1189" s="76"/>
    </row>
    <row r="1190">
      <c r="A1190" s="74">
        <v>1187.0</v>
      </c>
      <c r="B1190" s="73" t="s">
        <v>1501</v>
      </c>
      <c r="C1190" s="74">
        <v>8.26000063E8</v>
      </c>
      <c r="D1190" s="73" t="s">
        <v>1554</v>
      </c>
      <c r="E1190" s="72">
        <v>282.0</v>
      </c>
      <c r="F1190" s="75">
        <v>37781.0</v>
      </c>
      <c r="G1190" s="76"/>
      <c r="H1190" s="76"/>
      <c r="I1190" s="73" t="s">
        <v>366</v>
      </c>
      <c r="J1190" s="76"/>
    </row>
    <row r="1191">
      <c r="A1191" s="74">
        <v>1188.0</v>
      </c>
      <c r="B1191" s="73" t="s">
        <v>1501</v>
      </c>
      <c r="C1191" s="74">
        <v>8.00248052E8</v>
      </c>
      <c r="D1191" s="73" t="s">
        <v>1555</v>
      </c>
      <c r="E1191" s="72">
        <v>550.0</v>
      </c>
      <c r="F1191" s="75">
        <v>37858.0</v>
      </c>
      <c r="G1191" s="76"/>
      <c r="H1191" s="76"/>
      <c r="I1191" s="73" t="s">
        <v>366</v>
      </c>
      <c r="J1191" s="76"/>
    </row>
    <row r="1192">
      <c r="A1192" s="74">
        <v>1189.0</v>
      </c>
      <c r="B1192" s="73" t="s">
        <v>1501</v>
      </c>
      <c r="C1192" s="74">
        <v>8.00160895E8</v>
      </c>
      <c r="D1192" s="73" t="s">
        <v>1556</v>
      </c>
      <c r="E1192" s="72">
        <v>561.0</v>
      </c>
      <c r="F1192" s="75">
        <v>37872.0</v>
      </c>
      <c r="G1192" s="86">
        <v>2.0253040003595E13</v>
      </c>
      <c r="H1192" s="87">
        <v>45698.0</v>
      </c>
      <c r="I1192" s="73" t="s">
        <v>366</v>
      </c>
      <c r="J1192" s="73" t="s">
        <v>1557</v>
      </c>
    </row>
    <row r="1193">
      <c r="A1193" s="74">
        <v>1190.0</v>
      </c>
      <c r="B1193" s="73" t="s">
        <v>1501</v>
      </c>
      <c r="C1193" s="74">
        <v>8.9180145E8</v>
      </c>
      <c r="D1193" s="73" t="s">
        <v>1558</v>
      </c>
      <c r="E1193" s="72">
        <v>636.0</v>
      </c>
      <c r="F1193" s="75">
        <v>37879.0</v>
      </c>
      <c r="G1193" s="76"/>
      <c r="H1193" s="76"/>
      <c r="I1193" s="73" t="s">
        <v>366</v>
      </c>
      <c r="J1193" s="76"/>
    </row>
    <row r="1194">
      <c r="A1194" s="74">
        <v>1191.0</v>
      </c>
      <c r="B1194" s="73" t="s">
        <v>1501</v>
      </c>
      <c r="C1194" s="74">
        <v>8.26003757E8</v>
      </c>
      <c r="D1194" s="73" t="s">
        <v>1559</v>
      </c>
      <c r="E1194" s="72">
        <v>35.0</v>
      </c>
      <c r="F1194" s="75">
        <v>38096.0</v>
      </c>
      <c r="G1194" s="76"/>
      <c r="H1194" s="76"/>
      <c r="I1194" s="73" t="s">
        <v>366</v>
      </c>
      <c r="J1194" s="76"/>
    </row>
    <row r="1195">
      <c r="A1195" s="74">
        <v>1192.0</v>
      </c>
      <c r="B1195" s="73" t="s">
        <v>1501</v>
      </c>
      <c r="C1195" s="74">
        <v>8.26003942E8</v>
      </c>
      <c r="D1195" s="73" t="s">
        <v>1560</v>
      </c>
      <c r="E1195" s="72">
        <v>229.0</v>
      </c>
      <c r="F1195" s="75">
        <v>38223.0</v>
      </c>
      <c r="G1195" s="76"/>
      <c r="H1195" s="76"/>
      <c r="I1195" s="73" t="s">
        <v>366</v>
      </c>
      <c r="J1195" s="76"/>
    </row>
    <row r="1196">
      <c r="A1196" s="74">
        <v>1193.0</v>
      </c>
      <c r="B1196" s="73" t="s">
        <v>1501</v>
      </c>
      <c r="C1196" s="74">
        <v>8.4400338E8</v>
      </c>
      <c r="D1196" s="73" t="s">
        <v>1561</v>
      </c>
      <c r="E1196" s="72">
        <v>295.0</v>
      </c>
      <c r="F1196" s="77">
        <v>38287.0</v>
      </c>
      <c r="G1196" s="76"/>
      <c r="H1196" s="76"/>
      <c r="I1196" s="73" t="s">
        <v>366</v>
      </c>
      <c r="J1196" s="76"/>
    </row>
    <row r="1197">
      <c r="A1197" s="74">
        <v>1194.0</v>
      </c>
      <c r="B1197" s="73" t="s">
        <v>1501</v>
      </c>
      <c r="C1197" s="74">
        <v>8.3006479E8</v>
      </c>
      <c r="D1197" s="73" t="s">
        <v>1562</v>
      </c>
      <c r="E1197" s="72">
        <v>149.0</v>
      </c>
      <c r="F1197" s="75">
        <v>38569.0</v>
      </c>
      <c r="G1197" s="76"/>
      <c r="H1197" s="76"/>
      <c r="I1197" s="73" t="s">
        <v>366</v>
      </c>
      <c r="J1197" s="76"/>
    </row>
    <row r="1198">
      <c r="A1198" s="74">
        <v>1195.0</v>
      </c>
      <c r="B1198" s="73" t="s">
        <v>1501</v>
      </c>
      <c r="C1198" s="74">
        <v>8.26000404E8</v>
      </c>
      <c r="D1198" s="73" t="s">
        <v>1563</v>
      </c>
      <c r="E1198" s="72">
        <v>209.0</v>
      </c>
      <c r="F1198" s="75">
        <v>38608.0</v>
      </c>
      <c r="G1198" s="76"/>
      <c r="H1198" s="76"/>
      <c r="I1198" s="73" t="s">
        <v>366</v>
      </c>
      <c r="J1198" s="76"/>
    </row>
    <row r="1199">
      <c r="A1199" s="74">
        <v>1196.0</v>
      </c>
      <c r="B1199" s="73" t="s">
        <v>1501</v>
      </c>
      <c r="C1199" s="74">
        <v>8.44005094E8</v>
      </c>
      <c r="D1199" s="73" t="s">
        <v>1564</v>
      </c>
      <c r="E1199" s="72">
        <v>313.0</v>
      </c>
      <c r="F1199" s="77">
        <v>38705.0</v>
      </c>
      <c r="G1199" s="76"/>
      <c r="H1199" s="76"/>
      <c r="I1199" s="73" t="s">
        <v>366</v>
      </c>
      <c r="J1199" s="76"/>
    </row>
    <row r="1200">
      <c r="A1200" s="74">
        <v>1197.0</v>
      </c>
      <c r="B1200" s="73" t="s">
        <v>1501</v>
      </c>
      <c r="C1200" s="74">
        <v>8.26002101E8</v>
      </c>
      <c r="D1200" s="73" t="s">
        <v>1565</v>
      </c>
      <c r="E1200" s="72">
        <v>140.0</v>
      </c>
      <c r="F1200" s="75">
        <v>38797.0</v>
      </c>
      <c r="G1200" s="76"/>
      <c r="H1200" s="76"/>
      <c r="I1200" s="73" t="s">
        <v>366</v>
      </c>
      <c r="J1200" s="76"/>
    </row>
    <row r="1201">
      <c r="A1201" s="74">
        <v>1198.0</v>
      </c>
      <c r="B1201" s="73" t="s">
        <v>1501</v>
      </c>
      <c r="C1201" s="74">
        <v>9.00064969E8</v>
      </c>
      <c r="D1201" s="73" t="s">
        <v>1566</v>
      </c>
      <c r="E1201" s="72">
        <v>188.0</v>
      </c>
      <c r="F1201" s="75">
        <v>38873.0</v>
      </c>
      <c r="G1201" s="76"/>
      <c r="H1201" s="76"/>
      <c r="I1201" s="73" t="s">
        <v>366</v>
      </c>
      <c r="J1201" s="76"/>
    </row>
    <row r="1202">
      <c r="A1202" s="74">
        <v>1199.0</v>
      </c>
      <c r="B1202" s="73" t="s">
        <v>1501</v>
      </c>
      <c r="C1202" s="74">
        <v>9.00068145E8</v>
      </c>
      <c r="D1202" s="73" t="s">
        <v>1567</v>
      </c>
      <c r="E1202" s="72">
        <v>203.0</v>
      </c>
      <c r="F1202" s="75">
        <v>38891.0</v>
      </c>
      <c r="G1202" s="76"/>
      <c r="H1202" s="76"/>
      <c r="I1202" s="73" t="s">
        <v>366</v>
      </c>
      <c r="J1202" s="76"/>
    </row>
    <row r="1203">
      <c r="A1203" s="74">
        <v>1200.0</v>
      </c>
      <c r="B1203" s="73" t="s">
        <v>1501</v>
      </c>
      <c r="C1203" s="74">
        <v>9.0007873E8</v>
      </c>
      <c r="D1203" s="73" t="s">
        <v>1568</v>
      </c>
      <c r="E1203" s="72">
        <v>202.0</v>
      </c>
      <c r="F1203" s="75">
        <v>38891.0</v>
      </c>
      <c r="G1203" s="76"/>
      <c r="H1203" s="76"/>
      <c r="I1203" s="73" t="s">
        <v>366</v>
      </c>
      <c r="J1203" s="76"/>
    </row>
    <row r="1204">
      <c r="A1204" s="74">
        <v>1201.0</v>
      </c>
      <c r="B1204" s="73" t="s">
        <v>1501</v>
      </c>
      <c r="C1204" s="74">
        <v>8.44000827E8</v>
      </c>
      <c r="D1204" s="73" t="s">
        <v>1569</v>
      </c>
      <c r="E1204" s="72">
        <v>290.0</v>
      </c>
      <c r="F1204" s="77">
        <v>39007.0</v>
      </c>
      <c r="G1204" s="76"/>
      <c r="H1204" s="76"/>
      <c r="I1204" s="73" t="s">
        <v>366</v>
      </c>
      <c r="J1204" s="76"/>
    </row>
    <row r="1205">
      <c r="A1205" s="74">
        <v>1202.0</v>
      </c>
      <c r="B1205" s="73" t="s">
        <v>1501</v>
      </c>
      <c r="C1205" s="74">
        <v>8.26003985E8</v>
      </c>
      <c r="D1205" s="73" t="s">
        <v>1570</v>
      </c>
      <c r="E1205" s="72">
        <v>13.0</v>
      </c>
      <c r="F1205" s="75">
        <v>39111.0</v>
      </c>
      <c r="G1205" s="76"/>
      <c r="H1205" s="76"/>
      <c r="I1205" s="73" t="s">
        <v>366</v>
      </c>
      <c r="J1205" s="76"/>
    </row>
    <row r="1206">
      <c r="A1206" s="74">
        <v>1203.0</v>
      </c>
      <c r="B1206" s="73" t="s">
        <v>1501</v>
      </c>
      <c r="C1206" s="74">
        <v>9.00105001E8</v>
      </c>
      <c r="D1206" s="73" t="s">
        <v>1571</v>
      </c>
      <c r="E1206" s="72">
        <v>10.0</v>
      </c>
      <c r="F1206" s="75">
        <v>39111.0</v>
      </c>
      <c r="G1206" s="76"/>
      <c r="H1206" s="76"/>
      <c r="I1206" s="73" t="s">
        <v>366</v>
      </c>
      <c r="J1206" s="76"/>
    </row>
    <row r="1207">
      <c r="A1207" s="74">
        <v>1204.0</v>
      </c>
      <c r="B1207" s="73" t="s">
        <v>1501</v>
      </c>
      <c r="C1207" s="74">
        <v>9.00129122E8</v>
      </c>
      <c r="D1207" s="73" t="s">
        <v>1572</v>
      </c>
      <c r="E1207" s="72">
        <v>19.0</v>
      </c>
      <c r="F1207" s="75">
        <v>39136.0</v>
      </c>
      <c r="G1207" s="76"/>
      <c r="H1207" s="76"/>
      <c r="I1207" s="73" t="s">
        <v>366</v>
      </c>
      <c r="J1207" s="76"/>
    </row>
    <row r="1208">
      <c r="A1208" s="74">
        <v>1205.0</v>
      </c>
      <c r="B1208" s="73" t="s">
        <v>1501</v>
      </c>
      <c r="C1208" s="74">
        <v>9.00115979E8</v>
      </c>
      <c r="D1208" s="73" t="s">
        <v>1573</v>
      </c>
      <c r="E1208" s="72">
        <v>53.0</v>
      </c>
      <c r="F1208" s="75">
        <v>39155.0</v>
      </c>
      <c r="G1208" s="76"/>
      <c r="H1208" s="76"/>
      <c r="I1208" s="73" t="s">
        <v>366</v>
      </c>
      <c r="J1208" s="76"/>
    </row>
    <row r="1209">
      <c r="A1209" s="74">
        <v>1206.0</v>
      </c>
      <c r="B1209" s="73" t="s">
        <v>1501</v>
      </c>
      <c r="C1209" s="74">
        <v>9.00120306E8</v>
      </c>
      <c r="D1209" s="73" t="s">
        <v>1574</v>
      </c>
      <c r="E1209" s="72">
        <v>59.0</v>
      </c>
      <c r="F1209" s="75">
        <v>39174.0</v>
      </c>
      <c r="G1209" s="76"/>
      <c r="H1209" s="76"/>
      <c r="I1209" s="73" t="s">
        <v>366</v>
      </c>
      <c r="J1209" s="76"/>
    </row>
    <row r="1210">
      <c r="A1210" s="74">
        <v>1207.0</v>
      </c>
      <c r="B1210" s="73" t="s">
        <v>1501</v>
      </c>
      <c r="C1210" s="74">
        <v>8.20005638E8</v>
      </c>
      <c r="D1210" s="73" t="s">
        <v>1575</v>
      </c>
      <c r="E1210" s="72">
        <v>78.0</v>
      </c>
      <c r="F1210" s="75">
        <v>39192.0</v>
      </c>
      <c r="G1210" s="76"/>
      <c r="H1210" s="76"/>
      <c r="I1210" s="73" t="s">
        <v>366</v>
      </c>
      <c r="J1210" s="76"/>
    </row>
    <row r="1211">
      <c r="A1211" s="74">
        <v>1208.0</v>
      </c>
      <c r="B1211" s="73" t="s">
        <v>1501</v>
      </c>
      <c r="C1211" s="74">
        <v>9.00141706E8</v>
      </c>
      <c r="D1211" s="73" t="s">
        <v>1576</v>
      </c>
      <c r="E1211" s="72">
        <v>107.0</v>
      </c>
      <c r="F1211" s="75">
        <v>39233.0</v>
      </c>
      <c r="G1211" s="76"/>
      <c r="H1211" s="76"/>
      <c r="I1211" s="73" t="s">
        <v>366</v>
      </c>
      <c r="J1211" s="76"/>
    </row>
    <row r="1212">
      <c r="A1212" s="74">
        <v>1209.0</v>
      </c>
      <c r="B1212" s="73" t="s">
        <v>1501</v>
      </c>
      <c r="C1212" s="74">
        <v>9.00071876E8</v>
      </c>
      <c r="D1212" s="73" t="s">
        <v>1577</v>
      </c>
      <c r="E1212" s="72">
        <v>572.0</v>
      </c>
      <c r="F1212" s="75">
        <v>39238.0</v>
      </c>
      <c r="G1212" s="76"/>
      <c r="H1212" s="76"/>
      <c r="I1212" s="73" t="s">
        <v>366</v>
      </c>
      <c r="J1212" s="76"/>
    </row>
    <row r="1213">
      <c r="A1213" s="74">
        <v>1210.0</v>
      </c>
      <c r="B1213" s="73" t="s">
        <v>1501</v>
      </c>
      <c r="C1213" s="74">
        <v>9.00088889E8</v>
      </c>
      <c r="D1213" s="73" t="s">
        <v>1578</v>
      </c>
      <c r="E1213" s="72">
        <v>128.0</v>
      </c>
      <c r="F1213" s="75">
        <v>39269.0</v>
      </c>
      <c r="G1213" s="76"/>
      <c r="H1213" s="76"/>
      <c r="I1213" s="73" t="s">
        <v>366</v>
      </c>
      <c r="J1213" s="76"/>
    </row>
    <row r="1214">
      <c r="A1214" s="74">
        <v>1211.0</v>
      </c>
      <c r="B1214" s="73" t="s">
        <v>1501</v>
      </c>
      <c r="C1214" s="74">
        <v>9.00134037E8</v>
      </c>
      <c r="D1214" s="73" t="s">
        <v>1579</v>
      </c>
      <c r="E1214" s="72">
        <v>137.0</v>
      </c>
      <c r="F1214" s="75">
        <v>39280.0</v>
      </c>
      <c r="G1214" s="76"/>
      <c r="H1214" s="76"/>
      <c r="I1214" s="73" t="s">
        <v>366</v>
      </c>
      <c r="J1214" s="76"/>
    </row>
    <row r="1215">
      <c r="A1215" s="74">
        <v>1212.0</v>
      </c>
      <c r="B1215" s="73" t="s">
        <v>1501</v>
      </c>
      <c r="C1215" s="74">
        <v>9.00159872E8</v>
      </c>
      <c r="D1215" s="73" t="s">
        <v>1580</v>
      </c>
      <c r="E1215" s="72">
        <v>774.0</v>
      </c>
      <c r="F1215" s="75">
        <v>39286.0</v>
      </c>
      <c r="G1215" s="76"/>
      <c r="H1215" s="76"/>
      <c r="I1215" s="73" t="s">
        <v>366</v>
      </c>
      <c r="J1215" s="76"/>
    </row>
    <row r="1216">
      <c r="A1216" s="74">
        <v>1213.0</v>
      </c>
      <c r="B1216" s="73" t="s">
        <v>1501</v>
      </c>
      <c r="C1216" s="74">
        <v>9.0014719E8</v>
      </c>
      <c r="D1216" s="73" t="s">
        <v>1581</v>
      </c>
      <c r="E1216" s="72">
        <v>155.0</v>
      </c>
      <c r="F1216" s="75">
        <v>39308.0</v>
      </c>
      <c r="G1216" s="76"/>
      <c r="H1216" s="76"/>
      <c r="I1216" s="73" t="s">
        <v>366</v>
      </c>
      <c r="J1216" s="76"/>
    </row>
    <row r="1217">
      <c r="A1217" s="74">
        <v>1214.0</v>
      </c>
      <c r="B1217" s="73" t="s">
        <v>1501</v>
      </c>
      <c r="C1217" s="74">
        <v>9.00164695E8</v>
      </c>
      <c r="D1217" s="73" t="s">
        <v>1582</v>
      </c>
      <c r="E1217" s="72">
        <v>11.0</v>
      </c>
      <c r="F1217" s="75">
        <v>39315.0</v>
      </c>
      <c r="G1217" s="76"/>
      <c r="H1217" s="76"/>
      <c r="I1217" s="73" t="s">
        <v>366</v>
      </c>
      <c r="J1217" s="76"/>
    </row>
    <row r="1218">
      <c r="A1218" s="85">
        <v>1215.0</v>
      </c>
      <c r="B1218" s="79" t="s">
        <v>1501</v>
      </c>
      <c r="C1218" s="80">
        <v>9.00077074E8</v>
      </c>
      <c r="D1218" s="79" t="s">
        <v>1583</v>
      </c>
      <c r="E1218" s="81">
        <v>169.0</v>
      </c>
      <c r="F1218" s="84">
        <v>39331.0</v>
      </c>
      <c r="G1218" s="83"/>
      <c r="H1218" s="83"/>
      <c r="I1218" s="73" t="s">
        <v>366</v>
      </c>
      <c r="J1218" s="76"/>
    </row>
    <row r="1219">
      <c r="A1219" s="74">
        <v>1216.0</v>
      </c>
      <c r="B1219" s="73" t="s">
        <v>1501</v>
      </c>
      <c r="C1219" s="74">
        <v>9.00102147E8</v>
      </c>
      <c r="D1219" s="73" t="s">
        <v>1584</v>
      </c>
      <c r="E1219" s="72">
        <v>166.0</v>
      </c>
      <c r="F1219" s="75">
        <v>39331.0</v>
      </c>
      <c r="G1219" s="76"/>
      <c r="H1219" s="76"/>
      <c r="I1219" s="73" t="s">
        <v>366</v>
      </c>
      <c r="J1219" s="76"/>
    </row>
    <row r="1220">
      <c r="A1220" s="74">
        <v>1217.0</v>
      </c>
      <c r="B1220" s="73" t="s">
        <v>1501</v>
      </c>
      <c r="C1220" s="74">
        <v>9.00150864E8</v>
      </c>
      <c r="D1220" s="73" t="s">
        <v>1585</v>
      </c>
      <c r="E1220" s="72">
        <v>184.0</v>
      </c>
      <c r="F1220" s="77">
        <v>39364.0</v>
      </c>
      <c r="G1220" s="76"/>
      <c r="H1220" s="76"/>
      <c r="I1220" s="73" t="s">
        <v>366</v>
      </c>
      <c r="J1220" s="76"/>
    </row>
    <row r="1221">
      <c r="A1221" s="74">
        <v>1218.0</v>
      </c>
      <c r="B1221" s="73" t="s">
        <v>1501</v>
      </c>
      <c r="C1221" s="74">
        <v>9.00162002E8</v>
      </c>
      <c r="D1221" s="73" t="s">
        <v>1586</v>
      </c>
      <c r="E1221" s="72">
        <v>219.0</v>
      </c>
      <c r="F1221" s="77">
        <v>39402.0</v>
      </c>
      <c r="G1221" s="76"/>
      <c r="H1221" s="76"/>
      <c r="I1221" s="73" t="s">
        <v>366</v>
      </c>
      <c r="J1221" s="76"/>
    </row>
    <row r="1222">
      <c r="A1222" s="74">
        <v>1219.0</v>
      </c>
      <c r="B1222" s="73" t="s">
        <v>1501</v>
      </c>
      <c r="C1222" s="74">
        <v>9.00050496E8</v>
      </c>
      <c r="D1222" s="73" t="s">
        <v>1587</v>
      </c>
      <c r="E1222" s="72">
        <v>228.0</v>
      </c>
      <c r="F1222" s="77">
        <v>39414.0</v>
      </c>
      <c r="G1222" s="76"/>
      <c r="H1222" s="76"/>
      <c r="I1222" s="73" t="s">
        <v>366</v>
      </c>
      <c r="J1222" s="76"/>
    </row>
    <row r="1223">
      <c r="A1223" s="74">
        <v>1220.0</v>
      </c>
      <c r="B1223" s="73" t="s">
        <v>1501</v>
      </c>
      <c r="C1223" s="74">
        <v>9.00162983E8</v>
      </c>
      <c r="D1223" s="73" t="s">
        <v>1588</v>
      </c>
      <c r="E1223" s="72">
        <v>241.0</v>
      </c>
      <c r="F1223" s="77">
        <v>39443.0</v>
      </c>
      <c r="G1223" s="76"/>
      <c r="H1223" s="76"/>
      <c r="I1223" s="73" t="s">
        <v>366</v>
      </c>
      <c r="J1223" s="76"/>
    </row>
    <row r="1224">
      <c r="A1224" s="74">
        <v>1221.0</v>
      </c>
      <c r="B1224" s="73" t="s">
        <v>1501</v>
      </c>
      <c r="C1224" s="74">
        <v>8.44001681E8</v>
      </c>
      <c r="D1224" s="73" t="s">
        <v>1589</v>
      </c>
      <c r="E1224" s="72">
        <v>9.0</v>
      </c>
      <c r="F1224" s="75">
        <v>39475.0</v>
      </c>
      <c r="G1224" s="76"/>
      <c r="H1224" s="76"/>
      <c r="I1224" s="73" t="s">
        <v>366</v>
      </c>
      <c r="J1224" s="76"/>
    </row>
    <row r="1225">
      <c r="A1225" s="74">
        <v>1222.0</v>
      </c>
      <c r="B1225" s="73" t="s">
        <v>1501</v>
      </c>
      <c r="C1225" s="74">
        <v>9.00071465E8</v>
      </c>
      <c r="D1225" s="73" t="s">
        <v>1590</v>
      </c>
      <c r="E1225" s="72">
        <v>11.0</v>
      </c>
      <c r="F1225" s="75">
        <v>39475.0</v>
      </c>
      <c r="G1225" s="76"/>
      <c r="H1225" s="76"/>
      <c r="I1225" s="73" t="s">
        <v>366</v>
      </c>
      <c r="J1225" s="76"/>
    </row>
    <row r="1226">
      <c r="A1226" s="74">
        <v>1223.0</v>
      </c>
      <c r="B1226" s="73" t="s">
        <v>1501</v>
      </c>
      <c r="C1226" s="74">
        <v>9.00071465E8</v>
      </c>
      <c r="D1226" s="73" t="s">
        <v>1591</v>
      </c>
      <c r="E1226" s="72">
        <v>11.0</v>
      </c>
      <c r="F1226" s="75">
        <v>39475.0</v>
      </c>
      <c r="G1226" s="76"/>
      <c r="H1226" s="76"/>
      <c r="I1226" s="73" t="s">
        <v>366</v>
      </c>
      <c r="J1226" s="76"/>
    </row>
    <row r="1227">
      <c r="A1227" s="74">
        <v>1224.0</v>
      </c>
      <c r="B1227" s="73" t="s">
        <v>1501</v>
      </c>
      <c r="C1227" s="74">
        <v>9.00193659E8</v>
      </c>
      <c r="D1227" s="73" t="s">
        <v>1592</v>
      </c>
      <c r="E1227" s="72">
        <v>38.0</v>
      </c>
      <c r="F1227" s="75">
        <v>39545.0</v>
      </c>
      <c r="G1227" s="76"/>
      <c r="H1227" s="76"/>
      <c r="I1227" s="73" t="s">
        <v>366</v>
      </c>
      <c r="J1227" s="76"/>
    </row>
    <row r="1228">
      <c r="A1228" s="74">
        <v>1225.0</v>
      </c>
      <c r="B1228" s="73" t="s">
        <v>1501</v>
      </c>
      <c r="C1228" s="74">
        <v>9.00203605E8</v>
      </c>
      <c r="D1228" s="73" t="s">
        <v>1593</v>
      </c>
      <c r="E1228" s="72">
        <v>37.0</v>
      </c>
      <c r="F1228" s="75">
        <v>39545.0</v>
      </c>
      <c r="G1228" s="76"/>
      <c r="H1228" s="76"/>
      <c r="I1228" s="73" t="s">
        <v>366</v>
      </c>
      <c r="J1228" s="76"/>
    </row>
    <row r="1229">
      <c r="A1229" s="74">
        <v>1226.0</v>
      </c>
      <c r="B1229" s="73" t="s">
        <v>1501</v>
      </c>
      <c r="C1229" s="74">
        <v>9.00176365E8</v>
      </c>
      <c r="D1229" s="73" t="s">
        <v>1594</v>
      </c>
      <c r="E1229" s="72">
        <v>55.0</v>
      </c>
      <c r="F1229" s="75">
        <v>39575.0</v>
      </c>
      <c r="G1229" s="76"/>
      <c r="H1229" s="76"/>
      <c r="I1229" s="73" t="s">
        <v>366</v>
      </c>
      <c r="J1229" s="76"/>
    </row>
    <row r="1230">
      <c r="A1230" s="74">
        <v>1227.0</v>
      </c>
      <c r="B1230" s="73" t="s">
        <v>1501</v>
      </c>
      <c r="C1230" s="74">
        <v>9.00195091E8</v>
      </c>
      <c r="D1230" s="73" t="s">
        <v>1595</v>
      </c>
      <c r="E1230" s="72">
        <v>103.0</v>
      </c>
      <c r="F1230" s="75">
        <v>39661.0</v>
      </c>
      <c r="G1230" s="76"/>
      <c r="H1230" s="76"/>
      <c r="I1230" s="73" t="s">
        <v>366</v>
      </c>
      <c r="J1230" s="76"/>
    </row>
    <row r="1231">
      <c r="A1231" s="74">
        <v>1228.0</v>
      </c>
      <c r="B1231" s="73" t="s">
        <v>1501</v>
      </c>
      <c r="C1231" s="74">
        <v>9.00117887E8</v>
      </c>
      <c r="D1231" s="73" t="s">
        <v>1596</v>
      </c>
      <c r="E1231" s="72">
        <v>608.0</v>
      </c>
      <c r="F1231" s="77">
        <v>39797.0</v>
      </c>
      <c r="G1231" s="76"/>
      <c r="H1231" s="76"/>
      <c r="I1231" s="73" t="s">
        <v>366</v>
      </c>
      <c r="J1231" s="76"/>
    </row>
    <row r="1232">
      <c r="A1232" s="74">
        <v>1229.0</v>
      </c>
      <c r="B1232" s="73" t="s">
        <v>1501</v>
      </c>
      <c r="C1232" s="74">
        <v>9.00220493E8</v>
      </c>
      <c r="D1232" s="73" t="s">
        <v>1597</v>
      </c>
      <c r="E1232" s="72">
        <v>43.0</v>
      </c>
      <c r="F1232" s="75">
        <v>40038.0</v>
      </c>
      <c r="G1232" s="76"/>
      <c r="H1232" s="76"/>
      <c r="I1232" s="73" t="s">
        <v>366</v>
      </c>
      <c r="J1232" s="76"/>
    </row>
    <row r="1233">
      <c r="A1233" s="74">
        <v>1230.0</v>
      </c>
      <c r="B1233" s="73" t="s">
        <v>1501</v>
      </c>
      <c r="C1233" s="74">
        <v>9.00096678E8</v>
      </c>
      <c r="D1233" s="73" t="s">
        <v>1598</v>
      </c>
      <c r="E1233" s="72">
        <v>54.0</v>
      </c>
      <c r="F1233" s="75">
        <v>40080.0</v>
      </c>
      <c r="G1233" s="76"/>
      <c r="H1233" s="76"/>
      <c r="I1233" s="73" t="s">
        <v>366</v>
      </c>
      <c r="J1233" s="76"/>
    </row>
    <row r="1234">
      <c r="A1234" s="74">
        <v>1231.0</v>
      </c>
      <c r="B1234" s="73" t="s">
        <v>1501</v>
      </c>
      <c r="C1234" s="74">
        <v>9.0014535E8</v>
      </c>
      <c r="D1234" s="73" t="s">
        <v>1599</v>
      </c>
      <c r="E1234" s="72">
        <v>56.0</v>
      </c>
      <c r="F1234" s="75">
        <v>40080.0</v>
      </c>
      <c r="G1234" s="76"/>
      <c r="H1234" s="76"/>
      <c r="I1234" s="73" t="s">
        <v>366</v>
      </c>
      <c r="J1234" s="76"/>
    </row>
    <row r="1235">
      <c r="A1235" s="74">
        <v>1232.0</v>
      </c>
      <c r="B1235" s="73" t="s">
        <v>1501</v>
      </c>
      <c r="C1235" s="74">
        <v>9.00231855E8</v>
      </c>
      <c r="D1235" s="73" t="s">
        <v>1600</v>
      </c>
      <c r="E1235" s="72">
        <v>28.0</v>
      </c>
      <c r="F1235" s="77">
        <v>40094.0</v>
      </c>
      <c r="G1235" s="72">
        <v>33.0</v>
      </c>
      <c r="H1235" s="75">
        <v>42528.0</v>
      </c>
      <c r="I1235" s="73" t="s">
        <v>366</v>
      </c>
      <c r="J1235" s="76"/>
    </row>
    <row r="1236">
      <c r="A1236" s="74">
        <v>1233.0</v>
      </c>
      <c r="B1236" s="73" t="s">
        <v>1501</v>
      </c>
      <c r="C1236" s="74">
        <v>8.00081581E8</v>
      </c>
      <c r="D1236" s="73" t="s">
        <v>1601</v>
      </c>
      <c r="E1236" s="72">
        <v>74.0</v>
      </c>
      <c r="F1236" s="77">
        <v>40144.0</v>
      </c>
      <c r="G1236" s="76"/>
      <c r="H1236" s="76"/>
      <c r="I1236" s="73" t="s">
        <v>366</v>
      </c>
      <c r="J1236" s="76"/>
    </row>
    <row r="1237">
      <c r="A1237" s="74">
        <v>1234.0</v>
      </c>
      <c r="B1237" s="73" t="s">
        <v>1501</v>
      </c>
      <c r="C1237" s="74">
        <v>8.44003489E8</v>
      </c>
      <c r="D1237" s="73" t="s">
        <v>1602</v>
      </c>
      <c r="E1237" s="72">
        <v>77.0</v>
      </c>
      <c r="F1237" s="77">
        <v>40163.0</v>
      </c>
      <c r="G1237" s="76"/>
      <c r="H1237" s="76"/>
      <c r="I1237" s="73" t="s">
        <v>366</v>
      </c>
      <c r="J1237" s="76"/>
    </row>
    <row r="1238">
      <c r="A1238" s="74">
        <v>1235.0</v>
      </c>
      <c r="B1238" s="73" t="s">
        <v>1501</v>
      </c>
      <c r="C1238" s="74">
        <v>9.00054431E8</v>
      </c>
      <c r="D1238" s="73" t="s">
        <v>1603</v>
      </c>
      <c r="E1238" s="72">
        <v>1.0</v>
      </c>
      <c r="F1238" s="75">
        <v>40185.0</v>
      </c>
      <c r="G1238" s="76"/>
      <c r="H1238" s="76"/>
      <c r="I1238" s="73" t="s">
        <v>366</v>
      </c>
      <c r="J1238" s="76"/>
    </row>
    <row r="1239">
      <c r="A1239" s="74">
        <v>1236.0</v>
      </c>
      <c r="B1239" s="73" t="s">
        <v>1501</v>
      </c>
      <c r="C1239" s="74">
        <v>9.00299342E8</v>
      </c>
      <c r="D1239" s="73" t="s">
        <v>1604</v>
      </c>
      <c r="E1239" s="72">
        <v>20.0</v>
      </c>
      <c r="F1239" s="75">
        <v>40329.0</v>
      </c>
      <c r="G1239" s="76"/>
      <c r="H1239" s="76"/>
      <c r="I1239" s="73" t="s">
        <v>366</v>
      </c>
      <c r="J1239" s="76"/>
    </row>
    <row r="1240">
      <c r="A1240" s="74">
        <v>1237.0</v>
      </c>
      <c r="B1240" s="73" t="s">
        <v>1501</v>
      </c>
      <c r="C1240" s="74">
        <v>9.00342431E8</v>
      </c>
      <c r="D1240" s="73" t="s">
        <v>1605</v>
      </c>
      <c r="E1240" s="72">
        <v>57.0</v>
      </c>
      <c r="F1240" s="77">
        <v>40519.0</v>
      </c>
      <c r="G1240" s="76"/>
      <c r="H1240" s="76"/>
      <c r="I1240" s="73" t="s">
        <v>366</v>
      </c>
      <c r="J1240" s="76"/>
    </row>
    <row r="1241">
      <c r="A1241" s="74">
        <v>1238.0</v>
      </c>
      <c r="B1241" s="73" t="s">
        <v>1501</v>
      </c>
      <c r="C1241" s="74">
        <v>9.00364353E8</v>
      </c>
      <c r="D1241" s="73" t="s">
        <v>1606</v>
      </c>
      <c r="E1241" s="72">
        <v>58.0</v>
      </c>
      <c r="F1241" s="77">
        <v>40519.0</v>
      </c>
      <c r="G1241" s="76"/>
      <c r="H1241" s="76"/>
      <c r="I1241" s="73" t="s">
        <v>366</v>
      </c>
      <c r="J1241" s="76"/>
    </row>
    <row r="1242">
      <c r="A1242" s="74">
        <v>1239.0</v>
      </c>
      <c r="B1242" s="73" t="s">
        <v>1501</v>
      </c>
      <c r="C1242" s="74">
        <v>9.00352248E8</v>
      </c>
      <c r="D1242" s="73" t="s">
        <v>1607</v>
      </c>
      <c r="E1242" s="72">
        <v>65.0</v>
      </c>
      <c r="F1242" s="77">
        <v>40542.0</v>
      </c>
      <c r="G1242" s="76"/>
      <c r="H1242" s="76"/>
      <c r="I1242" s="73" t="s">
        <v>366</v>
      </c>
      <c r="J1242" s="76"/>
    </row>
    <row r="1243">
      <c r="A1243" s="74">
        <v>1240.0</v>
      </c>
      <c r="B1243" s="73" t="s">
        <v>1501</v>
      </c>
      <c r="C1243" s="74">
        <v>8.26003958E8</v>
      </c>
      <c r="D1243" s="73" t="s">
        <v>1608</v>
      </c>
      <c r="E1243" s="72">
        <v>1.0</v>
      </c>
      <c r="F1243" s="75">
        <v>40546.0</v>
      </c>
      <c r="G1243" s="76"/>
      <c r="H1243" s="76"/>
      <c r="I1243" s="73" t="s">
        <v>366</v>
      </c>
      <c r="J1243" s="76"/>
    </row>
    <row r="1244">
      <c r="A1244" s="74">
        <v>1241.0</v>
      </c>
      <c r="B1244" s="73" t="s">
        <v>1501</v>
      </c>
      <c r="C1244" s="74">
        <v>9.00389337E8</v>
      </c>
      <c r="D1244" s="73" t="s">
        <v>1609</v>
      </c>
      <c r="E1244" s="72">
        <v>3.0</v>
      </c>
      <c r="F1244" s="75">
        <v>40546.0</v>
      </c>
      <c r="G1244" s="76"/>
      <c r="H1244" s="76"/>
      <c r="I1244" s="73" t="s">
        <v>366</v>
      </c>
      <c r="J1244" s="76"/>
    </row>
    <row r="1245">
      <c r="A1245" s="74">
        <v>1242.0</v>
      </c>
      <c r="B1245" s="73" t="s">
        <v>1501</v>
      </c>
      <c r="C1245" s="74">
        <v>9.00385244E8</v>
      </c>
      <c r="D1245" s="73" t="s">
        <v>1610</v>
      </c>
      <c r="E1245" s="72">
        <v>5.0</v>
      </c>
      <c r="F1245" s="75">
        <v>40582.0</v>
      </c>
      <c r="G1245" s="72">
        <v>81.0</v>
      </c>
      <c r="H1245" s="75">
        <v>41527.0</v>
      </c>
      <c r="I1245" s="73" t="s">
        <v>366</v>
      </c>
      <c r="J1245" s="76"/>
    </row>
    <row r="1246">
      <c r="A1246" s="74">
        <v>1243.0</v>
      </c>
      <c r="B1246" s="73" t="s">
        <v>1501</v>
      </c>
      <c r="C1246" s="74">
        <v>9.00385244E8</v>
      </c>
      <c r="D1246" s="73" t="s">
        <v>1611</v>
      </c>
      <c r="E1246" s="72">
        <v>5.0</v>
      </c>
      <c r="F1246" s="75">
        <v>40582.0</v>
      </c>
      <c r="G1246" s="76"/>
      <c r="H1246" s="76"/>
      <c r="I1246" s="73" t="s">
        <v>366</v>
      </c>
      <c r="J1246" s="76"/>
    </row>
    <row r="1247">
      <c r="A1247" s="74">
        <v>1244.0</v>
      </c>
      <c r="B1247" s="73" t="s">
        <v>1501</v>
      </c>
      <c r="C1247" s="74">
        <v>8.44001084E8</v>
      </c>
      <c r="D1247" s="73" t="s">
        <v>1612</v>
      </c>
      <c r="E1247" s="72">
        <v>16.0</v>
      </c>
      <c r="F1247" s="75">
        <v>40603.0</v>
      </c>
      <c r="G1247" s="76"/>
      <c r="H1247" s="76"/>
      <c r="I1247" s="73" t="s">
        <v>366</v>
      </c>
      <c r="J1247" s="76"/>
    </row>
    <row r="1248">
      <c r="A1248" s="74">
        <v>1245.0</v>
      </c>
      <c r="B1248" s="73" t="s">
        <v>1501</v>
      </c>
      <c r="C1248" s="74">
        <v>9.00386213E8</v>
      </c>
      <c r="D1248" s="73" t="s">
        <v>1613</v>
      </c>
      <c r="E1248" s="72">
        <v>17.0</v>
      </c>
      <c r="F1248" s="75">
        <v>40603.0</v>
      </c>
      <c r="G1248" s="76"/>
      <c r="H1248" s="76"/>
      <c r="I1248" s="73" t="s">
        <v>366</v>
      </c>
      <c r="J1248" s="76"/>
    </row>
    <row r="1249">
      <c r="A1249" s="74">
        <v>1246.0</v>
      </c>
      <c r="B1249" s="73" t="s">
        <v>1501</v>
      </c>
      <c r="C1249" s="74">
        <v>9.00400707E8</v>
      </c>
      <c r="D1249" s="73" t="s">
        <v>1614</v>
      </c>
      <c r="E1249" s="72">
        <v>27.0</v>
      </c>
      <c r="F1249" s="75">
        <v>40633.0</v>
      </c>
      <c r="G1249" s="76"/>
      <c r="H1249" s="76"/>
      <c r="I1249" s="73" t="s">
        <v>366</v>
      </c>
      <c r="J1249" s="76"/>
    </row>
    <row r="1250">
      <c r="A1250" s="74">
        <v>1247.0</v>
      </c>
      <c r="B1250" s="73" t="s">
        <v>1501</v>
      </c>
      <c r="C1250" s="74">
        <v>9.00415958E8</v>
      </c>
      <c r="D1250" s="73" t="s">
        <v>1615</v>
      </c>
      <c r="E1250" s="72">
        <v>40.0</v>
      </c>
      <c r="F1250" s="75">
        <v>40666.0</v>
      </c>
      <c r="G1250" s="76"/>
      <c r="H1250" s="76"/>
      <c r="I1250" s="73" t="s">
        <v>366</v>
      </c>
      <c r="J1250" s="76"/>
    </row>
    <row r="1251">
      <c r="A1251" s="74">
        <v>1248.0</v>
      </c>
      <c r="B1251" s="73" t="s">
        <v>1501</v>
      </c>
      <c r="C1251" s="74">
        <v>9.00318604E8</v>
      </c>
      <c r="D1251" s="73" t="s">
        <v>1616</v>
      </c>
      <c r="E1251" s="72">
        <v>51.0</v>
      </c>
      <c r="F1251" s="75">
        <v>40715.0</v>
      </c>
      <c r="G1251" s="76"/>
      <c r="H1251" s="76"/>
      <c r="I1251" s="73" t="s">
        <v>366</v>
      </c>
      <c r="J1251" s="76"/>
    </row>
    <row r="1252">
      <c r="A1252" s="74">
        <v>1249.0</v>
      </c>
      <c r="B1252" s="73" t="s">
        <v>1501</v>
      </c>
      <c r="C1252" s="74">
        <v>9.00392705E8</v>
      </c>
      <c r="D1252" s="73" t="s">
        <v>1617</v>
      </c>
      <c r="E1252" s="72">
        <v>66.0</v>
      </c>
      <c r="F1252" s="75">
        <v>40759.0</v>
      </c>
      <c r="G1252" s="76"/>
      <c r="H1252" s="76"/>
      <c r="I1252" s="73" t="s">
        <v>366</v>
      </c>
      <c r="J1252" s="76"/>
    </row>
    <row r="1253">
      <c r="A1253" s="74">
        <v>1250.0</v>
      </c>
      <c r="B1253" s="73" t="s">
        <v>1501</v>
      </c>
      <c r="C1253" s="74">
        <v>9.00445499E8</v>
      </c>
      <c r="D1253" s="73" t="s">
        <v>1618</v>
      </c>
      <c r="E1253" s="72">
        <v>65.0</v>
      </c>
      <c r="F1253" s="75">
        <v>40759.0</v>
      </c>
      <c r="G1253" s="72">
        <v>115.0</v>
      </c>
      <c r="H1253" s="77">
        <v>41621.0</v>
      </c>
      <c r="I1253" s="73" t="s">
        <v>366</v>
      </c>
      <c r="J1253" s="76"/>
    </row>
    <row r="1254">
      <c r="A1254" s="74">
        <v>1251.0</v>
      </c>
      <c r="B1254" s="73" t="s">
        <v>1501</v>
      </c>
      <c r="C1254" s="74">
        <v>9.00393484E8</v>
      </c>
      <c r="D1254" s="73" t="s">
        <v>1619</v>
      </c>
      <c r="E1254" s="72">
        <v>60.0</v>
      </c>
      <c r="F1254" s="75">
        <v>40764.0</v>
      </c>
      <c r="G1254" s="72">
        <v>34.0</v>
      </c>
      <c r="H1254" s="75">
        <v>40653.0</v>
      </c>
      <c r="I1254" s="73" t="s">
        <v>366</v>
      </c>
      <c r="J1254" s="76"/>
    </row>
    <row r="1255">
      <c r="A1255" s="74">
        <v>1252.0</v>
      </c>
      <c r="B1255" s="73" t="s">
        <v>1501</v>
      </c>
      <c r="C1255" s="74">
        <v>9.00334648E8</v>
      </c>
      <c r="D1255" s="73" t="s">
        <v>1620</v>
      </c>
      <c r="E1255" s="72">
        <v>69.0</v>
      </c>
      <c r="F1255" s="75">
        <v>40779.0</v>
      </c>
      <c r="G1255" s="76"/>
      <c r="H1255" s="76"/>
      <c r="I1255" s="73" t="s">
        <v>366</v>
      </c>
      <c r="J1255" s="76"/>
    </row>
    <row r="1256">
      <c r="A1256" s="74">
        <v>1253.0</v>
      </c>
      <c r="B1256" s="73" t="s">
        <v>1501</v>
      </c>
      <c r="C1256" s="74">
        <v>9.00193101E8</v>
      </c>
      <c r="D1256" s="73" t="s">
        <v>1621</v>
      </c>
      <c r="E1256" s="72">
        <v>71.0</v>
      </c>
      <c r="F1256" s="75">
        <v>40788.0</v>
      </c>
      <c r="G1256" s="76"/>
      <c r="H1256" s="76"/>
      <c r="I1256" s="73" t="s">
        <v>366</v>
      </c>
      <c r="J1256" s="76"/>
    </row>
    <row r="1257">
      <c r="A1257" s="74">
        <v>1254.0</v>
      </c>
      <c r="B1257" s="73" t="s">
        <v>1501</v>
      </c>
      <c r="C1257" s="74">
        <v>9.00436922E8</v>
      </c>
      <c r="D1257" s="73" t="s">
        <v>1622</v>
      </c>
      <c r="E1257" s="72">
        <v>87.0</v>
      </c>
      <c r="F1257" s="77">
        <v>40823.0</v>
      </c>
      <c r="G1257" s="76"/>
      <c r="H1257" s="76"/>
      <c r="I1257" s="73" t="s">
        <v>366</v>
      </c>
      <c r="J1257" s="76"/>
    </row>
    <row r="1258">
      <c r="A1258" s="74">
        <v>1255.0</v>
      </c>
      <c r="B1258" s="73" t="s">
        <v>1501</v>
      </c>
      <c r="C1258" s="74">
        <v>9.00384085E8</v>
      </c>
      <c r="D1258" s="73" t="s">
        <v>1623</v>
      </c>
      <c r="E1258" s="72">
        <v>92.0</v>
      </c>
      <c r="F1258" s="77">
        <v>40862.0</v>
      </c>
      <c r="G1258" s="76"/>
      <c r="H1258" s="76"/>
      <c r="I1258" s="73" t="s">
        <v>366</v>
      </c>
      <c r="J1258" s="76"/>
    </row>
    <row r="1259">
      <c r="A1259" s="74">
        <v>1256.0</v>
      </c>
      <c r="B1259" s="73" t="s">
        <v>1501</v>
      </c>
      <c r="C1259" s="74">
        <v>9.00471478E8</v>
      </c>
      <c r="D1259" s="73" t="s">
        <v>1624</v>
      </c>
      <c r="E1259" s="72">
        <v>7.0</v>
      </c>
      <c r="F1259" s="75">
        <v>40946.0</v>
      </c>
      <c r="G1259" s="72">
        <v>17.0</v>
      </c>
      <c r="H1259" s="75">
        <v>41344.0</v>
      </c>
      <c r="I1259" s="73" t="s">
        <v>366</v>
      </c>
      <c r="J1259" s="76"/>
    </row>
    <row r="1260">
      <c r="A1260" s="74">
        <v>1257.0</v>
      </c>
      <c r="B1260" s="73" t="s">
        <v>1501</v>
      </c>
      <c r="C1260" s="74">
        <v>9.00475822E8</v>
      </c>
      <c r="D1260" s="73" t="s">
        <v>1625</v>
      </c>
      <c r="E1260" s="72">
        <v>12.0</v>
      </c>
      <c r="F1260" s="75">
        <v>40962.0</v>
      </c>
      <c r="G1260" s="72">
        <v>10.0</v>
      </c>
      <c r="H1260" s="75">
        <v>41338.0</v>
      </c>
      <c r="I1260" s="73" t="s">
        <v>366</v>
      </c>
      <c r="J1260" s="76"/>
    </row>
    <row r="1261">
      <c r="A1261" s="74">
        <v>1258.0</v>
      </c>
      <c r="B1261" s="73" t="s">
        <v>1501</v>
      </c>
      <c r="C1261" s="74">
        <v>9.00498442E8</v>
      </c>
      <c r="D1261" s="73" t="s">
        <v>1626</v>
      </c>
      <c r="E1261" s="72">
        <v>21.0</v>
      </c>
      <c r="F1261" s="75">
        <v>40977.0</v>
      </c>
      <c r="G1261" s="76"/>
      <c r="H1261" s="76"/>
      <c r="I1261" s="73" t="s">
        <v>366</v>
      </c>
      <c r="J1261" s="76"/>
    </row>
    <row r="1262">
      <c r="A1262" s="74">
        <v>1259.0</v>
      </c>
      <c r="B1262" s="73" t="s">
        <v>1501</v>
      </c>
      <c r="C1262" s="74">
        <v>9.00454872E8</v>
      </c>
      <c r="D1262" s="73" t="s">
        <v>1627</v>
      </c>
      <c r="E1262" s="72">
        <v>47.0</v>
      </c>
      <c r="F1262" s="75">
        <v>41067.0</v>
      </c>
      <c r="G1262" s="76"/>
      <c r="H1262" s="76"/>
      <c r="I1262" s="73" t="s">
        <v>366</v>
      </c>
      <c r="J1262" s="76"/>
    </row>
    <row r="1263">
      <c r="A1263" s="74">
        <v>1260.0</v>
      </c>
      <c r="B1263" s="73" t="s">
        <v>1501</v>
      </c>
      <c r="C1263" s="74">
        <v>9.00364421E8</v>
      </c>
      <c r="D1263" s="73" t="s">
        <v>1628</v>
      </c>
      <c r="E1263" s="72">
        <v>54.0</v>
      </c>
      <c r="F1263" s="75">
        <v>41079.0</v>
      </c>
      <c r="G1263" s="76"/>
      <c r="H1263" s="76"/>
      <c r="I1263" s="73" t="s">
        <v>366</v>
      </c>
      <c r="J1263" s="76"/>
    </row>
    <row r="1264">
      <c r="A1264" s="74">
        <v>1261.0</v>
      </c>
      <c r="B1264" s="73" t="s">
        <v>1501</v>
      </c>
      <c r="C1264" s="74">
        <v>9.00485589E8</v>
      </c>
      <c r="D1264" s="73" t="s">
        <v>1629</v>
      </c>
      <c r="E1264" s="72">
        <v>57.0</v>
      </c>
      <c r="F1264" s="75">
        <v>41101.0</v>
      </c>
      <c r="G1264" s="76"/>
      <c r="H1264" s="76"/>
      <c r="I1264" s="73" t="s">
        <v>366</v>
      </c>
      <c r="J1264" s="76"/>
    </row>
    <row r="1265">
      <c r="A1265" s="74">
        <v>1262.0</v>
      </c>
      <c r="B1265" s="73" t="s">
        <v>1501</v>
      </c>
      <c r="C1265" s="74">
        <v>9.00525844E8</v>
      </c>
      <c r="D1265" s="73" t="s">
        <v>1630</v>
      </c>
      <c r="E1265" s="72">
        <v>58.0</v>
      </c>
      <c r="F1265" s="75">
        <v>41101.0</v>
      </c>
      <c r="G1265" s="76"/>
      <c r="H1265" s="76"/>
      <c r="I1265" s="73" t="s">
        <v>366</v>
      </c>
      <c r="J1265" s="76"/>
    </row>
    <row r="1266">
      <c r="A1266" s="74">
        <v>1263.0</v>
      </c>
      <c r="B1266" s="73" t="s">
        <v>1501</v>
      </c>
      <c r="C1266" s="74">
        <v>9.00229887E8</v>
      </c>
      <c r="D1266" s="73" t="s">
        <v>1631</v>
      </c>
      <c r="E1266" s="72">
        <v>62.0</v>
      </c>
      <c r="F1266" s="75">
        <v>41117.0</v>
      </c>
      <c r="G1266" s="76"/>
      <c r="H1266" s="76"/>
      <c r="I1266" s="73" t="s">
        <v>366</v>
      </c>
      <c r="J1266" s="76"/>
    </row>
    <row r="1267">
      <c r="A1267" s="74">
        <v>1264.0</v>
      </c>
      <c r="B1267" s="73" t="s">
        <v>1501</v>
      </c>
      <c r="C1267" s="74">
        <v>9.00531012E8</v>
      </c>
      <c r="D1267" s="73" t="s">
        <v>1632</v>
      </c>
      <c r="E1267" s="72">
        <v>62.0</v>
      </c>
      <c r="F1267" s="75">
        <v>41131.0</v>
      </c>
      <c r="G1267" s="72">
        <v>111.0</v>
      </c>
      <c r="H1267" s="77">
        <v>41253.0</v>
      </c>
      <c r="I1267" s="73" t="s">
        <v>366</v>
      </c>
      <c r="J1267" s="76"/>
    </row>
    <row r="1268">
      <c r="A1268" s="74">
        <v>1265.0</v>
      </c>
      <c r="B1268" s="73" t="s">
        <v>1501</v>
      </c>
      <c r="C1268" s="74">
        <v>8.44000002E8</v>
      </c>
      <c r="D1268" s="73" t="s">
        <v>1633</v>
      </c>
      <c r="E1268" s="72">
        <v>67.0</v>
      </c>
      <c r="F1268" s="75">
        <v>41142.0</v>
      </c>
      <c r="G1268" s="76"/>
      <c r="H1268" s="76"/>
      <c r="I1268" s="73" t="s">
        <v>366</v>
      </c>
      <c r="J1268" s="76"/>
    </row>
    <row r="1269">
      <c r="A1269" s="74">
        <v>1266.0</v>
      </c>
      <c r="B1269" s="73" t="s">
        <v>1501</v>
      </c>
      <c r="C1269" s="74">
        <v>9.00102248E8</v>
      </c>
      <c r="D1269" s="73" t="s">
        <v>1634</v>
      </c>
      <c r="E1269" s="72">
        <v>68.0</v>
      </c>
      <c r="F1269" s="75">
        <v>41142.0</v>
      </c>
      <c r="G1269" s="76"/>
      <c r="H1269" s="76"/>
      <c r="I1269" s="73" t="s">
        <v>366</v>
      </c>
      <c r="J1269" s="76"/>
    </row>
    <row r="1270">
      <c r="A1270" s="74">
        <v>1267.0</v>
      </c>
      <c r="B1270" s="73" t="s">
        <v>1501</v>
      </c>
      <c r="C1270" s="74">
        <v>9.00537692E8</v>
      </c>
      <c r="D1270" s="73" t="s">
        <v>1635</v>
      </c>
      <c r="E1270" s="72">
        <v>77.0</v>
      </c>
      <c r="F1270" s="75">
        <v>41165.0</v>
      </c>
      <c r="G1270" s="76"/>
      <c r="H1270" s="76"/>
      <c r="I1270" s="73" t="s">
        <v>366</v>
      </c>
      <c r="J1270" s="76"/>
    </row>
    <row r="1271">
      <c r="A1271" s="85">
        <v>1268.0</v>
      </c>
      <c r="B1271" s="79" t="s">
        <v>1501</v>
      </c>
      <c r="C1271" s="80">
        <v>9.00371857E8</v>
      </c>
      <c r="D1271" s="79" t="s">
        <v>1636</v>
      </c>
      <c r="E1271" s="81">
        <v>82.0</v>
      </c>
      <c r="F1271" s="82">
        <v>41183.0</v>
      </c>
      <c r="G1271" s="83"/>
      <c r="H1271" s="83"/>
      <c r="I1271" s="73" t="s">
        <v>366</v>
      </c>
      <c r="J1271" s="76"/>
    </row>
    <row r="1272">
      <c r="A1272" s="74">
        <v>1269.0</v>
      </c>
      <c r="B1272" s="73" t="s">
        <v>1501</v>
      </c>
      <c r="C1272" s="74">
        <v>9.00100968E8</v>
      </c>
      <c r="D1272" s="73" t="s">
        <v>1637</v>
      </c>
      <c r="E1272" s="72">
        <v>84.0</v>
      </c>
      <c r="F1272" s="77">
        <v>41183.0</v>
      </c>
      <c r="G1272" s="76"/>
      <c r="H1272" s="76"/>
      <c r="I1272" s="73" t="s">
        <v>366</v>
      </c>
      <c r="J1272" s="76"/>
    </row>
    <row r="1273">
      <c r="A1273" s="74">
        <v>1270.0</v>
      </c>
      <c r="B1273" s="73" t="s">
        <v>1501</v>
      </c>
      <c r="C1273" s="74">
        <v>9.00295286E8</v>
      </c>
      <c r="D1273" s="73" t="s">
        <v>1638</v>
      </c>
      <c r="E1273" s="72">
        <v>86.0</v>
      </c>
      <c r="F1273" s="77">
        <v>41185.0</v>
      </c>
      <c r="G1273" s="76"/>
      <c r="H1273" s="76"/>
      <c r="I1273" s="73" t="s">
        <v>366</v>
      </c>
      <c r="J1273" s="76"/>
    </row>
    <row r="1274">
      <c r="A1274" s="74">
        <v>1271.0</v>
      </c>
      <c r="B1274" s="73" t="s">
        <v>1501</v>
      </c>
      <c r="C1274" s="74">
        <v>9.00434188E8</v>
      </c>
      <c r="D1274" s="73" t="s">
        <v>1639</v>
      </c>
      <c r="E1274" s="72">
        <v>85.0</v>
      </c>
      <c r="F1274" s="77">
        <v>41185.0</v>
      </c>
      <c r="G1274" s="76"/>
      <c r="H1274" s="76"/>
      <c r="I1274" s="73" t="s">
        <v>366</v>
      </c>
      <c r="J1274" s="76"/>
    </row>
    <row r="1275">
      <c r="A1275" s="74">
        <v>1272.0</v>
      </c>
      <c r="B1275" s="73" t="s">
        <v>1501</v>
      </c>
      <c r="C1275" s="74">
        <v>8.26003479E8</v>
      </c>
      <c r="D1275" s="73" t="s">
        <v>1640</v>
      </c>
      <c r="E1275" s="72">
        <v>95.0</v>
      </c>
      <c r="F1275" s="77">
        <v>41228.0</v>
      </c>
      <c r="G1275" s="76"/>
      <c r="H1275" s="76"/>
      <c r="I1275" s="73" t="s">
        <v>366</v>
      </c>
      <c r="J1275" s="76"/>
    </row>
    <row r="1276">
      <c r="A1276" s="74">
        <v>1273.0</v>
      </c>
      <c r="B1276" s="73" t="s">
        <v>1501</v>
      </c>
      <c r="C1276" s="74">
        <v>9.00461816E8</v>
      </c>
      <c r="D1276" s="73" t="s">
        <v>1641</v>
      </c>
      <c r="E1276" s="72">
        <v>105.0</v>
      </c>
      <c r="F1276" s="77">
        <v>41228.0</v>
      </c>
      <c r="G1276" s="76"/>
      <c r="H1276" s="76"/>
      <c r="I1276" s="73" t="s">
        <v>366</v>
      </c>
      <c r="J1276" s="76"/>
    </row>
    <row r="1277">
      <c r="A1277" s="74">
        <v>1274.0</v>
      </c>
      <c r="B1277" s="73" t="s">
        <v>1501</v>
      </c>
      <c r="C1277" s="74">
        <v>9.00478785E8</v>
      </c>
      <c r="D1277" s="73" t="s">
        <v>1642</v>
      </c>
      <c r="E1277" s="72">
        <v>103.0</v>
      </c>
      <c r="F1277" s="77">
        <v>41228.0</v>
      </c>
      <c r="G1277" s="76"/>
      <c r="H1277" s="76"/>
      <c r="I1277" s="73" t="s">
        <v>366</v>
      </c>
      <c r="J1277" s="76"/>
    </row>
    <row r="1278">
      <c r="A1278" s="74">
        <v>1275.0</v>
      </c>
      <c r="B1278" s="73" t="s">
        <v>1501</v>
      </c>
      <c r="C1278" s="74">
        <v>9.00501856E8</v>
      </c>
      <c r="D1278" s="73" t="s">
        <v>1643</v>
      </c>
      <c r="E1278" s="72">
        <v>96.0</v>
      </c>
      <c r="F1278" s="77">
        <v>41228.0</v>
      </c>
      <c r="G1278" s="76"/>
      <c r="H1278" s="76"/>
      <c r="I1278" s="73" t="s">
        <v>366</v>
      </c>
      <c r="J1278" s="76"/>
    </row>
    <row r="1279">
      <c r="A1279" s="74">
        <v>1276.0</v>
      </c>
      <c r="B1279" s="73" t="s">
        <v>1501</v>
      </c>
      <c r="C1279" s="74">
        <v>9.00478638E8</v>
      </c>
      <c r="D1279" s="73" t="s">
        <v>1644</v>
      </c>
      <c r="E1279" s="72">
        <v>102.0</v>
      </c>
      <c r="F1279" s="77">
        <v>41228.0</v>
      </c>
      <c r="G1279" s="76"/>
      <c r="H1279" s="76"/>
      <c r="I1279" s="73" t="s">
        <v>366</v>
      </c>
      <c r="J1279" s="76"/>
    </row>
    <row r="1280">
      <c r="A1280" s="74">
        <v>1277.0</v>
      </c>
      <c r="B1280" s="73" t="s">
        <v>1501</v>
      </c>
      <c r="C1280" s="74">
        <v>9.00478638E8</v>
      </c>
      <c r="D1280" s="73" t="s">
        <v>1645</v>
      </c>
      <c r="E1280" s="72">
        <v>102.0</v>
      </c>
      <c r="F1280" s="77">
        <v>41228.0</v>
      </c>
      <c r="G1280" s="76"/>
      <c r="H1280" s="76"/>
      <c r="I1280" s="73" t="s">
        <v>366</v>
      </c>
      <c r="J1280" s="76"/>
    </row>
    <row r="1281">
      <c r="A1281" s="74">
        <v>1278.0</v>
      </c>
      <c r="B1281" s="73" t="s">
        <v>1501</v>
      </c>
      <c r="C1281" s="74">
        <v>9.00487314E8</v>
      </c>
      <c r="D1281" s="73" t="s">
        <v>1646</v>
      </c>
      <c r="E1281" s="72">
        <v>109.0</v>
      </c>
      <c r="F1281" s="77">
        <v>41248.0</v>
      </c>
      <c r="G1281" s="76"/>
      <c r="H1281" s="76"/>
      <c r="I1281" s="73" t="s">
        <v>366</v>
      </c>
      <c r="J1281" s="76"/>
    </row>
    <row r="1282">
      <c r="A1282" s="74">
        <v>1279.0</v>
      </c>
      <c r="B1282" s="73" t="s">
        <v>1501</v>
      </c>
      <c r="C1282" s="74">
        <v>9.00340338E8</v>
      </c>
      <c r="D1282" s="73" t="s">
        <v>1647</v>
      </c>
      <c r="E1282" s="72">
        <v>113.0</v>
      </c>
      <c r="F1282" s="77">
        <v>41255.0</v>
      </c>
      <c r="G1282" s="76"/>
      <c r="H1282" s="76"/>
      <c r="I1282" s="73" t="s">
        <v>366</v>
      </c>
      <c r="J1282" s="76"/>
    </row>
    <row r="1283">
      <c r="A1283" s="74">
        <v>1280.0</v>
      </c>
      <c r="B1283" s="73" t="s">
        <v>1501</v>
      </c>
      <c r="C1283" s="74">
        <v>9.00528315E8</v>
      </c>
      <c r="D1283" s="73" t="s">
        <v>1648</v>
      </c>
      <c r="E1283" s="72">
        <v>114.0</v>
      </c>
      <c r="F1283" s="77">
        <v>41255.0</v>
      </c>
      <c r="G1283" s="76"/>
      <c r="H1283" s="76"/>
      <c r="I1283" s="73" t="s">
        <v>366</v>
      </c>
      <c r="J1283" s="76"/>
    </row>
    <row r="1284">
      <c r="A1284" s="74">
        <v>1281.0</v>
      </c>
      <c r="B1284" s="73" t="s">
        <v>1501</v>
      </c>
      <c r="C1284" s="74">
        <v>9.00541482E8</v>
      </c>
      <c r="D1284" s="73" t="s">
        <v>1649</v>
      </c>
      <c r="E1284" s="72">
        <v>119.0</v>
      </c>
      <c r="F1284" s="77">
        <v>41261.0</v>
      </c>
      <c r="G1284" s="76"/>
      <c r="H1284" s="76"/>
      <c r="I1284" s="73" t="s">
        <v>366</v>
      </c>
      <c r="J1284" s="76"/>
    </row>
    <row r="1285">
      <c r="A1285" s="74">
        <v>1282.0</v>
      </c>
      <c r="B1285" s="73" t="s">
        <v>1501</v>
      </c>
      <c r="C1285" s="74">
        <v>9.00482272E8</v>
      </c>
      <c r="D1285" s="73" t="s">
        <v>1650</v>
      </c>
      <c r="E1285" s="72">
        <v>127.0</v>
      </c>
      <c r="F1285" s="77">
        <v>41270.0</v>
      </c>
      <c r="G1285" s="76"/>
      <c r="H1285" s="76"/>
      <c r="I1285" s="73" t="s">
        <v>366</v>
      </c>
      <c r="J1285" s="76"/>
    </row>
    <row r="1286">
      <c r="A1286" s="74">
        <v>1283.0</v>
      </c>
      <c r="B1286" s="73" t="s">
        <v>1501</v>
      </c>
      <c r="C1286" s="74">
        <v>9.00511361E8</v>
      </c>
      <c r="D1286" s="73" t="s">
        <v>1651</v>
      </c>
      <c r="E1286" s="72">
        <v>129.0</v>
      </c>
      <c r="F1286" s="77">
        <v>41270.0</v>
      </c>
      <c r="G1286" s="76"/>
      <c r="H1286" s="76"/>
      <c r="I1286" s="73" t="s">
        <v>366</v>
      </c>
      <c r="J1286" s="76"/>
    </row>
    <row r="1287">
      <c r="A1287" s="74">
        <v>1284.0</v>
      </c>
      <c r="B1287" s="73" t="s">
        <v>1501</v>
      </c>
      <c r="C1287" s="74">
        <v>9.00569184E8</v>
      </c>
      <c r="D1287" s="73" t="s">
        <v>1652</v>
      </c>
      <c r="E1287" s="72">
        <v>128.0</v>
      </c>
      <c r="F1287" s="77">
        <v>41270.0</v>
      </c>
      <c r="G1287" s="76"/>
      <c r="H1287" s="76"/>
      <c r="I1287" s="73" t="s">
        <v>366</v>
      </c>
      <c r="J1287" s="76"/>
    </row>
    <row r="1288">
      <c r="A1288" s="74">
        <v>1285.0</v>
      </c>
      <c r="B1288" s="73" t="s">
        <v>1501</v>
      </c>
      <c r="C1288" s="74">
        <v>9.00461876E8</v>
      </c>
      <c r="D1288" s="73" t="s">
        <v>1653</v>
      </c>
      <c r="E1288" s="72">
        <v>4.0</v>
      </c>
      <c r="F1288" s="75">
        <v>41311.0</v>
      </c>
      <c r="G1288" s="76"/>
      <c r="H1288" s="76"/>
      <c r="I1288" s="73" t="s">
        <v>366</v>
      </c>
      <c r="J1288" s="76"/>
    </row>
    <row r="1289">
      <c r="A1289" s="74">
        <v>1286.0</v>
      </c>
      <c r="B1289" s="73" t="s">
        <v>1501</v>
      </c>
      <c r="C1289" s="74">
        <v>9.00547388E8</v>
      </c>
      <c r="D1289" s="73" t="s">
        <v>1654</v>
      </c>
      <c r="E1289" s="72">
        <v>2.0</v>
      </c>
      <c r="F1289" s="75">
        <v>41311.0</v>
      </c>
      <c r="G1289" s="76"/>
      <c r="H1289" s="76"/>
      <c r="I1289" s="73" t="s">
        <v>366</v>
      </c>
      <c r="J1289" s="76"/>
    </row>
    <row r="1290">
      <c r="A1290" s="74">
        <v>1287.0</v>
      </c>
      <c r="B1290" s="73" t="s">
        <v>1501</v>
      </c>
      <c r="C1290" s="74">
        <v>9.00555213E8</v>
      </c>
      <c r="D1290" s="73" t="s">
        <v>1655</v>
      </c>
      <c r="E1290" s="72">
        <v>6.0</v>
      </c>
      <c r="F1290" s="75">
        <v>41318.0</v>
      </c>
      <c r="G1290" s="76"/>
      <c r="H1290" s="76"/>
      <c r="I1290" s="73" t="s">
        <v>366</v>
      </c>
      <c r="J1290" s="76"/>
    </row>
    <row r="1291">
      <c r="A1291" s="74">
        <v>1288.0</v>
      </c>
      <c r="B1291" s="73" t="s">
        <v>1501</v>
      </c>
      <c r="C1291" s="74">
        <v>9.00586889E8</v>
      </c>
      <c r="D1291" s="73" t="s">
        <v>1656</v>
      </c>
      <c r="E1291" s="72">
        <v>14.0</v>
      </c>
      <c r="F1291" s="75">
        <v>41327.0</v>
      </c>
      <c r="G1291" s="76"/>
      <c r="H1291" s="76"/>
      <c r="I1291" s="73" t="s">
        <v>366</v>
      </c>
      <c r="J1291" s="76"/>
    </row>
    <row r="1292">
      <c r="A1292" s="74">
        <v>1289.0</v>
      </c>
      <c r="B1292" s="73" t="s">
        <v>1501</v>
      </c>
      <c r="C1292" s="74">
        <v>9.00462135E8</v>
      </c>
      <c r="D1292" s="73" t="s">
        <v>1657</v>
      </c>
      <c r="E1292" s="72">
        <v>22.0</v>
      </c>
      <c r="F1292" s="75">
        <v>41383.0</v>
      </c>
      <c r="G1292" s="72">
        <v>107.0</v>
      </c>
      <c r="H1292" s="77">
        <v>42332.0</v>
      </c>
      <c r="I1292" s="73" t="s">
        <v>366</v>
      </c>
      <c r="J1292" s="76"/>
    </row>
    <row r="1293">
      <c r="A1293" s="74">
        <v>1290.0</v>
      </c>
      <c r="B1293" s="73" t="s">
        <v>1501</v>
      </c>
      <c r="C1293" s="74">
        <v>9.00393052E8</v>
      </c>
      <c r="D1293" s="73" t="s">
        <v>1658</v>
      </c>
      <c r="E1293" s="72">
        <v>130.0</v>
      </c>
      <c r="F1293" s="75">
        <v>41388.0</v>
      </c>
      <c r="G1293" s="76"/>
      <c r="H1293" s="76"/>
      <c r="I1293" s="73" t="s">
        <v>366</v>
      </c>
      <c r="J1293" s="76"/>
    </row>
    <row r="1294">
      <c r="A1294" s="74">
        <v>1291.0</v>
      </c>
      <c r="B1294" s="73" t="s">
        <v>1501</v>
      </c>
      <c r="C1294" s="74">
        <v>9.00318939E8</v>
      </c>
      <c r="D1294" s="73" t="s">
        <v>1659</v>
      </c>
      <c r="E1294" s="72">
        <v>44.0</v>
      </c>
      <c r="F1294" s="75">
        <v>41436.0</v>
      </c>
      <c r="G1294" s="76"/>
      <c r="H1294" s="76"/>
      <c r="I1294" s="73" t="s">
        <v>366</v>
      </c>
      <c r="J1294" s="76"/>
    </row>
    <row r="1295">
      <c r="A1295" s="74">
        <v>1292.0</v>
      </c>
      <c r="B1295" s="73" t="s">
        <v>1501</v>
      </c>
      <c r="C1295" s="74">
        <v>9.00597477E8</v>
      </c>
      <c r="D1295" s="73" t="s">
        <v>1660</v>
      </c>
      <c r="E1295" s="72">
        <v>47.0</v>
      </c>
      <c r="F1295" s="75">
        <v>41436.0</v>
      </c>
      <c r="G1295" s="76"/>
      <c r="H1295" s="76"/>
      <c r="I1295" s="73" t="s">
        <v>366</v>
      </c>
      <c r="J1295" s="76"/>
    </row>
    <row r="1296">
      <c r="A1296" s="74">
        <v>1293.0</v>
      </c>
      <c r="B1296" s="73" t="s">
        <v>1501</v>
      </c>
      <c r="C1296" s="74">
        <v>9.00424343E8</v>
      </c>
      <c r="D1296" s="73" t="s">
        <v>1661</v>
      </c>
      <c r="E1296" s="72">
        <v>31.0</v>
      </c>
      <c r="F1296" s="75">
        <v>41438.0</v>
      </c>
      <c r="G1296" s="72">
        <v>46.0</v>
      </c>
      <c r="H1296" s="75">
        <v>42174.0</v>
      </c>
      <c r="I1296" s="73" t="s">
        <v>366</v>
      </c>
      <c r="J1296" s="76"/>
    </row>
    <row r="1297">
      <c r="A1297" s="74">
        <v>1294.0</v>
      </c>
      <c r="B1297" s="73" t="s">
        <v>1501</v>
      </c>
      <c r="C1297" s="74">
        <v>8.44000218E8</v>
      </c>
      <c r="D1297" s="73" t="s">
        <v>1662</v>
      </c>
      <c r="E1297" s="72">
        <v>60.0</v>
      </c>
      <c r="F1297" s="75">
        <v>41463.0</v>
      </c>
      <c r="G1297" s="76"/>
      <c r="H1297" s="76"/>
      <c r="I1297" s="73" t="s">
        <v>366</v>
      </c>
      <c r="J1297" s="76"/>
    </row>
    <row r="1298">
      <c r="A1298" s="74">
        <v>1295.0</v>
      </c>
      <c r="B1298" s="73" t="s">
        <v>1501</v>
      </c>
      <c r="C1298" s="74">
        <v>9.00366255E8</v>
      </c>
      <c r="D1298" s="73" t="s">
        <v>1663</v>
      </c>
      <c r="E1298" s="72">
        <v>57.0</v>
      </c>
      <c r="F1298" s="75">
        <v>41463.0</v>
      </c>
      <c r="G1298" s="76"/>
      <c r="H1298" s="76"/>
      <c r="I1298" s="73" t="s">
        <v>366</v>
      </c>
      <c r="J1298" s="76"/>
    </row>
    <row r="1299">
      <c r="A1299" s="74">
        <v>1296.0</v>
      </c>
      <c r="B1299" s="73" t="s">
        <v>1501</v>
      </c>
      <c r="C1299" s="74">
        <v>9.00305716E8</v>
      </c>
      <c r="D1299" s="73" t="s">
        <v>1664</v>
      </c>
      <c r="E1299" s="72">
        <v>69.0</v>
      </c>
      <c r="F1299" s="75">
        <v>41501.0</v>
      </c>
      <c r="G1299" s="76"/>
      <c r="H1299" s="76"/>
      <c r="I1299" s="73" t="s">
        <v>366</v>
      </c>
      <c r="J1299" s="76"/>
    </row>
    <row r="1300">
      <c r="A1300" s="74">
        <v>1297.0</v>
      </c>
      <c r="B1300" s="73" t="s">
        <v>1501</v>
      </c>
      <c r="C1300" s="74">
        <v>9.00496954E8</v>
      </c>
      <c r="D1300" s="73" t="s">
        <v>1665</v>
      </c>
      <c r="E1300" s="72">
        <v>73.0</v>
      </c>
      <c r="F1300" s="75">
        <v>41520.0</v>
      </c>
      <c r="G1300" s="76"/>
      <c r="H1300" s="76"/>
      <c r="I1300" s="73" t="s">
        <v>366</v>
      </c>
      <c r="J1300" s="76"/>
    </row>
    <row r="1301">
      <c r="A1301" s="74">
        <v>1298.0</v>
      </c>
      <c r="B1301" s="73" t="s">
        <v>1501</v>
      </c>
      <c r="C1301" s="74">
        <v>8.44002035E8</v>
      </c>
      <c r="D1301" s="73" t="s">
        <v>1666</v>
      </c>
      <c r="E1301" s="72">
        <v>78.0</v>
      </c>
      <c r="F1301" s="75">
        <v>41527.0</v>
      </c>
      <c r="G1301" s="76"/>
      <c r="H1301" s="76"/>
      <c r="I1301" s="73" t="s">
        <v>366</v>
      </c>
      <c r="J1301" s="76"/>
    </row>
    <row r="1302">
      <c r="A1302" s="74">
        <v>1299.0</v>
      </c>
      <c r="B1302" s="73" t="s">
        <v>1501</v>
      </c>
      <c r="C1302" s="74">
        <v>9.0062992E8</v>
      </c>
      <c r="D1302" s="73" t="s">
        <v>1667</v>
      </c>
      <c r="E1302" s="72">
        <v>60.0</v>
      </c>
      <c r="F1302" s="75">
        <v>41527.0</v>
      </c>
      <c r="G1302" s="72">
        <v>38.0</v>
      </c>
      <c r="H1302" s="75">
        <v>41768.0</v>
      </c>
      <c r="I1302" s="73" t="s">
        <v>366</v>
      </c>
      <c r="J1302" s="76"/>
    </row>
    <row r="1303">
      <c r="A1303" s="74">
        <v>1300.0</v>
      </c>
      <c r="B1303" s="73" t="s">
        <v>1501</v>
      </c>
      <c r="C1303" s="74">
        <v>9.00585047E8</v>
      </c>
      <c r="D1303" s="73" t="s">
        <v>1668</v>
      </c>
      <c r="E1303" s="72">
        <v>104.0</v>
      </c>
      <c r="F1303" s="75">
        <v>41532.0</v>
      </c>
      <c r="G1303" s="76"/>
      <c r="H1303" s="76"/>
      <c r="I1303" s="73" t="s">
        <v>366</v>
      </c>
      <c r="J1303" s="76"/>
    </row>
    <row r="1304">
      <c r="A1304" s="74">
        <v>1301.0</v>
      </c>
      <c r="B1304" s="73" t="s">
        <v>1501</v>
      </c>
      <c r="C1304" s="74">
        <v>9.00653972E8</v>
      </c>
      <c r="D1304" s="73" t="s">
        <v>1669</v>
      </c>
      <c r="E1304" s="72">
        <v>106.0</v>
      </c>
      <c r="F1304" s="75">
        <v>41532.0</v>
      </c>
      <c r="G1304" s="76"/>
      <c r="H1304" s="76"/>
      <c r="I1304" s="73" t="s">
        <v>366</v>
      </c>
      <c r="J1304" s="76"/>
    </row>
    <row r="1305">
      <c r="A1305" s="74">
        <v>1302.0</v>
      </c>
      <c r="B1305" s="73" t="s">
        <v>1501</v>
      </c>
      <c r="C1305" s="74">
        <v>9.00559319E8</v>
      </c>
      <c r="D1305" s="73" t="s">
        <v>1670</v>
      </c>
      <c r="E1305" s="72">
        <v>89.0</v>
      </c>
      <c r="F1305" s="77">
        <v>41556.0</v>
      </c>
      <c r="G1305" s="76"/>
      <c r="H1305" s="76"/>
      <c r="I1305" s="73" t="s">
        <v>366</v>
      </c>
      <c r="J1305" s="76"/>
    </row>
    <row r="1306">
      <c r="A1306" s="74">
        <v>1303.0</v>
      </c>
      <c r="B1306" s="73" t="s">
        <v>1501</v>
      </c>
      <c r="C1306" s="74">
        <v>9.00557576E8</v>
      </c>
      <c r="D1306" s="73" t="s">
        <v>1671</v>
      </c>
      <c r="E1306" s="72">
        <v>101.0</v>
      </c>
      <c r="F1306" s="77">
        <v>41593.0</v>
      </c>
      <c r="G1306" s="76"/>
      <c r="H1306" s="76"/>
      <c r="I1306" s="73" t="s">
        <v>366</v>
      </c>
      <c r="J1306" s="76"/>
    </row>
    <row r="1307">
      <c r="A1307" s="74">
        <v>1304.0</v>
      </c>
      <c r="B1307" s="73" t="s">
        <v>1501</v>
      </c>
      <c r="C1307" s="74">
        <v>9.00640875E8</v>
      </c>
      <c r="D1307" s="73" t="s">
        <v>1672</v>
      </c>
      <c r="E1307" s="72">
        <v>102.0</v>
      </c>
      <c r="F1307" s="77">
        <v>41593.0</v>
      </c>
      <c r="G1307" s="76"/>
      <c r="H1307" s="76"/>
      <c r="I1307" s="73" t="s">
        <v>366</v>
      </c>
      <c r="J1307" s="76"/>
    </row>
    <row r="1308">
      <c r="A1308" s="74">
        <v>1305.0</v>
      </c>
      <c r="B1308" s="73" t="s">
        <v>1501</v>
      </c>
      <c r="C1308" s="74">
        <v>9.00653972E8</v>
      </c>
      <c r="D1308" s="73" t="s">
        <v>1673</v>
      </c>
      <c r="E1308" s="72">
        <v>106.0</v>
      </c>
      <c r="F1308" s="77">
        <v>41593.0</v>
      </c>
      <c r="G1308" s="76"/>
      <c r="H1308" s="76"/>
      <c r="I1308" s="73" t="s">
        <v>366</v>
      </c>
      <c r="J1308" s="76"/>
    </row>
    <row r="1309">
      <c r="A1309" s="74">
        <v>1306.0</v>
      </c>
      <c r="B1309" s="73" t="s">
        <v>1501</v>
      </c>
      <c r="C1309" s="74">
        <v>9.00640875E8</v>
      </c>
      <c r="D1309" s="73" t="s">
        <v>1674</v>
      </c>
      <c r="E1309" s="72">
        <v>102.0</v>
      </c>
      <c r="F1309" s="77">
        <v>41593.0</v>
      </c>
      <c r="G1309" s="76"/>
      <c r="H1309" s="76"/>
      <c r="I1309" s="73" t="s">
        <v>366</v>
      </c>
      <c r="J1309" s="76"/>
    </row>
    <row r="1310">
      <c r="A1310" s="74">
        <v>1307.0</v>
      </c>
      <c r="B1310" s="73" t="s">
        <v>1501</v>
      </c>
      <c r="C1310" s="74">
        <v>8.4400423E8</v>
      </c>
      <c r="D1310" s="73" t="s">
        <v>1675</v>
      </c>
      <c r="E1310" s="72">
        <v>113.0</v>
      </c>
      <c r="F1310" s="77">
        <v>41621.0</v>
      </c>
      <c r="G1310" s="76"/>
      <c r="H1310" s="76"/>
      <c r="I1310" s="73" t="s">
        <v>366</v>
      </c>
      <c r="J1310" s="76"/>
    </row>
    <row r="1311">
      <c r="A1311" s="74">
        <v>1308.0</v>
      </c>
      <c r="B1311" s="73" t="s">
        <v>1501</v>
      </c>
      <c r="C1311" s="74">
        <v>8.4400423E8</v>
      </c>
      <c r="D1311" s="73" t="s">
        <v>1676</v>
      </c>
      <c r="E1311" s="72">
        <v>113.0</v>
      </c>
      <c r="F1311" s="77">
        <v>41621.0</v>
      </c>
      <c r="G1311" s="76"/>
      <c r="H1311" s="76"/>
      <c r="I1311" s="73" t="s">
        <v>366</v>
      </c>
      <c r="J1311" s="76"/>
    </row>
    <row r="1312">
      <c r="A1312" s="74">
        <v>1309.0</v>
      </c>
      <c r="B1312" s="73" t="s">
        <v>1501</v>
      </c>
      <c r="C1312" s="74">
        <v>9.00674764E8</v>
      </c>
      <c r="D1312" s="73" t="s">
        <v>1677</v>
      </c>
      <c r="E1312" s="72">
        <v>73.0</v>
      </c>
      <c r="F1312" s="77">
        <v>41621.0</v>
      </c>
      <c r="G1312" s="76"/>
      <c r="H1312" s="76"/>
      <c r="I1312" s="73" t="s">
        <v>366</v>
      </c>
      <c r="J1312" s="76"/>
    </row>
    <row r="1313">
      <c r="A1313" s="74">
        <v>1310.0</v>
      </c>
      <c r="B1313" s="73" t="s">
        <v>1501</v>
      </c>
      <c r="C1313" s="74">
        <v>9.00649996E8</v>
      </c>
      <c r="D1313" s="73" t="s">
        <v>1678</v>
      </c>
      <c r="E1313" s="72">
        <v>433.0</v>
      </c>
      <c r="F1313" s="77">
        <v>41628.0</v>
      </c>
      <c r="G1313" s="76"/>
      <c r="H1313" s="76"/>
      <c r="I1313" s="73" t="s">
        <v>366</v>
      </c>
      <c r="J1313" s="76"/>
    </row>
    <row r="1314">
      <c r="A1314" s="74">
        <v>1311.0</v>
      </c>
      <c r="B1314" s="73" t="s">
        <v>1501</v>
      </c>
      <c r="C1314" s="74">
        <v>9.00307418E8</v>
      </c>
      <c r="D1314" s="73" t="s">
        <v>1679</v>
      </c>
      <c r="E1314" s="72">
        <v>7.0</v>
      </c>
      <c r="F1314" s="75">
        <v>41687.0</v>
      </c>
      <c r="G1314" s="76"/>
      <c r="H1314" s="76"/>
      <c r="I1314" s="73" t="s">
        <v>366</v>
      </c>
      <c r="J1314" s="76"/>
    </row>
    <row r="1315">
      <c r="A1315" s="74">
        <v>1312.0</v>
      </c>
      <c r="B1315" s="73" t="s">
        <v>1501</v>
      </c>
      <c r="C1315" s="74">
        <v>9.00596576E8</v>
      </c>
      <c r="D1315" s="73" t="s">
        <v>1680</v>
      </c>
      <c r="E1315" s="72">
        <v>5.0</v>
      </c>
      <c r="F1315" s="75">
        <v>41687.0</v>
      </c>
      <c r="G1315" s="76"/>
      <c r="H1315" s="76"/>
      <c r="I1315" s="73" t="s">
        <v>366</v>
      </c>
      <c r="J1315" s="76"/>
    </row>
    <row r="1316">
      <c r="A1316" s="74">
        <v>1313.0</v>
      </c>
      <c r="B1316" s="73" t="s">
        <v>1501</v>
      </c>
      <c r="C1316" s="74">
        <v>9.00649922E8</v>
      </c>
      <c r="D1316" s="73" t="s">
        <v>1681</v>
      </c>
      <c r="E1316" s="72">
        <v>4.0</v>
      </c>
      <c r="F1316" s="75">
        <v>41687.0</v>
      </c>
      <c r="G1316" s="76"/>
      <c r="H1316" s="76"/>
      <c r="I1316" s="73" t="s">
        <v>366</v>
      </c>
      <c r="J1316" s="76"/>
    </row>
    <row r="1317">
      <c r="A1317" s="74">
        <v>1314.0</v>
      </c>
      <c r="B1317" s="73" t="s">
        <v>1501</v>
      </c>
      <c r="C1317" s="74">
        <v>9.00679543E8</v>
      </c>
      <c r="D1317" s="73" t="s">
        <v>1682</v>
      </c>
      <c r="E1317" s="72">
        <v>8.0</v>
      </c>
      <c r="F1317" s="75">
        <v>41687.0</v>
      </c>
      <c r="G1317" s="76"/>
      <c r="H1317" s="76"/>
      <c r="I1317" s="73" t="s">
        <v>366</v>
      </c>
      <c r="J1317" s="76"/>
    </row>
    <row r="1318">
      <c r="A1318" s="74">
        <v>1315.0</v>
      </c>
      <c r="B1318" s="73" t="s">
        <v>1501</v>
      </c>
      <c r="C1318" s="74">
        <v>9.00307418E8</v>
      </c>
      <c r="D1318" s="73" t="s">
        <v>1683</v>
      </c>
      <c r="E1318" s="72">
        <v>7.0</v>
      </c>
      <c r="F1318" s="75">
        <v>41687.0</v>
      </c>
      <c r="G1318" s="76"/>
      <c r="H1318" s="76"/>
      <c r="I1318" s="73" t="s">
        <v>366</v>
      </c>
      <c r="J1318" s="76"/>
    </row>
    <row r="1319">
      <c r="A1319" s="74">
        <v>1316.0</v>
      </c>
      <c r="B1319" s="73" t="s">
        <v>1501</v>
      </c>
      <c r="C1319" s="74">
        <v>8.30502634E8</v>
      </c>
      <c r="D1319" s="73" t="s">
        <v>1684</v>
      </c>
      <c r="E1319" s="72">
        <v>15.0</v>
      </c>
      <c r="F1319" s="75">
        <v>41701.0</v>
      </c>
      <c r="G1319" s="76"/>
      <c r="H1319" s="76"/>
      <c r="I1319" s="73" t="s">
        <v>366</v>
      </c>
      <c r="J1319" s="76"/>
    </row>
    <row r="1320">
      <c r="A1320" s="74">
        <v>1317.0</v>
      </c>
      <c r="B1320" s="73" t="s">
        <v>1501</v>
      </c>
      <c r="C1320" s="74">
        <v>8.91855534E8</v>
      </c>
      <c r="D1320" s="73" t="s">
        <v>1685</v>
      </c>
      <c r="E1320" s="72">
        <v>13.0</v>
      </c>
      <c r="F1320" s="75">
        <v>41701.0</v>
      </c>
      <c r="G1320" s="76"/>
      <c r="H1320" s="76"/>
      <c r="I1320" s="73" t="s">
        <v>366</v>
      </c>
      <c r="J1320" s="76"/>
    </row>
    <row r="1321">
      <c r="A1321" s="74">
        <v>1318.0</v>
      </c>
      <c r="B1321" s="73" t="s">
        <v>1501</v>
      </c>
      <c r="C1321" s="74">
        <v>9.00539504E8</v>
      </c>
      <c r="D1321" s="73" t="s">
        <v>1686</v>
      </c>
      <c r="E1321" s="72">
        <v>14.0</v>
      </c>
      <c r="F1321" s="75">
        <v>41701.0</v>
      </c>
      <c r="G1321" s="76"/>
      <c r="H1321" s="76"/>
      <c r="I1321" s="73" t="s">
        <v>366</v>
      </c>
      <c r="J1321" s="76"/>
    </row>
    <row r="1322">
      <c r="A1322" s="74">
        <v>1319.0</v>
      </c>
      <c r="B1322" s="73" t="s">
        <v>1501</v>
      </c>
      <c r="C1322" s="74">
        <v>9.00547046E8</v>
      </c>
      <c r="D1322" s="73" t="s">
        <v>1687</v>
      </c>
      <c r="E1322" s="72">
        <v>12.0</v>
      </c>
      <c r="F1322" s="75">
        <v>41701.0</v>
      </c>
      <c r="G1322" s="76"/>
      <c r="H1322" s="76"/>
      <c r="I1322" s="73" t="s">
        <v>366</v>
      </c>
      <c r="J1322" s="76"/>
    </row>
    <row r="1323">
      <c r="A1323" s="74">
        <v>1320.0</v>
      </c>
      <c r="B1323" s="73" t="s">
        <v>1501</v>
      </c>
      <c r="C1323" s="74">
        <v>8.30502634E8</v>
      </c>
      <c r="D1323" s="73" t="s">
        <v>1684</v>
      </c>
      <c r="E1323" s="72">
        <v>15.0</v>
      </c>
      <c r="F1323" s="75">
        <v>41701.0</v>
      </c>
      <c r="G1323" s="76"/>
      <c r="H1323" s="76"/>
      <c r="I1323" s="73" t="s">
        <v>366</v>
      </c>
      <c r="J1323" s="76"/>
    </row>
    <row r="1324">
      <c r="A1324" s="85">
        <v>1321.0</v>
      </c>
      <c r="B1324" s="79" t="s">
        <v>1501</v>
      </c>
      <c r="C1324" s="80">
        <v>9.00103645E8</v>
      </c>
      <c r="D1324" s="79" t="s">
        <v>1688</v>
      </c>
      <c r="E1324" s="81">
        <v>23.0</v>
      </c>
      <c r="F1324" s="84">
        <v>41731.0</v>
      </c>
      <c r="G1324" s="83"/>
      <c r="H1324" s="83"/>
      <c r="I1324" s="73" t="s">
        <v>366</v>
      </c>
      <c r="J1324" s="76"/>
    </row>
    <row r="1325">
      <c r="A1325" s="74">
        <v>1322.0</v>
      </c>
      <c r="B1325" s="73" t="s">
        <v>1501</v>
      </c>
      <c r="C1325" s="74">
        <v>9.00570886E8</v>
      </c>
      <c r="D1325" s="73" t="s">
        <v>1689</v>
      </c>
      <c r="E1325" s="72">
        <v>24.0</v>
      </c>
      <c r="F1325" s="75">
        <v>41731.0</v>
      </c>
      <c r="G1325" s="76"/>
      <c r="H1325" s="76"/>
      <c r="I1325" s="73" t="s">
        <v>366</v>
      </c>
      <c r="J1325" s="76"/>
    </row>
    <row r="1326">
      <c r="A1326" s="74">
        <v>1323.0</v>
      </c>
      <c r="B1326" s="73" t="s">
        <v>1501</v>
      </c>
      <c r="C1326" s="74">
        <v>9.00678245E8</v>
      </c>
      <c r="D1326" s="73" t="s">
        <v>1690</v>
      </c>
      <c r="E1326" s="72">
        <v>25.0</v>
      </c>
      <c r="F1326" s="75">
        <v>41740.0</v>
      </c>
      <c r="G1326" s="76"/>
      <c r="H1326" s="76"/>
      <c r="I1326" s="73" t="s">
        <v>366</v>
      </c>
      <c r="J1326" s="76"/>
    </row>
    <row r="1327">
      <c r="A1327" s="74">
        <v>1324.0</v>
      </c>
      <c r="B1327" s="73" t="s">
        <v>1501</v>
      </c>
      <c r="C1327" s="74">
        <v>8.91857745E8</v>
      </c>
      <c r="D1327" s="73" t="s">
        <v>1691</v>
      </c>
      <c r="E1327" s="72">
        <v>29.0</v>
      </c>
      <c r="F1327" s="75">
        <v>41753.0</v>
      </c>
      <c r="G1327" s="76"/>
      <c r="H1327" s="76"/>
      <c r="I1327" s="73" t="s">
        <v>366</v>
      </c>
      <c r="J1327" s="76"/>
    </row>
    <row r="1328">
      <c r="A1328" s="74">
        <v>1325.0</v>
      </c>
      <c r="B1328" s="73" t="s">
        <v>1501</v>
      </c>
      <c r="C1328" s="74">
        <v>9.00590589E8</v>
      </c>
      <c r="D1328" s="73" t="s">
        <v>1692</v>
      </c>
      <c r="E1328" s="72">
        <v>123.0</v>
      </c>
      <c r="F1328" s="75">
        <v>41767.0</v>
      </c>
      <c r="G1328" s="76"/>
      <c r="H1328" s="76"/>
      <c r="I1328" s="73" t="s">
        <v>366</v>
      </c>
      <c r="J1328" s="76"/>
    </row>
    <row r="1329">
      <c r="A1329" s="74">
        <v>1326.0</v>
      </c>
      <c r="B1329" s="73" t="s">
        <v>1501</v>
      </c>
      <c r="C1329" s="74">
        <v>8.30065629E8</v>
      </c>
      <c r="D1329" s="73" t="s">
        <v>1693</v>
      </c>
      <c r="E1329" s="72">
        <v>39.0</v>
      </c>
      <c r="F1329" s="75">
        <v>41774.0</v>
      </c>
      <c r="G1329" s="76"/>
      <c r="H1329" s="76"/>
      <c r="I1329" s="73" t="s">
        <v>366</v>
      </c>
      <c r="J1329" s="76"/>
    </row>
    <row r="1330">
      <c r="A1330" s="74">
        <v>1327.0</v>
      </c>
      <c r="B1330" s="73" t="s">
        <v>1501</v>
      </c>
      <c r="C1330" s="74">
        <v>9.00691374E8</v>
      </c>
      <c r="D1330" s="73" t="s">
        <v>1694</v>
      </c>
      <c r="E1330" s="72">
        <v>42.0</v>
      </c>
      <c r="F1330" s="75">
        <v>41799.0</v>
      </c>
      <c r="G1330" s="76"/>
      <c r="H1330" s="76"/>
      <c r="I1330" s="73" t="s">
        <v>366</v>
      </c>
      <c r="J1330" s="76"/>
    </row>
    <row r="1331">
      <c r="A1331" s="74">
        <v>1328.0</v>
      </c>
      <c r="B1331" s="73" t="s">
        <v>1501</v>
      </c>
      <c r="C1331" s="74">
        <v>9.00234334E8</v>
      </c>
      <c r="D1331" s="73" t="s">
        <v>1695</v>
      </c>
      <c r="E1331" s="72">
        <v>48.0</v>
      </c>
      <c r="F1331" s="75">
        <v>41800.0</v>
      </c>
      <c r="G1331" s="76"/>
      <c r="H1331" s="76"/>
      <c r="I1331" s="73" t="s">
        <v>366</v>
      </c>
      <c r="J1331" s="76"/>
    </row>
    <row r="1332">
      <c r="A1332" s="74">
        <v>1329.0</v>
      </c>
      <c r="B1332" s="73" t="s">
        <v>1501</v>
      </c>
      <c r="C1332" s="74">
        <v>9.00399801E8</v>
      </c>
      <c r="D1332" s="73" t="s">
        <v>1696</v>
      </c>
      <c r="E1332" s="72">
        <v>62.0</v>
      </c>
      <c r="F1332" s="75">
        <v>41841.0</v>
      </c>
      <c r="G1332" s="76"/>
      <c r="H1332" s="76"/>
      <c r="I1332" s="73" t="s">
        <v>366</v>
      </c>
      <c r="J1332" s="76"/>
    </row>
    <row r="1333">
      <c r="A1333" s="74">
        <v>1330.0</v>
      </c>
      <c r="B1333" s="73" t="s">
        <v>1501</v>
      </c>
      <c r="C1333" s="74">
        <v>9.0068553E8</v>
      </c>
      <c r="D1333" s="73" t="s">
        <v>1697</v>
      </c>
      <c r="E1333" s="72">
        <v>78.0</v>
      </c>
      <c r="F1333" s="75">
        <v>41871.0</v>
      </c>
      <c r="G1333" s="76"/>
      <c r="H1333" s="76"/>
      <c r="I1333" s="73" t="s">
        <v>366</v>
      </c>
      <c r="J1333" s="76"/>
    </row>
    <row r="1334">
      <c r="A1334" s="74">
        <v>1331.0</v>
      </c>
      <c r="B1334" s="73" t="s">
        <v>1501</v>
      </c>
      <c r="C1334" s="74">
        <v>9.00685304E8</v>
      </c>
      <c r="D1334" s="73" t="s">
        <v>1698</v>
      </c>
      <c r="E1334" s="72">
        <v>78.0</v>
      </c>
      <c r="F1334" s="75">
        <v>41871.0</v>
      </c>
      <c r="G1334" s="76"/>
      <c r="H1334" s="76"/>
      <c r="I1334" s="73" t="s">
        <v>366</v>
      </c>
      <c r="J1334" s="76"/>
    </row>
    <row r="1335">
      <c r="A1335" s="74">
        <v>1332.0</v>
      </c>
      <c r="B1335" s="73" t="s">
        <v>1501</v>
      </c>
      <c r="C1335" s="74">
        <v>9.00685304E8</v>
      </c>
      <c r="D1335" s="73" t="s">
        <v>1699</v>
      </c>
      <c r="E1335" s="72">
        <v>78.0</v>
      </c>
      <c r="F1335" s="75">
        <v>41871.0</v>
      </c>
      <c r="G1335" s="76"/>
      <c r="H1335" s="76"/>
      <c r="I1335" s="73" t="s">
        <v>366</v>
      </c>
      <c r="J1335" s="76"/>
    </row>
    <row r="1336">
      <c r="A1336" s="74">
        <v>1333.0</v>
      </c>
      <c r="B1336" s="73" t="s">
        <v>1501</v>
      </c>
      <c r="C1336" s="74">
        <v>9.00282186E8</v>
      </c>
      <c r="D1336" s="73" t="s">
        <v>1700</v>
      </c>
      <c r="E1336" s="72">
        <v>79.0</v>
      </c>
      <c r="F1336" s="75">
        <v>41887.0</v>
      </c>
      <c r="G1336" s="76"/>
      <c r="H1336" s="76"/>
      <c r="I1336" s="73" t="s">
        <v>366</v>
      </c>
      <c r="J1336" s="76"/>
    </row>
    <row r="1337">
      <c r="A1337" s="74">
        <v>1334.0</v>
      </c>
      <c r="B1337" s="73" t="s">
        <v>1501</v>
      </c>
      <c r="C1337" s="74">
        <v>9.007289E8</v>
      </c>
      <c r="D1337" s="73" t="s">
        <v>1701</v>
      </c>
      <c r="E1337" s="72">
        <v>82.0</v>
      </c>
      <c r="F1337" s="75">
        <v>41901.0</v>
      </c>
      <c r="G1337" s="76"/>
      <c r="H1337" s="76"/>
      <c r="I1337" s="73" t="s">
        <v>366</v>
      </c>
      <c r="J1337" s="76"/>
    </row>
    <row r="1338">
      <c r="A1338" s="74">
        <v>1335.0</v>
      </c>
      <c r="B1338" s="73" t="s">
        <v>1501</v>
      </c>
      <c r="C1338" s="74">
        <v>9.00554408E8</v>
      </c>
      <c r="D1338" s="73" t="s">
        <v>1702</v>
      </c>
      <c r="E1338" s="72">
        <v>89.0</v>
      </c>
      <c r="F1338" s="77">
        <v>41913.0</v>
      </c>
      <c r="G1338" s="76"/>
      <c r="H1338" s="76"/>
      <c r="I1338" s="73" t="s">
        <v>366</v>
      </c>
      <c r="J1338" s="76"/>
    </row>
    <row r="1339">
      <c r="A1339" s="74">
        <v>1336.0</v>
      </c>
      <c r="B1339" s="73" t="s">
        <v>1501</v>
      </c>
      <c r="C1339" s="74">
        <v>9.00449337E8</v>
      </c>
      <c r="D1339" s="73" t="s">
        <v>1703</v>
      </c>
      <c r="E1339" s="72">
        <v>91.0</v>
      </c>
      <c r="F1339" s="77">
        <v>41919.0</v>
      </c>
      <c r="G1339" s="76"/>
      <c r="H1339" s="76"/>
      <c r="I1339" s="73" t="s">
        <v>366</v>
      </c>
      <c r="J1339" s="76"/>
    </row>
    <row r="1340">
      <c r="A1340" s="74">
        <v>1337.0</v>
      </c>
      <c r="B1340" s="73" t="s">
        <v>1501</v>
      </c>
      <c r="C1340" s="74">
        <v>8.00105716E8</v>
      </c>
      <c r="D1340" s="73" t="s">
        <v>1704</v>
      </c>
      <c r="E1340" s="72">
        <v>99.0</v>
      </c>
      <c r="F1340" s="77">
        <v>41957.0</v>
      </c>
      <c r="G1340" s="76"/>
      <c r="H1340" s="76"/>
      <c r="I1340" s="73" t="s">
        <v>366</v>
      </c>
      <c r="J1340" s="76"/>
    </row>
    <row r="1341">
      <c r="A1341" s="74">
        <v>1338.0</v>
      </c>
      <c r="B1341" s="73" t="s">
        <v>1501</v>
      </c>
      <c r="C1341" s="74">
        <v>9.007252E8</v>
      </c>
      <c r="D1341" s="73" t="s">
        <v>1705</v>
      </c>
      <c r="E1341" s="72">
        <v>104.0</v>
      </c>
      <c r="F1341" s="77">
        <v>41961.0</v>
      </c>
      <c r="G1341" s="76"/>
      <c r="H1341" s="76"/>
      <c r="I1341" s="73" t="s">
        <v>366</v>
      </c>
      <c r="J1341" s="76"/>
    </row>
    <row r="1342">
      <c r="A1342" s="74">
        <v>1339.0</v>
      </c>
      <c r="B1342" s="73" t="s">
        <v>1501</v>
      </c>
      <c r="C1342" s="74">
        <v>9.00753889E8</v>
      </c>
      <c r="D1342" s="73" t="s">
        <v>1706</v>
      </c>
      <c r="E1342" s="72">
        <v>105.0</v>
      </c>
      <c r="F1342" s="77">
        <v>41961.0</v>
      </c>
      <c r="G1342" s="76"/>
      <c r="H1342" s="76"/>
      <c r="I1342" s="73" t="s">
        <v>366</v>
      </c>
      <c r="J1342" s="76"/>
    </row>
    <row r="1343">
      <c r="A1343" s="74">
        <v>1340.0</v>
      </c>
      <c r="B1343" s="73" t="s">
        <v>1501</v>
      </c>
      <c r="C1343" s="74">
        <v>9.00792904E8</v>
      </c>
      <c r="D1343" s="73" t="s">
        <v>1707</v>
      </c>
      <c r="E1343" s="72">
        <v>161.0</v>
      </c>
      <c r="F1343" s="77">
        <v>41996.0</v>
      </c>
      <c r="G1343" s="76"/>
      <c r="H1343" s="76"/>
      <c r="I1343" s="73" t="s">
        <v>366</v>
      </c>
      <c r="J1343" s="76"/>
    </row>
    <row r="1344">
      <c r="A1344" s="74">
        <v>1341.0</v>
      </c>
      <c r="B1344" s="73" t="s">
        <v>1501</v>
      </c>
      <c r="C1344" s="74">
        <v>9.00467971E8</v>
      </c>
      <c r="D1344" s="73" t="s">
        <v>1708</v>
      </c>
      <c r="E1344" s="72">
        <v>115.0</v>
      </c>
      <c r="F1344" s="77">
        <v>41999.0</v>
      </c>
      <c r="G1344" s="76"/>
      <c r="H1344" s="76"/>
      <c r="I1344" s="73" t="s">
        <v>366</v>
      </c>
      <c r="J1344" s="76"/>
    </row>
    <row r="1345">
      <c r="A1345" s="74">
        <v>1342.0</v>
      </c>
      <c r="B1345" s="73" t="s">
        <v>1501</v>
      </c>
      <c r="C1345" s="74">
        <v>9.00571672E8</v>
      </c>
      <c r="D1345" s="73" t="s">
        <v>1709</v>
      </c>
      <c r="E1345" s="72">
        <v>111.0</v>
      </c>
      <c r="F1345" s="77">
        <v>41999.0</v>
      </c>
      <c r="G1345" s="72">
        <v>52.0</v>
      </c>
      <c r="H1345" s="75">
        <v>42579.0</v>
      </c>
      <c r="I1345" s="73" t="s">
        <v>366</v>
      </c>
      <c r="J1345" s="76"/>
    </row>
    <row r="1346">
      <c r="A1346" s="74">
        <v>1343.0</v>
      </c>
      <c r="B1346" s="73" t="s">
        <v>1501</v>
      </c>
      <c r="C1346" s="74">
        <v>9.00467971E8</v>
      </c>
      <c r="D1346" s="73" t="s">
        <v>1710</v>
      </c>
      <c r="E1346" s="72">
        <v>115.0</v>
      </c>
      <c r="F1346" s="77">
        <v>41999.0</v>
      </c>
      <c r="G1346" s="76"/>
      <c r="H1346" s="76"/>
      <c r="I1346" s="73" t="s">
        <v>366</v>
      </c>
      <c r="J1346" s="76"/>
    </row>
    <row r="1347">
      <c r="A1347" s="74">
        <v>1344.0</v>
      </c>
      <c r="B1347" s="73" t="s">
        <v>1501</v>
      </c>
      <c r="C1347" s="74">
        <v>9.00769648E8</v>
      </c>
      <c r="D1347" s="73" t="s">
        <v>1711</v>
      </c>
      <c r="E1347" s="72">
        <v>393.0</v>
      </c>
      <c r="F1347" s="77">
        <v>41999.0</v>
      </c>
      <c r="G1347" s="76"/>
      <c r="H1347" s="76"/>
      <c r="I1347" s="73" t="s">
        <v>366</v>
      </c>
      <c r="J1347" s="76"/>
    </row>
    <row r="1348">
      <c r="A1348" s="74">
        <v>1345.0</v>
      </c>
      <c r="B1348" s="73" t="s">
        <v>1501</v>
      </c>
      <c r="C1348" s="74">
        <v>9.00692734E8</v>
      </c>
      <c r="D1348" s="73" t="s">
        <v>1712</v>
      </c>
      <c r="E1348" s="72">
        <v>9.0</v>
      </c>
      <c r="F1348" s="75">
        <v>42067.0</v>
      </c>
      <c r="G1348" s="76"/>
      <c r="H1348" s="76"/>
      <c r="I1348" s="73" t="s">
        <v>366</v>
      </c>
      <c r="J1348" s="76"/>
    </row>
    <row r="1349">
      <c r="A1349" s="74">
        <v>1346.0</v>
      </c>
      <c r="B1349" s="73" t="s">
        <v>1501</v>
      </c>
      <c r="C1349" s="74">
        <v>9.00692734E8</v>
      </c>
      <c r="D1349" s="73" t="s">
        <v>1713</v>
      </c>
      <c r="E1349" s="72">
        <v>9.0</v>
      </c>
      <c r="F1349" s="75">
        <v>42067.0</v>
      </c>
      <c r="G1349" s="76"/>
      <c r="H1349" s="76"/>
      <c r="I1349" s="73" t="s">
        <v>366</v>
      </c>
      <c r="J1349" s="76"/>
    </row>
    <row r="1350">
      <c r="A1350" s="74">
        <v>1347.0</v>
      </c>
      <c r="B1350" s="73" t="s">
        <v>1501</v>
      </c>
      <c r="C1350" s="74">
        <v>9.00817105E8</v>
      </c>
      <c r="D1350" s="73" t="s">
        <v>1714</v>
      </c>
      <c r="E1350" s="72">
        <v>32.0</v>
      </c>
      <c r="F1350" s="75">
        <v>42121.0</v>
      </c>
      <c r="G1350" s="76"/>
      <c r="H1350" s="76"/>
      <c r="I1350" s="73" t="s">
        <v>366</v>
      </c>
      <c r="J1350" s="76"/>
    </row>
    <row r="1351">
      <c r="A1351" s="74">
        <v>1348.0</v>
      </c>
      <c r="B1351" s="73" t="s">
        <v>1501</v>
      </c>
      <c r="C1351" s="74">
        <v>9.0084265E8</v>
      </c>
      <c r="D1351" s="73" t="s">
        <v>1715</v>
      </c>
      <c r="E1351" s="72">
        <v>45.0</v>
      </c>
      <c r="F1351" s="75">
        <v>42151.0</v>
      </c>
      <c r="G1351" s="72">
        <v>90.0</v>
      </c>
      <c r="H1351" s="77">
        <v>42295.0</v>
      </c>
      <c r="I1351" s="73" t="s">
        <v>366</v>
      </c>
      <c r="J1351" s="76"/>
    </row>
    <row r="1352">
      <c r="A1352" s="74">
        <v>1349.0</v>
      </c>
      <c r="B1352" s="73" t="s">
        <v>1501</v>
      </c>
      <c r="C1352" s="74">
        <v>8.4400483E8</v>
      </c>
      <c r="D1352" s="73" t="s">
        <v>1716</v>
      </c>
      <c r="E1352" s="72">
        <v>44.0</v>
      </c>
      <c r="F1352" s="75">
        <v>42174.0</v>
      </c>
      <c r="G1352" s="76"/>
      <c r="H1352" s="76"/>
      <c r="I1352" s="73" t="s">
        <v>366</v>
      </c>
      <c r="J1352" s="76"/>
    </row>
    <row r="1353">
      <c r="A1353" s="74">
        <v>1350.0</v>
      </c>
      <c r="B1353" s="73" t="s">
        <v>1501</v>
      </c>
      <c r="C1353" s="74">
        <v>8.4400483E8</v>
      </c>
      <c r="D1353" s="73" t="s">
        <v>1717</v>
      </c>
      <c r="E1353" s="72">
        <v>44.0</v>
      </c>
      <c r="F1353" s="75">
        <v>42174.0</v>
      </c>
      <c r="G1353" s="76"/>
      <c r="H1353" s="76"/>
      <c r="I1353" s="73" t="s">
        <v>366</v>
      </c>
      <c r="J1353" s="76"/>
    </row>
    <row r="1354">
      <c r="A1354" s="74">
        <v>1351.0</v>
      </c>
      <c r="B1354" s="73" t="s">
        <v>1501</v>
      </c>
      <c r="C1354" s="74">
        <v>9.00845879E8</v>
      </c>
      <c r="D1354" s="73" t="s">
        <v>1718</v>
      </c>
      <c r="E1354" s="72">
        <v>56.0</v>
      </c>
      <c r="F1354" s="75">
        <v>42192.0</v>
      </c>
      <c r="G1354" s="76"/>
      <c r="H1354" s="76"/>
      <c r="I1354" s="73" t="s">
        <v>366</v>
      </c>
      <c r="J1354" s="76"/>
    </row>
    <row r="1355">
      <c r="A1355" s="74">
        <v>1352.0</v>
      </c>
      <c r="B1355" s="73" t="s">
        <v>1501</v>
      </c>
      <c r="C1355" s="74">
        <v>9.00636961E8</v>
      </c>
      <c r="D1355" s="73" t="s">
        <v>1719</v>
      </c>
      <c r="E1355" s="72">
        <v>2505.0</v>
      </c>
      <c r="F1355" s="75">
        <v>42209.0</v>
      </c>
      <c r="G1355" s="72">
        <v>2.0253040002525E13</v>
      </c>
      <c r="H1355" s="75">
        <v>45771.0</v>
      </c>
      <c r="I1355" s="73" t="s">
        <v>366</v>
      </c>
      <c r="J1355" s="73" t="s">
        <v>1557</v>
      </c>
    </row>
    <row r="1356">
      <c r="A1356" s="74">
        <v>1353.0</v>
      </c>
      <c r="B1356" s="73" t="s">
        <v>1501</v>
      </c>
      <c r="C1356" s="74">
        <v>9.0047519E8</v>
      </c>
      <c r="D1356" s="73" t="s">
        <v>1720</v>
      </c>
      <c r="E1356" s="72">
        <v>65.0</v>
      </c>
      <c r="F1356" s="75">
        <v>42226.0</v>
      </c>
      <c r="G1356" s="76"/>
      <c r="H1356" s="76"/>
      <c r="I1356" s="73" t="s">
        <v>366</v>
      </c>
      <c r="J1356" s="76"/>
    </row>
    <row r="1357">
      <c r="A1357" s="74">
        <v>1354.0</v>
      </c>
      <c r="B1357" s="73" t="s">
        <v>1501</v>
      </c>
      <c r="C1357" s="74">
        <v>9.00796147E8</v>
      </c>
      <c r="D1357" s="73" t="s">
        <v>1721</v>
      </c>
      <c r="E1357" s="72">
        <v>161.0</v>
      </c>
      <c r="F1357" s="75">
        <v>42271.0</v>
      </c>
      <c r="G1357" s="76"/>
      <c r="H1357" s="76"/>
      <c r="I1357" s="73" t="s">
        <v>366</v>
      </c>
      <c r="J1357" s="76"/>
    </row>
    <row r="1358">
      <c r="A1358" s="74">
        <v>1355.0</v>
      </c>
      <c r="B1358" s="73" t="s">
        <v>1501</v>
      </c>
      <c r="C1358" s="74">
        <v>9.00863974E8</v>
      </c>
      <c r="D1358" s="73" t="s">
        <v>1722</v>
      </c>
      <c r="E1358" s="72">
        <v>75.0</v>
      </c>
      <c r="F1358" s="75">
        <v>42277.0</v>
      </c>
      <c r="G1358" s="76"/>
      <c r="H1358" s="76"/>
      <c r="I1358" s="73" t="s">
        <v>366</v>
      </c>
      <c r="J1358" s="76"/>
    </row>
    <row r="1359">
      <c r="A1359" s="74">
        <v>1356.0</v>
      </c>
      <c r="B1359" s="73" t="s">
        <v>1501</v>
      </c>
      <c r="C1359" s="74">
        <v>9.0025357E8</v>
      </c>
      <c r="D1359" s="73" t="s">
        <v>1723</v>
      </c>
      <c r="E1359" s="72">
        <v>89.0</v>
      </c>
      <c r="F1359" s="75">
        <v>42277.0</v>
      </c>
      <c r="G1359" s="76"/>
      <c r="H1359" s="76"/>
      <c r="I1359" s="73" t="s">
        <v>366</v>
      </c>
      <c r="J1359" s="76"/>
    </row>
    <row r="1360">
      <c r="A1360" s="74">
        <v>1357.0</v>
      </c>
      <c r="B1360" s="73" t="s">
        <v>1501</v>
      </c>
      <c r="C1360" s="74">
        <v>8.44000147E8</v>
      </c>
      <c r="D1360" s="73" t="s">
        <v>1724</v>
      </c>
      <c r="E1360" s="72">
        <v>105.0</v>
      </c>
      <c r="F1360" s="77">
        <v>42325.0</v>
      </c>
      <c r="G1360" s="76"/>
      <c r="H1360" s="76"/>
      <c r="I1360" s="73" t="s">
        <v>366</v>
      </c>
      <c r="J1360" s="76"/>
    </row>
    <row r="1361">
      <c r="A1361" s="74">
        <v>1358.0</v>
      </c>
      <c r="B1361" s="73" t="s">
        <v>1501</v>
      </c>
      <c r="C1361" s="74">
        <v>9.00837304E8</v>
      </c>
      <c r="D1361" s="73" t="s">
        <v>1725</v>
      </c>
      <c r="E1361" s="72">
        <v>114.0</v>
      </c>
      <c r="F1361" s="77">
        <v>42342.0</v>
      </c>
      <c r="G1361" s="76"/>
      <c r="H1361" s="76"/>
      <c r="I1361" s="73" t="s">
        <v>366</v>
      </c>
      <c r="J1361" s="76"/>
    </row>
    <row r="1362">
      <c r="A1362" s="74">
        <v>1359.0</v>
      </c>
      <c r="B1362" s="73" t="s">
        <v>1501</v>
      </c>
      <c r="C1362" s="74">
        <v>9.00868208E8</v>
      </c>
      <c r="D1362" s="73" t="s">
        <v>1726</v>
      </c>
      <c r="E1362" s="72">
        <v>112.0</v>
      </c>
      <c r="F1362" s="77">
        <v>42342.0</v>
      </c>
      <c r="G1362" s="76"/>
      <c r="H1362" s="76"/>
      <c r="I1362" s="73" t="s">
        <v>366</v>
      </c>
      <c r="J1362" s="76"/>
    </row>
    <row r="1363">
      <c r="A1363" s="74">
        <v>1360.0</v>
      </c>
      <c r="B1363" s="73" t="s">
        <v>1501</v>
      </c>
      <c r="C1363" s="74">
        <v>9.00837304E8</v>
      </c>
      <c r="D1363" s="73" t="s">
        <v>1727</v>
      </c>
      <c r="E1363" s="72">
        <v>114.0</v>
      </c>
      <c r="F1363" s="77">
        <v>42342.0</v>
      </c>
      <c r="G1363" s="76"/>
      <c r="H1363" s="76"/>
      <c r="I1363" s="73" t="s">
        <v>366</v>
      </c>
      <c r="J1363" s="76"/>
    </row>
    <row r="1364">
      <c r="A1364" s="74">
        <v>1361.0</v>
      </c>
      <c r="B1364" s="73" t="s">
        <v>1501</v>
      </c>
      <c r="C1364" s="74">
        <v>9.00810892E8</v>
      </c>
      <c r="D1364" s="73" t="s">
        <v>1728</v>
      </c>
      <c r="E1364" s="72">
        <v>12.0</v>
      </c>
      <c r="F1364" s="75">
        <v>42443.0</v>
      </c>
      <c r="G1364" s="76"/>
      <c r="H1364" s="76"/>
      <c r="I1364" s="73" t="s">
        <v>366</v>
      </c>
      <c r="J1364" s="76"/>
    </row>
    <row r="1365">
      <c r="A1365" s="74">
        <v>1362.0</v>
      </c>
      <c r="B1365" s="73" t="s">
        <v>1501</v>
      </c>
      <c r="C1365" s="74">
        <v>9.00790265E8</v>
      </c>
      <c r="D1365" s="73" t="s">
        <v>1729</v>
      </c>
      <c r="E1365" s="72">
        <v>12.0</v>
      </c>
      <c r="F1365" s="75">
        <v>42444.0</v>
      </c>
      <c r="G1365" s="76"/>
      <c r="H1365" s="76"/>
      <c r="I1365" s="73" t="s">
        <v>366</v>
      </c>
      <c r="J1365" s="76"/>
    </row>
    <row r="1366">
      <c r="A1366" s="74">
        <v>1363.0</v>
      </c>
      <c r="B1366" s="73" t="s">
        <v>1501</v>
      </c>
      <c r="C1366" s="74">
        <v>9.00578101E8</v>
      </c>
      <c r="D1366" s="73" t="s">
        <v>1730</v>
      </c>
      <c r="E1366" s="72">
        <v>16.0</v>
      </c>
      <c r="F1366" s="75">
        <v>42468.0</v>
      </c>
      <c r="G1366" s="76"/>
      <c r="H1366" s="76"/>
      <c r="I1366" s="73" t="s">
        <v>366</v>
      </c>
      <c r="J1366" s="76"/>
    </row>
    <row r="1367">
      <c r="A1367" s="74">
        <v>1364.0</v>
      </c>
      <c r="B1367" s="73" t="s">
        <v>1501</v>
      </c>
      <c r="C1367" s="74">
        <v>9.00923819E8</v>
      </c>
      <c r="D1367" s="73" t="s">
        <v>1731</v>
      </c>
      <c r="E1367" s="72">
        <v>28.0</v>
      </c>
      <c r="F1367" s="75">
        <v>42507.0</v>
      </c>
      <c r="G1367" s="76"/>
      <c r="H1367" s="76"/>
      <c r="I1367" s="73" t="s">
        <v>366</v>
      </c>
      <c r="J1367" s="76"/>
    </row>
    <row r="1368">
      <c r="A1368" s="74">
        <v>1365.0</v>
      </c>
      <c r="B1368" s="73" t="s">
        <v>1501</v>
      </c>
      <c r="C1368" s="74">
        <v>9.00964896E8</v>
      </c>
      <c r="D1368" s="73" t="s">
        <v>1732</v>
      </c>
      <c r="E1368" s="72">
        <v>50.0</v>
      </c>
      <c r="F1368" s="75">
        <v>42510.0</v>
      </c>
      <c r="G1368" s="76"/>
      <c r="H1368" s="76"/>
      <c r="I1368" s="73" t="s">
        <v>366</v>
      </c>
      <c r="J1368" s="76"/>
    </row>
    <row r="1369">
      <c r="A1369" s="74">
        <v>1366.0</v>
      </c>
      <c r="B1369" s="73" t="s">
        <v>1501</v>
      </c>
      <c r="C1369" s="74">
        <v>9.00856093E8</v>
      </c>
      <c r="D1369" s="73" t="s">
        <v>1733</v>
      </c>
      <c r="E1369" s="72">
        <v>40.0</v>
      </c>
      <c r="F1369" s="75">
        <v>42556.0</v>
      </c>
      <c r="G1369" s="76"/>
      <c r="H1369" s="76"/>
      <c r="I1369" s="73" t="s">
        <v>366</v>
      </c>
      <c r="J1369" s="76"/>
    </row>
    <row r="1370">
      <c r="A1370" s="74">
        <v>1367.0</v>
      </c>
      <c r="B1370" s="73" t="s">
        <v>1501</v>
      </c>
      <c r="C1370" s="74">
        <v>9.00673361E8</v>
      </c>
      <c r="D1370" s="73" t="s">
        <v>1734</v>
      </c>
      <c r="E1370" s="72">
        <v>51.0</v>
      </c>
      <c r="F1370" s="75">
        <v>42579.0</v>
      </c>
      <c r="G1370" s="76"/>
      <c r="H1370" s="76"/>
      <c r="I1370" s="73" t="s">
        <v>366</v>
      </c>
      <c r="J1370" s="76"/>
    </row>
    <row r="1371">
      <c r="A1371" s="74">
        <v>1368.0</v>
      </c>
      <c r="B1371" s="73" t="s">
        <v>1501</v>
      </c>
      <c r="C1371" s="74">
        <v>9.00679541E8</v>
      </c>
      <c r="D1371" s="73" t="s">
        <v>1735</v>
      </c>
      <c r="E1371" s="72">
        <v>60.0</v>
      </c>
      <c r="F1371" s="75">
        <v>42605.0</v>
      </c>
      <c r="G1371" s="76"/>
      <c r="H1371" s="76"/>
      <c r="I1371" s="73" t="s">
        <v>366</v>
      </c>
      <c r="J1371" s="76"/>
    </row>
    <row r="1372">
      <c r="A1372" s="74">
        <v>1369.0</v>
      </c>
      <c r="B1372" s="73" t="s">
        <v>1501</v>
      </c>
      <c r="C1372" s="74">
        <v>9.00892015E8</v>
      </c>
      <c r="D1372" s="73" t="s">
        <v>1736</v>
      </c>
      <c r="E1372" s="72">
        <v>66.0</v>
      </c>
      <c r="F1372" s="75">
        <v>42639.0</v>
      </c>
      <c r="G1372" s="76"/>
      <c r="H1372" s="76"/>
      <c r="I1372" s="73" t="s">
        <v>366</v>
      </c>
      <c r="J1372" s="76"/>
    </row>
    <row r="1373">
      <c r="A1373" s="85">
        <v>1370.0</v>
      </c>
      <c r="B1373" s="79" t="s">
        <v>1501</v>
      </c>
      <c r="C1373" s="80">
        <v>8.00107283E8</v>
      </c>
      <c r="D1373" s="79" t="s">
        <v>1737</v>
      </c>
      <c r="E1373" s="81">
        <v>71.0</v>
      </c>
      <c r="F1373" s="82">
        <v>42668.0</v>
      </c>
      <c r="G1373" s="83"/>
      <c r="H1373" s="83"/>
      <c r="I1373" s="73" t="s">
        <v>366</v>
      </c>
      <c r="J1373" s="76"/>
    </row>
    <row r="1374">
      <c r="A1374" s="88">
        <v>1371.0</v>
      </c>
      <c r="B1374" s="89" t="s">
        <v>1501</v>
      </c>
      <c r="C1374" s="88">
        <v>8.20003414E8</v>
      </c>
      <c r="D1374" s="89" t="s">
        <v>1738</v>
      </c>
      <c r="E1374" s="90">
        <v>73.0</v>
      </c>
      <c r="F1374" s="91">
        <v>42668.0</v>
      </c>
      <c r="G1374" s="92">
        <v>2.0253040018085E13</v>
      </c>
      <c r="H1374" s="93">
        <v>45791.0</v>
      </c>
      <c r="I1374" s="89" t="s">
        <v>366</v>
      </c>
      <c r="J1374" s="73" t="s">
        <v>1739</v>
      </c>
    </row>
    <row r="1375">
      <c r="A1375" s="74">
        <v>1372.0</v>
      </c>
      <c r="B1375" s="73" t="s">
        <v>1501</v>
      </c>
      <c r="C1375" s="74">
        <v>8.44004924E8</v>
      </c>
      <c r="D1375" s="73" t="s">
        <v>1740</v>
      </c>
      <c r="E1375" s="72">
        <v>72.0</v>
      </c>
      <c r="F1375" s="77">
        <v>42669.0</v>
      </c>
      <c r="G1375" s="76"/>
      <c r="H1375" s="76"/>
      <c r="I1375" s="73" t="s">
        <v>366</v>
      </c>
      <c r="J1375" s="76"/>
    </row>
    <row r="1376">
      <c r="A1376" s="74">
        <v>1373.0</v>
      </c>
      <c r="B1376" s="73" t="s">
        <v>1501</v>
      </c>
      <c r="C1376" s="74">
        <v>9.00254281E8</v>
      </c>
      <c r="D1376" s="73" t="s">
        <v>1741</v>
      </c>
      <c r="E1376" s="72">
        <v>77.0</v>
      </c>
      <c r="F1376" s="77">
        <v>42713.0</v>
      </c>
      <c r="G1376" s="76"/>
      <c r="H1376" s="76"/>
      <c r="I1376" s="73" t="s">
        <v>366</v>
      </c>
      <c r="J1376" s="76"/>
    </row>
    <row r="1377">
      <c r="A1377" s="74">
        <v>1374.0</v>
      </c>
      <c r="B1377" s="73" t="s">
        <v>1501</v>
      </c>
      <c r="C1377" s="74">
        <v>9.00927217E8</v>
      </c>
      <c r="D1377" s="73" t="s">
        <v>1742</v>
      </c>
      <c r="E1377" s="72">
        <v>80.0</v>
      </c>
      <c r="F1377" s="77">
        <v>42717.0</v>
      </c>
      <c r="G1377" s="76"/>
      <c r="H1377" s="76"/>
      <c r="I1377" s="73" t="s">
        <v>366</v>
      </c>
      <c r="J1377" s="76"/>
    </row>
    <row r="1378">
      <c r="A1378" s="74">
        <v>1375.0</v>
      </c>
      <c r="B1378" s="73" t="s">
        <v>1501</v>
      </c>
      <c r="C1378" s="74">
        <v>9.00485404E8</v>
      </c>
      <c r="D1378" s="73" t="s">
        <v>1743</v>
      </c>
      <c r="E1378" s="72">
        <v>76.0</v>
      </c>
      <c r="F1378" s="77">
        <v>42730.0</v>
      </c>
      <c r="G1378" s="76"/>
      <c r="H1378" s="76"/>
      <c r="I1378" s="73" t="s">
        <v>366</v>
      </c>
      <c r="J1378" s="76"/>
    </row>
    <row r="1379">
      <c r="A1379" s="74">
        <v>1376.0</v>
      </c>
      <c r="B1379" s="73" t="s">
        <v>1501</v>
      </c>
      <c r="C1379" s="74">
        <v>9.00472971E8</v>
      </c>
      <c r="D1379" s="73" t="s">
        <v>1744</v>
      </c>
      <c r="E1379" s="72">
        <v>84.0</v>
      </c>
      <c r="F1379" s="77">
        <v>42733.0</v>
      </c>
      <c r="G1379" s="76"/>
      <c r="H1379" s="76"/>
      <c r="I1379" s="73" t="s">
        <v>366</v>
      </c>
      <c r="J1379" s="76"/>
    </row>
    <row r="1380">
      <c r="A1380" s="74">
        <v>1377.0</v>
      </c>
      <c r="B1380" s="73" t="s">
        <v>1501</v>
      </c>
      <c r="C1380" s="74">
        <v>9.00913908E8</v>
      </c>
      <c r="D1380" s="73" t="s">
        <v>1745</v>
      </c>
      <c r="E1380" s="72">
        <v>27.0</v>
      </c>
      <c r="F1380" s="75">
        <v>42934.0</v>
      </c>
      <c r="G1380" s="76"/>
      <c r="H1380" s="76"/>
      <c r="I1380" s="73" t="s">
        <v>366</v>
      </c>
      <c r="J1380" s="76"/>
    </row>
    <row r="1381">
      <c r="A1381" s="74">
        <v>1378.0</v>
      </c>
      <c r="B1381" s="73" t="s">
        <v>1501</v>
      </c>
      <c r="C1381" s="74">
        <v>8.44001318E8</v>
      </c>
      <c r="D1381" s="73" t="s">
        <v>1746</v>
      </c>
      <c r="E1381" s="72">
        <v>34.0</v>
      </c>
      <c r="F1381" s="75">
        <v>42991.0</v>
      </c>
      <c r="G1381" s="76"/>
      <c r="H1381" s="76"/>
      <c r="I1381" s="73" t="s">
        <v>366</v>
      </c>
      <c r="J1381" s="76"/>
    </row>
    <row r="1382">
      <c r="A1382" s="74">
        <v>1379.0</v>
      </c>
      <c r="B1382" s="73" t="s">
        <v>1501</v>
      </c>
      <c r="C1382" s="74">
        <v>9.00406651E8</v>
      </c>
      <c r="D1382" s="73" t="s">
        <v>1747</v>
      </c>
      <c r="E1382" s="72">
        <v>54.0</v>
      </c>
      <c r="F1382" s="77">
        <v>43011.0</v>
      </c>
      <c r="G1382" s="76"/>
      <c r="H1382" s="76"/>
      <c r="I1382" s="73" t="s">
        <v>366</v>
      </c>
      <c r="J1382" s="76"/>
    </row>
    <row r="1383">
      <c r="A1383" s="74">
        <v>1380.0</v>
      </c>
      <c r="B1383" s="73" t="s">
        <v>1501</v>
      </c>
      <c r="C1383" s="74">
        <v>9.00476646E8</v>
      </c>
      <c r="D1383" s="73" t="s">
        <v>1748</v>
      </c>
      <c r="E1383" s="72">
        <v>1.0</v>
      </c>
      <c r="F1383" s="75">
        <v>43129.0</v>
      </c>
      <c r="G1383" s="76"/>
      <c r="H1383" s="76"/>
      <c r="I1383" s="73" t="s">
        <v>366</v>
      </c>
      <c r="J1383" s="76"/>
    </row>
    <row r="1384">
      <c r="A1384" s="74">
        <v>1381.0</v>
      </c>
      <c r="B1384" s="73" t="s">
        <v>1501</v>
      </c>
      <c r="C1384" s="74">
        <v>9.00270258E8</v>
      </c>
      <c r="D1384" s="73" t="s">
        <v>1749</v>
      </c>
      <c r="E1384" s="72">
        <v>8.0</v>
      </c>
      <c r="F1384" s="75">
        <v>43145.0</v>
      </c>
      <c r="G1384" s="76"/>
      <c r="H1384" s="76"/>
      <c r="I1384" s="73" t="s">
        <v>366</v>
      </c>
      <c r="J1384" s="76"/>
    </row>
    <row r="1385">
      <c r="A1385" s="74">
        <v>1382.0</v>
      </c>
      <c r="B1385" s="73" t="s">
        <v>1501</v>
      </c>
      <c r="C1385" s="74">
        <v>9.00325433E8</v>
      </c>
      <c r="D1385" s="73" t="s">
        <v>1750</v>
      </c>
      <c r="E1385" s="72">
        <v>9.0</v>
      </c>
      <c r="F1385" s="75">
        <v>43146.0</v>
      </c>
      <c r="G1385" s="76"/>
      <c r="H1385" s="76"/>
      <c r="I1385" s="73" t="s">
        <v>366</v>
      </c>
      <c r="J1385" s="76"/>
    </row>
    <row r="1386">
      <c r="A1386" s="74">
        <v>1383.0</v>
      </c>
      <c r="B1386" s="73" t="s">
        <v>1501</v>
      </c>
      <c r="C1386" s="74">
        <v>9.00739092E8</v>
      </c>
      <c r="D1386" s="73" t="s">
        <v>1751</v>
      </c>
      <c r="E1386" s="72">
        <v>52.0</v>
      </c>
      <c r="F1386" s="75">
        <v>43271.0</v>
      </c>
      <c r="G1386" s="76"/>
      <c r="H1386" s="76"/>
      <c r="I1386" s="73" t="s">
        <v>366</v>
      </c>
      <c r="J1386" s="76"/>
    </row>
    <row r="1387">
      <c r="A1387" s="74">
        <v>1384.0</v>
      </c>
      <c r="B1387" s="73" t="s">
        <v>1501</v>
      </c>
      <c r="C1387" s="74">
        <v>9.01185522E8</v>
      </c>
      <c r="D1387" s="73" t="s">
        <v>1752</v>
      </c>
      <c r="E1387" s="72">
        <v>72.0</v>
      </c>
      <c r="F1387" s="75">
        <v>43276.0</v>
      </c>
      <c r="G1387" s="76"/>
      <c r="H1387" s="76"/>
      <c r="I1387" s="73" t="s">
        <v>366</v>
      </c>
      <c r="J1387" s="76"/>
    </row>
    <row r="1388">
      <c r="A1388" s="74">
        <v>1385.0</v>
      </c>
      <c r="B1388" s="73" t="s">
        <v>1501</v>
      </c>
      <c r="C1388" s="74">
        <v>9.01079948E8</v>
      </c>
      <c r="D1388" s="73" t="s">
        <v>1753</v>
      </c>
      <c r="E1388" s="72">
        <v>145.0</v>
      </c>
      <c r="F1388" s="77">
        <v>43452.0</v>
      </c>
      <c r="G1388" s="76"/>
      <c r="H1388" s="76"/>
      <c r="I1388" s="73" t="s">
        <v>366</v>
      </c>
      <c r="J1388" s="76"/>
    </row>
    <row r="1389">
      <c r="A1389" s="74">
        <v>1386.0</v>
      </c>
      <c r="B1389" s="73" t="s">
        <v>1501</v>
      </c>
      <c r="C1389" s="74">
        <v>9.00625467E8</v>
      </c>
      <c r="D1389" s="73" t="s">
        <v>1754</v>
      </c>
      <c r="E1389" s="72">
        <v>39.0</v>
      </c>
      <c r="F1389" s="75">
        <v>43509.0</v>
      </c>
      <c r="G1389" s="76"/>
      <c r="H1389" s="76"/>
      <c r="I1389" s="73" t="s">
        <v>366</v>
      </c>
      <c r="J1389" s="76"/>
    </row>
    <row r="1390">
      <c r="A1390" s="74">
        <v>1387.0</v>
      </c>
      <c r="B1390" s="73" t="s">
        <v>1501</v>
      </c>
      <c r="C1390" s="74">
        <v>9.01092418E8</v>
      </c>
      <c r="D1390" s="73" t="s">
        <v>1755</v>
      </c>
      <c r="E1390" s="72">
        <v>48.0</v>
      </c>
      <c r="F1390" s="75">
        <v>43523.0</v>
      </c>
      <c r="G1390" s="76"/>
      <c r="H1390" s="76"/>
      <c r="I1390" s="73" t="s">
        <v>366</v>
      </c>
      <c r="J1390" s="76"/>
    </row>
    <row r="1391">
      <c r="A1391" s="74">
        <v>1388.0</v>
      </c>
      <c r="B1391" s="73" t="s">
        <v>1501</v>
      </c>
      <c r="C1391" s="74">
        <v>9.00487091E8</v>
      </c>
      <c r="D1391" s="73" t="s">
        <v>1756</v>
      </c>
      <c r="E1391" s="72">
        <v>51.0</v>
      </c>
      <c r="F1391" s="75">
        <v>43535.0</v>
      </c>
      <c r="G1391" s="76"/>
      <c r="H1391" s="76"/>
      <c r="I1391" s="73" t="s">
        <v>366</v>
      </c>
      <c r="J1391" s="76"/>
    </row>
    <row r="1392">
      <c r="A1392" s="74">
        <v>1389.0</v>
      </c>
      <c r="B1392" s="73" t="s">
        <v>1501</v>
      </c>
      <c r="C1392" s="74">
        <v>9.00670545E8</v>
      </c>
      <c r="D1392" s="73" t="s">
        <v>1757</v>
      </c>
      <c r="E1392" s="72">
        <v>82.0</v>
      </c>
      <c r="F1392" s="75">
        <v>43633.0</v>
      </c>
      <c r="G1392" s="76"/>
      <c r="H1392" s="76"/>
      <c r="I1392" s="73" t="s">
        <v>366</v>
      </c>
      <c r="J1392" s="76"/>
    </row>
    <row r="1393">
      <c r="A1393" s="74">
        <v>1390.0</v>
      </c>
      <c r="B1393" s="73" t="s">
        <v>1501</v>
      </c>
      <c r="C1393" s="74">
        <v>9.00012935E8</v>
      </c>
      <c r="D1393" s="73" t="s">
        <v>1758</v>
      </c>
      <c r="E1393" s="72">
        <v>135.0</v>
      </c>
      <c r="F1393" s="75">
        <v>43718.0</v>
      </c>
      <c r="G1393" s="76"/>
      <c r="H1393" s="76"/>
      <c r="I1393" s="73" t="s">
        <v>366</v>
      </c>
      <c r="J1393" s="76"/>
    </row>
    <row r="1394">
      <c r="A1394" s="74">
        <v>1391.0</v>
      </c>
      <c r="B1394" s="73" t="s">
        <v>1501</v>
      </c>
      <c r="C1394" s="74">
        <v>9.00929066E8</v>
      </c>
      <c r="D1394" s="73" t="s">
        <v>1759</v>
      </c>
      <c r="E1394" s="72">
        <v>666.0</v>
      </c>
      <c r="F1394" s="77">
        <v>43767.0</v>
      </c>
      <c r="G1394" s="76"/>
      <c r="H1394" s="76"/>
      <c r="I1394" s="73" t="s">
        <v>366</v>
      </c>
      <c r="J1394" s="76"/>
    </row>
    <row r="1395">
      <c r="A1395" s="74">
        <v>1392.0</v>
      </c>
      <c r="B1395" s="73" t="s">
        <v>1501</v>
      </c>
      <c r="C1395" s="74">
        <v>9.01362935E8</v>
      </c>
      <c r="D1395" s="73" t="s">
        <v>1760</v>
      </c>
      <c r="E1395" s="72">
        <v>2.0203040005065E13</v>
      </c>
      <c r="F1395" s="75">
        <v>43985.0</v>
      </c>
      <c r="G1395" s="76"/>
      <c r="H1395" s="76"/>
      <c r="I1395" s="73" t="s">
        <v>366</v>
      </c>
      <c r="J1395" s="76"/>
    </row>
    <row r="1396">
      <c r="A1396" s="74">
        <v>1393.0</v>
      </c>
      <c r="B1396" s="73" t="s">
        <v>1501</v>
      </c>
      <c r="C1396" s="74">
        <v>9.01405388E8</v>
      </c>
      <c r="D1396" s="73" t="s">
        <v>1761</v>
      </c>
      <c r="E1396" s="72">
        <v>2.0203040014455E13</v>
      </c>
      <c r="F1396" s="77">
        <v>44110.0</v>
      </c>
      <c r="G1396" s="76"/>
      <c r="H1396" s="76"/>
      <c r="I1396" s="73" t="s">
        <v>366</v>
      </c>
      <c r="J1396" s="76"/>
    </row>
    <row r="1397">
      <c r="A1397" s="74">
        <v>1394.0</v>
      </c>
      <c r="B1397" s="73" t="s">
        <v>1501</v>
      </c>
      <c r="C1397" s="74">
        <v>9.01405569E8</v>
      </c>
      <c r="D1397" s="73" t="s">
        <v>1762</v>
      </c>
      <c r="E1397" s="72">
        <v>2.0203040024495E13</v>
      </c>
      <c r="F1397" s="77">
        <v>44161.0</v>
      </c>
      <c r="G1397" s="76"/>
      <c r="H1397" s="76"/>
      <c r="I1397" s="73" t="s">
        <v>366</v>
      </c>
      <c r="J1397" s="76"/>
    </row>
    <row r="1398">
      <c r="A1398" s="74">
        <v>1395.0</v>
      </c>
      <c r="B1398" s="73" t="s">
        <v>1501</v>
      </c>
      <c r="C1398" s="74">
        <v>9.01259855E8</v>
      </c>
      <c r="D1398" s="73" t="s">
        <v>1763</v>
      </c>
      <c r="E1398" s="72">
        <v>2.0203040024805E13</v>
      </c>
      <c r="F1398" s="77">
        <v>44162.0</v>
      </c>
      <c r="G1398" s="76"/>
      <c r="H1398" s="76"/>
      <c r="I1398" s="73" t="s">
        <v>366</v>
      </c>
      <c r="J1398" s="76"/>
    </row>
    <row r="1399">
      <c r="A1399" s="74">
        <v>1396.0</v>
      </c>
      <c r="B1399" s="73" t="s">
        <v>1501</v>
      </c>
      <c r="C1399" s="74">
        <v>9.00443882E8</v>
      </c>
      <c r="D1399" s="73" t="s">
        <v>1764</v>
      </c>
      <c r="E1399" s="72">
        <v>109.0</v>
      </c>
      <c r="F1399" s="77">
        <v>44188.0</v>
      </c>
      <c r="G1399" s="76"/>
      <c r="H1399" s="76"/>
      <c r="I1399" s="73" t="s">
        <v>366</v>
      </c>
      <c r="J1399" s="76"/>
    </row>
    <row r="1400">
      <c r="A1400" s="74">
        <v>1397.0</v>
      </c>
      <c r="B1400" s="73" t="s">
        <v>1501</v>
      </c>
      <c r="C1400" s="74">
        <v>9.01357094E8</v>
      </c>
      <c r="D1400" s="73" t="s">
        <v>1765</v>
      </c>
      <c r="E1400" s="72">
        <v>2.0213040004715E13</v>
      </c>
      <c r="F1400" s="75">
        <v>44236.0</v>
      </c>
      <c r="G1400" s="76"/>
      <c r="H1400" s="76"/>
      <c r="I1400" s="73" t="s">
        <v>366</v>
      </c>
      <c r="J1400" s="76"/>
    </row>
    <row r="1401">
      <c r="A1401" s="74">
        <v>1398.0</v>
      </c>
      <c r="B1401" s="73" t="s">
        <v>1501</v>
      </c>
      <c r="C1401" s="74">
        <v>9.01608744E8</v>
      </c>
      <c r="D1401" s="73" t="s">
        <v>1766</v>
      </c>
      <c r="E1401" s="72">
        <v>2.0213040008175E13</v>
      </c>
      <c r="F1401" s="75">
        <v>44256.0</v>
      </c>
      <c r="G1401" s="76"/>
      <c r="H1401" s="76"/>
      <c r="I1401" s="73" t="s">
        <v>366</v>
      </c>
      <c r="J1401" s="76"/>
    </row>
    <row r="1402">
      <c r="A1402" s="74">
        <v>1399.0</v>
      </c>
      <c r="B1402" s="73" t="s">
        <v>1501</v>
      </c>
      <c r="C1402" s="74">
        <v>9.01439103E8</v>
      </c>
      <c r="D1402" s="73" t="s">
        <v>1767</v>
      </c>
      <c r="E1402" s="72">
        <v>2.0213040008625E13</v>
      </c>
      <c r="F1402" s="75">
        <v>44257.0</v>
      </c>
      <c r="G1402" s="76"/>
      <c r="H1402" s="76"/>
      <c r="I1402" s="73" t="s">
        <v>366</v>
      </c>
      <c r="J1402" s="76"/>
    </row>
    <row r="1403">
      <c r="A1403" s="74">
        <v>1400.0</v>
      </c>
      <c r="B1403" s="73" t="s">
        <v>1501</v>
      </c>
      <c r="C1403" s="74">
        <v>9.01429231E8</v>
      </c>
      <c r="D1403" s="73" t="s">
        <v>1768</v>
      </c>
      <c r="E1403" s="72">
        <v>2.0213040011645E13</v>
      </c>
      <c r="F1403" s="75">
        <v>44274.0</v>
      </c>
      <c r="G1403" s="76"/>
      <c r="H1403" s="76"/>
      <c r="I1403" s="73" t="s">
        <v>366</v>
      </c>
      <c r="J1403" s="76"/>
    </row>
    <row r="1404">
      <c r="A1404" s="74">
        <v>1401.0</v>
      </c>
      <c r="B1404" s="73" t="s">
        <v>1501</v>
      </c>
      <c r="C1404" s="74">
        <v>9.00562528E8</v>
      </c>
      <c r="D1404" s="73" t="s">
        <v>1769</v>
      </c>
      <c r="E1404" s="72">
        <v>2.0213040017055E13</v>
      </c>
      <c r="F1404" s="75">
        <v>44309.0</v>
      </c>
      <c r="G1404" s="76"/>
      <c r="H1404" s="76"/>
      <c r="I1404" s="73" t="s">
        <v>366</v>
      </c>
      <c r="J1404" s="76"/>
    </row>
    <row r="1405">
      <c r="A1405" s="74">
        <v>1402.0</v>
      </c>
      <c r="B1405" s="73" t="s">
        <v>1501</v>
      </c>
      <c r="C1405" s="74">
        <v>9.00748951E8</v>
      </c>
      <c r="D1405" s="73" t="s">
        <v>1770</v>
      </c>
      <c r="E1405" s="72">
        <v>2.0213040019155E13</v>
      </c>
      <c r="F1405" s="75">
        <v>44323.0</v>
      </c>
      <c r="G1405" s="76"/>
      <c r="H1405" s="76"/>
      <c r="I1405" s="73" t="s">
        <v>366</v>
      </c>
      <c r="J1405" s="76"/>
    </row>
    <row r="1406">
      <c r="A1406" s="74">
        <v>1403.0</v>
      </c>
      <c r="B1406" s="73" t="s">
        <v>1501</v>
      </c>
      <c r="C1406" s="74">
        <v>9.00888115E8</v>
      </c>
      <c r="D1406" s="73" t="s">
        <v>1771</v>
      </c>
      <c r="E1406" s="72">
        <v>2.0213040020035E13</v>
      </c>
      <c r="F1406" s="75">
        <v>44328.0</v>
      </c>
      <c r="G1406" s="76"/>
      <c r="H1406" s="76"/>
      <c r="I1406" s="73" t="s">
        <v>366</v>
      </c>
      <c r="J1406" s="76"/>
    </row>
    <row r="1407">
      <c r="A1407" s="74">
        <v>1404.0</v>
      </c>
      <c r="B1407" s="73" t="s">
        <v>1501</v>
      </c>
      <c r="C1407" s="74">
        <v>9.01152633E8</v>
      </c>
      <c r="D1407" s="73" t="s">
        <v>1772</v>
      </c>
      <c r="E1407" s="72">
        <v>2.0212470027095E13</v>
      </c>
      <c r="F1407" s="75">
        <v>44377.0</v>
      </c>
      <c r="G1407" s="76"/>
      <c r="H1407" s="76"/>
      <c r="I1407" s="73" t="s">
        <v>366</v>
      </c>
      <c r="J1407" s="76"/>
    </row>
    <row r="1408">
      <c r="A1408" s="74">
        <v>1405.0</v>
      </c>
      <c r="B1408" s="73" t="s">
        <v>1501</v>
      </c>
      <c r="C1408" s="74">
        <v>9.01460267E8</v>
      </c>
      <c r="D1408" s="73" t="s">
        <v>1773</v>
      </c>
      <c r="E1408" s="72">
        <v>2.0213040030185E13</v>
      </c>
      <c r="F1408" s="75">
        <v>44393.0</v>
      </c>
      <c r="G1408" s="76"/>
      <c r="H1408" s="76"/>
      <c r="I1408" s="73" t="s">
        <v>366</v>
      </c>
      <c r="J1408" s="76"/>
    </row>
    <row r="1409">
      <c r="A1409" s="74">
        <v>1406.0</v>
      </c>
      <c r="B1409" s="73" t="s">
        <v>1501</v>
      </c>
      <c r="C1409" s="74">
        <v>9.00363252E8</v>
      </c>
      <c r="D1409" s="73" t="s">
        <v>1774</v>
      </c>
      <c r="E1409" s="72">
        <v>2.0214250036775E13</v>
      </c>
      <c r="F1409" s="75">
        <v>44432.0</v>
      </c>
      <c r="G1409" s="76"/>
      <c r="H1409" s="76"/>
      <c r="I1409" s="73" t="s">
        <v>366</v>
      </c>
      <c r="J1409" s="76"/>
    </row>
    <row r="1410">
      <c r="A1410" s="74">
        <v>1407.0</v>
      </c>
      <c r="B1410" s="73" t="s">
        <v>1501</v>
      </c>
      <c r="C1410" s="74">
        <v>9.00348068E8</v>
      </c>
      <c r="D1410" s="73" t="s">
        <v>1775</v>
      </c>
      <c r="E1410" s="72">
        <v>2.0214150044785E13</v>
      </c>
      <c r="F1410" s="75">
        <v>44467.0</v>
      </c>
      <c r="G1410" s="76"/>
      <c r="H1410" s="76"/>
      <c r="I1410" s="73" t="s">
        <v>366</v>
      </c>
      <c r="J1410" s="76"/>
    </row>
    <row r="1411">
      <c r="A1411" s="74">
        <v>1408.0</v>
      </c>
      <c r="B1411" s="73" t="s">
        <v>1501</v>
      </c>
      <c r="C1411" s="74">
        <v>9.01435271E8</v>
      </c>
      <c r="D1411" s="73" t="s">
        <v>1776</v>
      </c>
      <c r="E1411" s="72">
        <v>2.0224150022485E13</v>
      </c>
      <c r="F1411" s="75">
        <v>44679.0</v>
      </c>
      <c r="G1411" s="76"/>
      <c r="H1411" s="76"/>
      <c r="I1411" s="73" t="s">
        <v>366</v>
      </c>
      <c r="J1411" s="76"/>
    </row>
    <row r="1412">
      <c r="A1412" s="74">
        <v>1409.0</v>
      </c>
      <c r="B1412" s="73" t="s">
        <v>1501</v>
      </c>
      <c r="C1412" s="74">
        <v>9.000307E8</v>
      </c>
      <c r="D1412" s="73" t="s">
        <v>1777</v>
      </c>
      <c r="E1412" s="72">
        <v>2.0224150032445E13</v>
      </c>
      <c r="F1412" s="75">
        <v>44720.0</v>
      </c>
      <c r="G1412" s="76"/>
      <c r="H1412" s="76"/>
      <c r="I1412" s="73" t="s">
        <v>366</v>
      </c>
      <c r="J1412" s="76"/>
    </row>
    <row r="1413">
      <c r="A1413" s="74">
        <v>1410.0</v>
      </c>
      <c r="B1413" s="73" t="s">
        <v>1501</v>
      </c>
      <c r="C1413" s="74">
        <v>9.01561266E8</v>
      </c>
      <c r="D1413" s="73" t="s">
        <v>1778</v>
      </c>
      <c r="E1413" s="72">
        <v>2.0224150033065E13</v>
      </c>
      <c r="F1413" s="75">
        <v>44721.0</v>
      </c>
      <c r="G1413" s="76"/>
      <c r="H1413" s="76"/>
      <c r="I1413" s="73" t="s">
        <v>366</v>
      </c>
      <c r="J1413" s="76"/>
    </row>
    <row r="1414">
      <c r="A1414" s="74">
        <v>1411.0</v>
      </c>
      <c r="B1414" s="73" t="s">
        <v>1501</v>
      </c>
      <c r="C1414" s="74">
        <v>9.01585904E8</v>
      </c>
      <c r="D1414" s="73" t="s">
        <v>1779</v>
      </c>
      <c r="E1414" s="72">
        <v>2.0224150043205E13</v>
      </c>
      <c r="F1414" s="75">
        <v>44768.0</v>
      </c>
      <c r="G1414" s="76"/>
      <c r="H1414" s="76"/>
      <c r="I1414" s="73" t="s">
        <v>366</v>
      </c>
      <c r="J1414" s="76"/>
    </row>
    <row r="1415">
      <c r="A1415" s="74">
        <v>1412.0</v>
      </c>
      <c r="B1415" s="73" t="s">
        <v>1501</v>
      </c>
      <c r="C1415" s="74">
        <v>9.01470773E8</v>
      </c>
      <c r="D1415" s="73" t="s">
        <v>1780</v>
      </c>
      <c r="E1415" s="72">
        <v>2.0224150047065E13</v>
      </c>
      <c r="F1415" s="75">
        <v>44784.0</v>
      </c>
      <c r="G1415" s="76"/>
      <c r="H1415" s="76"/>
      <c r="I1415" s="73" t="s">
        <v>366</v>
      </c>
      <c r="J1415" s="76"/>
    </row>
    <row r="1416">
      <c r="A1416" s="74">
        <v>1413.0</v>
      </c>
      <c r="B1416" s="73" t="s">
        <v>1501</v>
      </c>
      <c r="C1416" s="74">
        <v>9.01354278E8</v>
      </c>
      <c r="D1416" s="73" t="s">
        <v>1781</v>
      </c>
      <c r="E1416" s="72">
        <v>2.0224150049905E13</v>
      </c>
      <c r="F1416" s="75">
        <v>44795.0</v>
      </c>
      <c r="G1416" s="76"/>
      <c r="H1416" s="76"/>
      <c r="I1416" s="73" t="s">
        <v>366</v>
      </c>
      <c r="J1416" s="76"/>
    </row>
    <row r="1417">
      <c r="A1417" s="74">
        <v>1414.0</v>
      </c>
      <c r="B1417" s="73" t="s">
        <v>1501</v>
      </c>
      <c r="C1417" s="74">
        <v>9.01056231E8</v>
      </c>
      <c r="D1417" s="73" t="s">
        <v>1782</v>
      </c>
      <c r="E1417" s="72">
        <v>2.0224150051245E13</v>
      </c>
      <c r="F1417" s="75">
        <v>44799.0</v>
      </c>
      <c r="G1417" s="76"/>
      <c r="H1417" s="76"/>
      <c r="I1417" s="73" t="s">
        <v>366</v>
      </c>
      <c r="J1417" s="76"/>
    </row>
    <row r="1418">
      <c r="A1418" s="74">
        <v>1415.0</v>
      </c>
      <c r="B1418" s="73" t="s">
        <v>1501</v>
      </c>
      <c r="C1418" s="74">
        <v>8.0021011E8</v>
      </c>
      <c r="D1418" s="73" t="s">
        <v>1783</v>
      </c>
      <c r="E1418" s="72">
        <v>2.0213050044335E13</v>
      </c>
      <c r="F1418" s="75">
        <v>44828.0</v>
      </c>
      <c r="G1418" s="76"/>
      <c r="H1418" s="76"/>
      <c r="I1418" s="73" t="s">
        <v>366</v>
      </c>
      <c r="J1418" s="76"/>
    </row>
    <row r="1419">
      <c r="A1419" s="74">
        <v>1416.0</v>
      </c>
      <c r="B1419" s="73" t="s">
        <v>1501</v>
      </c>
      <c r="C1419" s="74">
        <v>8.00096375E8</v>
      </c>
      <c r="D1419" s="73" t="s">
        <v>1784</v>
      </c>
      <c r="E1419" s="72">
        <v>2.0224150062735E13</v>
      </c>
      <c r="F1419" s="77">
        <v>44853.0</v>
      </c>
      <c r="G1419" s="76"/>
      <c r="H1419" s="76"/>
      <c r="I1419" s="73" t="s">
        <v>366</v>
      </c>
      <c r="J1419" s="76"/>
    </row>
    <row r="1420">
      <c r="A1420" s="74">
        <v>1417.0</v>
      </c>
      <c r="B1420" s="73" t="s">
        <v>1501</v>
      </c>
      <c r="C1420" s="74">
        <v>9.00906164E8</v>
      </c>
      <c r="D1420" s="73" t="s">
        <v>1785</v>
      </c>
      <c r="E1420" s="72">
        <v>2.022415006353E12</v>
      </c>
      <c r="F1420" s="77">
        <v>44858.0</v>
      </c>
      <c r="G1420" s="76"/>
      <c r="H1420" s="76"/>
      <c r="I1420" s="73" t="s">
        <v>366</v>
      </c>
      <c r="J1420" s="76"/>
    </row>
    <row r="1421">
      <c r="A1421" s="74">
        <v>1418.0</v>
      </c>
      <c r="B1421" s="73" t="s">
        <v>1501</v>
      </c>
      <c r="C1421" s="74">
        <v>9.01241683E8</v>
      </c>
      <c r="D1421" s="73" t="s">
        <v>1786</v>
      </c>
      <c r="E1421" s="72">
        <v>2.0224150064345E13</v>
      </c>
      <c r="F1421" s="77">
        <v>44860.0</v>
      </c>
      <c r="G1421" s="76"/>
      <c r="H1421" s="76"/>
      <c r="I1421" s="73" t="s">
        <v>366</v>
      </c>
      <c r="J1421" s="76"/>
    </row>
    <row r="1422">
      <c r="A1422" s="85">
        <v>1419.0</v>
      </c>
      <c r="B1422" s="79" t="s">
        <v>1501</v>
      </c>
      <c r="C1422" s="80">
        <v>9.01328188E8</v>
      </c>
      <c r="D1422" s="79" t="s">
        <v>1787</v>
      </c>
      <c r="E1422" s="81">
        <v>2.0234150002885E13</v>
      </c>
      <c r="F1422" s="84">
        <v>44952.0</v>
      </c>
      <c r="G1422" s="83"/>
      <c r="H1422" s="83"/>
      <c r="I1422" s="73" t="s">
        <v>366</v>
      </c>
      <c r="J1422" s="76"/>
    </row>
    <row r="1423">
      <c r="A1423" s="74">
        <v>1420.0</v>
      </c>
      <c r="B1423" s="73" t="s">
        <v>1501</v>
      </c>
      <c r="C1423" s="74">
        <v>9.01083576E8</v>
      </c>
      <c r="D1423" s="73" t="s">
        <v>1788</v>
      </c>
      <c r="E1423" s="72">
        <v>2.0234150015025E13</v>
      </c>
      <c r="F1423" s="75">
        <v>45033.0</v>
      </c>
      <c r="G1423" s="76"/>
      <c r="H1423" s="76"/>
      <c r="I1423" s="73" t="s">
        <v>366</v>
      </c>
      <c r="J1423" s="76"/>
    </row>
    <row r="1424">
      <c r="A1424" s="74">
        <v>1421.0</v>
      </c>
      <c r="B1424" s="73" t="s">
        <v>1501</v>
      </c>
      <c r="C1424" s="74">
        <v>9.01540303E8</v>
      </c>
      <c r="D1424" s="73" t="s">
        <v>1789</v>
      </c>
      <c r="E1424" s="72">
        <v>2.0234150017625E13</v>
      </c>
      <c r="F1424" s="75">
        <v>45050.0</v>
      </c>
      <c r="G1424" s="76"/>
      <c r="H1424" s="76"/>
      <c r="I1424" s="73" t="s">
        <v>366</v>
      </c>
      <c r="J1424" s="76"/>
    </row>
    <row r="1425">
      <c r="A1425" s="74">
        <v>1422.0</v>
      </c>
      <c r="B1425" s="73" t="s">
        <v>1501</v>
      </c>
      <c r="C1425" s="74">
        <v>9.01635622E8</v>
      </c>
      <c r="D1425" s="73" t="s">
        <v>1790</v>
      </c>
      <c r="E1425" s="72">
        <v>2.0234250028375E13</v>
      </c>
      <c r="F1425" s="75">
        <v>45083.0</v>
      </c>
      <c r="G1425" s="76"/>
      <c r="H1425" s="76"/>
      <c r="I1425" s="73" t="s">
        <v>366</v>
      </c>
      <c r="J1425" s="76"/>
    </row>
    <row r="1426">
      <c r="A1426" s="74">
        <v>1423.0</v>
      </c>
      <c r="B1426" s="73" t="s">
        <v>1501</v>
      </c>
      <c r="C1426" s="74">
        <v>9.00412968E8</v>
      </c>
      <c r="D1426" s="73" t="s">
        <v>1791</v>
      </c>
      <c r="E1426" s="72">
        <v>2.0234150024875E13</v>
      </c>
      <c r="F1426" s="75">
        <v>45092.0</v>
      </c>
      <c r="G1426" s="76"/>
      <c r="H1426" s="76"/>
      <c r="I1426" s="73" t="s">
        <v>366</v>
      </c>
      <c r="J1426" s="76"/>
    </row>
    <row r="1427">
      <c r="A1427" s="74">
        <v>1424.0</v>
      </c>
      <c r="B1427" s="73" t="s">
        <v>1501</v>
      </c>
      <c r="C1427" s="74">
        <v>8.44002461E8</v>
      </c>
      <c r="D1427" s="73" t="s">
        <v>1792</v>
      </c>
      <c r="E1427" s="72">
        <v>2.0234150034895E13</v>
      </c>
      <c r="F1427" s="75">
        <v>45153.0</v>
      </c>
      <c r="G1427" s="76"/>
      <c r="H1427" s="76"/>
      <c r="I1427" s="73" t="s">
        <v>366</v>
      </c>
      <c r="J1427" s="76"/>
    </row>
    <row r="1428">
      <c r="A1428" s="74">
        <v>1425.0</v>
      </c>
      <c r="B1428" s="73" t="s">
        <v>1501</v>
      </c>
      <c r="C1428" s="74">
        <v>9.01457406E8</v>
      </c>
      <c r="D1428" s="73" t="s">
        <v>1793</v>
      </c>
      <c r="E1428" s="72">
        <v>2.0233040036135E13</v>
      </c>
      <c r="F1428" s="75">
        <v>45161.0</v>
      </c>
      <c r="G1428" s="76"/>
      <c r="H1428" s="76"/>
      <c r="I1428" s="73" t="s">
        <v>366</v>
      </c>
      <c r="J1428" s="76"/>
    </row>
    <row r="1429">
      <c r="A1429" s="74">
        <v>1426.0</v>
      </c>
      <c r="B1429" s="73" t="s">
        <v>1501</v>
      </c>
      <c r="C1429" s="74">
        <v>9.01501758E8</v>
      </c>
      <c r="D1429" s="73" t="s">
        <v>1794</v>
      </c>
      <c r="E1429" s="72">
        <v>2.023415004709E12</v>
      </c>
      <c r="F1429" s="77">
        <v>45231.0</v>
      </c>
      <c r="G1429" s="76"/>
      <c r="H1429" s="76"/>
      <c r="I1429" s="73" t="s">
        <v>366</v>
      </c>
      <c r="J1429" s="76"/>
    </row>
    <row r="1430">
      <c r="A1430" s="74">
        <v>1427.0</v>
      </c>
      <c r="B1430" s="73" t="s">
        <v>1501</v>
      </c>
      <c r="C1430" s="74">
        <v>9.01028217E8</v>
      </c>
      <c r="D1430" s="73" t="s">
        <v>1795</v>
      </c>
      <c r="E1430" s="72">
        <v>2.0234150048965E13</v>
      </c>
      <c r="F1430" s="77">
        <v>45244.0</v>
      </c>
      <c r="G1430" s="76"/>
      <c r="H1430" s="76"/>
      <c r="I1430" s="73" t="s">
        <v>366</v>
      </c>
      <c r="J1430" s="76"/>
    </row>
    <row r="1431">
      <c r="A1431" s="74">
        <v>1428.0</v>
      </c>
      <c r="B1431" s="73" t="s">
        <v>1501</v>
      </c>
      <c r="C1431" s="74">
        <v>9.01542009E8</v>
      </c>
      <c r="D1431" s="73" t="s">
        <v>1796</v>
      </c>
      <c r="E1431" s="72">
        <v>2.0234150050455E13</v>
      </c>
      <c r="F1431" s="77">
        <v>45252.0</v>
      </c>
      <c r="G1431" s="76"/>
      <c r="H1431" s="76"/>
      <c r="I1431" s="73" t="s">
        <v>366</v>
      </c>
      <c r="J1431" s="76"/>
    </row>
    <row r="1432">
      <c r="A1432" s="74">
        <v>1429.0</v>
      </c>
      <c r="B1432" s="73" t="s">
        <v>1501</v>
      </c>
      <c r="C1432" s="74">
        <v>9.01606833E8</v>
      </c>
      <c r="D1432" s="73" t="s">
        <v>1797</v>
      </c>
      <c r="E1432" s="72">
        <v>2.0234150053075E13</v>
      </c>
      <c r="F1432" s="77">
        <v>45265.0</v>
      </c>
      <c r="G1432" s="76"/>
      <c r="H1432" s="76"/>
      <c r="I1432" s="73" t="s">
        <v>366</v>
      </c>
      <c r="J1432" s="76"/>
    </row>
    <row r="1433">
      <c r="A1433" s="74">
        <v>1430.0</v>
      </c>
      <c r="B1433" s="73" t="s">
        <v>1501</v>
      </c>
      <c r="C1433" s="74">
        <v>9.01647976E8</v>
      </c>
      <c r="D1433" s="73" t="s">
        <v>1798</v>
      </c>
      <c r="E1433" s="72">
        <v>2.0232130017515E13</v>
      </c>
      <c r="F1433" s="75">
        <v>45415.0</v>
      </c>
      <c r="G1433" s="76"/>
      <c r="H1433" s="76"/>
      <c r="I1433" s="73" t="s">
        <v>366</v>
      </c>
      <c r="J1433" s="76"/>
    </row>
    <row r="1434">
      <c r="A1434" s="74">
        <v>1431.0</v>
      </c>
      <c r="B1434" s="73" t="s">
        <v>1501</v>
      </c>
      <c r="C1434" s="74">
        <v>8.44000523E8</v>
      </c>
      <c r="D1434" s="73" t="s">
        <v>1799</v>
      </c>
      <c r="E1434" s="72">
        <v>2.0244150032105E13</v>
      </c>
      <c r="F1434" s="75">
        <v>45489.0</v>
      </c>
      <c r="G1434" s="76"/>
      <c r="H1434" s="76"/>
      <c r="I1434" s="73" t="s">
        <v>366</v>
      </c>
      <c r="J1434" s="76"/>
    </row>
    <row r="1435">
      <c r="A1435" s="74">
        <v>1432.0</v>
      </c>
      <c r="B1435" s="73" t="s">
        <v>1501</v>
      </c>
      <c r="C1435" s="74">
        <v>9.01817424E8</v>
      </c>
      <c r="D1435" s="73" t="s">
        <v>1800</v>
      </c>
      <c r="E1435" s="72">
        <v>2.0244150034885E13</v>
      </c>
      <c r="F1435" s="75">
        <v>45502.0</v>
      </c>
      <c r="G1435" s="76"/>
      <c r="H1435" s="76"/>
      <c r="I1435" s="73" t="s">
        <v>366</v>
      </c>
      <c r="J1435" s="76"/>
    </row>
    <row r="1436">
      <c r="A1436" s="74">
        <v>1433.0</v>
      </c>
      <c r="B1436" s="73" t="s">
        <v>1501</v>
      </c>
      <c r="C1436" s="74">
        <v>9.00594323E8</v>
      </c>
      <c r="D1436" s="73" t="s">
        <v>1801</v>
      </c>
      <c r="E1436" s="72">
        <v>2.0244150037045E13</v>
      </c>
      <c r="F1436" s="75">
        <v>45510.0</v>
      </c>
      <c r="G1436" s="76"/>
      <c r="H1436" s="76"/>
      <c r="I1436" s="73" t="s">
        <v>366</v>
      </c>
      <c r="J1436" s="76"/>
    </row>
    <row r="1437">
      <c r="A1437" s="74">
        <v>1434.0</v>
      </c>
      <c r="B1437" s="73" t="s">
        <v>1501</v>
      </c>
      <c r="C1437" s="74">
        <v>9.0179687E8</v>
      </c>
      <c r="D1437" s="73" t="s">
        <v>1802</v>
      </c>
      <c r="E1437" s="72">
        <v>2.0244150037205E13</v>
      </c>
      <c r="F1437" s="75">
        <v>45512.0</v>
      </c>
      <c r="G1437" s="76"/>
      <c r="H1437" s="76"/>
      <c r="I1437" s="73" t="s">
        <v>366</v>
      </c>
      <c r="J1437" s="76"/>
    </row>
    <row r="1438">
      <c r="A1438" s="74">
        <v>1435.0</v>
      </c>
      <c r="B1438" s="73" t="s">
        <v>1501</v>
      </c>
      <c r="C1438" s="74">
        <v>9.01714155E8</v>
      </c>
      <c r="D1438" s="73" t="s">
        <v>1803</v>
      </c>
      <c r="E1438" s="72">
        <v>2.0244150038785E13</v>
      </c>
      <c r="F1438" s="75">
        <v>45520.0</v>
      </c>
      <c r="G1438" s="76"/>
      <c r="H1438" s="76"/>
      <c r="I1438" s="73" t="s">
        <v>366</v>
      </c>
      <c r="J1438" s="76"/>
    </row>
    <row r="1439">
      <c r="A1439" s="74">
        <v>1436.0</v>
      </c>
      <c r="B1439" s="73" t="s">
        <v>1501</v>
      </c>
      <c r="C1439" s="74">
        <v>8.20002727E8</v>
      </c>
      <c r="D1439" s="73" t="s">
        <v>1804</v>
      </c>
      <c r="E1439" s="72">
        <v>2.0244150043025E13</v>
      </c>
      <c r="F1439" s="75">
        <v>45544.0</v>
      </c>
      <c r="G1439" s="76"/>
      <c r="H1439" s="76"/>
      <c r="I1439" s="73" t="s">
        <v>366</v>
      </c>
      <c r="J1439" s="76"/>
    </row>
    <row r="1440">
      <c r="A1440" s="74">
        <v>1437.0</v>
      </c>
      <c r="B1440" s="73" t="s">
        <v>1501</v>
      </c>
      <c r="C1440" s="74">
        <v>9.01851175E8</v>
      </c>
      <c r="D1440" s="73" t="s">
        <v>1805</v>
      </c>
      <c r="E1440" s="72">
        <v>2.0244150059645E13</v>
      </c>
      <c r="F1440" s="77">
        <v>45635.0</v>
      </c>
      <c r="G1440" s="76"/>
      <c r="H1440" s="76"/>
      <c r="I1440" s="73" t="s">
        <v>366</v>
      </c>
      <c r="J1440" s="76"/>
    </row>
    <row r="1441">
      <c r="A1441" s="74">
        <v>1438.0</v>
      </c>
      <c r="B1441" s="73" t="s">
        <v>1501</v>
      </c>
      <c r="C1441" s="74">
        <v>9.01839657E8</v>
      </c>
      <c r="D1441" s="73" t="s">
        <v>1806</v>
      </c>
      <c r="E1441" s="72">
        <v>2.0244150064715E13</v>
      </c>
      <c r="F1441" s="77">
        <v>45656.0</v>
      </c>
      <c r="G1441" s="76"/>
      <c r="H1441" s="76"/>
      <c r="I1441" s="73" t="s">
        <v>366</v>
      </c>
      <c r="J1441" s="76"/>
    </row>
    <row r="1442">
      <c r="A1442" s="74">
        <v>1439.0</v>
      </c>
      <c r="B1442" s="73" t="s">
        <v>1501</v>
      </c>
      <c r="C1442" s="74">
        <v>9.01503082E8</v>
      </c>
      <c r="D1442" s="73" t="s">
        <v>1807</v>
      </c>
      <c r="E1442" s="72">
        <v>2.0244150064755E13</v>
      </c>
      <c r="F1442" s="77">
        <v>45656.0</v>
      </c>
      <c r="G1442" s="76"/>
      <c r="H1442" s="76"/>
      <c r="I1442" s="73" t="s">
        <v>366</v>
      </c>
      <c r="J1442" s="76"/>
    </row>
    <row r="1443">
      <c r="A1443" s="88">
        <v>1440.0</v>
      </c>
      <c r="B1443" s="89" t="s">
        <v>1501</v>
      </c>
      <c r="C1443" s="88">
        <v>9.01710493E8</v>
      </c>
      <c r="D1443" s="89" t="s">
        <v>1808</v>
      </c>
      <c r="E1443" s="90">
        <v>2.0244250017555E13</v>
      </c>
      <c r="F1443" s="94">
        <v>45406.0</v>
      </c>
      <c r="G1443" s="92">
        <v>2.0253040014365E13</v>
      </c>
      <c r="H1443" s="94">
        <v>45761.0</v>
      </c>
      <c r="I1443" s="89" t="s">
        <v>366</v>
      </c>
      <c r="J1443" s="73" t="s">
        <v>1809</v>
      </c>
    </row>
    <row r="1444">
      <c r="A1444" s="74">
        <v>1441.0</v>
      </c>
      <c r="B1444" s="73" t="s">
        <v>1810</v>
      </c>
      <c r="C1444" s="74">
        <v>9.00517828E8</v>
      </c>
      <c r="D1444" s="73" t="s">
        <v>1811</v>
      </c>
      <c r="E1444" s="72">
        <v>2.0253040011045E13</v>
      </c>
      <c r="F1444" s="75">
        <v>45804.0</v>
      </c>
      <c r="G1444" s="76"/>
      <c r="H1444" s="76"/>
      <c r="I1444" s="73" t="s">
        <v>366</v>
      </c>
      <c r="J1444" s="76"/>
    </row>
    <row r="1445">
      <c r="A1445" s="74">
        <v>1442.0</v>
      </c>
      <c r="B1445" s="73" t="s">
        <v>1812</v>
      </c>
      <c r="C1445" s="74">
        <v>8.10004185E8</v>
      </c>
      <c r="D1445" s="73" t="s">
        <v>1813</v>
      </c>
      <c r="E1445" s="72">
        <v>40.0</v>
      </c>
      <c r="F1445" s="75">
        <v>37091.0</v>
      </c>
      <c r="G1445" s="76"/>
      <c r="H1445" s="76"/>
      <c r="I1445" s="73" t="s">
        <v>366</v>
      </c>
      <c r="J1445" s="76"/>
    </row>
    <row r="1446">
      <c r="A1446" s="74">
        <v>1443.0</v>
      </c>
      <c r="B1446" s="73" t="s">
        <v>1812</v>
      </c>
      <c r="C1446" s="74">
        <v>8.90801298E8</v>
      </c>
      <c r="D1446" s="73" t="s">
        <v>1814</v>
      </c>
      <c r="E1446" s="72">
        <v>75.0</v>
      </c>
      <c r="F1446" s="75">
        <v>37153.0</v>
      </c>
      <c r="G1446" s="76"/>
      <c r="H1446" s="76"/>
      <c r="I1446" s="73" t="s">
        <v>366</v>
      </c>
      <c r="J1446" s="76"/>
    </row>
    <row r="1447">
      <c r="A1447" s="74">
        <v>1444.0</v>
      </c>
      <c r="B1447" s="73" t="s">
        <v>1812</v>
      </c>
      <c r="C1447" s="74">
        <v>8.10000988E8</v>
      </c>
      <c r="D1447" s="73" t="s">
        <v>1815</v>
      </c>
      <c r="E1447" s="72">
        <v>96.0</v>
      </c>
      <c r="F1447" s="77">
        <v>37194.0</v>
      </c>
      <c r="G1447" s="76"/>
      <c r="H1447" s="76"/>
      <c r="I1447" s="73" t="s">
        <v>366</v>
      </c>
      <c r="J1447" s="76"/>
    </row>
    <row r="1448">
      <c r="A1448" s="74">
        <v>1445.0</v>
      </c>
      <c r="B1448" s="73" t="s">
        <v>1812</v>
      </c>
      <c r="C1448" s="74">
        <v>8.10000631E8</v>
      </c>
      <c r="D1448" s="73" t="s">
        <v>1816</v>
      </c>
      <c r="E1448" s="72">
        <v>19.0</v>
      </c>
      <c r="F1448" s="75">
        <v>37327.0</v>
      </c>
      <c r="G1448" s="76"/>
      <c r="H1448" s="76"/>
      <c r="I1448" s="73" t="s">
        <v>366</v>
      </c>
      <c r="J1448" s="76"/>
    </row>
    <row r="1449">
      <c r="A1449" s="74">
        <v>1446.0</v>
      </c>
      <c r="B1449" s="73" t="s">
        <v>1812</v>
      </c>
      <c r="C1449" s="74">
        <v>8.90802337E8</v>
      </c>
      <c r="D1449" s="73" t="s">
        <v>1817</v>
      </c>
      <c r="E1449" s="72">
        <v>26.0</v>
      </c>
      <c r="F1449" s="75">
        <v>37342.0</v>
      </c>
      <c r="G1449" s="76"/>
      <c r="H1449" s="76"/>
      <c r="I1449" s="73" t="s">
        <v>366</v>
      </c>
      <c r="J1449" s="76"/>
    </row>
    <row r="1450">
      <c r="A1450" s="74">
        <v>1447.0</v>
      </c>
      <c r="B1450" s="73" t="s">
        <v>1812</v>
      </c>
      <c r="C1450" s="74">
        <v>8.10004561E8</v>
      </c>
      <c r="D1450" s="73" t="s">
        <v>1818</v>
      </c>
      <c r="E1450" s="72">
        <v>154.0</v>
      </c>
      <c r="F1450" s="77">
        <v>37532.0</v>
      </c>
      <c r="G1450" s="76"/>
      <c r="H1450" s="76"/>
      <c r="I1450" s="73" t="s">
        <v>366</v>
      </c>
      <c r="J1450" s="76"/>
    </row>
    <row r="1451">
      <c r="A1451" s="74">
        <v>1448.0</v>
      </c>
      <c r="B1451" s="73" t="s">
        <v>1812</v>
      </c>
      <c r="C1451" s="74">
        <v>8.1000645E8</v>
      </c>
      <c r="D1451" s="73" t="s">
        <v>1819</v>
      </c>
      <c r="E1451" s="72">
        <v>20.0</v>
      </c>
      <c r="F1451" s="75">
        <v>38148.0</v>
      </c>
      <c r="G1451" s="76"/>
      <c r="H1451" s="76"/>
      <c r="I1451" s="73" t="s">
        <v>366</v>
      </c>
      <c r="J1451" s="76"/>
    </row>
    <row r="1452">
      <c r="A1452" s="74">
        <v>1449.0</v>
      </c>
      <c r="B1452" s="73" t="s">
        <v>1812</v>
      </c>
      <c r="C1452" s="74">
        <v>9.00388525E8</v>
      </c>
      <c r="D1452" s="73" t="s">
        <v>1820</v>
      </c>
      <c r="E1452" s="72">
        <v>32.0</v>
      </c>
      <c r="F1452" s="77">
        <v>40504.0</v>
      </c>
      <c r="G1452" s="76"/>
      <c r="H1452" s="76"/>
      <c r="I1452" s="73" t="s">
        <v>366</v>
      </c>
      <c r="J1452" s="76"/>
    </row>
    <row r="1453">
      <c r="A1453" s="74">
        <v>1450.0</v>
      </c>
      <c r="B1453" s="73" t="s">
        <v>1812</v>
      </c>
      <c r="C1453" s="74">
        <v>8.30147073E8</v>
      </c>
      <c r="D1453" s="73" t="s">
        <v>1821</v>
      </c>
      <c r="E1453" s="72">
        <v>7.0</v>
      </c>
      <c r="F1453" s="75">
        <v>40617.0</v>
      </c>
      <c r="G1453" s="76"/>
      <c r="H1453" s="76"/>
      <c r="I1453" s="73" t="s">
        <v>366</v>
      </c>
      <c r="J1453" s="76"/>
    </row>
    <row r="1454">
      <c r="A1454" s="74">
        <v>1451.0</v>
      </c>
      <c r="B1454" s="73" t="s">
        <v>1812</v>
      </c>
      <c r="C1454" s="74">
        <v>9.00084803E8</v>
      </c>
      <c r="D1454" s="73" t="s">
        <v>1822</v>
      </c>
      <c r="E1454" s="72">
        <v>17.0</v>
      </c>
      <c r="F1454" s="75">
        <v>40669.0</v>
      </c>
      <c r="G1454" s="76"/>
      <c r="H1454" s="76"/>
      <c r="I1454" s="73" t="s">
        <v>366</v>
      </c>
      <c r="J1454" s="76"/>
    </row>
    <row r="1455">
      <c r="A1455" s="74">
        <v>1452.0</v>
      </c>
      <c r="B1455" s="73" t="s">
        <v>1812</v>
      </c>
      <c r="C1455" s="74">
        <v>8.00240911E8</v>
      </c>
      <c r="D1455" s="73" t="s">
        <v>1823</v>
      </c>
      <c r="E1455" s="72">
        <v>13.0</v>
      </c>
      <c r="F1455" s="75">
        <v>41019.0</v>
      </c>
      <c r="G1455" s="72">
        <v>81.0</v>
      </c>
      <c r="H1455" s="75">
        <v>43605.0</v>
      </c>
      <c r="I1455" s="73" t="s">
        <v>366</v>
      </c>
      <c r="J1455" s="76"/>
    </row>
    <row r="1456">
      <c r="A1456" s="74">
        <v>1453.0</v>
      </c>
      <c r="B1456" s="73" t="s">
        <v>1812</v>
      </c>
      <c r="C1456" s="74">
        <v>9.00561665E8</v>
      </c>
      <c r="D1456" s="73" t="s">
        <v>1824</v>
      </c>
      <c r="E1456" s="72">
        <v>52.0</v>
      </c>
      <c r="F1456" s="77">
        <v>41241.0</v>
      </c>
      <c r="G1456" s="76"/>
      <c r="H1456" s="76"/>
      <c r="I1456" s="73" t="s">
        <v>366</v>
      </c>
      <c r="J1456" s="76"/>
    </row>
    <row r="1457">
      <c r="A1457" s="74">
        <v>1454.0</v>
      </c>
      <c r="B1457" s="73" t="s">
        <v>1812</v>
      </c>
      <c r="C1457" s="74">
        <v>9.00609757E8</v>
      </c>
      <c r="D1457" s="73" t="s">
        <v>1825</v>
      </c>
      <c r="E1457" s="72">
        <v>141.0</v>
      </c>
      <c r="F1457" s="75">
        <v>43732.0</v>
      </c>
      <c r="G1457" s="76"/>
      <c r="H1457" s="76"/>
      <c r="I1457" s="73" t="s">
        <v>366</v>
      </c>
      <c r="J1457" s="76"/>
    </row>
    <row r="1458">
      <c r="A1458" s="74">
        <v>1455.0</v>
      </c>
      <c r="B1458" s="73" t="s">
        <v>1812</v>
      </c>
      <c r="C1458" s="74">
        <v>9.01460869E8</v>
      </c>
      <c r="D1458" s="73" t="s">
        <v>1826</v>
      </c>
      <c r="E1458" s="72">
        <v>2.0223170008845E13</v>
      </c>
      <c r="F1458" s="75">
        <v>44615.0</v>
      </c>
      <c r="G1458" s="72">
        <v>2.0243170018875E13</v>
      </c>
      <c r="H1458" s="75">
        <v>45415.0</v>
      </c>
      <c r="I1458" s="73" t="s">
        <v>366</v>
      </c>
      <c r="J1458" s="76"/>
    </row>
    <row r="1459">
      <c r="A1459" s="74">
        <v>1456.0</v>
      </c>
      <c r="B1459" s="73" t="s">
        <v>1812</v>
      </c>
      <c r="C1459" s="74">
        <v>9.01370593E8</v>
      </c>
      <c r="D1459" s="73" t="s">
        <v>1827</v>
      </c>
      <c r="E1459" s="72">
        <v>2.0233170052365E13</v>
      </c>
      <c r="F1459" s="77">
        <v>45261.0</v>
      </c>
      <c r="G1459" s="76"/>
      <c r="H1459" s="76"/>
      <c r="I1459" s="73" t="s">
        <v>366</v>
      </c>
      <c r="J1459" s="76"/>
    </row>
    <row r="1460">
      <c r="A1460" s="76"/>
      <c r="B1460" s="73" t="s">
        <v>1812</v>
      </c>
      <c r="C1460" s="74">
        <v>9.01756384E8</v>
      </c>
      <c r="D1460" s="73" t="s">
        <v>1828</v>
      </c>
      <c r="E1460" s="72">
        <v>2.0253040006835E13</v>
      </c>
      <c r="F1460" s="75">
        <v>45719.0</v>
      </c>
      <c r="G1460" s="76"/>
      <c r="H1460" s="76"/>
      <c r="I1460" s="73" t="s">
        <v>366</v>
      </c>
      <c r="J1460" s="76"/>
    </row>
    <row r="1461">
      <c r="A1461" s="74">
        <v>1457.0</v>
      </c>
      <c r="B1461" s="73" t="s">
        <v>1829</v>
      </c>
      <c r="C1461" s="74">
        <v>8.91500551E8</v>
      </c>
      <c r="D1461" s="73" t="s">
        <v>1830</v>
      </c>
      <c r="E1461" s="72">
        <v>12.0</v>
      </c>
      <c r="F1461" s="75">
        <v>36678.0</v>
      </c>
      <c r="G1461" s="76"/>
      <c r="H1461" s="76"/>
      <c r="I1461" s="73" t="s">
        <v>366</v>
      </c>
      <c r="J1461" s="76"/>
    </row>
    <row r="1462">
      <c r="A1462" s="74">
        <v>1458.0</v>
      </c>
      <c r="B1462" s="73" t="s">
        <v>1829</v>
      </c>
      <c r="C1462" s="74">
        <v>8.91500045E8</v>
      </c>
      <c r="D1462" s="73" t="s">
        <v>1831</v>
      </c>
      <c r="E1462" s="72">
        <v>3.0</v>
      </c>
      <c r="F1462" s="75">
        <v>37278.0</v>
      </c>
      <c r="G1462" s="76"/>
      <c r="H1462" s="76"/>
      <c r="I1462" s="73" t="s">
        <v>366</v>
      </c>
      <c r="J1462" s="76"/>
    </row>
    <row r="1463">
      <c r="A1463" s="74">
        <v>1459.0</v>
      </c>
      <c r="B1463" s="73" t="s">
        <v>1829</v>
      </c>
      <c r="C1463" s="74">
        <v>8.17005017E8</v>
      </c>
      <c r="D1463" s="73" t="s">
        <v>1832</v>
      </c>
      <c r="E1463" s="72">
        <v>29.0</v>
      </c>
      <c r="F1463" s="75">
        <v>37330.0</v>
      </c>
      <c r="G1463" s="76"/>
      <c r="H1463" s="76"/>
      <c r="I1463" s="73" t="s">
        <v>366</v>
      </c>
      <c r="J1463" s="76"/>
    </row>
    <row r="1464">
      <c r="A1464" s="74">
        <v>1460.0</v>
      </c>
      <c r="B1464" s="73" t="s">
        <v>1829</v>
      </c>
      <c r="C1464" s="74">
        <v>8.91500194E8</v>
      </c>
      <c r="D1464" s="73" t="s">
        <v>1833</v>
      </c>
      <c r="E1464" s="72">
        <v>36.0</v>
      </c>
      <c r="F1464" s="75">
        <v>37341.0</v>
      </c>
      <c r="G1464" s="76"/>
      <c r="H1464" s="76"/>
      <c r="I1464" s="73" t="s">
        <v>366</v>
      </c>
      <c r="J1464" s="76"/>
    </row>
    <row r="1465">
      <c r="A1465" s="74">
        <v>1461.0</v>
      </c>
      <c r="B1465" s="73" t="s">
        <v>1829</v>
      </c>
      <c r="C1465" s="74">
        <v>9.0021945E8</v>
      </c>
      <c r="D1465" s="73" t="s">
        <v>1834</v>
      </c>
      <c r="E1465" s="72">
        <v>59.0</v>
      </c>
      <c r="F1465" s="75">
        <v>40057.0</v>
      </c>
      <c r="G1465" s="76"/>
      <c r="H1465" s="76"/>
      <c r="I1465" s="73" t="s">
        <v>366</v>
      </c>
      <c r="J1465" s="76"/>
    </row>
    <row r="1466">
      <c r="A1466" s="74">
        <v>1462.0</v>
      </c>
      <c r="B1466" s="73" t="s">
        <v>1829</v>
      </c>
      <c r="C1466" s="74">
        <v>9.00197456E8</v>
      </c>
      <c r="D1466" s="73" t="s">
        <v>1835</v>
      </c>
      <c r="E1466" s="72">
        <v>5.0</v>
      </c>
      <c r="F1466" s="75">
        <v>41355.0</v>
      </c>
      <c r="G1466" s="76"/>
      <c r="H1466" s="76"/>
      <c r="I1466" s="73" t="s">
        <v>366</v>
      </c>
      <c r="J1466" s="76"/>
    </row>
    <row r="1467">
      <c r="A1467" s="74">
        <v>1463.0</v>
      </c>
      <c r="B1467" s="73" t="s">
        <v>1829</v>
      </c>
      <c r="C1467" s="74">
        <v>9.00616108E8</v>
      </c>
      <c r="D1467" s="73" t="s">
        <v>324</v>
      </c>
      <c r="E1467" s="72">
        <v>20.0</v>
      </c>
      <c r="F1467" s="75">
        <v>41479.0</v>
      </c>
      <c r="G1467" s="76"/>
      <c r="H1467" s="76"/>
      <c r="I1467" s="73" t="s">
        <v>366</v>
      </c>
      <c r="J1467" s="76"/>
    </row>
    <row r="1468">
      <c r="A1468" s="74">
        <v>1464.0</v>
      </c>
      <c r="B1468" s="73" t="s">
        <v>1829</v>
      </c>
      <c r="C1468" s="74">
        <v>8.91500277E8</v>
      </c>
      <c r="D1468" s="73" t="s">
        <v>1836</v>
      </c>
      <c r="E1468" s="72">
        <v>5.0</v>
      </c>
      <c r="F1468" s="75">
        <v>43146.0</v>
      </c>
      <c r="G1468" s="76"/>
      <c r="H1468" s="76"/>
      <c r="I1468" s="73" t="s">
        <v>366</v>
      </c>
      <c r="J1468" s="76"/>
    </row>
    <row r="1469">
      <c r="A1469" s="74">
        <v>1465.0</v>
      </c>
      <c r="B1469" s="73" t="s">
        <v>1829</v>
      </c>
      <c r="C1469" s="74">
        <v>9.00801136E8</v>
      </c>
      <c r="D1469" s="73" t="s">
        <v>1837</v>
      </c>
      <c r="E1469" s="72">
        <v>2.0223190022745E13</v>
      </c>
      <c r="F1469" s="75">
        <v>44680.0</v>
      </c>
      <c r="G1469" s="76"/>
      <c r="H1469" s="76"/>
      <c r="I1469" s="73" t="s">
        <v>366</v>
      </c>
      <c r="J1469" s="76"/>
    </row>
    <row r="1470">
      <c r="A1470" s="85">
        <v>1466.0</v>
      </c>
      <c r="B1470" s="79" t="s">
        <v>1829</v>
      </c>
      <c r="C1470" s="80">
        <v>9.01097235E8</v>
      </c>
      <c r="D1470" s="79" t="s">
        <v>1838</v>
      </c>
      <c r="E1470" s="81">
        <v>2.0223190061675E13</v>
      </c>
      <c r="F1470" s="82">
        <v>44845.0</v>
      </c>
      <c r="G1470" s="83"/>
      <c r="H1470" s="83"/>
      <c r="I1470" s="73" t="s">
        <v>366</v>
      </c>
      <c r="J1470" s="76"/>
    </row>
    <row r="1471">
      <c r="A1471" s="74">
        <v>1467.0</v>
      </c>
      <c r="B1471" s="73" t="s">
        <v>1839</v>
      </c>
      <c r="C1471" s="74">
        <v>8.24002636E8</v>
      </c>
      <c r="D1471" s="73" t="s">
        <v>1840</v>
      </c>
      <c r="E1471" s="72">
        <v>24.0</v>
      </c>
      <c r="F1471" s="75">
        <v>36648.0</v>
      </c>
      <c r="G1471" s="76"/>
      <c r="H1471" s="76"/>
      <c r="I1471" s="73" t="s">
        <v>366</v>
      </c>
      <c r="J1471" s="76"/>
    </row>
    <row r="1472">
      <c r="A1472" s="74">
        <v>1468.0</v>
      </c>
      <c r="B1472" s="73" t="s">
        <v>1839</v>
      </c>
      <c r="C1472" s="74">
        <v>8.30002159E8</v>
      </c>
      <c r="D1472" s="73" t="s">
        <v>1841</v>
      </c>
      <c r="E1472" s="72">
        <v>25.0</v>
      </c>
      <c r="F1472" s="75">
        <v>36948.0</v>
      </c>
      <c r="G1472" s="76"/>
      <c r="H1472" s="76"/>
      <c r="I1472" s="73" t="s">
        <v>366</v>
      </c>
      <c r="J1472" s="76"/>
    </row>
    <row r="1473">
      <c r="A1473" s="74">
        <v>1469.0</v>
      </c>
      <c r="B1473" s="73" t="s">
        <v>1839</v>
      </c>
      <c r="C1473" s="74">
        <v>8.9230042E8</v>
      </c>
      <c r="D1473" s="73" t="s">
        <v>1842</v>
      </c>
      <c r="E1473" s="72">
        <v>47.0</v>
      </c>
      <c r="F1473" s="75">
        <v>37288.0</v>
      </c>
      <c r="G1473" s="76"/>
      <c r="H1473" s="76"/>
      <c r="I1473" s="73" t="s">
        <v>366</v>
      </c>
      <c r="J1473" s="76"/>
    </row>
    <row r="1474">
      <c r="A1474" s="74">
        <v>1470.0</v>
      </c>
      <c r="B1474" s="73" t="s">
        <v>1839</v>
      </c>
      <c r="C1474" s="74">
        <v>8.00085111E8</v>
      </c>
      <c r="D1474" s="73" t="s">
        <v>1843</v>
      </c>
      <c r="E1474" s="72">
        <v>223.0</v>
      </c>
      <c r="F1474" s="75">
        <v>37494.0</v>
      </c>
      <c r="G1474" s="76"/>
      <c r="H1474" s="76"/>
      <c r="I1474" s="73" t="s">
        <v>366</v>
      </c>
      <c r="J1474" s="76"/>
    </row>
    <row r="1475">
      <c r="A1475" s="74">
        <v>1471.0</v>
      </c>
      <c r="B1475" s="73" t="s">
        <v>1839</v>
      </c>
      <c r="C1475" s="74">
        <v>8.24006623E8</v>
      </c>
      <c r="D1475" s="73" t="s">
        <v>1844</v>
      </c>
      <c r="E1475" s="72">
        <v>68.0</v>
      </c>
      <c r="F1475" s="77">
        <v>38281.0</v>
      </c>
      <c r="G1475" s="76"/>
      <c r="H1475" s="76"/>
      <c r="I1475" s="73" t="s">
        <v>366</v>
      </c>
      <c r="J1475" s="76"/>
    </row>
    <row r="1476">
      <c r="A1476" s="74">
        <v>1472.0</v>
      </c>
      <c r="B1476" s="73" t="s">
        <v>1839</v>
      </c>
      <c r="C1476" s="74">
        <v>9.00294208E8</v>
      </c>
      <c r="D1476" s="73" t="s">
        <v>1845</v>
      </c>
      <c r="E1476" s="72">
        <v>21.0</v>
      </c>
      <c r="F1476" s="75">
        <v>40584.0</v>
      </c>
      <c r="G1476" s="76"/>
      <c r="H1476" s="76"/>
      <c r="I1476" s="73" t="s">
        <v>366</v>
      </c>
      <c r="J1476" s="76"/>
    </row>
    <row r="1477">
      <c r="A1477" s="74">
        <v>1473.0</v>
      </c>
      <c r="B1477" s="73" t="s">
        <v>1839</v>
      </c>
      <c r="C1477" s="74">
        <v>9.00402733E8</v>
      </c>
      <c r="D1477" s="73" t="s">
        <v>1846</v>
      </c>
      <c r="E1477" s="72">
        <v>122.0</v>
      </c>
      <c r="F1477" s="77">
        <v>40906.0</v>
      </c>
      <c r="G1477" s="76"/>
      <c r="H1477" s="76"/>
      <c r="I1477" s="73" t="s">
        <v>366</v>
      </c>
      <c r="J1477" s="76"/>
    </row>
    <row r="1478">
      <c r="A1478" s="74">
        <v>1474.0</v>
      </c>
      <c r="B1478" s="73" t="s">
        <v>1839</v>
      </c>
      <c r="C1478" s="74">
        <v>9.00382831E8</v>
      </c>
      <c r="D1478" s="73" t="s">
        <v>1847</v>
      </c>
      <c r="E1478" s="72">
        <v>13.0</v>
      </c>
      <c r="F1478" s="75">
        <v>41472.0</v>
      </c>
      <c r="G1478" s="76"/>
      <c r="H1478" s="76"/>
      <c r="I1478" s="73" t="s">
        <v>366</v>
      </c>
      <c r="J1478" s="76"/>
    </row>
    <row r="1479">
      <c r="A1479" s="74">
        <v>1475.0</v>
      </c>
      <c r="B1479" s="73" t="s">
        <v>1839</v>
      </c>
      <c r="C1479" s="74">
        <v>9.00501646E8</v>
      </c>
      <c r="D1479" s="73" t="s">
        <v>1848</v>
      </c>
      <c r="E1479" s="72">
        <v>15.0</v>
      </c>
      <c r="F1479" s="75">
        <v>41740.0</v>
      </c>
      <c r="G1479" s="76"/>
      <c r="H1479" s="76"/>
      <c r="I1479" s="73" t="s">
        <v>366</v>
      </c>
      <c r="J1479" s="76"/>
    </row>
    <row r="1480">
      <c r="A1480" s="74">
        <v>1476.0</v>
      </c>
      <c r="B1480" s="73" t="s">
        <v>1839</v>
      </c>
      <c r="C1480" s="74">
        <v>9.00590881E8</v>
      </c>
      <c r="D1480" s="73" t="s">
        <v>1849</v>
      </c>
      <c r="E1480" s="72">
        <v>52.0</v>
      </c>
      <c r="F1480" s="75">
        <v>41837.0</v>
      </c>
      <c r="G1480" s="76"/>
      <c r="H1480" s="76"/>
      <c r="I1480" s="73" t="s">
        <v>366</v>
      </c>
      <c r="J1480" s="76"/>
    </row>
    <row r="1481">
      <c r="A1481" s="74">
        <v>1477.0</v>
      </c>
      <c r="B1481" s="73" t="s">
        <v>1839</v>
      </c>
      <c r="C1481" s="74">
        <v>9.00548575E8</v>
      </c>
      <c r="D1481" s="73" t="s">
        <v>1850</v>
      </c>
      <c r="E1481" s="72">
        <v>55.0</v>
      </c>
      <c r="F1481" s="77">
        <v>41942.0</v>
      </c>
      <c r="G1481" s="76"/>
      <c r="H1481" s="76"/>
      <c r="I1481" s="73" t="s">
        <v>366</v>
      </c>
      <c r="J1481" s="76"/>
    </row>
    <row r="1482">
      <c r="A1482" s="74">
        <v>1478.0</v>
      </c>
      <c r="B1482" s="73" t="s">
        <v>1839</v>
      </c>
      <c r="C1482" s="74">
        <v>9.00201253E8</v>
      </c>
      <c r="D1482" s="73" t="s">
        <v>1851</v>
      </c>
      <c r="E1482" s="72">
        <v>7.0</v>
      </c>
      <c r="F1482" s="75">
        <v>42075.0</v>
      </c>
      <c r="G1482" s="76"/>
      <c r="H1482" s="76"/>
      <c r="I1482" s="73" t="s">
        <v>366</v>
      </c>
      <c r="J1482" s="76"/>
    </row>
    <row r="1483">
      <c r="A1483" s="74">
        <v>1479.0</v>
      </c>
      <c r="B1483" s="73" t="s">
        <v>1839</v>
      </c>
      <c r="C1483" s="74">
        <v>9.00663303E8</v>
      </c>
      <c r="D1483" s="73" t="s">
        <v>1852</v>
      </c>
      <c r="E1483" s="72">
        <v>8.0</v>
      </c>
      <c r="F1483" s="75">
        <v>42087.0</v>
      </c>
      <c r="G1483" s="76"/>
      <c r="H1483" s="76"/>
      <c r="I1483" s="73" t="s">
        <v>366</v>
      </c>
      <c r="J1483" s="76"/>
    </row>
    <row r="1484">
      <c r="A1484" s="74">
        <v>1480.0</v>
      </c>
      <c r="B1484" s="73" t="s">
        <v>1839</v>
      </c>
      <c r="C1484" s="74">
        <v>9.0061054E8</v>
      </c>
      <c r="D1484" s="73" t="s">
        <v>1853</v>
      </c>
      <c r="E1484" s="72">
        <v>10.0</v>
      </c>
      <c r="F1484" s="75">
        <v>42093.0</v>
      </c>
      <c r="G1484" s="76"/>
      <c r="H1484" s="76"/>
      <c r="I1484" s="73" t="s">
        <v>366</v>
      </c>
      <c r="J1484" s="76"/>
    </row>
    <row r="1485">
      <c r="A1485" s="74">
        <v>1481.0</v>
      </c>
      <c r="B1485" s="73" t="s">
        <v>1839</v>
      </c>
      <c r="C1485" s="74">
        <v>8.19005052E8</v>
      </c>
      <c r="D1485" s="73" t="s">
        <v>1854</v>
      </c>
      <c r="E1485" s="72">
        <v>11.0</v>
      </c>
      <c r="F1485" s="75">
        <v>42100.0</v>
      </c>
      <c r="G1485" s="76"/>
      <c r="H1485" s="76"/>
      <c r="I1485" s="73" t="s">
        <v>366</v>
      </c>
      <c r="J1485" s="76"/>
    </row>
    <row r="1486">
      <c r="A1486" s="74">
        <v>1482.0</v>
      </c>
      <c r="B1486" s="73" t="s">
        <v>1839</v>
      </c>
      <c r="C1486" s="74">
        <v>9.00663778E8</v>
      </c>
      <c r="D1486" s="73" t="s">
        <v>1855</v>
      </c>
      <c r="E1486" s="72">
        <v>21.0</v>
      </c>
      <c r="F1486" s="75">
        <v>42144.0</v>
      </c>
      <c r="G1486" s="76"/>
      <c r="H1486" s="76"/>
      <c r="I1486" s="73" t="s">
        <v>366</v>
      </c>
      <c r="J1486" s="76"/>
    </row>
    <row r="1487">
      <c r="A1487" s="74">
        <v>1483.0</v>
      </c>
      <c r="B1487" s="73" t="s">
        <v>1839</v>
      </c>
      <c r="C1487" s="74">
        <v>9.00810728E8</v>
      </c>
      <c r="D1487" s="73" t="s">
        <v>1856</v>
      </c>
      <c r="E1487" s="72">
        <v>26.0</v>
      </c>
      <c r="F1487" s="75">
        <v>42191.0</v>
      </c>
      <c r="G1487" s="76"/>
      <c r="H1487" s="76"/>
      <c r="I1487" s="73" t="s">
        <v>366</v>
      </c>
      <c r="J1487" s="76"/>
    </row>
    <row r="1488">
      <c r="A1488" s="74">
        <v>1484.0</v>
      </c>
      <c r="B1488" s="73" t="s">
        <v>1839</v>
      </c>
      <c r="C1488" s="74">
        <v>9.00690779E8</v>
      </c>
      <c r="D1488" s="73" t="s">
        <v>1857</v>
      </c>
      <c r="E1488" s="72">
        <v>29.0</v>
      </c>
      <c r="F1488" s="75">
        <v>42215.0</v>
      </c>
      <c r="G1488" s="76"/>
      <c r="H1488" s="76"/>
      <c r="I1488" s="73" t="s">
        <v>366</v>
      </c>
      <c r="J1488" s="76"/>
    </row>
    <row r="1489">
      <c r="A1489" s="74">
        <v>1485.0</v>
      </c>
      <c r="B1489" s="73" t="s">
        <v>1839</v>
      </c>
      <c r="C1489" s="74">
        <v>8.30510397E8</v>
      </c>
      <c r="D1489" s="73" t="s">
        <v>1858</v>
      </c>
      <c r="E1489" s="72">
        <v>42.0</v>
      </c>
      <c r="F1489" s="75">
        <v>42277.0</v>
      </c>
      <c r="G1489" s="76"/>
      <c r="H1489" s="76"/>
      <c r="I1489" s="73" t="s">
        <v>366</v>
      </c>
      <c r="J1489" s="76"/>
    </row>
    <row r="1490">
      <c r="A1490" s="74">
        <v>1486.0</v>
      </c>
      <c r="B1490" s="73" t="s">
        <v>1839</v>
      </c>
      <c r="C1490" s="74">
        <v>9.00738012E8</v>
      </c>
      <c r="D1490" s="73" t="s">
        <v>1859</v>
      </c>
      <c r="E1490" s="72">
        <v>48.0</v>
      </c>
      <c r="F1490" s="77">
        <v>42282.0</v>
      </c>
      <c r="G1490" s="76"/>
      <c r="H1490" s="76"/>
      <c r="I1490" s="73" t="s">
        <v>366</v>
      </c>
      <c r="J1490" s="76"/>
    </row>
    <row r="1491">
      <c r="A1491" s="74">
        <v>1487.0</v>
      </c>
      <c r="B1491" s="73" t="s">
        <v>1839</v>
      </c>
      <c r="C1491" s="74">
        <v>9.00383028E8</v>
      </c>
      <c r="D1491" s="73" t="s">
        <v>1860</v>
      </c>
      <c r="E1491" s="72">
        <v>2.0</v>
      </c>
      <c r="F1491" s="75">
        <v>42384.0</v>
      </c>
      <c r="G1491" s="76"/>
      <c r="H1491" s="76"/>
      <c r="I1491" s="73" t="s">
        <v>366</v>
      </c>
      <c r="J1491" s="76"/>
    </row>
    <row r="1492">
      <c r="A1492" s="74">
        <v>1488.0</v>
      </c>
      <c r="B1492" s="73" t="s">
        <v>1839</v>
      </c>
      <c r="C1492" s="74">
        <v>9.00939955E8</v>
      </c>
      <c r="D1492" s="73" t="s">
        <v>1861</v>
      </c>
      <c r="E1492" s="72">
        <v>11.0</v>
      </c>
      <c r="F1492" s="75">
        <v>42495.0</v>
      </c>
      <c r="G1492" s="76"/>
      <c r="H1492" s="76"/>
      <c r="I1492" s="73" t="s">
        <v>366</v>
      </c>
      <c r="J1492" s="76"/>
    </row>
    <row r="1493">
      <c r="A1493" s="74">
        <v>1489.0</v>
      </c>
      <c r="B1493" s="73" t="s">
        <v>1839</v>
      </c>
      <c r="C1493" s="74">
        <v>9.00709798E8</v>
      </c>
      <c r="D1493" s="73" t="s">
        <v>1862</v>
      </c>
      <c r="E1493" s="72">
        <v>13.0</v>
      </c>
      <c r="F1493" s="75">
        <v>42524.0</v>
      </c>
      <c r="G1493" s="76"/>
      <c r="H1493" s="76"/>
      <c r="I1493" s="73" t="s">
        <v>366</v>
      </c>
      <c r="J1493" s="76"/>
    </row>
    <row r="1494">
      <c r="A1494" s="74">
        <v>1490.0</v>
      </c>
      <c r="B1494" s="73" t="s">
        <v>1839</v>
      </c>
      <c r="C1494" s="74">
        <v>9.01117193E8</v>
      </c>
      <c r="D1494" s="73" t="s">
        <v>1863</v>
      </c>
      <c r="E1494" s="72">
        <v>65.0</v>
      </c>
      <c r="F1494" s="77">
        <v>43035.0</v>
      </c>
      <c r="G1494" s="76"/>
      <c r="H1494" s="76"/>
      <c r="I1494" s="73" t="s">
        <v>366</v>
      </c>
      <c r="J1494" s="76"/>
    </row>
    <row r="1495">
      <c r="A1495" s="74">
        <v>1491.0</v>
      </c>
      <c r="B1495" s="73" t="s">
        <v>1839</v>
      </c>
      <c r="C1495" s="74">
        <v>9.01060399E8</v>
      </c>
      <c r="D1495" s="73" t="s">
        <v>1864</v>
      </c>
      <c r="E1495" s="72">
        <v>67.0</v>
      </c>
      <c r="F1495" s="77">
        <v>43046.0</v>
      </c>
      <c r="G1495" s="76"/>
      <c r="H1495" s="76"/>
      <c r="I1495" s="73" t="s">
        <v>366</v>
      </c>
      <c r="J1495" s="76"/>
    </row>
    <row r="1496">
      <c r="A1496" s="74">
        <v>1492.0</v>
      </c>
      <c r="B1496" s="73" t="s">
        <v>1839</v>
      </c>
      <c r="C1496" s="74">
        <v>9.00815987E8</v>
      </c>
      <c r="D1496" s="73" t="s">
        <v>1865</v>
      </c>
      <c r="E1496" s="72">
        <v>8.0</v>
      </c>
      <c r="F1496" s="75">
        <v>43118.0</v>
      </c>
      <c r="G1496" s="76"/>
      <c r="H1496" s="76"/>
      <c r="I1496" s="73" t="s">
        <v>366</v>
      </c>
      <c r="J1496" s="76"/>
    </row>
    <row r="1497">
      <c r="A1497" s="74">
        <v>1493.0</v>
      </c>
      <c r="B1497" s="73" t="s">
        <v>1839</v>
      </c>
      <c r="C1497" s="74">
        <v>9.00662068E8</v>
      </c>
      <c r="D1497" s="73" t="s">
        <v>1866</v>
      </c>
      <c r="E1497" s="72">
        <v>18.0</v>
      </c>
      <c r="F1497" s="75">
        <v>43209.0</v>
      </c>
      <c r="G1497" s="76"/>
      <c r="H1497" s="76"/>
      <c r="I1497" s="73" t="s">
        <v>366</v>
      </c>
      <c r="J1497" s="76"/>
    </row>
    <row r="1498">
      <c r="A1498" s="74">
        <v>1494.0</v>
      </c>
      <c r="B1498" s="73" t="s">
        <v>1839</v>
      </c>
      <c r="C1498" s="74">
        <v>9.01178183E8</v>
      </c>
      <c r="D1498" s="73" t="s">
        <v>1867</v>
      </c>
      <c r="E1498" s="72">
        <v>50.0</v>
      </c>
      <c r="F1498" s="75">
        <v>43245.0</v>
      </c>
      <c r="G1498" s="76"/>
      <c r="H1498" s="76"/>
      <c r="I1498" s="73" t="s">
        <v>366</v>
      </c>
      <c r="J1498" s="76"/>
    </row>
    <row r="1499">
      <c r="A1499" s="74">
        <v>1495.0</v>
      </c>
      <c r="B1499" s="73" t="s">
        <v>1839</v>
      </c>
      <c r="C1499" s="74">
        <v>9.00591973E8</v>
      </c>
      <c r="D1499" s="73" t="s">
        <v>1868</v>
      </c>
      <c r="E1499" s="72">
        <v>47.0</v>
      </c>
      <c r="F1499" s="75">
        <v>43297.0</v>
      </c>
      <c r="G1499" s="76"/>
      <c r="H1499" s="76"/>
      <c r="I1499" s="73" t="s">
        <v>366</v>
      </c>
      <c r="J1499" s="76"/>
    </row>
    <row r="1500">
      <c r="A1500" s="74">
        <v>1496.0</v>
      </c>
      <c r="B1500" s="73" t="s">
        <v>1839</v>
      </c>
      <c r="C1500" s="74">
        <v>9.01194991E8</v>
      </c>
      <c r="D1500" s="73" t="s">
        <v>1869</v>
      </c>
      <c r="E1500" s="72">
        <v>54.0</v>
      </c>
      <c r="F1500" s="75">
        <v>43322.0</v>
      </c>
      <c r="G1500" s="76"/>
      <c r="H1500" s="76"/>
      <c r="I1500" s="73" t="s">
        <v>366</v>
      </c>
      <c r="J1500" s="76"/>
    </row>
    <row r="1501">
      <c r="A1501" s="74">
        <v>1497.0</v>
      </c>
      <c r="B1501" s="73" t="s">
        <v>1839</v>
      </c>
      <c r="C1501" s="74">
        <v>9.01005422E8</v>
      </c>
      <c r="D1501" s="73" t="s">
        <v>1870</v>
      </c>
      <c r="E1501" s="72">
        <v>63.0</v>
      </c>
      <c r="F1501" s="75">
        <v>43348.0</v>
      </c>
      <c r="G1501" s="76"/>
      <c r="H1501" s="76"/>
      <c r="I1501" s="73" t="s">
        <v>366</v>
      </c>
      <c r="J1501" s="76"/>
    </row>
    <row r="1502">
      <c r="A1502" s="74">
        <v>1498.0</v>
      </c>
      <c r="B1502" s="73" t="s">
        <v>1839</v>
      </c>
      <c r="C1502" s="74">
        <v>9.01143011E8</v>
      </c>
      <c r="D1502" s="73" t="s">
        <v>1871</v>
      </c>
      <c r="E1502" s="72">
        <v>62.0</v>
      </c>
      <c r="F1502" s="75">
        <v>43348.0</v>
      </c>
      <c r="G1502" s="76"/>
      <c r="H1502" s="76"/>
      <c r="I1502" s="73" t="s">
        <v>366</v>
      </c>
      <c r="J1502" s="76"/>
    </row>
    <row r="1503">
      <c r="A1503" s="74">
        <v>1499.0</v>
      </c>
      <c r="B1503" s="73" t="s">
        <v>1839</v>
      </c>
      <c r="C1503" s="74">
        <v>9.01151225E8</v>
      </c>
      <c r="D1503" s="73" t="s">
        <v>1872</v>
      </c>
      <c r="E1503" s="72">
        <v>70.0</v>
      </c>
      <c r="F1503" s="75">
        <v>43371.0</v>
      </c>
      <c r="G1503" s="76"/>
      <c r="H1503" s="76"/>
      <c r="I1503" s="73" t="s">
        <v>366</v>
      </c>
      <c r="J1503" s="76"/>
    </row>
    <row r="1504">
      <c r="A1504" s="74">
        <v>1500.0</v>
      </c>
      <c r="B1504" s="73" t="s">
        <v>1839</v>
      </c>
      <c r="C1504" s="74">
        <v>9.01222354E8</v>
      </c>
      <c r="D1504" s="73" t="s">
        <v>1873</v>
      </c>
      <c r="E1504" s="72">
        <v>79.0</v>
      </c>
      <c r="F1504" s="77">
        <v>43423.0</v>
      </c>
      <c r="G1504" s="76"/>
      <c r="H1504" s="76"/>
      <c r="I1504" s="73" t="s">
        <v>366</v>
      </c>
      <c r="J1504" s="76"/>
    </row>
    <row r="1505">
      <c r="A1505" s="74">
        <v>1501.0</v>
      </c>
      <c r="B1505" s="73" t="s">
        <v>1839</v>
      </c>
      <c r="C1505" s="74">
        <v>9.00005005E8</v>
      </c>
      <c r="D1505" s="73" t="s">
        <v>1874</v>
      </c>
      <c r="E1505" s="72">
        <v>1.0</v>
      </c>
      <c r="F1505" s="75">
        <v>43475.0</v>
      </c>
      <c r="G1505" s="76"/>
      <c r="H1505" s="76"/>
      <c r="I1505" s="73" t="s">
        <v>366</v>
      </c>
      <c r="J1505" s="76"/>
    </row>
    <row r="1506">
      <c r="A1506" s="74">
        <v>1502.0</v>
      </c>
      <c r="B1506" s="73" t="s">
        <v>1839</v>
      </c>
      <c r="C1506" s="74">
        <v>8.24004939E8</v>
      </c>
      <c r="D1506" s="73" t="s">
        <v>1875</v>
      </c>
      <c r="E1506" s="72">
        <v>13.0</v>
      </c>
      <c r="F1506" s="75">
        <v>43529.0</v>
      </c>
      <c r="G1506" s="76"/>
      <c r="H1506" s="76"/>
      <c r="I1506" s="73" t="s">
        <v>366</v>
      </c>
      <c r="J1506" s="76"/>
    </row>
    <row r="1507">
      <c r="A1507" s="74">
        <v>1503.0</v>
      </c>
      <c r="B1507" s="73" t="s">
        <v>1839</v>
      </c>
      <c r="C1507" s="74">
        <v>9.01262166E8</v>
      </c>
      <c r="D1507" s="73" t="s">
        <v>1876</v>
      </c>
      <c r="E1507" s="72">
        <v>36.0</v>
      </c>
      <c r="F1507" s="75">
        <v>43594.0</v>
      </c>
      <c r="G1507" s="76"/>
      <c r="H1507" s="76"/>
      <c r="I1507" s="73" t="s">
        <v>366</v>
      </c>
      <c r="J1507" s="76"/>
    </row>
    <row r="1508">
      <c r="A1508" s="74">
        <v>1504.0</v>
      </c>
      <c r="B1508" s="73" t="s">
        <v>1839</v>
      </c>
      <c r="C1508" s="74">
        <v>9.01256151E8</v>
      </c>
      <c r="D1508" s="73" t="s">
        <v>1877</v>
      </c>
      <c r="E1508" s="72">
        <v>44.0</v>
      </c>
      <c r="F1508" s="75">
        <v>43621.0</v>
      </c>
      <c r="G1508" s="76"/>
      <c r="H1508" s="76"/>
      <c r="I1508" s="73" t="s">
        <v>366</v>
      </c>
      <c r="J1508" s="76"/>
    </row>
    <row r="1509">
      <c r="A1509" s="74">
        <v>1505.0</v>
      </c>
      <c r="B1509" s="73" t="s">
        <v>1839</v>
      </c>
      <c r="C1509" s="74">
        <v>9.01236109E8</v>
      </c>
      <c r="D1509" s="73" t="s">
        <v>1878</v>
      </c>
      <c r="E1509" s="72">
        <v>61.0</v>
      </c>
      <c r="F1509" s="75">
        <v>43693.0</v>
      </c>
      <c r="G1509" s="76"/>
      <c r="H1509" s="76"/>
      <c r="I1509" s="73" t="s">
        <v>366</v>
      </c>
      <c r="J1509" s="76"/>
    </row>
    <row r="1510">
      <c r="A1510" s="74">
        <v>1506.0</v>
      </c>
      <c r="B1510" s="73" t="s">
        <v>1839</v>
      </c>
      <c r="C1510" s="74">
        <v>9.01250531E8</v>
      </c>
      <c r="D1510" s="73" t="s">
        <v>1879</v>
      </c>
      <c r="E1510" s="72">
        <v>62.0</v>
      </c>
      <c r="F1510" s="75">
        <v>43699.0</v>
      </c>
      <c r="G1510" s="76"/>
      <c r="H1510" s="76"/>
      <c r="I1510" s="73" t="s">
        <v>366</v>
      </c>
      <c r="J1510" s="76"/>
    </row>
    <row r="1511">
      <c r="A1511" s="74">
        <v>1507.0</v>
      </c>
      <c r="B1511" s="73" t="s">
        <v>1839</v>
      </c>
      <c r="C1511" s="74">
        <v>9.01291496E8</v>
      </c>
      <c r="D1511" s="73" t="s">
        <v>1880</v>
      </c>
      <c r="E1511" s="72">
        <v>69.0</v>
      </c>
      <c r="F1511" s="75">
        <v>43712.0</v>
      </c>
      <c r="G1511" s="76"/>
      <c r="H1511" s="76"/>
      <c r="I1511" s="73" t="s">
        <v>366</v>
      </c>
      <c r="J1511" s="76"/>
    </row>
    <row r="1512">
      <c r="A1512" s="74">
        <v>1508.0</v>
      </c>
      <c r="B1512" s="73" t="s">
        <v>1839</v>
      </c>
      <c r="C1512" s="74">
        <v>9.01308177E8</v>
      </c>
      <c r="D1512" s="73" t="s">
        <v>1881</v>
      </c>
      <c r="E1512" s="72">
        <v>87.0</v>
      </c>
      <c r="F1512" s="77">
        <v>43767.0</v>
      </c>
      <c r="G1512" s="76"/>
      <c r="H1512" s="76"/>
      <c r="I1512" s="73" t="s">
        <v>366</v>
      </c>
      <c r="J1512" s="76"/>
    </row>
    <row r="1513">
      <c r="A1513" s="74">
        <v>1509.0</v>
      </c>
      <c r="B1513" s="73" t="s">
        <v>1839</v>
      </c>
      <c r="C1513" s="74">
        <v>9.00291347E8</v>
      </c>
      <c r="D1513" s="73" t="s">
        <v>1882</v>
      </c>
      <c r="E1513" s="72">
        <v>1.0</v>
      </c>
      <c r="F1513" s="75">
        <v>43839.0</v>
      </c>
      <c r="G1513" s="76"/>
      <c r="H1513" s="76"/>
      <c r="I1513" s="73" t="s">
        <v>366</v>
      </c>
      <c r="J1513" s="76"/>
    </row>
    <row r="1514">
      <c r="A1514" s="74">
        <v>1510.0</v>
      </c>
      <c r="B1514" s="73" t="s">
        <v>1839</v>
      </c>
      <c r="C1514" s="74">
        <v>9.01262994E8</v>
      </c>
      <c r="D1514" s="73" t="s">
        <v>1883</v>
      </c>
      <c r="E1514" s="72">
        <v>4.0</v>
      </c>
      <c r="F1514" s="75">
        <v>43844.0</v>
      </c>
      <c r="G1514" s="76"/>
      <c r="H1514" s="76"/>
      <c r="I1514" s="73" t="s">
        <v>366</v>
      </c>
      <c r="J1514" s="76"/>
    </row>
    <row r="1515">
      <c r="A1515" s="74">
        <v>1511.0</v>
      </c>
      <c r="B1515" s="73" t="s">
        <v>1839</v>
      </c>
      <c r="C1515" s="74">
        <v>9.00542303E8</v>
      </c>
      <c r="D1515" s="73" t="s">
        <v>1884</v>
      </c>
      <c r="E1515" s="72">
        <v>15.0</v>
      </c>
      <c r="F1515" s="75">
        <v>43872.0</v>
      </c>
      <c r="G1515" s="76"/>
      <c r="H1515" s="76"/>
      <c r="I1515" s="73" t="s">
        <v>366</v>
      </c>
      <c r="J1515" s="76"/>
    </row>
    <row r="1516">
      <c r="A1516" s="74">
        <v>1512.0</v>
      </c>
      <c r="B1516" s="73" t="s">
        <v>1839</v>
      </c>
      <c r="C1516" s="74">
        <v>9.01360491E8</v>
      </c>
      <c r="D1516" s="73" t="s">
        <v>1885</v>
      </c>
      <c r="E1516" s="72">
        <v>27.0</v>
      </c>
      <c r="F1516" s="75">
        <v>43910.0</v>
      </c>
      <c r="G1516" s="76"/>
      <c r="H1516" s="76"/>
      <c r="I1516" s="73" t="s">
        <v>366</v>
      </c>
      <c r="J1516" s="76"/>
    </row>
    <row r="1517">
      <c r="A1517" s="74">
        <v>1513.0</v>
      </c>
      <c r="B1517" s="73" t="s">
        <v>1839</v>
      </c>
      <c r="C1517" s="74">
        <v>8.24001422E8</v>
      </c>
      <c r="D1517" s="73" t="s">
        <v>1886</v>
      </c>
      <c r="E1517" s="72">
        <v>2.0203040002595E13</v>
      </c>
      <c r="F1517" s="75">
        <v>43962.0</v>
      </c>
      <c r="G1517" s="76"/>
      <c r="H1517" s="76"/>
      <c r="I1517" s="73" t="s">
        <v>366</v>
      </c>
      <c r="J1517" s="76"/>
    </row>
    <row r="1518">
      <c r="A1518" s="74">
        <v>1514.0</v>
      </c>
      <c r="B1518" s="73" t="s">
        <v>1839</v>
      </c>
      <c r="C1518" s="74">
        <v>8.24004382E8</v>
      </c>
      <c r="D1518" s="73" t="s">
        <v>1887</v>
      </c>
      <c r="E1518" s="72">
        <v>2.0203040013995E13</v>
      </c>
      <c r="F1518" s="77">
        <v>44105.0</v>
      </c>
      <c r="G1518" s="76"/>
      <c r="H1518" s="76"/>
      <c r="I1518" s="73" t="s">
        <v>366</v>
      </c>
      <c r="J1518" s="76"/>
    </row>
    <row r="1519">
      <c r="A1519" s="74">
        <v>1515.0</v>
      </c>
      <c r="B1519" s="73" t="s">
        <v>1839</v>
      </c>
      <c r="C1519" s="74">
        <v>9.01309208E8</v>
      </c>
      <c r="D1519" s="73" t="s">
        <v>1888</v>
      </c>
      <c r="E1519" s="72">
        <v>2.0213040021495E13</v>
      </c>
      <c r="F1519" s="75">
        <v>44341.0</v>
      </c>
      <c r="G1519" s="76"/>
      <c r="H1519" s="76"/>
      <c r="I1519" s="73" t="s">
        <v>366</v>
      </c>
      <c r="J1519" s="76"/>
    </row>
    <row r="1520">
      <c r="A1520" s="74">
        <v>1516.0</v>
      </c>
      <c r="B1520" s="73" t="s">
        <v>1839</v>
      </c>
      <c r="C1520" s="74">
        <v>9.00995612E8</v>
      </c>
      <c r="D1520" s="73" t="s">
        <v>1889</v>
      </c>
      <c r="E1520" s="72">
        <v>2.0213040032335E13</v>
      </c>
      <c r="F1520" s="75">
        <v>44405.0</v>
      </c>
      <c r="G1520" s="76"/>
      <c r="H1520" s="76"/>
      <c r="I1520" s="73" t="s">
        <v>366</v>
      </c>
      <c r="J1520" s="76"/>
    </row>
    <row r="1521">
      <c r="A1521" s="74">
        <v>1517.0</v>
      </c>
      <c r="B1521" s="73" t="s">
        <v>1839</v>
      </c>
      <c r="C1521" s="74">
        <v>9.01474959E8</v>
      </c>
      <c r="D1521" s="73" t="s">
        <v>1890</v>
      </c>
      <c r="E1521" s="72">
        <v>2.0213040032745E13</v>
      </c>
      <c r="F1521" s="75">
        <v>44406.0</v>
      </c>
      <c r="G1521" s="76"/>
      <c r="H1521" s="76"/>
      <c r="I1521" s="73" t="s">
        <v>366</v>
      </c>
      <c r="J1521" s="76"/>
    </row>
    <row r="1522">
      <c r="A1522" s="74">
        <v>1518.0</v>
      </c>
      <c r="B1522" s="73" t="s">
        <v>1839</v>
      </c>
      <c r="C1522" s="74">
        <v>9.01465265E8</v>
      </c>
      <c r="D1522" s="73" t="s">
        <v>1891</v>
      </c>
      <c r="E1522" s="72">
        <v>2.0213040033285E13</v>
      </c>
      <c r="F1522" s="75">
        <v>44410.0</v>
      </c>
      <c r="G1522" s="76"/>
      <c r="H1522" s="76"/>
      <c r="I1522" s="73" t="s">
        <v>366</v>
      </c>
      <c r="J1522" s="76"/>
    </row>
    <row r="1523">
      <c r="A1523" s="85">
        <v>1519.0</v>
      </c>
      <c r="B1523" s="79" t="s">
        <v>1839</v>
      </c>
      <c r="C1523" s="80">
        <v>9.0120658E8</v>
      </c>
      <c r="D1523" s="79" t="s">
        <v>1892</v>
      </c>
      <c r="E1523" s="81">
        <v>2.0213040034935E13</v>
      </c>
      <c r="F1523" s="84">
        <v>44419.0</v>
      </c>
      <c r="G1523" s="83"/>
      <c r="H1523" s="83"/>
      <c r="I1523" s="73" t="s">
        <v>366</v>
      </c>
      <c r="J1523" s="76"/>
    </row>
    <row r="1524">
      <c r="A1524" s="74">
        <v>1520.0</v>
      </c>
      <c r="B1524" s="73" t="s">
        <v>1839</v>
      </c>
      <c r="C1524" s="74">
        <v>9.01418216E8</v>
      </c>
      <c r="D1524" s="73" t="s">
        <v>1893</v>
      </c>
      <c r="E1524" s="72">
        <v>2.0212200043985E13</v>
      </c>
      <c r="F1524" s="75">
        <v>44462.0</v>
      </c>
      <c r="G1524" s="76"/>
      <c r="H1524" s="76"/>
      <c r="I1524" s="73" t="s">
        <v>366</v>
      </c>
      <c r="J1524" s="76"/>
    </row>
    <row r="1525">
      <c r="A1525" s="74">
        <v>1521.0</v>
      </c>
      <c r="B1525" s="73" t="s">
        <v>1839</v>
      </c>
      <c r="C1525" s="74">
        <v>9.01471848E8</v>
      </c>
      <c r="D1525" s="73" t="s">
        <v>1894</v>
      </c>
      <c r="E1525" s="72">
        <v>2.0212200052435E13</v>
      </c>
      <c r="F1525" s="77">
        <v>44503.0</v>
      </c>
      <c r="G1525" s="76"/>
      <c r="H1525" s="76"/>
      <c r="I1525" s="73" t="s">
        <v>366</v>
      </c>
      <c r="J1525" s="76"/>
    </row>
    <row r="1526">
      <c r="A1526" s="74">
        <v>1522.0</v>
      </c>
      <c r="B1526" s="73" t="s">
        <v>1839</v>
      </c>
      <c r="C1526" s="74">
        <v>9.01522482E8</v>
      </c>
      <c r="D1526" s="73" t="s">
        <v>1895</v>
      </c>
      <c r="E1526" s="72">
        <v>2.0212200063875E13</v>
      </c>
      <c r="F1526" s="77">
        <v>44559.0</v>
      </c>
      <c r="G1526" s="76"/>
      <c r="H1526" s="76"/>
      <c r="I1526" s="73" t="s">
        <v>366</v>
      </c>
      <c r="J1526" s="76"/>
    </row>
    <row r="1527">
      <c r="A1527" s="74">
        <v>1523.0</v>
      </c>
      <c r="B1527" s="73" t="s">
        <v>1839</v>
      </c>
      <c r="C1527" s="74">
        <v>9.01439777E8</v>
      </c>
      <c r="D1527" s="73" t="s">
        <v>1896</v>
      </c>
      <c r="E1527" s="72">
        <v>2.0222200014235E13</v>
      </c>
      <c r="F1527" s="75">
        <v>44642.0</v>
      </c>
      <c r="G1527" s="76"/>
      <c r="H1527" s="76"/>
      <c r="I1527" s="73" t="s">
        <v>366</v>
      </c>
      <c r="J1527" s="76"/>
    </row>
    <row r="1528">
      <c r="A1528" s="74">
        <v>1524.0</v>
      </c>
      <c r="B1528" s="73" t="s">
        <v>1839</v>
      </c>
      <c r="C1528" s="74">
        <v>9.01561633E8</v>
      </c>
      <c r="D1528" s="73" t="s">
        <v>1897</v>
      </c>
      <c r="E1528" s="72">
        <v>2.0222200020655E13</v>
      </c>
      <c r="F1528" s="75">
        <v>44672.0</v>
      </c>
      <c r="G1528" s="76"/>
      <c r="H1528" s="76"/>
      <c r="I1528" s="73" t="s">
        <v>366</v>
      </c>
      <c r="J1528" s="76"/>
    </row>
    <row r="1529">
      <c r="A1529" s="74">
        <v>1525.0</v>
      </c>
      <c r="B1529" s="73" t="s">
        <v>1839</v>
      </c>
      <c r="C1529" s="74">
        <v>9.01560121E8</v>
      </c>
      <c r="D1529" s="73" t="s">
        <v>1898</v>
      </c>
      <c r="E1529" s="72">
        <v>2.0222200021405E13</v>
      </c>
      <c r="F1529" s="75">
        <v>44676.0</v>
      </c>
      <c r="G1529" s="76"/>
      <c r="H1529" s="76"/>
      <c r="I1529" s="73" t="s">
        <v>366</v>
      </c>
      <c r="J1529" s="76"/>
    </row>
    <row r="1530">
      <c r="A1530" s="74">
        <v>1526.0</v>
      </c>
      <c r="B1530" s="73" t="s">
        <v>1839</v>
      </c>
      <c r="C1530" s="74">
        <v>9.01531951E8</v>
      </c>
      <c r="D1530" s="73" t="s">
        <v>1899</v>
      </c>
      <c r="E1530" s="72">
        <v>2.0222200027415E13</v>
      </c>
      <c r="F1530" s="75">
        <v>44698.0</v>
      </c>
      <c r="G1530" s="76"/>
      <c r="H1530" s="76"/>
      <c r="I1530" s="73" t="s">
        <v>366</v>
      </c>
      <c r="J1530" s="76"/>
    </row>
    <row r="1531">
      <c r="A1531" s="74">
        <v>1527.0</v>
      </c>
      <c r="B1531" s="73" t="s">
        <v>1839</v>
      </c>
      <c r="C1531" s="74">
        <v>9.0140033E8</v>
      </c>
      <c r="D1531" s="73" t="s">
        <v>1900</v>
      </c>
      <c r="E1531" s="72">
        <v>2.0222200036835E13</v>
      </c>
      <c r="F1531" s="75">
        <v>44740.0</v>
      </c>
      <c r="G1531" s="76"/>
      <c r="H1531" s="76"/>
      <c r="I1531" s="73" t="s">
        <v>366</v>
      </c>
      <c r="J1531" s="76"/>
    </row>
    <row r="1532">
      <c r="A1532" s="74">
        <v>1528.0</v>
      </c>
      <c r="B1532" s="73" t="s">
        <v>1839</v>
      </c>
      <c r="C1532" s="74">
        <v>8.30033117E8</v>
      </c>
      <c r="D1532" s="73" t="s">
        <v>1901</v>
      </c>
      <c r="E1532" s="72">
        <v>2.0222200044035E13</v>
      </c>
      <c r="F1532" s="75">
        <v>44771.0</v>
      </c>
      <c r="G1532" s="76"/>
      <c r="H1532" s="76"/>
      <c r="I1532" s="73" t="s">
        <v>366</v>
      </c>
      <c r="J1532" s="76"/>
    </row>
    <row r="1533">
      <c r="A1533" s="74">
        <v>1529.0</v>
      </c>
      <c r="B1533" s="73" t="s">
        <v>1839</v>
      </c>
      <c r="C1533" s="74">
        <v>9.0161294E8</v>
      </c>
      <c r="D1533" s="73" t="s">
        <v>1902</v>
      </c>
      <c r="E1533" s="72">
        <v>2.0222200047175E13</v>
      </c>
      <c r="F1533" s="75">
        <v>44784.0</v>
      </c>
      <c r="G1533" s="76"/>
      <c r="H1533" s="76"/>
      <c r="I1533" s="73" t="s">
        <v>366</v>
      </c>
      <c r="J1533" s="76"/>
    </row>
    <row r="1534">
      <c r="A1534" s="74">
        <v>1530.0</v>
      </c>
      <c r="B1534" s="73" t="s">
        <v>1839</v>
      </c>
      <c r="C1534" s="74">
        <v>9.01411662E8</v>
      </c>
      <c r="D1534" s="73" t="s">
        <v>1903</v>
      </c>
      <c r="E1534" s="72">
        <v>2.0222200049705E13</v>
      </c>
      <c r="F1534" s="75">
        <v>44795.0</v>
      </c>
      <c r="G1534" s="76"/>
      <c r="H1534" s="76"/>
      <c r="I1534" s="73" t="s">
        <v>366</v>
      </c>
      <c r="J1534" s="76"/>
    </row>
    <row r="1535">
      <c r="A1535" s="74">
        <v>1531.0</v>
      </c>
      <c r="B1535" s="73" t="s">
        <v>1839</v>
      </c>
      <c r="C1535" s="74">
        <v>9.00603483E8</v>
      </c>
      <c r="D1535" s="73" t="s">
        <v>1904</v>
      </c>
      <c r="E1535" s="72">
        <v>2.0222200056375E13</v>
      </c>
      <c r="F1535" s="75">
        <v>44823.0</v>
      </c>
      <c r="G1535" s="76"/>
      <c r="H1535" s="76"/>
      <c r="I1535" s="73" t="s">
        <v>366</v>
      </c>
      <c r="J1535" s="76"/>
    </row>
    <row r="1536">
      <c r="A1536" s="74">
        <v>1532.0</v>
      </c>
      <c r="B1536" s="73" t="s">
        <v>1839</v>
      </c>
      <c r="C1536" s="74">
        <v>9.01627089E8</v>
      </c>
      <c r="D1536" s="73" t="s">
        <v>1905</v>
      </c>
      <c r="E1536" s="72">
        <v>2.0222200062705E13</v>
      </c>
      <c r="F1536" s="77">
        <v>44853.0</v>
      </c>
      <c r="G1536" s="76"/>
      <c r="H1536" s="76"/>
      <c r="I1536" s="73" t="s">
        <v>366</v>
      </c>
      <c r="J1536" s="76"/>
    </row>
    <row r="1537">
      <c r="A1537" s="74">
        <v>1533.0</v>
      </c>
      <c r="B1537" s="73" t="s">
        <v>1839</v>
      </c>
      <c r="C1537" s="74">
        <v>9.01649711E8</v>
      </c>
      <c r="D1537" s="73" t="s">
        <v>1906</v>
      </c>
      <c r="E1537" s="72">
        <v>2.0222200071585E13</v>
      </c>
      <c r="F1537" s="77">
        <v>44893.0</v>
      </c>
      <c r="G1537" s="76"/>
      <c r="H1537" s="76"/>
      <c r="I1537" s="73" t="s">
        <v>366</v>
      </c>
      <c r="J1537" s="76"/>
    </row>
    <row r="1538">
      <c r="A1538" s="74">
        <v>1534.0</v>
      </c>
      <c r="B1538" s="73" t="s">
        <v>1839</v>
      </c>
      <c r="C1538" s="74">
        <v>9.00945106E8</v>
      </c>
      <c r="D1538" s="73" t="s">
        <v>1907</v>
      </c>
      <c r="E1538" s="72">
        <v>2.0232200001355E13</v>
      </c>
      <c r="F1538" s="75">
        <v>44943.0</v>
      </c>
      <c r="G1538" s="76"/>
      <c r="H1538" s="76"/>
      <c r="I1538" s="73" t="s">
        <v>366</v>
      </c>
      <c r="J1538" s="76"/>
    </row>
    <row r="1539">
      <c r="A1539" s="74">
        <v>1535.0</v>
      </c>
      <c r="B1539" s="73" t="s">
        <v>1839</v>
      </c>
      <c r="C1539" s="74">
        <v>9.01429813E8</v>
      </c>
      <c r="D1539" s="73" t="s">
        <v>1908</v>
      </c>
      <c r="E1539" s="72">
        <v>2.0232200003355E13</v>
      </c>
      <c r="F1539" s="75">
        <v>44957.0</v>
      </c>
      <c r="G1539" s="76"/>
      <c r="H1539" s="76"/>
      <c r="I1539" s="73" t="s">
        <v>366</v>
      </c>
      <c r="J1539" s="76"/>
    </row>
    <row r="1540">
      <c r="A1540" s="74">
        <v>1536.0</v>
      </c>
      <c r="B1540" s="73" t="s">
        <v>1839</v>
      </c>
      <c r="C1540" s="74">
        <v>8.00222462E8</v>
      </c>
      <c r="D1540" s="73" t="s">
        <v>1909</v>
      </c>
      <c r="E1540" s="72">
        <v>2.0232200006395E13</v>
      </c>
      <c r="F1540" s="75">
        <v>44977.0</v>
      </c>
      <c r="G1540" s="76"/>
      <c r="H1540" s="76"/>
      <c r="I1540" s="73" t="s">
        <v>366</v>
      </c>
      <c r="J1540" s="76"/>
    </row>
    <row r="1541">
      <c r="A1541" s="74">
        <v>1537.0</v>
      </c>
      <c r="B1541" s="73" t="s">
        <v>1839</v>
      </c>
      <c r="C1541" s="74">
        <v>9.01322896E8</v>
      </c>
      <c r="D1541" s="73" t="s">
        <v>1910</v>
      </c>
      <c r="E1541" s="72">
        <v>2.0232200010875E13</v>
      </c>
      <c r="F1541" s="75">
        <v>45000.0</v>
      </c>
      <c r="G1541" s="76"/>
      <c r="H1541" s="76"/>
      <c r="I1541" s="73" t="s">
        <v>366</v>
      </c>
      <c r="J1541" s="76"/>
    </row>
    <row r="1542">
      <c r="A1542" s="74">
        <v>1538.0</v>
      </c>
      <c r="B1542" s="73" t="s">
        <v>1839</v>
      </c>
      <c r="C1542" s="74">
        <v>9.01675059E8</v>
      </c>
      <c r="D1542" s="73" t="s">
        <v>1911</v>
      </c>
      <c r="E1542" s="72">
        <v>2.0232200013595E13</v>
      </c>
      <c r="F1542" s="75">
        <v>45016.0</v>
      </c>
      <c r="G1542" s="76"/>
      <c r="H1542" s="76"/>
      <c r="I1542" s="73" t="s">
        <v>366</v>
      </c>
      <c r="J1542" s="76"/>
    </row>
    <row r="1543">
      <c r="A1543" s="74">
        <v>1539.0</v>
      </c>
      <c r="B1543" s="73" t="s">
        <v>1839</v>
      </c>
      <c r="C1543" s="74">
        <v>9.00780633E8</v>
      </c>
      <c r="D1543" s="73" t="s">
        <v>1912</v>
      </c>
      <c r="E1543" s="72">
        <v>2.0232200015225E13</v>
      </c>
      <c r="F1543" s="75">
        <v>45034.0</v>
      </c>
      <c r="G1543" s="76"/>
      <c r="H1543" s="76"/>
      <c r="I1543" s="73" t="s">
        <v>366</v>
      </c>
      <c r="J1543" s="76"/>
    </row>
    <row r="1544">
      <c r="A1544" s="74">
        <v>1540.0</v>
      </c>
      <c r="B1544" s="73" t="s">
        <v>1839</v>
      </c>
      <c r="C1544" s="74">
        <v>9.01670123E8</v>
      </c>
      <c r="D1544" s="73" t="s">
        <v>1913</v>
      </c>
      <c r="E1544" s="72">
        <v>2.0232200020315E13</v>
      </c>
      <c r="F1544" s="75">
        <v>45064.0</v>
      </c>
      <c r="G1544" s="76"/>
      <c r="H1544" s="76"/>
      <c r="I1544" s="73" t="s">
        <v>366</v>
      </c>
      <c r="J1544" s="76"/>
    </row>
    <row r="1545">
      <c r="A1545" s="74">
        <v>1541.0</v>
      </c>
      <c r="B1545" s="73" t="s">
        <v>1839</v>
      </c>
      <c r="C1545" s="74">
        <v>9.01632645E8</v>
      </c>
      <c r="D1545" s="73" t="s">
        <v>1914</v>
      </c>
      <c r="E1545" s="72">
        <v>2.0232200021305E13</v>
      </c>
      <c r="F1545" s="75">
        <v>45071.0</v>
      </c>
      <c r="G1545" s="76"/>
      <c r="H1545" s="76"/>
      <c r="I1545" s="73" t="s">
        <v>366</v>
      </c>
      <c r="J1545" s="76"/>
    </row>
    <row r="1546">
      <c r="A1546" s="74">
        <v>1542.0</v>
      </c>
      <c r="B1546" s="73" t="s">
        <v>1839</v>
      </c>
      <c r="C1546" s="74">
        <v>9.01718536E8</v>
      </c>
      <c r="D1546" s="73" t="s">
        <v>1915</v>
      </c>
      <c r="E1546" s="72">
        <v>2.0232200026875E13</v>
      </c>
      <c r="F1546" s="75">
        <v>45105.0</v>
      </c>
      <c r="G1546" s="76"/>
      <c r="H1546" s="76"/>
      <c r="I1546" s="73" t="s">
        <v>366</v>
      </c>
      <c r="J1546" s="76"/>
    </row>
    <row r="1547">
      <c r="A1547" s="74">
        <v>1543.0</v>
      </c>
      <c r="B1547" s="73" t="s">
        <v>1839</v>
      </c>
      <c r="C1547" s="74">
        <v>9.01721998E8</v>
      </c>
      <c r="D1547" s="73" t="s">
        <v>1916</v>
      </c>
      <c r="E1547" s="72">
        <v>2.0232200027975E13</v>
      </c>
      <c r="F1547" s="75">
        <v>45112.0</v>
      </c>
      <c r="G1547" s="76"/>
      <c r="H1547" s="76"/>
      <c r="I1547" s="73" t="s">
        <v>366</v>
      </c>
      <c r="J1547" s="76"/>
    </row>
    <row r="1548">
      <c r="A1548" s="74">
        <v>1544.0</v>
      </c>
      <c r="B1548" s="73" t="s">
        <v>1839</v>
      </c>
      <c r="C1548" s="74">
        <v>9.01673238E8</v>
      </c>
      <c r="D1548" s="73" t="s">
        <v>1917</v>
      </c>
      <c r="E1548" s="72">
        <v>2.0232200028595E13</v>
      </c>
      <c r="F1548" s="75">
        <v>45114.0</v>
      </c>
      <c r="G1548" s="76"/>
      <c r="H1548" s="76"/>
      <c r="I1548" s="73" t="s">
        <v>366</v>
      </c>
      <c r="J1548" s="76"/>
    </row>
    <row r="1549">
      <c r="A1549" s="74">
        <v>1545.0</v>
      </c>
      <c r="B1549" s="73" t="s">
        <v>1839</v>
      </c>
      <c r="C1549" s="74">
        <v>9.01303565E8</v>
      </c>
      <c r="D1549" s="73" t="s">
        <v>1918</v>
      </c>
      <c r="E1549" s="72">
        <v>2.0232200029075E13</v>
      </c>
      <c r="F1549" s="75">
        <v>45118.0</v>
      </c>
      <c r="G1549" s="76"/>
      <c r="H1549" s="76"/>
      <c r="I1549" s="73" t="s">
        <v>366</v>
      </c>
      <c r="J1549" s="76"/>
    </row>
    <row r="1550">
      <c r="A1550" s="74">
        <v>1546.0</v>
      </c>
      <c r="B1550" s="73" t="s">
        <v>1839</v>
      </c>
      <c r="C1550" s="74">
        <v>9.01479471E8</v>
      </c>
      <c r="D1550" s="73" t="s">
        <v>1919</v>
      </c>
      <c r="E1550" s="72">
        <v>2.0232200035835E13</v>
      </c>
      <c r="F1550" s="75">
        <v>45160.0</v>
      </c>
      <c r="G1550" s="76"/>
      <c r="H1550" s="76"/>
      <c r="I1550" s="73" t="s">
        <v>366</v>
      </c>
      <c r="J1550" s="76"/>
    </row>
    <row r="1551">
      <c r="A1551" s="74">
        <v>1547.0</v>
      </c>
      <c r="B1551" s="73" t="s">
        <v>1839</v>
      </c>
      <c r="C1551" s="74">
        <v>9.00461256E8</v>
      </c>
      <c r="D1551" s="73" t="s">
        <v>1920</v>
      </c>
      <c r="E1551" s="72">
        <v>2.0232200039485E13</v>
      </c>
      <c r="F1551" s="75">
        <v>45182.0</v>
      </c>
      <c r="G1551" s="76"/>
      <c r="H1551" s="76"/>
      <c r="I1551" s="73" t="s">
        <v>366</v>
      </c>
      <c r="J1551" s="76"/>
    </row>
    <row r="1552">
      <c r="A1552" s="74">
        <v>1548.0</v>
      </c>
      <c r="B1552" s="73" t="s">
        <v>1839</v>
      </c>
      <c r="C1552" s="74">
        <v>9.01737927E8</v>
      </c>
      <c r="D1552" s="73" t="s">
        <v>1921</v>
      </c>
      <c r="E1552" s="72">
        <v>2.0232200042695E13</v>
      </c>
      <c r="F1552" s="77">
        <v>45203.0</v>
      </c>
      <c r="G1552" s="76"/>
      <c r="H1552" s="76"/>
      <c r="I1552" s="73" t="s">
        <v>366</v>
      </c>
      <c r="J1552" s="76"/>
    </row>
    <row r="1553">
      <c r="A1553" s="74">
        <v>1549.0</v>
      </c>
      <c r="B1553" s="73" t="s">
        <v>1839</v>
      </c>
      <c r="C1553" s="74">
        <v>9.01613518E8</v>
      </c>
      <c r="D1553" s="73" t="s">
        <v>1922</v>
      </c>
      <c r="E1553" s="72">
        <v>2.0232200049995E13</v>
      </c>
      <c r="F1553" s="77">
        <v>45250.0</v>
      </c>
      <c r="G1553" s="76"/>
      <c r="H1553" s="76"/>
      <c r="I1553" s="73" t="s">
        <v>366</v>
      </c>
      <c r="J1553" s="76"/>
    </row>
    <row r="1554">
      <c r="A1554" s="74">
        <v>1550.0</v>
      </c>
      <c r="B1554" s="73" t="s">
        <v>1839</v>
      </c>
      <c r="C1554" s="74">
        <v>9.01645058E8</v>
      </c>
      <c r="D1554" s="73" t="s">
        <v>1923</v>
      </c>
      <c r="E1554" s="72">
        <v>2.0232200055725E13</v>
      </c>
      <c r="F1554" s="77">
        <v>45275.0</v>
      </c>
      <c r="G1554" s="76"/>
      <c r="H1554" s="76"/>
      <c r="I1554" s="73" t="s">
        <v>366</v>
      </c>
      <c r="J1554" s="76"/>
    </row>
    <row r="1555">
      <c r="A1555" s="74">
        <v>1551.0</v>
      </c>
      <c r="B1555" s="73" t="s">
        <v>1839</v>
      </c>
      <c r="C1555" s="74">
        <v>9.01719379E8</v>
      </c>
      <c r="D1555" s="73" t="s">
        <v>1924</v>
      </c>
      <c r="E1555" s="72">
        <v>2.0232200058235E13</v>
      </c>
      <c r="F1555" s="77">
        <v>45287.0</v>
      </c>
      <c r="G1555" s="76"/>
      <c r="H1555" s="76"/>
      <c r="I1555" s="73" t="s">
        <v>366</v>
      </c>
      <c r="J1555" s="76"/>
    </row>
    <row r="1556">
      <c r="A1556" s="74">
        <v>1552.0</v>
      </c>
      <c r="B1556" s="73" t="s">
        <v>1839</v>
      </c>
      <c r="C1556" s="74">
        <v>8.24006836E8</v>
      </c>
      <c r="D1556" s="73" t="s">
        <v>1925</v>
      </c>
      <c r="E1556" s="72">
        <v>2.0242200000825E13</v>
      </c>
      <c r="F1556" s="75">
        <v>45303.0</v>
      </c>
      <c r="G1556" s="76"/>
      <c r="H1556" s="76"/>
      <c r="I1556" s="73" t="s">
        <v>366</v>
      </c>
      <c r="J1556" s="76"/>
    </row>
    <row r="1557">
      <c r="A1557" s="74">
        <v>1553.0</v>
      </c>
      <c r="B1557" s="73" t="s">
        <v>1839</v>
      </c>
      <c r="C1557" s="74">
        <v>9.01719595E8</v>
      </c>
      <c r="D1557" s="73" t="s">
        <v>1926</v>
      </c>
      <c r="E1557" s="72">
        <v>2.0242200001395E13</v>
      </c>
      <c r="F1557" s="75">
        <v>45309.0</v>
      </c>
      <c r="G1557" s="76"/>
      <c r="H1557" s="76"/>
      <c r="I1557" s="73" t="s">
        <v>366</v>
      </c>
      <c r="J1557" s="76"/>
    </row>
    <row r="1558">
      <c r="A1558" s="74">
        <v>1554.0</v>
      </c>
      <c r="B1558" s="73" t="s">
        <v>1839</v>
      </c>
      <c r="C1558" s="74">
        <v>9.01715188E8</v>
      </c>
      <c r="D1558" s="73" t="s">
        <v>1927</v>
      </c>
      <c r="E1558" s="72">
        <v>2.0242200005275E13</v>
      </c>
      <c r="F1558" s="75">
        <v>45335.0</v>
      </c>
      <c r="G1558" s="76"/>
      <c r="H1558" s="76"/>
      <c r="I1558" s="73" t="s">
        <v>366</v>
      </c>
      <c r="J1558" s="76"/>
    </row>
    <row r="1559">
      <c r="A1559" s="74">
        <v>1555.0</v>
      </c>
      <c r="B1559" s="73" t="s">
        <v>1839</v>
      </c>
      <c r="C1559" s="74">
        <v>9.00779084E8</v>
      </c>
      <c r="D1559" s="73" t="s">
        <v>1928</v>
      </c>
      <c r="E1559" s="72">
        <v>2.0242200006625E13</v>
      </c>
      <c r="F1559" s="75">
        <v>45342.0</v>
      </c>
      <c r="G1559" s="76"/>
      <c r="H1559" s="76"/>
      <c r="I1559" s="73" t="s">
        <v>366</v>
      </c>
      <c r="J1559" s="76"/>
    </row>
    <row r="1560">
      <c r="A1560" s="74">
        <v>1556.0</v>
      </c>
      <c r="B1560" s="73" t="s">
        <v>1839</v>
      </c>
      <c r="C1560" s="74">
        <v>9.01807362E8</v>
      </c>
      <c r="D1560" s="73" t="s">
        <v>1929</v>
      </c>
      <c r="E1560" s="72">
        <v>2.0242200013505E13</v>
      </c>
      <c r="F1560" s="75">
        <v>45386.0</v>
      </c>
      <c r="G1560" s="76"/>
      <c r="H1560" s="76"/>
      <c r="I1560" s="73" t="s">
        <v>366</v>
      </c>
      <c r="J1560" s="76"/>
    </row>
    <row r="1561">
      <c r="A1561" s="74">
        <v>1557.0</v>
      </c>
      <c r="B1561" s="73" t="s">
        <v>1839</v>
      </c>
      <c r="C1561" s="74">
        <v>9.0182192E8</v>
      </c>
      <c r="D1561" s="73" t="s">
        <v>1930</v>
      </c>
      <c r="E1561" s="72">
        <v>2.0242200019645E13</v>
      </c>
      <c r="F1561" s="75">
        <v>45419.0</v>
      </c>
      <c r="G1561" s="76"/>
      <c r="H1561" s="76"/>
      <c r="I1561" s="73" t="s">
        <v>366</v>
      </c>
      <c r="J1561" s="76"/>
    </row>
    <row r="1562">
      <c r="A1562" s="74">
        <v>1558.0</v>
      </c>
      <c r="B1562" s="73" t="s">
        <v>1839</v>
      </c>
      <c r="C1562" s="74">
        <v>9.01426966E8</v>
      </c>
      <c r="D1562" s="73" t="s">
        <v>1931</v>
      </c>
      <c r="E1562" s="72">
        <v>2.0242200020585E13</v>
      </c>
      <c r="F1562" s="75">
        <v>45422.0</v>
      </c>
      <c r="G1562" s="76"/>
      <c r="H1562" s="76"/>
      <c r="I1562" s="73" t="s">
        <v>366</v>
      </c>
      <c r="J1562" s="76"/>
    </row>
    <row r="1563">
      <c r="A1563" s="74">
        <v>1559.0</v>
      </c>
      <c r="B1563" s="73" t="s">
        <v>1839</v>
      </c>
      <c r="C1563" s="74">
        <v>9.01210225E8</v>
      </c>
      <c r="D1563" s="73" t="s">
        <v>1932</v>
      </c>
      <c r="E1563" s="72">
        <v>2.0242200025015E13</v>
      </c>
      <c r="F1563" s="75">
        <v>45448.0</v>
      </c>
      <c r="G1563" s="76"/>
      <c r="H1563" s="76"/>
      <c r="I1563" s="73" t="s">
        <v>366</v>
      </c>
      <c r="J1563" s="76"/>
    </row>
    <row r="1564">
      <c r="A1564" s="74">
        <v>1560.0</v>
      </c>
      <c r="B1564" s="73" t="s">
        <v>1839</v>
      </c>
      <c r="C1564" s="74">
        <v>9.01590348E8</v>
      </c>
      <c r="D1564" s="73" t="s">
        <v>1933</v>
      </c>
      <c r="E1564" s="72">
        <v>2.0242200026145E13</v>
      </c>
      <c r="F1564" s="75">
        <v>45455.0</v>
      </c>
      <c r="G1564" s="76"/>
      <c r="H1564" s="76"/>
      <c r="I1564" s="73" t="s">
        <v>366</v>
      </c>
      <c r="J1564" s="76"/>
    </row>
    <row r="1565">
      <c r="A1565" s="74">
        <v>1561.0</v>
      </c>
      <c r="B1565" s="73" t="s">
        <v>1839</v>
      </c>
      <c r="C1565" s="74">
        <v>9.01566778E8</v>
      </c>
      <c r="D1565" s="73" t="s">
        <v>1934</v>
      </c>
      <c r="E1565" s="72">
        <v>2.0242200035665E13</v>
      </c>
      <c r="F1565" s="75">
        <v>45504.0</v>
      </c>
      <c r="G1565" s="76"/>
      <c r="H1565" s="76"/>
      <c r="I1565" s="73" t="s">
        <v>366</v>
      </c>
      <c r="J1565" s="76"/>
    </row>
    <row r="1566">
      <c r="A1566" s="74">
        <v>1562.0</v>
      </c>
      <c r="B1566" s="73" t="s">
        <v>1839</v>
      </c>
      <c r="C1566" s="74">
        <v>9.01670535E8</v>
      </c>
      <c r="D1566" s="73" t="s">
        <v>1935</v>
      </c>
      <c r="E1566" s="72">
        <v>2.0242200037775E13</v>
      </c>
      <c r="F1566" s="75">
        <v>45517.0</v>
      </c>
      <c r="G1566" s="76"/>
      <c r="H1566" s="76"/>
      <c r="I1566" s="73" t="s">
        <v>366</v>
      </c>
      <c r="J1566" s="76"/>
    </row>
    <row r="1567">
      <c r="A1567" s="74">
        <v>1563.0</v>
      </c>
      <c r="B1567" s="73" t="s">
        <v>1839</v>
      </c>
      <c r="C1567" s="74">
        <v>8.0021619E8</v>
      </c>
      <c r="D1567" s="73" t="s">
        <v>1936</v>
      </c>
      <c r="E1567" s="72">
        <v>2.0242200037995E13</v>
      </c>
      <c r="F1567" s="75">
        <v>45518.0</v>
      </c>
      <c r="G1567" s="76"/>
      <c r="H1567" s="76"/>
      <c r="I1567" s="73" t="s">
        <v>366</v>
      </c>
      <c r="J1567" s="76"/>
    </row>
    <row r="1568">
      <c r="A1568" s="74">
        <v>1564.0</v>
      </c>
      <c r="B1568" s="73" t="s">
        <v>1839</v>
      </c>
      <c r="C1568" s="74">
        <v>9.01832059E8</v>
      </c>
      <c r="D1568" s="73" t="s">
        <v>1937</v>
      </c>
      <c r="E1568" s="72">
        <v>2.0242200038375E13</v>
      </c>
      <c r="F1568" s="75">
        <v>45519.0</v>
      </c>
      <c r="G1568" s="76"/>
      <c r="H1568" s="76"/>
      <c r="I1568" s="73" t="s">
        <v>366</v>
      </c>
      <c r="J1568" s="76"/>
    </row>
    <row r="1569">
      <c r="A1569" s="74">
        <v>1565.0</v>
      </c>
      <c r="B1569" s="73" t="s">
        <v>1839</v>
      </c>
      <c r="C1569" s="74">
        <v>9.01617467E8</v>
      </c>
      <c r="D1569" s="73" t="s">
        <v>1938</v>
      </c>
      <c r="E1569" s="72">
        <v>2.0242200042385E13</v>
      </c>
      <c r="F1569" s="75">
        <v>45540.0</v>
      </c>
      <c r="G1569" s="76"/>
      <c r="H1569" s="76"/>
      <c r="I1569" s="73" t="s">
        <v>366</v>
      </c>
      <c r="J1569" s="76"/>
    </row>
    <row r="1570">
      <c r="A1570" s="74">
        <v>1566.0</v>
      </c>
      <c r="B1570" s="73" t="s">
        <v>1839</v>
      </c>
      <c r="C1570" s="74">
        <v>9.01864343E8</v>
      </c>
      <c r="D1570" s="73" t="s">
        <v>1939</v>
      </c>
      <c r="E1570" s="72">
        <v>2.0242200045175E13</v>
      </c>
      <c r="F1570" s="75">
        <v>45554.0</v>
      </c>
      <c r="G1570" s="76"/>
      <c r="H1570" s="76"/>
      <c r="I1570" s="73" t="s">
        <v>366</v>
      </c>
      <c r="J1570" s="76"/>
    </row>
    <row r="1571">
      <c r="A1571" s="74">
        <v>1567.0</v>
      </c>
      <c r="B1571" s="73" t="s">
        <v>1839</v>
      </c>
      <c r="C1571" s="74">
        <v>9.01877034E8</v>
      </c>
      <c r="D1571" s="73" t="s">
        <v>1940</v>
      </c>
      <c r="E1571" s="72">
        <v>2.0242200054405E13</v>
      </c>
      <c r="F1571" s="77">
        <v>45604.0</v>
      </c>
      <c r="G1571" s="76"/>
      <c r="H1571" s="76"/>
      <c r="I1571" s="73" t="s">
        <v>366</v>
      </c>
      <c r="J1571" s="76"/>
    </row>
    <row r="1572">
      <c r="A1572" s="74">
        <v>1568.0</v>
      </c>
      <c r="B1572" s="73" t="s">
        <v>1839</v>
      </c>
      <c r="C1572" s="74">
        <v>9.01715071E8</v>
      </c>
      <c r="D1572" s="73" t="s">
        <v>1941</v>
      </c>
      <c r="E1572" s="72">
        <v>2.0242200056235E13</v>
      </c>
      <c r="F1572" s="77">
        <v>45615.0</v>
      </c>
      <c r="G1572" s="76"/>
      <c r="H1572" s="76"/>
      <c r="I1572" s="73" t="s">
        <v>366</v>
      </c>
      <c r="J1572" s="76"/>
    </row>
    <row r="1573">
      <c r="A1573" s="74">
        <v>1569.0</v>
      </c>
      <c r="B1573" s="73" t="s">
        <v>1839</v>
      </c>
      <c r="C1573" s="74">
        <v>9.01878789E8</v>
      </c>
      <c r="D1573" s="73" t="s">
        <v>1942</v>
      </c>
      <c r="E1573" s="72">
        <v>2.0242200056975E13</v>
      </c>
      <c r="F1573" s="77">
        <v>45617.0</v>
      </c>
      <c r="G1573" s="76"/>
      <c r="H1573" s="76"/>
      <c r="I1573" s="73" t="s">
        <v>366</v>
      </c>
      <c r="J1573" s="76"/>
    </row>
    <row r="1574">
      <c r="A1574" s="74">
        <v>1570.0</v>
      </c>
      <c r="B1574" s="73" t="s">
        <v>1839</v>
      </c>
      <c r="C1574" s="74">
        <v>9.01566744E8</v>
      </c>
      <c r="D1574" s="73" t="s">
        <v>1943</v>
      </c>
      <c r="E1574" s="72">
        <v>2.0242200059345E13</v>
      </c>
      <c r="F1574" s="77">
        <v>45631.0</v>
      </c>
      <c r="G1574" s="76"/>
      <c r="H1574" s="76"/>
      <c r="I1574" s="73" t="s">
        <v>366</v>
      </c>
      <c r="J1574" s="76"/>
    </row>
    <row r="1575">
      <c r="A1575" s="74">
        <v>1571.0</v>
      </c>
      <c r="B1575" s="73" t="s">
        <v>1839</v>
      </c>
      <c r="C1575" s="74">
        <v>9.01891489E8</v>
      </c>
      <c r="D1575" s="73" t="s">
        <v>1944</v>
      </c>
      <c r="E1575" s="72">
        <v>2.0242200059845E13</v>
      </c>
      <c r="F1575" s="77">
        <v>45635.0</v>
      </c>
      <c r="G1575" s="76"/>
      <c r="H1575" s="76"/>
      <c r="I1575" s="73" t="s">
        <v>366</v>
      </c>
      <c r="J1575" s="76"/>
    </row>
    <row r="1576">
      <c r="A1576" s="85">
        <v>1572.0</v>
      </c>
      <c r="B1576" s="79" t="s">
        <v>1839</v>
      </c>
      <c r="C1576" s="80">
        <v>9.01879238E8</v>
      </c>
      <c r="D1576" s="79" t="s">
        <v>1945</v>
      </c>
      <c r="E1576" s="81">
        <v>2.0242200063865E13</v>
      </c>
      <c r="F1576" s="82">
        <v>45652.0</v>
      </c>
      <c r="G1576" s="83"/>
      <c r="H1576" s="83"/>
      <c r="I1576" s="73" t="s">
        <v>366</v>
      </c>
      <c r="J1576" s="76"/>
    </row>
    <row r="1577">
      <c r="A1577" s="74">
        <v>1573.0</v>
      </c>
      <c r="B1577" s="73" t="s">
        <v>1839</v>
      </c>
      <c r="C1577" s="74">
        <v>9.00592299E8</v>
      </c>
      <c r="D1577" s="73" t="s">
        <v>1946</v>
      </c>
      <c r="E1577" s="72">
        <v>2.0242200064235E13</v>
      </c>
      <c r="F1577" s="77">
        <v>45653.0</v>
      </c>
      <c r="G1577" s="76"/>
      <c r="H1577" s="76"/>
      <c r="I1577" s="73" t="s">
        <v>366</v>
      </c>
      <c r="J1577" s="76"/>
    </row>
    <row r="1578">
      <c r="A1578" s="74">
        <v>1574.0</v>
      </c>
      <c r="B1578" s="73" t="s">
        <v>1839</v>
      </c>
      <c r="C1578" s="74">
        <v>9.0058364E8</v>
      </c>
      <c r="D1578" s="73" t="s">
        <v>1947</v>
      </c>
      <c r="E1578" s="72">
        <v>2.0253040003095E13</v>
      </c>
      <c r="F1578" s="75">
        <v>45693.0</v>
      </c>
      <c r="G1578" s="76"/>
      <c r="H1578" s="76"/>
      <c r="I1578" s="73" t="s">
        <v>366</v>
      </c>
      <c r="J1578" s="76"/>
    </row>
    <row r="1579">
      <c r="A1579" s="74">
        <v>1575.0</v>
      </c>
      <c r="B1579" s="73" t="s">
        <v>1839</v>
      </c>
      <c r="C1579" s="74">
        <v>9.01908988E8</v>
      </c>
      <c r="D1579" s="73" t="s">
        <v>1948</v>
      </c>
      <c r="E1579" s="72">
        <v>2.0253040005135E13</v>
      </c>
      <c r="F1579" s="75">
        <v>45707.0</v>
      </c>
      <c r="G1579" s="76"/>
      <c r="H1579" s="76"/>
      <c r="I1579" s="73" t="s">
        <v>366</v>
      </c>
      <c r="J1579" s="76"/>
    </row>
    <row r="1580">
      <c r="A1580" s="74">
        <v>1576.0</v>
      </c>
      <c r="B1580" s="73" t="s">
        <v>1839</v>
      </c>
      <c r="C1580" s="74">
        <v>9.01908949E8</v>
      </c>
      <c r="D1580" s="73" t="s">
        <v>1949</v>
      </c>
      <c r="E1580" s="72">
        <v>2.0253040005435E13</v>
      </c>
      <c r="F1580" s="75">
        <v>45709.0</v>
      </c>
      <c r="G1580" s="76"/>
      <c r="H1580" s="76"/>
      <c r="I1580" s="73" t="s">
        <v>366</v>
      </c>
      <c r="J1580" s="76"/>
    </row>
    <row r="1581">
      <c r="A1581" s="74">
        <v>1577.0</v>
      </c>
      <c r="B1581" s="73" t="s">
        <v>1839</v>
      </c>
      <c r="C1581" s="74">
        <v>9.01798265E8</v>
      </c>
      <c r="D1581" s="73" t="s">
        <v>1950</v>
      </c>
      <c r="E1581" s="72">
        <v>2.0253040007155E13</v>
      </c>
      <c r="F1581" s="75">
        <v>45721.0</v>
      </c>
      <c r="G1581" s="76"/>
      <c r="H1581" s="76"/>
      <c r="I1581" s="73" t="s">
        <v>366</v>
      </c>
      <c r="J1581" s="76"/>
    </row>
    <row r="1582">
      <c r="A1582" s="74">
        <v>1578.0</v>
      </c>
      <c r="B1582" s="73" t="s">
        <v>1839</v>
      </c>
      <c r="C1582" s="74">
        <v>9.01575124E8</v>
      </c>
      <c r="D1582" s="73" t="s">
        <v>1951</v>
      </c>
      <c r="E1582" s="72">
        <v>2.0253040007395E13</v>
      </c>
      <c r="F1582" s="75">
        <v>45722.0</v>
      </c>
      <c r="G1582" s="76"/>
      <c r="H1582" s="76"/>
      <c r="I1582" s="73" t="s">
        <v>366</v>
      </c>
      <c r="J1582" s="76"/>
    </row>
    <row r="1583">
      <c r="A1583" s="74">
        <v>1579.0</v>
      </c>
      <c r="B1583" s="73" t="s">
        <v>1839</v>
      </c>
      <c r="C1583" s="74">
        <v>9.01917855E8</v>
      </c>
      <c r="D1583" s="73" t="s">
        <v>1952</v>
      </c>
      <c r="E1583" s="72">
        <v>2.0253040008495E13</v>
      </c>
      <c r="F1583" s="75">
        <v>45728.0</v>
      </c>
      <c r="G1583" s="76"/>
      <c r="H1583" s="76"/>
      <c r="I1583" s="73" t="s">
        <v>366</v>
      </c>
      <c r="J1583" s="76"/>
    </row>
    <row r="1584">
      <c r="A1584" s="74">
        <v>1580.0</v>
      </c>
      <c r="B1584" s="73" t="s">
        <v>1953</v>
      </c>
      <c r="C1584" s="74">
        <v>8.91000883E8</v>
      </c>
      <c r="D1584" s="73" t="s">
        <v>1954</v>
      </c>
      <c r="E1584" s="72">
        <v>41.0</v>
      </c>
      <c r="F1584" s="75">
        <v>36922.0</v>
      </c>
      <c r="G1584" s="76"/>
      <c r="H1584" s="76"/>
      <c r="I1584" s="73" t="s">
        <v>366</v>
      </c>
      <c r="J1584" s="76"/>
    </row>
    <row r="1585">
      <c r="A1585" s="74">
        <v>1581.0</v>
      </c>
      <c r="B1585" s="73" t="s">
        <v>1953</v>
      </c>
      <c r="C1585" s="74">
        <v>8.12000387E8</v>
      </c>
      <c r="D1585" s="73" t="s">
        <v>1955</v>
      </c>
      <c r="E1585" s="72">
        <v>94.0</v>
      </c>
      <c r="F1585" s="77">
        <v>37253.0</v>
      </c>
      <c r="G1585" s="76"/>
      <c r="H1585" s="76"/>
      <c r="I1585" s="73" t="s">
        <v>366</v>
      </c>
      <c r="J1585" s="76"/>
    </row>
    <row r="1586">
      <c r="A1586" s="74">
        <v>1582.0</v>
      </c>
      <c r="B1586" s="73" t="s">
        <v>1953</v>
      </c>
      <c r="C1586" s="74">
        <v>8.23003862E8</v>
      </c>
      <c r="D1586" s="73" t="s">
        <v>1956</v>
      </c>
      <c r="E1586" s="72">
        <v>21.0</v>
      </c>
      <c r="F1586" s="75">
        <v>40085.0</v>
      </c>
      <c r="G1586" s="76"/>
      <c r="H1586" s="76"/>
      <c r="I1586" s="73" t="s">
        <v>366</v>
      </c>
      <c r="J1586" s="76"/>
    </row>
    <row r="1587">
      <c r="A1587" s="74">
        <v>1583.0</v>
      </c>
      <c r="B1587" s="73" t="s">
        <v>1953</v>
      </c>
      <c r="C1587" s="74">
        <v>9.00386211E8</v>
      </c>
      <c r="D1587" s="73" t="s">
        <v>1957</v>
      </c>
      <c r="E1587" s="72">
        <v>11.0</v>
      </c>
      <c r="F1587" s="77">
        <v>40528.0</v>
      </c>
      <c r="G1587" s="76"/>
      <c r="H1587" s="76"/>
      <c r="I1587" s="73" t="s">
        <v>366</v>
      </c>
      <c r="J1587" s="76"/>
    </row>
    <row r="1588">
      <c r="A1588" s="74">
        <v>1584.0</v>
      </c>
      <c r="B1588" s="73" t="s">
        <v>1953</v>
      </c>
      <c r="C1588" s="74">
        <v>9.00501013E8</v>
      </c>
      <c r="D1588" s="73" t="s">
        <v>1958</v>
      </c>
      <c r="E1588" s="72">
        <v>7.0</v>
      </c>
      <c r="F1588" s="75">
        <v>40998.0</v>
      </c>
      <c r="G1588" s="76"/>
      <c r="H1588" s="76"/>
      <c r="I1588" s="73" t="s">
        <v>366</v>
      </c>
      <c r="J1588" s="76"/>
    </row>
    <row r="1589">
      <c r="A1589" s="74">
        <v>1585.0</v>
      </c>
      <c r="B1589" s="73" t="s">
        <v>1953</v>
      </c>
      <c r="C1589" s="74">
        <v>9.00563675E8</v>
      </c>
      <c r="D1589" s="73" t="s">
        <v>1959</v>
      </c>
      <c r="E1589" s="72">
        <v>28.0</v>
      </c>
      <c r="F1589" s="77">
        <v>41219.0</v>
      </c>
      <c r="G1589" s="76"/>
      <c r="H1589" s="76"/>
      <c r="I1589" s="73" t="s">
        <v>366</v>
      </c>
      <c r="J1589" s="76"/>
    </row>
    <row r="1590">
      <c r="A1590" s="74">
        <v>1586.0</v>
      </c>
      <c r="B1590" s="73" t="s">
        <v>1953</v>
      </c>
      <c r="C1590" s="74">
        <v>9.01106481E8</v>
      </c>
      <c r="D1590" s="73" t="s">
        <v>1960</v>
      </c>
      <c r="E1590" s="72">
        <v>11.0</v>
      </c>
      <c r="F1590" s="75">
        <v>43201.0</v>
      </c>
      <c r="G1590" s="76"/>
      <c r="H1590" s="76"/>
      <c r="I1590" s="73" t="s">
        <v>366</v>
      </c>
      <c r="J1590" s="76"/>
    </row>
    <row r="1591">
      <c r="A1591" s="74">
        <v>1587.0</v>
      </c>
      <c r="B1591" s="73" t="s">
        <v>1953</v>
      </c>
      <c r="C1591" s="74">
        <v>9.0044541E8</v>
      </c>
      <c r="D1591" s="73" t="s">
        <v>1961</v>
      </c>
      <c r="E1591" s="72">
        <v>19.0</v>
      </c>
      <c r="F1591" s="75">
        <v>43300.0</v>
      </c>
      <c r="G1591" s="76"/>
      <c r="H1591" s="76"/>
      <c r="I1591" s="73" t="s">
        <v>366</v>
      </c>
      <c r="J1591" s="76"/>
    </row>
    <row r="1592">
      <c r="A1592" s="74">
        <v>1588.0</v>
      </c>
      <c r="B1592" s="73" t="s">
        <v>1953</v>
      </c>
      <c r="C1592" s="74">
        <v>9.01190588E8</v>
      </c>
      <c r="D1592" s="73" t="s">
        <v>1962</v>
      </c>
      <c r="E1592" s="72">
        <v>23.0</v>
      </c>
      <c r="F1592" s="75">
        <v>43318.0</v>
      </c>
      <c r="G1592" s="76"/>
      <c r="H1592" s="76"/>
      <c r="I1592" s="73" t="s">
        <v>366</v>
      </c>
      <c r="J1592" s="76"/>
    </row>
    <row r="1593">
      <c r="A1593" s="74">
        <v>1589.0</v>
      </c>
      <c r="B1593" s="73" t="s">
        <v>1953</v>
      </c>
      <c r="C1593" s="74">
        <v>9.00682144E8</v>
      </c>
      <c r="D1593" s="73" t="s">
        <v>1963</v>
      </c>
      <c r="E1593" s="72">
        <v>13.0</v>
      </c>
      <c r="F1593" s="75">
        <v>43650.0</v>
      </c>
      <c r="G1593" s="76"/>
      <c r="H1593" s="76"/>
      <c r="I1593" s="73" t="s">
        <v>366</v>
      </c>
      <c r="J1593" s="76"/>
    </row>
    <row r="1594">
      <c r="A1594" s="74">
        <v>1590.0</v>
      </c>
      <c r="B1594" s="73" t="s">
        <v>1953</v>
      </c>
      <c r="C1594" s="74">
        <v>9.01464127E8</v>
      </c>
      <c r="D1594" s="73" t="s">
        <v>1964</v>
      </c>
      <c r="E1594" s="72">
        <v>2.0213040029795E13</v>
      </c>
      <c r="F1594" s="75">
        <v>44392.0</v>
      </c>
      <c r="G1594" s="76"/>
      <c r="H1594" s="76"/>
      <c r="I1594" s="73" t="s">
        <v>366</v>
      </c>
      <c r="J1594" s="76"/>
    </row>
    <row r="1595">
      <c r="A1595" s="74">
        <v>1591.0</v>
      </c>
      <c r="B1595" s="73" t="s">
        <v>1953</v>
      </c>
      <c r="C1595" s="74">
        <v>9.01458891E8</v>
      </c>
      <c r="D1595" s="73" t="s">
        <v>1965</v>
      </c>
      <c r="E1595" s="72">
        <v>2.0213040040265E13</v>
      </c>
      <c r="F1595" s="75">
        <v>44448.0</v>
      </c>
      <c r="G1595" s="76"/>
      <c r="H1595" s="76"/>
      <c r="I1595" s="73" t="s">
        <v>366</v>
      </c>
      <c r="J1595" s="76"/>
    </row>
    <row r="1596">
      <c r="A1596" s="74">
        <v>1592.0</v>
      </c>
      <c r="B1596" s="73" t="s">
        <v>1953</v>
      </c>
      <c r="C1596" s="74">
        <v>9.0061433E8</v>
      </c>
      <c r="D1596" s="73" t="s">
        <v>1966</v>
      </c>
      <c r="E1596" s="72">
        <v>2.0213040041265E13</v>
      </c>
      <c r="F1596" s="75">
        <v>44452.0</v>
      </c>
      <c r="G1596" s="76"/>
      <c r="H1596" s="76"/>
      <c r="I1596" s="73" t="s">
        <v>366</v>
      </c>
      <c r="J1596" s="76"/>
    </row>
    <row r="1597">
      <c r="A1597" s="74">
        <v>1593.0</v>
      </c>
      <c r="B1597" s="73" t="s">
        <v>1953</v>
      </c>
      <c r="C1597" s="74">
        <v>9.01477437E8</v>
      </c>
      <c r="D1597" s="73" t="s">
        <v>1967</v>
      </c>
      <c r="E1597" s="72">
        <v>2.0213040044675E13</v>
      </c>
      <c r="F1597" s="75">
        <v>44467.0</v>
      </c>
      <c r="G1597" s="76"/>
      <c r="H1597" s="76"/>
      <c r="I1597" s="73" t="s">
        <v>366</v>
      </c>
      <c r="J1597" s="76"/>
    </row>
    <row r="1598">
      <c r="A1598" s="74">
        <v>1594.0</v>
      </c>
      <c r="B1598" s="73" t="s">
        <v>1953</v>
      </c>
      <c r="C1598" s="74">
        <v>9.01478844E8</v>
      </c>
      <c r="D1598" s="73" t="s">
        <v>1968</v>
      </c>
      <c r="E1598" s="72">
        <v>2.0212230053695E13</v>
      </c>
      <c r="F1598" s="77">
        <v>44511.0</v>
      </c>
      <c r="G1598" s="76"/>
      <c r="H1598" s="76"/>
      <c r="I1598" s="73" t="s">
        <v>366</v>
      </c>
      <c r="J1598" s="76"/>
    </row>
    <row r="1599">
      <c r="A1599" s="74">
        <v>1595.0</v>
      </c>
      <c r="B1599" s="73" t="s">
        <v>1953</v>
      </c>
      <c r="C1599" s="74">
        <v>9.00479957E8</v>
      </c>
      <c r="D1599" s="73" t="s">
        <v>1969</v>
      </c>
      <c r="E1599" s="72">
        <v>2.0212230059575E13</v>
      </c>
      <c r="F1599" s="77">
        <v>44539.0</v>
      </c>
      <c r="G1599" s="76"/>
      <c r="H1599" s="76"/>
      <c r="I1599" s="73" t="s">
        <v>366</v>
      </c>
      <c r="J1599" s="76"/>
    </row>
    <row r="1600">
      <c r="A1600" s="74">
        <v>1596.0</v>
      </c>
      <c r="B1600" s="73" t="s">
        <v>1953</v>
      </c>
      <c r="C1600" s="74">
        <v>9.01536916E8</v>
      </c>
      <c r="D1600" s="73" t="s">
        <v>1970</v>
      </c>
      <c r="E1600" s="72">
        <v>2.0222230002785E13</v>
      </c>
      <c r="F1600" s="75">
        <v>44581.0</v>
      </c>
      <c r="G1600" s="76"/>
      <c r="H1600" s="76"/>
      <c r="I1600" s="73" t="s">
        <v>366</v>
      </c>
      <c r="J1600" s="76"/>
    </row>
    <row r="1601">
      <c r="A1601" s="74">
        <v>1597.0</v>
      </c>
      <c r="B1601" s="73" t="s">
        <v>1953</v>
      </c>
      <c r="C1601" s="74">
        <v>9.0140611E8</v>
      </c>
      <c r="D1601" s="73" t="s">
        <v>1971</v>
      </c>
      <c r="E1601" s="72">
        <v>2.0222230003135E13</v>
      </c>
      <c r="F1601" s="75">
        <v>44585.0</v>
      </c>
      <c r="G1601" s="76"/>
      <c r="H1601" s="76"/>
      <c r="I1601" s="73" t="s">
        <v>366</v>
      </c>
      <c r="J1601" s="76"/>
    </row>
    <row r="1602">
      <c r="A1602" s="74">
        <v>1598.0</v>
      </c>
      <c r="B1602" s="73" t="s">
        <v>1953</v>
      </c>
      <c r="C1602" s="74">
        <v>9.01574566E8</v>
      </c>
      <c r="D1602" s="73" t="s">
        <v>1972</v>
      </c>
      <c r="E1602" s="72">
        <v>2.0222230019225E13</v>
      </c>
      <c r="F1602" s="75">
        <v>44662.0</v>
      </c>
      <c r="G1602" s="76"/>
      <c r="H1602" s="76"/>
      <c r="I1602" s="73" t="s">
        <v>366</v>
      </c>
      <c r="J1602" s="76"/>
    </row>
    <row r="1603">
      <c r="A1603" s="74">
        <v>1599.0</v>
      </c>
      <c r="B1603" s="73" t="s">
        <v>1953</v>
      </c>
      <c r="C1603" s="74">
        <v>9.01218352E8</v>
      </c>
      <c r="D1603" s="73" t="s">
        <v>1973</v>
      </c>
      <c r="E1603" s="72">
        <v>2.0222230042655E13</v>
      </c>
      <c r="F1603" s="75">
        <v>44764.0</v>
      </c>
      <c r="G1603" s="76"/>
      <c r="H1603" s="76"/>
      <c r="I1603" s="73" t="s">
        <v>366</v>
      </c>
      <c r="J1603" s="76"/>
    </row>
    <row r="1604">
      <c r="A1604" s="74">
        <v>1600.0</v>
      </c>
      <c r="B1604" s="73" t="s">
        <v>1953</v>
      </c>
      <c r="C1604" s="74">
        <v>9.01604698E8</v>
      </c>
      <c r="D1604" s="73" t="s">
        <v>1974</v>
      </c>
      <c r="E1604" s="72">
        <v>2.0222230051075E13</v>
      </c>
      <c r="F1604" s="75">
        <v>44798.0</v>
      </c>
      <c r="G1604" s="76"/>
      <c r="H1604" s="76"/>
      <c r="I1604" s="73" t="s">
        <v>366</v>
      </c>
      <c r="J1604" s="76"/>
    </row>
    <row r="1605">
      <c r="A1605" s="74">
        <v>1601.0</v>
      </c>
      <c r="B1605" s="73" t="s">
        <v>1953</v>
      </c>
      <c r="C1605" s="74">
        <v>9.00646414E8</v>
      </c>
      <c r="D1605" s="73" t="s">
        <v>1975</v>
      </c>
      <c r="E1605" s="72">
        <v>2.0222230054625E13</v>
      </c>
      <c r="F1605" s="75">
        <v>44812.0</v>
      </c>
      <c r="G1605" s="76"/>
      <c r="H1605" s="76"/>
      <c r="I1605" s="73" t="s">
        <v>366</v>
      </c>
      <c r="J1605" s="76"/>
    </row>
    <row r="1606">
      <c r="A1606" s="74">
        <v>1602.0</v>
      </c>
      <c r="B1606" s="73" t="s">
        <v>1953</v>
      </c>
      <c r="C1606" s="74">
        <v>9.01635152E8</v>
      </c>
      <c r="D1606" s="73" t="s">
        <v>1976</v>
      </c>
      <c r="E1606" s="72">
        <v>2.0232230013145E13</v>
      </c>
      <c r="F1606" s="75">
        <v>45013.0</v>
      </c>
      <c r="G1606" s="76"/>
      <c r="H1606" s="76"/>
      <c r="I1606" s="73" t="s">
        <v>366</v>
      </c>
      <c r="J1606" s="76"/>
    </row>
    <row r="1607">
      <c r="A1607" s="74">
        <v>1603.0</v>
      </c>
      <c r="B1607" s="73" t="s">
        <v>1953</v>
      </c>
      <c r="C1607" s="74">
        <v>8.12007426E8</v>
      </c>
      <c r="D1607" s="73" t="s">
        <v>1977</v>
      </c>
      <c r="E1607" s="72">
        <v>2.0232230014945E13</v>
      </c>
      <c r="F1607" s="75">
        <v>45030.0</v>
      </c>
      <c r="G1607" s="76"/>
      <c r="H1607" s="76"/>
      <c r="I1607" s="73" t="s">
        <v>366</v>
      </c>
      <c r="J1607" s="76"/>
    </row>
    <row r="1608">
      <c r="A1608" s="74">
        <v>1604.0</v>
      </c>
      <c r="B1608" s="73" t="s">
        <v>1953</v>
      </c>
      <c r="C1608" s="74">
        <v>9.00582053E8</v>
      </c>
      <c r="D1608" s="73" t="s">
        <v>1978</v>
      </c>
      <c r="E1608" s="72">
        <v>2.0222230015245E13</v>
      </c>
      <c r="F1608" s="75">
        <v>45034.0</v>
      </c>
      <c r="G1608" s="76"/>
      <c r="H1608" s="76"/>
      <c r="I1608" s="73" t="s">
        <v>366</v>
      </c>
      <c r="J1608" s="76"/>
    </row>
    <row r="1609">
      <c r="A1609" s="74">
        <v>1605.0</v>
      </c>
      <c r="B1609" s="73" t="s">
        <v>1953</v>
      </c>
      <c r="C1609" s="74">
        <v>8.91000093E8</v>
      </c>
      <c r="D1609" s="73" t="s">
        <v>1979</v>
      </c>
      <c r="E1609" s="72">
        <v>2.0232230018155E13</v>
      </c>
      <c r="F1609" s="75">
        <v>45054.0</v>
      </c>
      <c r="G1609" s="76"/>
      <c r="H1609" s="76"/>
      <c r="I1609" s="73" t="s">
        <v>366</v>
      </c>
      <c r="J1609" s="76"/>
    </row>
    <row r="1610">
      <c r="A1610" s="74">
        <v>1606.0</v>
      </c>
      <c r="B1610" s="73" t="s">
        <v>1953</v>
      </c>
      <c r="C1610" s="74">
        <v>9.01415563E8</v>
      </c>
      <c r="D1610" s="73" t="s">
        <v>1980</v>
      </c>
      <c r="E1610" s="72">
        <v>2.0232230038805E13</v>
      </c>
      <c r="F1610" s="75">
        <v>45177.0</v>
      </c>
      <c r="G1610" s="76"/>
      <c r="H1610" s="76"/>
      <c r="I1610" s="73" t="s">
        <v>366</v>
      </c>
      <c r="J1610" s="76"/>
    </row>
    <row r="1611">
      <c r="A1611" s="74">
        <v>1607.0</v>
      </c>
      <c r="B1611" s="73" t="s">
        <v>1953</v>
      </c>
      <c r="C1611" s="74">
        <v>9.01629497E8</v>
      </c>
      <c r="D1611" s="73" t="s">
        <v>1981</v>
      </c>
      <c r="E1611" s="72">
        <v>2.0232230048945E13</v>
      </c>
      <c r="F1611" s="77">
        <v>45244.0</v>
      </c>
      <c r="G1611" s="76"/>
      <c r="H1611" s="76"/>
      <c r="I1611" s="73" t="s">
        <v>366</v>
      </c>
      <c r="J1611" s="76"/>
    </row>
    <row r="1612">
      <c r="A1612" s="74">
        <v>1608.0</v>
      </c>
      <c r="B1612" s="73" t="s">
        <v>1953</v>
      </c>
      <c r="C1612" s="74">
        <v>9.01304834E8</v>
      </c>
      <c r="D1612" s="73" t="s">
        <v>1982</v>
      </c>
      <c r="E1612" s="72">
        <v>2.0232230055495E13</v>
      </c>
      <c r="F1612" s="77">
        <v>45275.0</v>
      </c>
      <c r="G1612" s="76"/>
      <c r="H1612" s="76"/>
      <c r="I1612" s="73" t="s">
        <v>366</v>
      </c>
      <c r="J1612" s="76"/>
    </row>
    <row r="1613">
      <c r="A1613" s="74">
        <v>1609.0</v>
      </c>
      <c r="B1613" s="73" t="s">
        <v>1953</v>
      </c>
      <c r="C1613" s="74">
        <v>9.01778999E8</v>
      </c>
      <c r="D1613" s="73" t="s">
        <v>1983</v>
      </c>
      <c r="E1613" s="72">
        <v>2.0242230000775E13</v>
      </c>
      <c r="F1613" s="75">
        <v>45302.0</v>
      </c>
      <c r="G1613" s="76"/>
      <c r="H1613" s="76"/>
      <c r="I1613" s="73" t="s">
        <v>366</v>
      </c>
      <c r="J1613" s="76"/>
    </row>
    <row r="1614">
      <c r="A1614" s="74">
        <v>1610.0</v>
      </c>
      <c r="B1614" s="73" t="s">
        <v>1984</v>
      </c>
      <c r="C1614" s="74">
        <v>8.00153605E8</v>
      </c>
      <c r="D1614" s="73" t="s">
        <v>1985</v>
      </c>
      <c r="E1614" s="72">
        <v>117.0</v>
      </c>
      <c r="F1614" s="75">
        <v>33707.0</v>
      </c>
      <c r="G1614" s="76"/>
      <c r="H1614" s="76"/>
      <c r="I1614" s="73" t="s">
        <v>366</v>
      </c>
      <c r="J1614" s="76"/>
      <c r="K1614" s="71" t="s">
        <v>1986</v>
      </c>
      <c r="L1614" s="71" t="s">
        <v>1987</v>
      </c>
      <c r="M1614" s="71" t="s">
        <v>1988</v>
      </c>
    </row>
    <row r="1615">
      <c r="A1615" s="74">
        <v>1611.0</v>
      </c>
      <c r="B1615" s="73" t="s">
        <v>1984</v>
      </c>
      <c r="C1615" s="74">
        <v>8.00037047E8</v>
      </c>
      <c r="D1615" s="73" t="s">
        <v>1989</v>
      </c>
      <c r="E1615" s="72">
        <v>500.0</v>
      </c>
      <c r="F1615" s="75">
        <v>33841.0</v>
      </c>
      <c r="G1615" s="76"/>
      <c r="H1615" s="76"/>
      <c r="I1615" s="73" t="s">
        <v>366</v>
      </c>
      <c r="J1615" s="76"/>
      <c r="K1615" s="95" t="s">
        <v>1990</v>
      </c>
      <c r="L1615" s="71" t="s">
        <v>1991</v>
      </c>
      <c r="M1615" s="71" t="s">
        <v>1992</v>
      </c>
    </row>
    <row r="1616">
      <c r="A1616" s="74">
        <v>1612.0</v>
      </c>
      <c r="B1616" s="73" t="s">
        <v>1984</v>
      </c>
      <c r="C1616" s="74">
        <v>8.60515115E8</v>
      </c>
      <c r="D1616" s="73" t="s">
        <v>1993</v>
      </c>
      <c r="E1616" s="72">
        <v>218.0</v>
      </c>
      <c r="F1616" s="75">
        <v>34904.0</v>
      </c>
      <c r="G1616" s="76"/>
      <c r="H1616" s="76"/>
      <c r="I1616" s="73" t="s">
        <v>366</v>
      </c>
      <c r="J1616" s="76"/>
      <c r="K1616" s="71" t="s">
        <v>1986</v>
      </c>
      <c r="L1616" s="71" t="s">
        <v>1987</v>
      </c>
    </row>
    <row r="1617">
      <c r="A1617" s="74">
        <v>1613.0</v>
      </c>
      <c r="B1617" s="73" t="s">
        <v>1984</v>
      </c>
      <c r="C1617" s="74">
        <v>9.00050309E8</v>
      </c>
      <c r="D1617" s="73" t="s">
        <v>1994</v>
      </c>
      <c r="E1617" s="72">
        <v>1288.0</v>
      </c>
      <c r="F1617" s="77">
        <v>35022.0</v>
      </c>
      <c r="G1617" s="76"/>
      <c r="H1617" s="76"/>
      <c r="I1617" s="73" t="s">
        <v>366</v>
      </c>
      <c r="J1617" s="76"/>
      <c r="K1617" s="95" t="s">
        <v>1995</v>
      </c>
      <c r="L1617" s="71" t="s">
        <v>1996</v>
      </c>
      <c r="M1617" s="71" t="s">
        <v>1997</v>
      </c>
    </row>
    <row r="1618">
      <c r="A1618" s="74">
        <v>1614.0</v>
      </c>
      <c r="B1618" s="73" t="s">
        <v>1984</v>
      </c>
      <c r="C1618" s="74">
        <v>8.30096376E8</v>
      </c>
      <c r="D1618" s="73" t="s">
        <v>1998</v>
      </c>
      <c r="E1618" s="72">
        <v>1082.0</v>
      </c>
      <c r="F1618" s="75">
        <v>36291.0</v>
      </c>
      <c r="G1618" s="76"/>
      <c r="H1618" s="76"/>
      <c r="I1618" s="73" t="s">
        <v>366</v>
      </c>
      <c r="J1618" s="76"/>
      <c r="K1618" s="95" t="s">
        <v>1999</v>
      </c>
      <c r="L1618" s="71" t="s">
        <v>1996</v>
      </c>
      <c r="M1618" s="71" t="s">
        <v>2000</v>
      </c>
      <c r="N1618" s="71" t="s">
        <v>2001</v>
      </c>
      <c r="O1618" s="71" t="s">
        <v>2002</v>
      </c>
    </row>
    <row r="1619">
      <c r="A1619" s="74">
        <v>1615.0</v>
      </c>
      <c r="B1619" s="73" t="s">
        <v>1984</v>
      </c>
      <c r="C1619" s="74">
        <v>8.32003246E8</v>
      </c>
      <c r="D1619" s="73" t="s">
        <v>2003</v>
      </c>
      <c r="E1619" s="72">
        <v>1081.0</v>
      </c>
      <c r="F1619" s="75">
        <v>36291.0</v>
      </c>
      <c r="G1619" s="76"/>
      <c r="H1619" s="76"/>
      <c r="I1619" s="73" t="s">
        <v>366</v>
      </c>
      <c r="J1619" s="76"/>
      <c r="K1619" s="71" t="s">
        <v>2004</v>
      </c>
      <c r="L1619" s="71" t="s">
        <v>1987</v>
      </c>
      <c r="M1619" s="71" t="s">
        <v>2005</v>
      </c>
    </row>
    <row r="1620">
      <c r="A1620" s="74">
        <v>1616.0</v>
      </c>
      <c r="B1620" s="73" t="s">
        <v>1984</v>
      </c>
      <c r="C1620" s="74">
        <v>8.60048617E8</v>
      </c>
      <c r="D1620" s="73" t="s">
        <v>2006</v>
      </c>
      <c r="E1620" s="72">
        <v>1180.0</v>
      </c>
      <c r="F1620" s="75">
        <v>36326.0</v>
      </c>
      <c r="G1620" s="76"/>
      <c r="H1620" s="76"/>
      <c r="I1620" s="73" t="s">
        <v>366</v>
      </c>
      <c r="J1620" s="76"/>
      <c r="K1620" s="95" t="s">
        <v>2007</v>
      </c>
      <c r="L1620" s="71" t="s">
        <v>2008</v>
      </c>
      <c r="M1620" s="71" t="s">
        <v>2009</v>
      </c>
      <c r="N1620" s="71" t="s">
        <v>2010</v>
      </c>
      <c r="O1620" s="71" t="s">
        <v>2011</v>
      </c>
    </row>
    <row r="1621">
      <c r="A1621" s="74">
        <v>1617.0</v>
      </c>
      <c r="B1621" s="73" t="s">
        <v>1984</v>
      </c>
      <c r="C1621" s="74">
        <v>8.6005298E8</v>
      </c>
      <c r="D1621" s="73" t="s">
        <v>2012</v>
      </c>
      <c r="E1621" s="72">
        <v>1181.0</v>
      </c>
      <c r="F1621" s="75">
        <v>36326.0</v>
      </c>
      <c r="G1621" s="76"/>
      <c r="H1621" s="76"/>
      <c r="I1621" s="73" t="s">
        <v>366</v>
      </c>
      <c r="J1621" s="76"/>
      <c r="K1621" s="95" t="s">
        <v>2013</v>
      </c>
      <c r="L1621" s="71" t="s">
        <v>2014</v>
      </c>
      <c r="M1621" s="71" t="s">
        <v>2015</v>
      </c>
      <c r="N1621" s="71" t="s">
        <v>1987</v>
      </c>
      <c r="O1621" s="71" t="s">
        <v>2016</v>
      </c>
    </row>
    <row r="1622">
      <c r="A1622" s="74">
        <v>1618.0</v>
      </c>
      <c r="B1622" s="73" t="s">
        <v>1984</v>
      </c>
      <c r="C1622" s="74">
        <v>8.00202918E8</v>
      </c>
      <c r="D1622" s="73" t="s">
        <v>2017</v>
      </c>
      <c r="E1622" s="72">
        <v>1228.0</v>
      </c>
      <c r="F1622" s="75">
        <v>36349.0</v>
      </c>
      <c r="G1622" s="76"/>
      <c r="H1622" s="76"/>
      <c r="I1622" s="73" t="s">
        <v>366</v>
      </c>
      <c r="J1622" s="76"/>
      <c r="K1622" s="71" t="s">
        <v>1986</v>
      </c>
      <c r="L1622" s="71" t="s">
        <v>1987</v>
      </c>
      <c r="M1622" s="71">
        <v>3.103437027E9</v>
      </c>
    </row>
    <row r="1623">
      <c r="A1623" s="74">
        <v>1619.0</v>
      </c>
      <c r="B1623" s="73" t="s">
        <v>1984</v>
      </c>
      <c r="C1623" s="74">
        <v>8.00049934E8</v>
      </c>
      <c r="D1623" s="73" t="s">
        <v>2018</v>
      </c>
      <c r="E1623" s="72">
        <v>1238.0</v>
      </c>
      <c r="F1623" s="75">
        <v>36353.0</v>
      </c>
      <c r="G1623" s="76"/>
      <c r="H1623" s="76"/>
      <c r="I1623" s="73" t="s">
        <v>366</v>
      </c>
      <c r="J1623" s="76"/>
      <c r="K1623" s="95" t="s">
        <v>2019</v>
      </c>
      <c r="L1623" s="71" t="s">
        <v>2020</v>
      </c>
      <c r="M1623" s="71">
        <v>3.164018106E9</v>
      </c>
    </row>
    <row r="1624">
      <c r="A1624" s="74">
        <v>1620.0</v>
      </c>
      <c r="B1624" s="73" t="s">
        <v>1984</v>
      </c>
      <c r="C1624" s="74">
        <v>8.30042504E8</v>
      </c>
      <c r="D1624" s="73" t="s">
        <v>2021</v>
      </c>
      <c r="E1624" s="72">
        <v>1237.0</v>
      </c>
      <c r="F1624" s="75">
        <v>36353.0</v>
      </c>
      <c r="G1624" s="76"/>
      <c r="H1624" s="76"/>
      <c r="I1624" s="73" t="s">
        <v>366</v>
      </c>
      <c r="J1624" s="76"/>
      <c r="K1624" s="95" t="s">
        <v>2022</v>
      </c>
      <c r="L1624" s="71" t="s">
        <v>2023</v>
      </c>
      <c r="M1624" s="71" t="s">
        <v>2024</v>
      </c>
      <c r="N1624" s="71" t="s">
        <v>2025</v>
      </c>
      <c r="O1624" s="71" t="s">
        <v>2026</v>
      </c>
    </row>
    <row r="1625">
      <c r="A1625" s="74">
        <v>1621.0</v>
      </c>
      <c r="B1625" s="73" t="s">
        <v>1984</v>
      </c>
      <c r="C1625" s="74">
        <v>8.30056468E8</v>
      </c>
      <c r="D1625" s="73" t="s">
        <v>2027</v>
      </c>
      <c r="E1625" s="72">
        <v>1262.0</v>
      </c>
      <c r="F1625" s="75">
        <v>36357.0</v>
      </c>
      <c r="G1625" s="76"/>
      <c r="H1625" s="76"/>
      <c r="I1625" s="73" t="s">
        <v>366</v>
      </c>
      <c r="J1625" s="76"/>
      <c r="K1625" s="71" t="s">
        <v>1986</v>
      </c>
      <c r="L1625" s="71" t="s">
        <v>1987</v>
      </c>
      <c r="M1625" s="71" t="s">
        <v>2028</v>
      </c>
    </row>
    <row r="1626">
      <c r="A1626" s="74">
        <v>1622.0</v>
      </c>
      <c r="B1626" s="73" t="s">
        <v>1984</v>
      </c>
      <c r="C1626" s="74">
        <v>8.30045034E8</v>
      </c>
      <c r="D1626" s="73" t="s">
        <v>2029</v>
      </c>
      <c r="E1626" s="72">
        <v>1341.0</v>
      </c>
      <c r="F1626" s="75">
        <v>36377.0</v>
      </c>
      <c r="G1626" s="76"/>
      <c r="H1626" s="76"/>
      <c r="I1626" s="73" t="s">
        <v>366</v>
      </c>
      <c r="J1626" s="76"/>
      <c r="K1626" s="71" t="s">
        <v>1986</v>
      </c>
      <c r="L1626" s="71" t="s">
        <v>1987</v>
      </c>
      <c r="M1626" s="71" t="s">
        <v>2030</v>
      </c>
    </row>
    <row r="1627">
      <c r="A1627" s="74">
        <v>1623.0</v>
      </c>
      <c r="B1627" s="73" t="s">
        <v>1984</v>
      </c>
      <c r="C1627" s="74">
        <v>8.00121921E8</v>
      </c>
      <c r="D1627" s="73" t="s">
        <v>2031</v>
      </c>
      <c r="E1627" s="72">
        <v>1455.0</v>
      </c>
      <c r="F1627" s="75">
        <v>36398.0</v>
      </c>
      <c r="G1627" s="76"/>
      <c r="H1627" s="76"/>
      <c r="I1627" s="73" t="s">
        <v>366</v>
      </c>
      <c r="J1627" s="76"/>
      <c r="K1627" s="95" t="s">
        <v>2032</v>
      </c>
      <c r="L1627" s="71" t="s">
        <v>1996</v>
      </c>
      <c r="M1627" s="71" t="s">
        <v>2033</v>
      </c>
      <c r="N1627" s="71" t="s">
        <v>2014</v>
      </c>
      <c r="O1627" s="71" t="s">
        <v>2034</v>
      </c>
    </row>
    <row r="1628">
      <c r="A1628" s="74">
        <v>1624.0</v>
      </c>
      <c r="B1628" s="73" t="s">
        <v>1984</v>
      </c>
      <c r="C1628" s="74">
        <v>8.60026744E8</v>
      </c>
      <c r="D1628" s="73" t="s">
        <v>2035</v>
      </c>
      <c r="E1628" s="72">
        <v>1453.0</v>
      </c>
      <c r="F1628" s="75">
        <v>36398.0</v>
      </c>
      <c r="G1628" s="76"/>
      <c r="H1628" s="76"/>
      <c r="I1628" s="73" t="s">
        <v>366</v>
      </c>
      <c r="J1628" s="76"/>
      <c r="K1628" s="95" t="s">
        <v>2036</v>
      </c>
      <c r="L1628" s="71" t="s">
        <v>2037</v>
      </c>
      <c r="M1628" s="71" t="s">
        <v>2038</v>
      </c>
      <c r="N1628" s="71" t="s">
        <v>2020</v>
      </c>
      <c r="O1628" s="71">
        <v>3.16482324E9</v>
      </c>
    </row>
    <row r="1629">
      <c r="A1629" s="85">
        <v>1625.0</v>
      </c>
      <c r="B1629" s="79" t="s">
        <v>1984</v>
      </c>
      <c r="C1629" s="80">
        <v>8.60531101E8</v>
      </c>
      <c r="D1629" s="79" t="s">
        <v>2039</v>
      </c>
      <c r="E1629" s="81">
        <v>1454.0</v>
      </c>
      <c r="F1629" s="84">
        <v>36398.0</v>
      </c>
      <c r="G1629" s="83"/>
      <c r="H1629" s="83"/>
      <c r="I1629" s="73" t="s">
        <v>366</v>
      </c>
      <c r="J1629" s="76"/>
      <c r="K1629" s="71" t="s">
        <v>1986</v>
      </c>
      <c r="L1629" s="71" t="s">
        <v>1987</v>
      </c>
    </row>
    <row r="1630">
      <c r="A1630" s="74">
        <v>1626.0</v>
      </c>
      <c r="B1630" s="73" t="s">
        <v>1984</v>
      </c>
      <c r="C1630" s="74">
        <v>8.30057557E8</v>
      </c>
      <c r="D1630" s="73" t="s">
        <v>2040</v>
      </c>
      <c r="E1630" s="72">
        <v>1512.0</v>
      </c>
      <c r="F1630" s="75">
        <v>36406.0</v>
      </c>
      <c r="G1630" s="76"/>
      <c r="H1630" s="76"/>
      <c r="I1630" s="73" t="s">
        <v>366</v>
      </c>
      <c r="J1630" s="76"/>
      <c r="K1630" s="71" t="s">
        <v>1986</v>
      </c>
      <c r="L1630" s="71" t="s">
        <v>1987</v>
      </c>
    </row>
    <row r="1631">
      <c r="A1631" s="74">
        <v>1627.0</v>
      </c>
      <c r="B1631" s="73" t="s">
        <v>1984</v>
      </c>
      <c r="C1631" s="74">
        <v>8.30038354E8</v>
      </c>
      <c r="D1631" s="73" t="s">
        <v>2041</v>
      </c>
      <c r="E1631" s="72">
        <v>1564.0</v>
      </c>
      <c r="F1631" s="75">
        <v>36410.0</v>
      </c>
      <c r="G1631" s="76"/>
      <c r="H1631" s="76"/>
      <c r="I1631" s="73" t="s">
        <v>366</v>
      </c>
      <c r="J1631" s="76"/>
      <c r="K1631" s="71" t="s">
        <v>1986</v>
      </c>
      <c r="L1631" s="71" t="s">
        <v>1987</v>
      </c>
    </row>
    <row r="1632">
      <c r="A1632" s="74">
        <v>1628.0</v>
      </c>
      <c r="B1632" s="73" t="s">
        <v>1984</v>
      </c>
      <c r="C1632" s="74">
        <v>8.30053329E8</v>
      </c>
      <c r="D1632" s="73" t="s">
        <v>2042</v>
      </c>
      <c r="E1632" s="72">
        <v>1563.0</v>
      </c>
      <c r="F1632" s="75">
        <v>36410.0</v>
      </c>
      <c r="G1632" s="76"/>
      <c r="H1632" s="76"/>
      <c r="I1632" s="73" t="s">
        <v>366</v>
      </c>
      <c r="J1632" s="76"/>
      <c r="K1632" s="71" t="s">
        <v>1986</v>
      </c>
      <c r="L1632" s="71" t="s">
        <v>1987</v>
      </c>
    </row>
    <row r="1633">
      <c r="A1633" s="74">
        <v>1629.0</v>
      </c>
      <c r="B1633" s="73" t="s">
        <v>1984</v>
      </c>
      <c r="C1633" s="74">
        <v>8.30047832E8</v>
      </c>
      <c r="D1633" s="73" t="s">
        <v>2043</v>
      </c>
      <c r="E1633" s="72">
        <v>1596.0</v>
      </c>
      <c r="F1633" s="75">
        <v>36420.0</v>
      </c>
      <c r="G1633" s="76"/>
      <c r="H1633" s="76"/>
      <c r="I1633" s="73" t="s">
        <v>366</v>
      </c>
      <c r="J1633" s="76"/>
      <c r="K1633" s="71" t="s">
        <v>1986</v>
      </c>
      <c r="L1633" s="71" t="s">
        <v>1987</v>
      </c>
    </row>
    <row r="1634">
      <c r="A1634" s="74">
        <v>1630.0</v>
      </c>
      <c r="B1634" s="73" t="s">
        <v>1984</v>
      </c>
      <c r="C1634" s="74">
        <v>8.00033673E8</v>
      </c>
      <c r="D1634" s="73" t="s">
        <v>2044</v>
      </c>
      <c r="E1634" s="72">
        <v>1619.0</v>
      </c>
      <c r="F1634" s="75">
        <v>36425.0</v>
      </c>
      <c r="G1634" s="76"/>
      <c r="H1634" s="76"/>
      <c r="I1634" s="73" t="s">
        <v>366</v>
      </c>
      <c r="J1634" s="76"/>
      <c r="K1634" s="71" t="s">
        <v>1986</v>
      </c>
      <c r="L1634" s="71" t="s">
        <v>1987</v>
      </c>
    </row>
    <row r="1635">
      <c r="A1635" s="74">
        <v>1631.0</v>
      </c>
      <c r="B1635" s="73" t="s">
        <v>1984</v>
      </c>
      <c r="C1635" s="74">
        <v>8.90903501E8</v>
      </c>
      <c r="D1635" s="73" t="s">
        <v>2045</v>
      </c>
      <c r="E1635" s="72">
        <v>1615.0</v>
      </c>
      <c r="F1635" s="75">
        <v>36425.0</v>
      </c>
      <c r="G1635" s="76"/>
      <c r="H1635" s="76"/>
      <c r="I1635" s="73" t="s">
        <v>366</v>
      </c>
      <c r="J1635" s="76"/>
      <c r="K1635" s="95" t="s">
        <v>2046</v>
      </c>
      <c r="L1635" s="71" t="s">
        <v>2047</v>
      </c>
      <c r="M1635" s="71" t="s">
        <v>1992</v>
      </c>
      <c r="N1635" s="71" t="s">
        <v>2014</v>
      </c>
      <c r="O1635" s="71" t="s">
        <v>2048</v>
      </c>
    </row>
    <row r="1636">
      <c r="A1636" s="74">
        <v>1632.0</v>
      </c>
      <c r="B1636" s="73" t="s">
        <v>1984</v>
      </c>
      <c r="C1636" s="74">
        <v>8.00235888E8</v>
      </c>
      <c r="D1636" s="73" t="s">
        <v>2049</v>
      </c>
      <c r="E1636" s="72">
        <v>1625.0</v>
      </c>
      <c r="F1636" s="75">
        <v>36430.0</v>
      </c>
      <c r="G1636" s="76"/>
      <c r="H1636" s="76"/>
      <c r="I1636" s="73" t="s">
        <v>366</v>
      </c>
      <c r="J1636" s="76"/>
      <c r="K1636" s="71" t="s">
        <v>2050</v>
      </c>
      <c r="L1636" s="71" t="s">
        <v>1987</v>
      </c>
      <c r="M1636" s="71" t="s">
        <v>2051</v>
      </c>
    </row>
    <row r="1637">
      <c r="A1637" s="74">
        <v>1633.0</v>
      </c>
      <c r="B1637" s="73" t="s">
        <v>1984</v>
      </c>
      <c r="C1637" s="74">
        <v>8.60021912E8</v>
      </c>
      <c r="D1637" s="73" t="s">
        <v>2052</v>
      </c>
      <c r="E1637" s="72">
        <v>1628.0</v>
      </c>
      <c r="F1637" s="75">
        <v>36431.0</v>
      </c>
      <c r="G1637" s="76"/>
      <c r="H1637" s="76"/>
      <c r="I1637" s="73" t="s">
        <v>366</v>
      </c>
      <c r="J1637" s="76"/>
      <c r="K1637" s="71" t="s">
        <v>1986</v>
      </c>
      <c r="L1637" s="71" t="s">
        <v>1987</v>
      </c>
    </row>
    <row r="1638">
      <c r="A1638" s="74">
        <v>1634.0</v>
      </c>
      <c r="B1638" s="73" t="s">
        <v>1984</v>
      </c>
      <c r="C1638" s="74">
        <v>8.00081833E8</v>
      </c>
      <c r="D1638" s="73" t="s">
        <v>2053</v>
      </c>
      <c r="E1638" s="72">
        <v>1632.0</v>
      </c>
      <c r="F1638" s="77">
        <v>36434.0</v>
      </c>
      <c r="G1638" s="76"/>
      <c r="H1638" s="76"/>
      <c r="I1638" s="73" t="s">
        <v>366</v>
      </c>
      <c r="J1638" s="76"/>
      <c r="K1638" s="95" t="s">
        <v>2054</v>
      </c>
      <c r="L1638" s="71" t="s">
        <v>2055</v>
      </c>
      <c r="M1638" s="71" t="s">
        <v>2056</v>
      </c>
      <c r="N1638" s="71" t="s">
        <v>2014</v>
      </c>
    </row>
    <row r="1639">
      <c r="A1639" s="74">
        <v>1635.0</v>
      </c>
      <c r="B1639" s="73" t="s">
        <v>1984</v>
      </c>
      <c r="C1639" s="74">
        <v>8.00223679E8</v>
      </c>
      <c r="D1639" s="73" t="s">
        <v>2057</v>
      </c>
      <c r="E1639" s="72">
        <v>1672.0</v>
      </c>
      <c r="F1639" s="77">
        <v>36447.0</v>
      </c>
      <c r="G1639" s="76"/>
      <c r="H1639" s="76"/>
      <c r="I1639" s="73" t="s">
        <v>366</v>
      </c>
      <c r="J1639" s="76"/>
      <c r="K1639" s="71" t="s">
        <v>2058</v>
      </c>
      <c r="L1639" s="71" t="s">
        <v>1987</v>
      </c>
    </row>
    <row r="1640">
      <c r="A1640" s="74">
        <v>1636.0</v>
      </c>
      <c r="B1640" s="73" t="s">
        <v>1984</v>
      </c>
      <c r="C1640" s="74">
        <v>8.00201387E8</v>
      </c>
      <c r="D1640" s="73" t="s">
        <v>2059</v>
      </c>
      <c r="E1640" s="72">
        <v>1683.0</v>
      </c>
      <c r="F1640" s="77">
        <v>36453.0</v>
      </c>
      <c r="G1640" s="76"/>
      <c r="H1640" s="76"/>
      <c r="I1640" s="73" t="s">
        <v>366</v>
      </c>
      <c r="J1640" s="76"/>
      <c r="K1640" s="71" t="s">
        <v>1986</v>
      </c>
      <c r="L1640" s="71" t="s">
        <v>1987</v>
      </c>
    </row>
    <row r="1641">
      <c r="A1641" s="74">
        <v>1637.0</v>
      </c>
      <c r="B1641" s="73" t="s">
        <v>1984</v>
      </c>
      <c r="C1641" s="74">
        <v>8.00210426E8</v>
      </c>
      <c r="D1641" s="73" t="s">
        <v>2060</v>
      </c>
      <c r="E1641" s="72">
        <v>1717.0</v>
      </c>
      <c r="F1641" s="77">
        <v>36460.0</v>
      </c>
      <c r="G1641" s="76"/>
      <c r="H1641" s="76"/>
      <c r="I1641" s="73" t="s">
        <v>366</v>
      </c>
      <c r="J1641" s="76"/>
      <c r="K1641" s="71" t="s">
        <v>1986</v>
      </c>
      <c r="L1641" s="71" t="s">
        <v>1987</v>
      </c>
    </row>
    <row r="1642">
      <c r="A1642" s="74">
        <v>1638.0</v>
      </c>
      <c r="B1642" s="73" t="s">
        <v>1984</v>
      </c>
      <c r="C1642" s="74">
        <v>8.60525367E8</v>
      </c>
      <c r="D1642" s="73" t="s">
        <v>2061</v>
      </c>
      <c r="E1642" s="72">
        <v>1750.0</v>
      </c>
      <c r="F1642" s="77">
        <v>36468.0</v>
      </c>
      <c r="G1642" s="76"/>
      <c r="H1642" s="76"/>
      <c r="I1642" s="73" t="s">
        <v>366</v>
      </c>
      <c r="J1642" s="76"/>
      <c r="K1642" s="71" t="s">
        <v>1986</v>
      </c>
      <c r="L1642" s="71" t="s">
        <v>1987</v>
      </c>
    </row>
    <row r="1643">
      <c r="A1643" s="74">
        <v>1639.0</v>
      </c>
      <c r="B1643" s="73" t="s">
        <v>1984</v>
      </c>
      <c r="C1643" s="74">
        <v>8.60450987E8</v>
      </c>
      <c r="D1643" s="73" t="s">
        <v>2062</v>
      </c>
      <c r="E1643" s="72">
        <v>1754.0</v>
      </c>
      <c r="F1643" s="77">
        <v>36469.0</v>
      </c>
      <c r="G1643" s="76"/>
      <c r="H1643" s="76"/>
      <c r="I1643" s="73" t="s">
        <v>366</v>
      </c>
      <c r="J1643" s="76"/>
      <c r="K1643" s="95" t="s">
        <v>2063</v>
      </c>
      <c r="L1643" s="71" t="s">
        <v>2064</v>
      </c>
      <c r="M1643" s="71" t="s">
        <v>2065</v>
      </c>
      <c r="N1643" s="71" t="s">
        <v>2020</v>
      </c>
      <c r="O1643" s="96" t="s">
        <v>2066</v>
      </c>
    </row>
    <row r="1644">
      <c r="A1644" s="74">
        <v>1640.0</v>
      </c>
      <c r="B1644" s="73" t="s">
        <v>1984</v>
      </c>
      <c r="C1644" s="74">
        <v>8.00199898E8</v>
      </c>
      <c r="D1644" s="73" t="s">
        <v>2067</v>
      </c>
      <c r="E1644" s="72">
        <v>87.0</v>
      </c>
      <c r="F1644" s="77">
        <v>36486.0</v>
      </c>
      <c r="G1644" s="76"/>
      <c r="H1644" s="76"/>
      <c r="I1644" s="73" t="s">
        <v>366</v>
      </c>
      <c r="J1644" s="76"/>
      <c r="K1644" s="95" t="s">
        <v>2068</v>
      </c>
      <c r="L1644" s="71" t="s">
        <v>2069</v>
      </c>
      <c r="M1644" s="71" t="s">
        <v>2070</v>
      </c>
      <c r="N1644" s="71" t="s">
        <v>2071</v>
      </c>
      <c r="O1644" s="71">
        <v>3.103410779E9</v>
      </c>
    </row>
    <row r="1645">
      <c r="A1645" s="74">
        <v>1641.0</v>
      </c>
      <c r="B1645" s="73" t="s">
        <v>1984</v>
      </c>
      <c r="C1645" s="74">
        <v>8.00160124E8</v>
      </c>
      <c r="D1645" s="73" t="s">
        <v>2072</v>
      </c>
      <c r="E1645" s="72">
        <v>78.0</v>
      </c>
      <c r="F1645" s="77">
        <v>36495.0</v>
      </c>
      <c r="G1645" s="76"/>
      <c r="H1645" s="76"/>
      <c r="I1645" s="73" t="s">
        <v>366</v>
      </c>
      <c r="J1645" s="76"/>
      <c r="K1645" s="71" t="s">
        <v>1986</v>
      </c>
      <c r="L1645" s="71" t="s">
        <v>1987</v>
      </c>
    </row>
    <row r="1646">
      <c r="A1646" s="74">
        <v>1642.0</v>
      </c>
      <c r="B1646" s="73" t="s">
        <v>1984</v>
      </c>
      <c r="C1646" s="74">
        <v>8.30009817E8</v>
      </c>
      <c r="D1646" s="73" t="s">
        <v>2073</v>
      </c>
      <c r="E1646" s="72">
        <v>1838.0</v>
      </c>
      <c r="F1646" s="77">
        <v>36514.0</v>
      </c>
      <c r="G1646" s="76"/>
      <c r="H1646" s="76"/>
      <c r="I1646" s="73" t="s">
        <v>366</v>
      </c>
      <c r="J1646" s="76"/>
      <c r="K1646" s="71" t="s">
        <v>1986</v>
      </c>
      <c r="L1646" s="71" t="s">
        <v>1987</v>
      </c>
    </row>
    <row r="1647">
      <c r="A1647" s="74">
        <v>1643.0</v>
      </c>
      <c r="B1647" s="73" t="s">
        <v>1984</v>
      </c>
      <c r="C1647" s="74">
        <v>8.00041197E8</v>
      </c>
      <c r="D1647" s="73" t="s">
        <v>2074</v>
      </c>
      <c r="E1647" s="72">
        <v>4.0</v>
      </c>
      <c r="F1647" s="75">
        <v>36537.0</v>
      </c>
      <c r="G1647" s="76"/>
      <c r="H1647" s="76"/>
      <c r="I1647" s="73" t="s">
        <v>366</v>
      </c>
      <c r="J1647" s="76"/>
      <c r="K1647" s="71" t="s">
        <v>1986</v>
      </c>
      <c r="L1647" s="71" t="s">
        <v>1987</v>
      </c>
    </row>
    <row r="1648">
      <c r="A1648" s="74">
        <v>1644.0</v>
      </c>
      <c r="B1648" s="73" t="s">
        <v>1984</v>
      </c>
      <c r="C1648" s="74">
        <v>8.05007853E8</v>
      </c>
      <c r="D1648" s="73" t="s">
        <v>2075</v>
      </c>
      <c r="E1648" s="72">
        <v>1.0</v>
      </c>
      <c r="F1648" s="75">
        <v>36537.0</v>
      </c>
      <c r="G1648" s="76"/>
      <c r="H1648" s="76"/>
      <c r="I1648" s="73" t="s">
        <v>366</v>
      </c>
      <c r="J1648" s="76"/>
      <c r="K1648" s="71" t="s">
        <v>1986</v>
      </c>
      <c r="L1648" s="71" t="s">
        <v>1987</v>
      </c>
    </row>
    <row r="1649">
      <c r="A1649" s="74">
        <v>1645.0</v>
      </c>
      <c r="B1649" s="73" t="s">
        <v>1984</v>
      </c>
      <c r="C1649" s="74">
        <v>8.00109788E8</v>
      </c>
      <c r="D1649" s="73" t="s">
        <v>2076</v>
      </c>
      <c r="E1649" s="72">
        <v>18.0</v>
      </c>
      <c r="F1649" s="75">
        <v>36557.0</v>
      </c>
      <c r="G1649" s="76"/>
      <c r="H1649" s="76"/>
      <c r="I1649" s="73" t="s">
        <v>366</v>
      </c>
      <c r="J1649" s="76"/>
      <c r="K1649" s="71" t="s">
        <v>1986</v>
      </c>
      <c r="L1649" s="71" t="s">
        <v>1987</v>
      </c>
    </row>
    <row r="1650">
      <c r="A1650" s="74">
        <v>1646.0</v>
      </c>
      <c r="B1650" s="73" t="s">
        <v>1984</v>
      </c>
      <c r="C1650" s="74">
        <v>8.00172158E8</v>
      </c>
      <c r="D1650" s="73" t="s">
        <v>2077</v>
      </c>
      <c r="E1650" s="72">
        <v>49.0</v>
      </c>
      <c r="F1650" s="75">
        <v>36572.0</v>
      </c>
      <c r="G1650" s="76"/>
      <c r="H1650" s="76"/>
      <c r="I1650" s="73" t="s">
        <v>366</v>
      </c>
      <c r="J1650" s="76"/>
      <c r="K1650" s="71" t="s">
        <v>1986</v>
      </c>
      <c r="L1650" s="71" t="s">
        <v>1987</v>
      </c>
    </row>
    <row r="1651">
      <c r="A1651" s="74">
        <v>1647.0</v>
      </c>
      <c r="B1651" s="73" t="s">
        <v>1984</v>
      </c>
      <c r="C1651" s="74">
        <v>8.30058369E8</v>
      </c>
      <c r="D1651" s="73" t="s">
        <v>2078</v>
      </c>
      <c r="E1651" s="72">
        <v>48.0</v>
      </c>
      <c r="F1651" s="75">
        <v>36572.0</v>
      </c>
      <c r="G1651" s="76"/>
      <c r="H1651" s="76"/>
      <c r="I1651" s="73" t="s">
        <v>366</v>
      </c>
      <c r="J1651" s="76"/>
      <c r="K1651" s="71" t="s">
        <v>1986</v>
      </c>
      <c r="L1651" s="71" t="s">
        <v>1987</v>
      </c>
    </row>
    <row r="1652">
      <c r="A1652" s="74">
        <v>1648.0</v>
      </c>
      <c r="B1652" s="73" t="s">
        <v>1984</v>
      </c>
      <c r="C1652" s="74">
        <v>8.60024745E8</v>
      </c>
      <c r="D1652" s="73" t="s">
        <v>2079</v>
      </c>
      <c r="E1652" s="72">
        <v>50.0</v>
      </c>
      <c r="F1652" s="75">
        <v>36572.0</v>
      </c>
      <c r="G1652" s="76"/>
      <c r="H1652" s="76"/>
      <c r="I1652" s="73" t="s">
        <v>366</v>
      </c>
      <c r="J1652" s="76"/>
      <c r="K1652" s="95" t="s">
        <v>2080</v>
      </c>
      <c r="L1652" s="71" t="s">
        <v>2081</v>
      </c>
      <c r="M1652" s="71" t="s">
        <v>2082</v>
      </c>
      <c r="N1652" s="71" t="s">
        <v>1996</v>
      </c>
      <c r="O1652" s="71" t="s">
        <v>2083</v>
      </c>
    </row>
    <row r="1653">
      <c r="A1653" s="74">
        <v>1649.0</v>
      </c>
      <c r="B1653" s="73" t="s">
        <v>1984</v>
      </c>
      <c r="C1653" s="74">
        <v>8.6035094E8</v>
      </c>
      <c r="D1653" s="73" t="s">
        <v>2084</v>
      </c>
      <c r="E1653" s="72">
        <v>52.0</v>
      </c>
      <c r="F1653" s="75">
        <v>36572.0</v>
      </c>
      <c r="G1653" s="76"/>
      <c r="H1653" s="76"/>
      <c r="I1653" s="73" t="s">
        <v>366</v>
      </c>
      <c r="J1653" s="76"/>
      <c r="K1653" s="71" t="s">
        <v>1986</v>
      </c>
      <c r="L1653" s="71" t="s">
        <v>1987</v>
      </c>
    </row>
    <row r="1654">
      <c r="A1654" s="74">
        <v>1650.0</v>
      </c>
      <c r="B1654" s="73" t="s">
        <v>1984</v>
      </c>
      <c r="C1654" s="74">
        <v>8.00129133E8</v>
      </c>
      <c r="D1654" s="73" t="s">
        <v>2085</v>
      </c>
      <c r="E1654" s="72">
        <v>55.0</v>
      </c>
      <c r="F1654" s="75">
        <v>36577.0</v>
      </c>
      <c r="G1654" s="76"/>
      <c r="H1654" s="76"/>
      <c r="I1654" s="73" t="s">
        <v>366</v>
      </c>
      <c r="J1654" s="76"/>
      <c r="K1654" s="95" t="s">
        <v>2086</v>
      </c>
      <c r="L1654" s="71" t="s">
        <v>1996</v>
      </c>
      <c r="M1654" s="71" t="s">
        <v>2087</v>
      </c>
    </row>
    <row r="1655">
      <c r="A1655" s="74">
        <v>1651.0</v>
      </c>
      <c r="B1655" s="73" t="s">
        <v>1984</v>
      </c>
      <c r="C1655" s="74">
        <v>8.32001903E8</v>
      </c>
      <c r="D1655" s="73" t="s">
        <v>2088</v>
      </c>
      <c r="E1655" s="72">
        <v>56.0</v>
      </c>
      <c r="F1655" s="75">
        <v>36577.0</v>
      </c>
      <c r="G1655" s="76"/>
      <c r="H1655" s="76"/>
      <c r="I1655" s="73" t="s">
        <v>366</v>
      </c>
      <c r="J1655" s="76"/>
      <c r="K1655" s="71" t="s">
        <v>1986</v>
      </c>
      <c r="L1655" s="71" t="s">
        <v>1987</v>
      </c>
    </row>
    <row r="1656">
      <c r="A1656" s="74">
        <v>1652.0</v>
      </c>
      <c r="B1656" s="73" t="s">
        <v>1984</v>
      </c>
      <c r="C1656" s="74">
        <v>8.13004147E8</v>
      </c>
      <c r="D1656" s="73" t="s">
        <v>2089</v>
      </c>
      <c r="E1656" s="72">
        <v>17.0</v>
      </c>
      <c r="F1656" s="75">
        <v>36584.0</v>
      </c>
      <c r="G1656" s="76"/>
      <c r="H1656" s="76"/>
      <c r="I1656" s="73" t="s">
        <v>366</v>
      </c>
      <c r="J1656" s="76"/>
      <c r="K1656" s="71" t="s">
        <v>1986</v>
      </c>
      <c r="L1656" s="71" t="s">
        <v>1996</v>
      </c>
      <c r="M1656" s="71" t="s">
        <v>2090</v>
      </c>
    </row>
    <row r="1657">
      <c r="A1657" s="74">
        <v>1653.0</v>
      </c>
      <c r="B1657" s="73" t="s">
        <v>1984</v>
      </c>
      <c r="C1657" s="74">
        <v>8.60510275E8</v>
      </c>
      <c r="D1657" s="73" t="s">
        <v>2091</v>
      </c>
      <c r="E1657" s="72">
        <v>64.0</v>
      </c>
      <c r="F1657" s="75">
        <v>36586.0</v>
      </c>
      <c r="G1657" s="76"/>
      <c r="H1657" s="76"/>
      <c r="I1657" s="73" t="s">
        <v>366</v>
      </c>
      <c r="J1657" s="76"/>
      <c r="K1657" s="95" t="s">
        <v>2092</v>
      </c>
      <c r="L1657" s="71" t="s">
        <v>2093</v>
      </c>
      <c r="M1657" s="71" t="s">
        <v>2094</v>
      </c>
      <c r="N1657" s="71" t="s">
        <v>2095</v>
      </c>
    </row>
    <row r="1658">
      <c r="A1658" s="74">
        <v>1654.0</v>
      </c>
      <c r="B1658" s="73" t="s">
        <v>1984</v>
      </c>
      <c r="C1658" s="74">
        <v>8.30040809E8</v>
      </c>
      <c r="D1658" s="73" t="s">
        <v>2096</v>
      </c>
      <c r="E1658" s="72">
        <v>75.0</v>
      </c>
      <c r="F1658" s="75">
        <v>36598.0</v>
      </c>
      <c r="G1658" s="76"/>
      <c r="H1658" s="76"/>
      <c r="I1658" s="73" t="s">
        <v>366</v>
      </c>
      <c r="J1658" s="76"/>
      <c r="K1658" s="71" t="s">
        <v>1986</v>
      </c>
      <c r="L1658" s="71" t="s">
        <v>1987</v>
      </c>
    </row>
    <row r="1659">
      <c r="A1659" s="74">
        <v>1655.0</v>
      </c>
      <c r="B1659" s="73" t="s">
        <v>1984</v>
      </c>
      <c r="C1659" s="74">
        <v>8.60016819E8</v>
      </c>
      <c r="D1659" s="73" t="s">
        <v>2097</v>
      </c>
      <c r="E1659" s="72">
        <v>76.0</v>
      </c>
      <c r="F1659" s="75">
        <v>36598.0</v>
      </c>
      <c r="G1659" s="76"/>
      <c r="H1659" s="76"/>
      <c r="I1659" s="73" t="s">
        <v>366</v>
      </c>
      <c r="J1659" s="76"/>
      <c r="K1659" s="95" t="s">
        <v>2098</v>
      </c>
      <c r="L1659" s="71" t="s">
        <v>2037</v>
      </c>
      <c r="M1659" s="71" t="s">
        <v>2038</v>
      </c>
      <c r="N1659" s="71" t="s">
        <v>2099</v>
      </c>
      <c r="O1659" s="71">
        <v>3.16482324E9</v>
      </c>
    </row>
    <row r="1660">
      <c r="A1660" s="74">
        <v>1656.0</v>
      </c>
      <c r="B1660" s="73" t="s">
        <v>1984</v>
      </c>
      <c r="C1660" s="74">
        <v>8.60053255E8</v>
      </c>
      <c r="D1660" s="73" t="s">
        <v>2100</v>
      </c>
      <c r="E1660" s="72">
        <v>77.0</v>
      </c>
      <c r="F1660" s="75">
        <v>36598.0</v>
      </c>
      <c r="G1660" s="76"/>
      <c r="H1660" s="76"/>
      <c r="I1660" s="73" t="s">
        <v>366</v>
      </c>
      <c r="J1660" s="76"/>
      <c r="K1660" s="71" t="s">
        <v>1986</v>
      </c>
      <c r="L1660" s="71" t="s">
        <v>1996</v>
      </c>
      <c r="M1660" s="71" t="s">
        <v>2101</v>
      </c>
    </row>
    <row r="1661">
      <c r="A1661" s="74">
        <v>1657.0</v>
      </c>
      <c r="B1661" s="73" t="s">
        <v>1984</v>
      </c>
      <c r="C1661" s="74">
        <v>8.00185306E8</v>
      </c>
      <c r="D1661" s="73" t="s">
        <v>2102</v>
      </c>
      <c r="E1661" s="72">
        <v>80.0</v>
      </c>
      <c r="F1661" s="75">
        <v>36599.0</v>
      </c>
      <c r="G1661" s="76"/>
      <c r="H1661" s="76"/>
      <c r="I1661" s="73" t="s">
        <v>366</v>
      </c>
      <c r="J1661" s="76"/>
      <c r="K1661" s="95" t="s">
        <v>2103</v>
      </c>
      <c r="L1661" s="71" t="s">
        <v>2104</v>
      </c>
      <c r="M1661" s="71" t="s">
        <v>2105</v>
      </c>
      <c r="N1661" s="71" t="s">
        <v>2106</v>
      </c>
      <c r="O1661" s="71" t="s">
        <v>2107</v>
      </c>
    </row>
    <row r="1662">
      <c r="A1662" s="74">
        <v>1658.0</v>
      </c>
      <c r="B1662" s="73" t="s">
        <v>1984</v>
      </c>
      <c r="C1662" s="74">
        <v>8.60000962E8</v>
      </c>
      <c r="D1662" s="73" t="s">
        <v>2108</v>
      </c>
      <c r="E1662" s="72">
        <v>81.0</v>
      </c>
      <c r="F1662" s="75">
        <v>36599.0</v>
      </c>
      <c r="G1662" s="76"/>
      <c r="H1662" s="76"/>
      <c r="I1662" s="73" t="s">
        <v>366</v>
      </c>
      <c r="J1662" s="76"/>
      <c r="K1662" s="71" t="s">
        <v>2109</v>
      </c>
      <c r="L1662" s="71" t="s">
        <v>1987</v>
      </c>
    </row>
    <row r="1663">
      <c r="A1663" s="74">
        <v>1659.0</v>
      </c>
      <c r="B1663" s="73" t="s">
        <v>1984</v>
      </c>
      <c r="C1663" s="74">
        <v>8.60004278E8</v>
      </c>
      <c r="D1663" s="73" t="s">
        <v>2110</v>
      </c>
      <c r="E1663" s="72">
        <v>85.0</v>
      </c>
      <c r="F1663" s="75">
        <v>36606.0</v>
      </c>
      <c r="G1663" s="76"/>
      <c r="H1663" s="76"/>
      <c r="I1663" s="73" t="s">
        <v>366</v>
      </c>
      <c r="J1663" s="76"/>
      <c r="K1663" s="71" t="s">
        <v>1986</v>
      </c>
      <c r="L1663" s="71" t="s">
        <v>1996</v>
      </c>
      <c r="M1663" s="71" t="s">
        <v>2111</v>
      </c>
    </row>
    <row r="1664">
      <c r="A1664" s="74">
        <v>1660.0</v>
      </c>
      <c r="B1664" s="73" t="s">
        <v>1984</v>
      </c>
      <c r="C1664" s="74">
        <v>8.0001906E8</v>
      </c>
      <c r="D1664" s="73" t="s">
        <v>2112</v>
      </c>
      <c r="E1664" s="72">
        <v>95.0</v>
      </c>
      <c r="F1664" s="75">
        <v>36609.0</v>
      </c>
      <c r="G1664" s="76"/>
      <c r="H1664" s="76"/>
      <c r="I1664" s="73" t="s">
        <v>366</v>
      </c>
      <c r="J1664" s="76"/>
    </row>
    <row r="1665">
      <c r="A1665" s="74">
        <v>1661.0</v>
      </c>
      <c r="B1665" s="73" t="s">
        <v>1984</v>
      </c>
      <c r="C1665" s="74">
        <v>8.30000068E8</v>
      </c>
      <c r="D1665" s="73" t="s">
        <v>2113</v>
      </c>
      <c r="E1665" s="72">
        <v>109.0</v>
      </c>
      <c r="F1665" s="75">
        <v>36614.0</v>
      </c>
      <c r="G1665" s="76"/>
      <c r="H1665" s="76"/>
      <c r="I1665" s="73" t="s">
        <v>366</v>
      </c>
      <c r="J1665" s="76"/>
    </row>
    <row r="1666">
      <c r="A1666" s="74">
        <v>1662.0</v>
      </c>
      <c r="B1666" s="73" t="s">
        <v>1984</v>
      </c>
      <c r="C1666" s="74">
        <v>8.00215592E8</v>
      </c>
      <c r="D1666" s="73" t="s">
        <v>2114</v>
      </c>
      <c r="E1666" s="72">
        <v>168.0</v>
      </c>
      <c r="F1666" s="75">
        <v>36624.0</v>
      </c>
      <c r="G1666" s="76"/>
      <c r="H1666" s="76"/>
      <c r="I1666" s="73" t="s">
        <v>366</v>
      </c>
      <c r="J1666" s="76"/>
    </row>
    <row r="1667">
      <c r="A1667" s="74">
        <v>1663.0</v>
      </c>
      <c r="B1667" s="73" t="s">
        <v>1984</v>
      </c>
      <c r="C1667" s="74">
        <v>8.60508075E8</v>
      </c>
      <c r="D1667" s="73" t="s">
        <v>2115</v>
      </c>
      <c r="E1667" s="72">
        <v>169.0</v>
      </c>
      <c r="F1667" s="75">
        <v>36656.0</v>
      </c>
      <c r="G1667" s="76"/>
      <c r="H1667" s="76"/>
      <c r="I1667" s="73" t="s">
        <v>366</v>
      </c>
      <c r="J1667" s="76"/>
    </row>
    <row r="1668">
      <c r="A1668" s="74">
        <v>1664.0</v>
      </c>
      <c r="B1668" s="73" t="s">
        <v>1984</v>
      </c>
      <c r="C1668" s="74">
        <v>8.00214939E8</v>
      </c>
      <c r="D1668" s="73" t="s">
        <v>2116</v>
      </c>
      <c r="E1668" s="72">
        <v>174.0</v>
      </c>
      <c r="F1668" s="75">
        <v>36661.0</v>
      </c>
      <c r="G1668" s="76"/>
      <c r="H1668" s="76"/>
      <c r="I1668" s="73" t="s">
        <v>366</v>
      </c>
      <c r="J1668" s="76"/>
    </row>
    <row r="1669">
      <c r="A1669" s="74">
        <v>1665.0</v>
      </c>
      <c r="B1669" s="73" t="s">
        <v>1984</v>
      </c>
      <c r="C1669" s="74">
        <v>8.30017552E8</v>
      </c>
      <c r="D1669" s="73" t="s">
        <v>2117</v>
      </c>
      <c r="E1669" s="72">
        <v>196.0</v>
      </c>
      <c r="F1669" s="75">
        <v>36663.0</v>
      </c>
      <c r="G1669" s="76"/>
      <c r="H1669" s="76"/>
      <c r="I1669" s="73" t="s">
        <v>366</v>
      </c>
      <c r="J1669" s="76"/>
      <c r="K1669" s="71" t="s">
        <v>1986</v>
      </c>
      <c r="L1669" s="71" t="s">
        <v>1987</v>
      </c>
      <c r="M1669" s="71" t="s">
        <v>2118</v>
      </c>
    </row>
    <row r="1670">
      <c r="A1670" s="74">
        <v>1666.0</v>
      </c>
      <c r="B1670" s="73" t="s">
        <v>1984</v>
      </c>
      <c r="C1670" s="74">
        <v>8.00133109E8</v>
      </c>
      <c r="D1670" s="73" t="s">
        <v>2119</v>
      </c>
      <c r="E1670" s="72">
        <v>262.0</v>
      </c>
      <c r="F1670" s="75">
        <v>36671.0</v>
      </c>
      <c r="G1670" s="76"/>
      <c r="H1670" s="76"/>
      <c r="I1670" s="73" t="s">
        <v>366</v>
      </c>
      <c r="J1670" s="76"/>
      <c r="K1670" s="97" t="s">
        <v>2120</v>
      </c>
      <c r="L1670" s="71" t="s">
        <v>1987</v>
      </c>
      <c r="M1670" s="71" t="s">
        <v>2121</v>
      </c>
      <c r="O1670" s="71" t="s">
        <v>2122</v>
      </c>
    </row>
    <row r="1671">
      <c r="A1671" s="74">
        <v>1667.0</v>
      </c>
      <c r="B1671" s="73" t="s">
        <v>1984</v>
      </c>
      <c r="C1671" s="74">
        <v>8.60007701E8</v>
      </c>
      <c r="D1671" s="73" t="s">
        <v>2123</v>
      </c>
      <c r="E1671" s="72">
        <v>291.0</v>
      </c>
      <c r="F1671" s="75">
        <v>36679.0</v>
      </c>
      <c r="G1671" s="76"/>
      <c r="H1671" s="76"/>
      <c r="I1671" s="73" t="s">
        <v>366</v>
      </c>
      <c r="J1671" s="76"/>
      <c r="K1671" s="97" t="s">
        <v>2124</v>
      </c>
      <c r="L1671" s="71" t="s">
        <v>2020</v>
      </c>
      <c r="M1671" s="71" t="s">
        <v>2125</v>
      </c>
      <c r="O1671" s="71" t="s">
        <v>2126</v>
      </c>
    </row>
    <row r="1672">
      <c r="A1672" s="74">
        <v>1668.0</v>
      </c>
      <c r="B1672" s="73" t="s">
        <v>1984</v>
      </c>
      <c r="C1672" s="74">
        <v>8.60040576E8</v>
      </c>
      <c r="D1672" s="73" t="s">
        <v>2127</v>
      </c>
      <c r="E1672" s="72">
        <v>290.0</v>
      </c>
      <c r="F1672" s="75">
        <v>36679.0</v>
      </c>
      <c r="G1672" s="76"/>
      <c r="H1672" s="76"/>
      <c r="I1672" s="73" t="s">
        <v>366</v>
      </c>
      <c r="J1672" s="76"/>
      <c r="K1672" s="97" t="s">
        <v>2128</v>
      </c>
      <c r="L1672" s="71" t="s">
        <v>1987</v>
      </c>
      <c r="M1672" s="71" t="s">
        <v>2129</v>
      </c>
    </row>
    <row r="1673">
      <c r="A1673" s="74">
        <v>1669.0</v>
      </c>
      <c r="B1673" s="73" t="s">
        <v>1984</v>
      </c>
      <c r="C1673" s="74">
        <v>8.0009487E8</v>
      </c>
      <c r="D1673" s="73" t="s">
        <v>2130</v>
      </c>
      <c r="E1673" s="72">
        <v>314.0</v>
      </c>
      <c r="F1673" s="75">
        <v>36683.0</v>
      </c>
      <c r="G1673" s="76"/>
      <c r="H1673" s="76"/>
      <c r="I1673" s="73" t="s">
        <v>366</v>
      </c>
      <c r="J1673" s="76"/>
      <c r="K1673" s="71" t="s">
        <v>1986</v>
      </c>
      <c r="L1673" s="71" t="s">
        <v>1987</v>
      </c>
    </row>
    <row r="1674">
      <c r="A1674" s="74">
        <v>1670.0</v>
      </c>
      <c r="B1674" s="73" t="s">
        <v>1984</v>
      </c>
      <c r="C1674" s="74">
        <v>8.00120585E8</v>
      </c>
      <c r="D1674" s="73" t="s">
        <v>2131</v>
      </c>
      <c r="E1674" s="72">
        <v>313.0</v>
      </c>
      <c r="F1674" s="75">
        <v>36683.0</v>
      </c>
      <c r="G1674" s="76"/>
      <c r="H1674" s="76"/>
      <c r="I1674" s="73" t="s">
        <v>366</v>
      </c>
      <c r="J1674" s="76"/>
      <c r="K1674" s="97" t="s">
        <v>2132</v>
      </c>
      <c r="L1674" s="71" t="s">
        <v>1987</v>
      </c>
      <c r="M1674" s="71" t="s">
        <v>2133</v>
      </c>
    </row>
    <row r="1675">
      <c r="A1675" s="74">
        <v>1671.0</v>
      </c>
      <c r="B1675" s="73" t="s">
        <v>1984</v>
      </c>
      <c r="C1675" s="74">
        <v>8.60061639E8</v>
      </c>
      <c r="D1675" s="73" t="s">
        <v>2134</v>
      </c>
      <c r="E1675" s="72">
        <v>408.0</v>
      </c>
      <c r="F1675" s="75">
        <v>36692.0</v>
      </c>
      <c r="G1675" s="76"/>
      <c r="H1675" s="76"/>
      <c r="I1675" s="73" t="s">
        <v>366</v>
      </c>
      <c r="J1675" s="76"/>
      <c r="K1675" s="97" t="s">
        <v>2135</v>
      </c>
      <c r="L1675" s="71" t="s">
        <v>2020</v>
      </c>
      <c r="M1675" s="71" t="s">
        <v>2136</v>
      </c>
      <c r="O1675" s="71" t="s">
        <v>2137</v>
      </c>
    </row>
    <row r="1676">
      <c r="A1676" s="74">
        <v>1672.0</v>
      </c>
      <c r="B1676" s="73" t="s">
        <v>1984</v>
      </c>
      <c r="C1676" s="74">
        <v>8.30005911E8</v>
      </c>
      <c r="D1676" s="73" t="s">
        <v>2138</v>
      </c>
      <c r="E1676" s="72">
        <v>411.0</v>
      </c>
      <c r="F1676" s="75">
        <v>36693.0</v>
      </c>
      <c r="G1676" s="76"/>
      <c r="H1676" s="76"/>
      <c r="I1676" s="73" t="s">
        <v>366</v>
      </c>
      <c r="J1676" s="76"/>
      <c r="K1676" s="97" t="s">
        <v>2139</v>
      </c>
      <c r="L1676" s="71" t="s">
        <v>1987</v>
      </c>
      <c r="M1676" s="71" t="s">
        <v>2140</v>
      </c>
    </row>
    <row r="1677">
      <c r="A1677" s="74">
        <v>1673.0</v>
      </c>
      <c r="B1677" s="73" t="s">
        <v>1984</v>
      </c>
      <c r="C1677" s="74">
        <v>8.60062581E8</v>
      </c>
      <c r="D1677" s="73" t="s">
        <v>2141</v>
      </c>
      <c r="E1677" s="72">
        <v>31.0</v>
      </c>
      <c r="F1677" s="75">
        <v>36693.0</v>
      </c>
      <c r="G1677" s="76"/>
      <c r="H1677" s="76"/>
      <c r="I1677" s="73" t="s">
        <v>366</v>
      </c>
      <c r="J1677" s="76"/>
      <c r="K1677" s="97" t="s">
        <v>2142</v>
      </c>
      <c r="L1677" s="71" t="s">
        <v>1987</v>
      </c>
      <c r="M1677" s="71" t="s">
        <v>2143</v>
      </c>
    </row>
    <row r="1678">
      <c r="A1678" s="74">
        <v>1674.0</v>
      </c>
      <c r="B1678" s="73" t="s">
        <v>1984</v>
      </c>
      <c r="C1678" s="74">
        <v>8.30041742E8</v>
      </c>
      <c r="D1678" s="73" t="s">
        <v>2144</v>
      </c>
      <c r="E1678" s="72">
        <v>415.0</v>
      </c>
      <c r="F1678" s="75">
        <v>36705.0</v>
      </c>
      <c r="G1678" s="76"/>
      <c r="H1678" s="76"/>
      <c r="I1678" s="73" t="s">
        <v>366</v>
      </c>
      <c r="J1678" s="76"/>
      <c r="K1678" s="97" t="s">
        <v>2145</v>
      </c>
      <c r="L1678" s="71" t="s">
        <v>1987</v>
      </c>
      <c r="M1678" s="71" t="s">
        <v>2146</v>
      </c>
    </row>
    <row r="1679">
      <c r="A1679" s="74">
        <v>1675.0</v>
      </c>
      <c r="B1679" s="73" t="s">
        <v>1984</v>
      </c>
      <c r="C1679" s="74">
        <v>8.30069032E8</v>
      </c>
      <c r="D1679" s="73" t="s">
        <v>2147</v>
      </c>
      <c r="E1679" s="72">
        <v>416.0</v>
      </c>
      <c r="F1679" s="75">
        <v>36705.0</v>
      </c>
      <c r="G1679" s="76"/>
      <c r="H1679" s="76"/>
      <c r="I1679" s="73" t="s">
        <v>366</v>
      </c>
      <c r="J1679" s="76"/>
      <c r="K1679" s="71" t="s">
        <v>1986</v>
      </c>
      <c r="L1679" s="71" t="s">
        <v>1987</v>
      </c>
    </row>
    <row r="1680">
      <c r="A1680" s="74">
        <v>1676.0</v>
      </c>
      <c r="B1680" s="73" t="s">
        <v>1984</v>
      </c>
      <c r="C1680" s="74">
        <v>8.60504726E8</v>
      </c>
      <c r="D1680" s="73" t="s">
        <v>2148</v>
      </c>
      <c r="E1680" s="72">
        <v>424.0</v>
      </c>
      <c r="F1680" s="75">
        <v>36719.0</v>
      </c>
      <c r="G1680" s="76"/>
      <c r="H1680" s="76"/>
      <c r="I1680" s="73" t="s">
        <v>366</v>
      </c>
      <c r="J1680" s="76"/>
      <c r="K1680" s="71" t="s">
        <v>1986</v>
      </c>
      <c r="L1680" s="71" t="s">
        <v>1987</v>
      </c>
    </row>
    <row r="1681">
      <c r="A1681" s="74">
        <v>1677.0</v>
      </c>
      <c r="B1681" s="73" t="s">
        <v>1984</v>
      </c>
      <c r="C1681" s="74">
        <v>8.00241518E8</v>
      </c>
      <c r="D1681" s="73" t="s">
        <v>2149</v>
      </c>
      <c r="E1681" s="72">
        <v>426.0</v>
      </c>
      <c r="F1681" s="75">
        <v>36724.0</v>
      </c>
      <c r="G1681" s="76"/>
      <c r="H1681" s="76"/>
      <c r="I1681" s="73" t="s">
        <v>366</v>
      </c>
      <c r="J1681" s="76"/>
      <c r="K1681" s="71" t="s">
        <v>1986</v>
      </c>
      <c r="L1681" s="71" t="s">
        <v>1987</v>
      </c>
      <c r="M1681" s="71" t="s">
        <v>2150</v>
      </c>
    </row>
    <row r="1682">
      <c r="A1682" s="85">
        <v>1678.0</v>
      </c>
      <c r="B1682" s="79" t="s">
        <v>1984</v>
      </c>
      <c r="C1682" s="80">
        <v>8.00105213E8</v>
      </c>
      <c r="D1682" s="79" t="s">
        <v>2151</v>
      </c>
      <c r="E1682" s="81">
        <v>431.0</v>
      </c>
      <c r="F1682" s="84">
        <v>36731.0</v>
      </c>
      <c r="G1682" s="83"/>
      <c r="H1682" s="83"/>
      <c r="I1682" s="73" t="s">
        <v>366</v>
      </c>
      <c r="J1682" s="76"/>
      <c r="K1682" s="97" t="s">
        <v>2152</v>
      </c>
      <c r="L1682" s="71" t="s">
        <v>1987</v>
      </c>
      <c r="M1682" s="71" t="s">
        <v>2153</v>
      </c>
    </row>
    <row r="1683">
      <c r="A1683" s="74">
        <v>1679.0</v>
      </c>
      <c r="B1683" s="73" t="s">
        <v>1984</v>
      </c>
      <c r="C1683" s="74">
        <v>8.30071313E8</v>
      </c>
      <c r="D1683" s="73" t="s">
        <v>2154</v>
      </c>
      <c r="E1683" s="72">
        <v>430.0</v>
      </c>
      <c r="F1683" s="75">
        <v>36731.0</v>
      </c>
      <c r="G1683" s="76"/>
      <c r="H1683" s="76"/>
      <c r="I1683" s="73" t="s">
        <v>366</v>
      </c>
      <c r="J1683" s="76"/>
    </row>
    <row r="1684">
      <c r="A1684" s="74">
        <v>1680.0</v>
      </c>
      <c r="B1684" s="73" t="s">
        <v>1984</v>
      </c>
      <c r="C1684" s="74">
        <v>8.00128245E8</v>
      </c>
      <c r="D1684" s="73" t="s">
        <v>2155</v>
      </c>
      <c r="E1684" s="72">
        <v>436.0</v>
      </c>
      <c r="F1684" s="75">
        <v>36732.0</v>
      </c>
      <c r="G1684" s="76"/>
      <c r="H1684" s="76"/>
      <c r="I1684" s="73" t="s">
        <v>366</v>
      </c>
      <c r="J1684" s="76"/>
    </row>
    <row r="1685">
      <c r="A1685" s="74">
        <v>1681.0</v>
      </c>
      <c r="B1685" s="73" t="s">
        <v>1984</v>
      </c>
      <c r="C1685" s="74">
        <v>8.00209831E8</v>
      </c>
      <c r="D1685" s="73" t="s">
        <v>2156</v>
      </c>
      <c r="E1685" s="72">
        <v>444.0</v>
      </c>
      <c r="F1685" s="75">
        <v>36740.0</v>
      </c>
      <c r="G1685" s="76"/>
      <c r="H1685" s="76"/>
      <c r="I1685" s="73" t="s">
        <v>366</v>
      </c>
      <c r="J1685" s="76"/>
    </row>
    <row r="1686">
      <c r="A1686" s="74">
        <v>1682.0</v>
      </c>
      <c r="B1686" s="73" t="s">
        <v>1984</v>
      </c>
      <c r="C1686" s="74">
        <v>8.30071783E8</v>
      </c>
      <c r="D1686" s="73" t="s">
        <v>2157</v>
      </c>
      <c r="E1686" s="72">
        <v>445.0</v>
      </c>
      <c r="F1686" s="75">
        <v>36742.0</v>
      </c>
      <c r="G1686" s="76"/>
      <c r="H1686" s="76"/>
      <c r="I1686" s="73" t="s">
        <v>366</v>
      </c>
      <c r="J1686" s="76"/>
    </row>
    <row r="1687">
      <c r="A1687" s="74">
        <v>1683.0</v>
      </c>
      <c r="B1687" s="73" t="s">
        <v>1984</v>
      </c>
      <c r="C1687" s="74">
        <v>8.00210799E8</v>
      </c>
      <c r="D1687" s="73" t="s">
        <v>2158</v>
      </c>
      <c r="E1687" s="72">
        <v>446.0</v>
      </c>
      <c r="F1687" s="75">
        <v>36746.0</v>
      </c>
      <c r="G1687" s="76"/>
      <c r="H1687" s="76"/>
      <c r="I1687" s="73" t="s">
        <v>366</v>
      </c>
      <c r="J1687" s="76"/>
    </row>
    <row r="1688">
      <c r="A1688" s="74">
        <v>1684.0</v>
      </c>
      <c r="B1688" s="73" t="s">
        <v>1984</v>
      </c>
      <c r="C1688" s="74">
        <v>8.30070636E8</v>
      </c>
      <c r="D1688" s="73" t="s">
        <v>2159</v>
      </c>
      <c r="E1688" s="72">
        <v>449.0</v>
      </c>
      <c r="F1688" s="75">
        <v>36755.0</v>
      </c>
      <c r="G1688" s="76"/>
      <c r="H1688" s="76"/>
      <c r="I1688" s="73" t="s">
        <v>366</v>
      </c>
      <c r="J1688" s="76"/>
    </row>
    <row r="1689">
      <c r="A1689" s="74">
        <v>1685.0</v>
      </c>
      <c r="B1689" s="73" t="s">
        <v>1984</v>
      </c>
      <c r="C1689" s="74">
        <v>8.60049661E8</v>
      </c>
      <c r="D1689" s="73" t="s">
        <v>2160</v>
      </c>
      <c r="E1689" s="72">
        <v>450.0</v>
      </c>
      <c r="F1689" s="75">
        <v>36755.0</v>
      </c>
      <c r="G1689" s="76"/>
      <c r="H1689" s="76"/>
      <c r="I1689" s="73" t="s">
        <v>366</v>
      </c>
      <c r="J1689" s="76"/>
    </row>
    <row r="1690">
      <c r="A1690" s="74">
        <v>1686.0</v>
      </c>
      <c r="B1690" s="73" t="s">
        <v>1984</v>
      </c>
      <c r="C1690" s="74">
        <v>8.00139755E8</v>
      </c>
      <c r="D1690" s="73" t="s">
        <v>2161</v>
      </c>
      <c r="E1690" s="72">
        <v>455.0</v>
      </c>
      <c r="F1690" s="75">
        <v>36760.0</v>
      </c>
      <c r="G1690" s="76"/>
      <c r="H1690" s="76"/>
      <c r="I1690" s="73" t="s">
        <v>366</v>
      </c>
      <c r="J1690" s="76"/>
    </row>
    <row r="1691">
      <c r="A1691" s="74">
        <v>1687.0</v>
      </c>
      <c r="B1691" s="73" t="s">
        <v>1984</v>
      </c>
      <c r="C1691" s="74">
        <v>8.00205579E8</v>
      </c>
      <c r="D1691" s="73" t="s">
        <v>2162</v>
      </c>
      <c r="E1691" s="72">
        <v>1279.0</v>
      </c>
      <c r="F1691" s="75">
        <v>36769.0</v>
      </c>
      <c r="G1691" s="76"/>
      <c r="H1691" s="76"/>
      <c r="I1691" s="73" t="s">
        <v>366</v>
      </c>
      <c r="J1691" s="76"/>
    </row>
    <row r="1692">
      <c r="A1692" s="74">
        <v>1688.0</v>
      </c>
      <c r="B1692" s="73" t="s">
        <v>1984</v>
      </c>
      <c r="C1692" s="74">
        <v>8.00093833E8</v>
      </c>
      <c r="D1692" s="73" t="s">
        <v>2163</v>
      </c>
      <c r="E1692" s="72">
        <v>1929.0</v>
      </c>
      <c r="F1692" s="75">
        <v>36797.0</v>
      </c>
      <c r="G1692" s="76"/>
      <c r="H1692" s="76"/>
      <c r="I1692" s="73" t="s">
        <v>366</v>
      </c>
      <c r="J1692" s="76"/>
    </row>
    <row r="1693">
      <c r="A1693" s="74">
        <v>1689.0</v>
      </c>
      <c r="B1693" s="73" t="s">
        <v>1984</v>
      </c>
      <c r="C1693" s="74">
        <v>8.00183661E8</v>
      </c>
      <c r="D1693" s="73" t="s">
        <v>2164</v>
      </c>
      <c r="E1693" s="72">
        <v>1936.0</v>
      </c>
      <c r="F1693" s="77">
        <v>36805.0</v>
      </c>
      <c r="G1693" s="76"/>
      <c r="H1693" s="76"/>
      <c r="I1693" s="73" t="s">
        <v>366</v>
      </c>
      <c r="J1693" s="76"/>
    </row>
    <row r="1694">
      <c r="A1694" s="74">
        <v>1690.0</v>
      </c>
      <c r="B1694" s="73" t="s">
        <v>1984</v>
      </c>
      <c r="C1694" s="74">
        <v>8.00084241E8</v>
      </c>
      <c r="D1694" s="73" t="s">
        <v>2165</v>
      </c>
      <c r="E1694" s="72">
        <v>1946.0</v>
      </c>
      <c r="F1694" s="77">
        <v>36824.0</v>
      </c>
      <c r="G1694" s="76"/>
      <c r="H1694" s="76"/>
      <c r="I1694" s="73" t="s">
        <v>366</v>
      </c>
      <c r="J1694" s="76"/>
    </row>
    <row r="1695">
      <c r="A1695" s="74">
        <v>1691.0</v>
      </c>
      <c r="B1695" s="73" t="s">
        <v>1984</v>
      </c>
      <c r="C1695" s="74">
        <v>9.00469377E8</v>
      </c>
      <c r="D1695" s="73" t="s">
        <v>2166</v>
      </c>
      <c r="E1695" s="72">
        <v>1945.0</v>
      </c>
      <c r="F1695" s="77">
        <v>36824.0</v>
      </c>
      <c r="G1695" s="76"/>
      <c r="H1695" s="76"/>
      <c r="I1695" s="73" t="s">
        <v>366</v>
      </c>
      <c r="J1695" s="76"/>
    </row>
    <row r="1696">
      <c r="A1696" s="74">
        <v>1692.0</v>
      </c>
      <c r="B1696" s="73" t="s">
        <v>1984</v>
      </c>
      <c r="C1696" s="74">
        <v>8.3005144E8</v>
      </c>
      <c r="D1696" s="73" t="s">
        <v>2167</v>
      </c>
      <c r="E1696" s="72">
        <v>1952.0</v>
      </c>
      <c r="F1696" s="77">
        <v>36844.0</v>
      </c>
      <c r="G1696" s="76"/>
      <c r="H1696" s="76"/>
      <c r="I1696" s="73" t="s">
        <v>366</v>
      </c>
      <c r="J1696" s="76"/>
    </row>
    <row r="1697">
      <c r="A1697" s="74">
        <v>1693.0</v>
      </c>
      <c r="B1697" s="73" t="s">
        <v>1984</v>
      </c>
      <c r="C1697" s="74">
        <v>8.00120636E8</v>
      </c>
      <c r="D1697" s="73" t="s">
        <v>2168</v>
      </c>
      <c r="E1697" s="72">
        <v>1959.0</v>
      </c>
      <c r="F1697" s="77">
        <v>36854.0</v>
      </c>
      <c r="G1697" s="76"/>
      <c r="H1697" s="76"/>
      <c r="I1697" s="73" t="s">
        <v>366</v>
      </c>
      <c r="J1697" s="76"/>
    </row>
    <row r="1698">
      <c r="A1698" s="74">
        <v>1694.0</v>
      </c>
      <c r="B1698" s="73" t="s">
        <v>1984</v>
      </c>
      <c r="C1698" s="74">
        <v>8.00011329E8</v>
      </c>
      <c r="D1698" s="73" t="s">
        <v>2169</v>
      </c>
      <c r="E1698" s="72">
        <v>1960.0</v>
      </c>
      <c r="F1698" s="77">
        <v>36857.0</v>
      </c>
      <c r="G1698" s="76"/>
      <c r="H1698" s="76"/>
      <c r="I1698" s="73" t="s">
        <v>366</v>
      </c>
      <c r="J1698" s="76"/>
    </row>
    <row r="1699">
      <c r="A1699" s="74">
        <v>1695.0</v>
      </c>
      <c r="B1699" s="73" t="s">
        <v>1984</v>
      </c>
      <c r="C1699" s="74">
        <v>8.00085513E8</v>
      </c>
      <c r="D1699" s="73" t="s">
        <v>2170</v>
      </c>
      <c r="E1699" s="72">
        <v>1964.0</v>
      </c>
      <c r="F1699" s="77">
        <v>36859.0</v>
      </c>
      <c r="G1699" s="76"/>
      <c r="H1699" s="76"/>
      <c r="I1699" s="73" t="s">
        <v>366</v>
      </c>
      <c r="J1699" s="76"/>
    </row>
    <row r="1700">
      <c r="A1700" s="74">
        <v>1696.0</v>
      </c>
      <c r="B1700" s="73" t="s">
        <v>1984</v>
      </c>
      <c r="C1700" s="74">
        <v>8.60004023E8</v>
      </c>
      <c r="D1700" s="73" t="s">
        <v>2171</v>
      </c>
      <c r="E1700" s="72">
        <v>1968.0</v>
      </c>
      <c r="F1700" s="77">
        <v>36865.0</v>
      </c>
      <c r="G1700" s="76"/>
      <c r="H1700" s="76"/>
      <c r="I1700" s="73" t="s">
        <v>366</v>
      </c>
      <c r="J1700" s="76"/>
    </row>
    <row r="1701">
      <c r="A1701" s="74">
        <v>1697.0</v>
      </c>
      <c r="B1701" s="73" t="s">
        <v>1984</v>
      </c>
      <c r="C1701" s="74">
        <v>8.00247348E8</v>
      </c>
      <c r="D1701" s="73" t="s">
        <v>2172</v>
      </c>
      <c r="E1701" s="72">
        <v>1969.0</v>
      </c>
      <c r="F1701" s="77">
        <v>36865.0</v>
      </c>
      <c r="G1701" s="76"/>
      <c r="H1701" s="76"/>
      <c r="I1701" s="73" t="s">
        <v>366</v>
      </c>
      <c r="J1701" s="76"/>
    </row>
    <row r="1702">
      <c r="A1702" s="74">
        <v>1698.0</v>
      </c>
      <c r="B1702" s="73" t="s">
        <v>1984</v>
      </c>
      <c r="C1702" s="74">
        <v>8.00245356E8</v>
      </c>
      <c r="D1702" s="73" t="s">
        <v>2173</v>
      </c>
      <c r="E1702" s="72">
        <v>1970.0</v>
      </c>
      <c r="F1702" s="77">
        <v>36874.0</v>
      </c>
      <c r="G1702" s="76"/>
      <c r="H1702" s="76"/>
      <c r="I1702" s="73" t="s">
        <v>366</v>
      </c>
      <c r="J1702" s="76"/>
    </row>
    <row r="1703">
      <c r="A1703" s="74">
        <v>1699.0</v>
      </c>
      <c r="B1703" s="73" t="s">
        <v>1984</v>
      </c>
      <c r="C1703" s="74">
        <v>8.30077396E8</v>
      </c>
      <c r="D1703" s="73" t="s">
        <v>2174</v>
      </c>
      <c r="E1703" s="72">
        <v>1972.0</v>
      </c>
      <c r="F1703" s="77">
        <v>36878.0</v>
      </c>
      <c r="G1703" s="76"/>
      <c r="H1703" s="76"/>
      <c r="I1703" s="73" t="s">
        <v>366</v>
      </c>
      <c r="J1703" s="76"/>
    </row>
    <row r="1704">
      <c r="A1704" s="74">
        <v>1700.0</v>
      </c>
      <c r="B1704" s="73" t="s">
        <v>1984</v>
      </c>
      <c r="C1704" s="74">
        <v>8.60404607E8</v>
      </c>
      <c r="D1704" s="73" t="s">
        <v>2175</v>
      </c>
      <c r="E1704" s="72">
        <v>1971.0</v>
      </c>
      <c r="F1704" s="77">
        <v>36878.0</v>
      </c>
      <c r="G1704" s="76"/>
      <c r="H1704" s="76"/>
      <c r="I1704" s="73" t="s">
        <v>366</v>
      </c>
      <c r="J1704" s="76"/>
    </row>
    <row r="1705">
      <c r="A1705" s="74">
        <v>1701.0</v>
      </c>
      <c r="B1705" s="73" t="s">
        <v>1984</v>
      </c>
      <c r="C1705" s="74">
        <v>8.60071684E8</v>
      </c>
      <c r="D1705" s="73" t="s">
        <v>2176</v>
      </c>
      <c r="E1705" s="72">
        <v>1976.0</v>
      </c>
      <c r="F1705" s="77">
        <v>36880.0</v>
      </c>
      <c r="G1705" s="76"/>
      <c r="H1705" s="76"/>
      <c r="I1705" s="73" t="s">
        <v>366</v>
      </c>
      <c r="J1705" s="76"/>
    </row>
    <row r="1706">
      <c r="A1706" s="74">
        <v>1702.0</v>
      </c>
      <c r="B1706" s="73" t="s">
        <v>1984</v>
      </c>
      <c r="C1706" s="74">
        <v>8.00201834E8</v>
      </c>
      <c r="D1706" s="73" t="s">
        <v>2177</v>
      </c>
      <c r="E1706" s="72">
        <v>1977.0</v>
      </c>
      <c r="F1706" s="77">
        <v>36881.0</v>
      </c>
      <c r="G1706" s="76"/>
      <c r="H1706" s="76"/>
      <c r="I1706" s="73" t="s">
        <v>366</v>
      </c>
      <c r="J1706" s="76"/>
    </row>
    <row r="1707">
      <c r="A1707" s="74">
        <v>1703.0</v>
      </c>
      <c r="B1707" s="73" t="s">
        <v>1984</v>
      </c>
      <c r="C1707" s="74">
        <v>8.00188491E8</v>
      </c>
      <c r="D1707" s="73" t="s">
        <v>2178</v>
      </c>
      <c r="E1707" s="72">
        <v>1.0</v>
      </c>
      <c r="F1707" s="75">
        <v>36908.0</v>
      </c>
      <c r="G1707" s="76"/>
      <c r="H1707" s="76"/>
      <c r="I1707" s="73" t="s">
        <v>366</v>
      </c>
      <c r="J1707" s="76"/>
    </row>
    <row r="1708">
      <c r="A1708" s="74">
        <v>1704.0</v>
      </c>
      <c r="B1708" s="73" t="s">
        <v>1984</v>
      </c>
      <c r="C1708" s="74">
        <v>8.30068506E8</v>
      </c>
      <c r="D1708" s="73" t="s">
        <v>2179</v>
      </c>
      <c r="E1708" s="72">
        <v>3.0</v>
      </c>
      <c r="F1708" s="75">
        <v>36908.0</v>
      </c>
      <c r="G1708" s="76"/>
      <c r="H1708" s="76"/>
      <c r="I1708" s="73" t="s">
        <v>366</v>
      </c>
      <c r="J1708" s="76"/>
    </row>
    <row r="1709">
      <c r="A1709" s="74">
        <v>1705.0</v>
      </c>
      <c r="B1709" s="73" t="s">
        <v>1984</v>
      </c>
      <c r="C1709" s="74">
        <v>8.30079006E8</v>
      </c>
      <c r="D1709" s="73" t="s">
        <v>2180</v>
      </c>
      <c r="E1709" s="72">
        <v>5.0</v>
      </c>
      <c r="F1709" s="75">
        <v>36909.0</v>
      </c>
      <c r="G1709" s="76"/>
      <c r="H1709" s="76"/>
      <c r="I1709" s="73" t="s">
        <v>366</v>
      </c>
      <c r="J1709" s="76"/>
    </row>
    <row r="1710">
      <c r="A1710" s="74">
        <v>1706.0</v>
      </c>
      <c r="B1710" s="73" t="s">
        <v>1984</v>
      </c>
      <c r="C1710" s="74">
        <v>8.30068867E8</v>
      </c>
      <c r="D1710" s="73" t="s">
        <v>2181</v>
      </c>
      <c r="E1710" s="72">
        <v>6.0</v>
      </c>
      <c r="F1710" s="75">
        <v>36913.0</v>
      </c>
      <c r="G1710" s="76"/>
      <c r="H1710" s="76"/>
      <c r="I1710" s="73" t="s">
        <v>366</v>
      </c>
      <c r="J1710" s="76"/>
    </row>
    <row r="1711">
      <c r="A1711" s="74">
        <v>1707.0</v>
      </c>
      <c r="B1711" s="73" t="s">
        <v>1984</v>
      </c>
      <c r="C1711" s="74">
        <v>8.00118776E8</v>
      </c>
      <c r="D1711" s="73" t="s">
        <v>2182</v>
      </c>
      <c r="E1711" s="72">
        <v>8.0</v>
      </c>
      <c r="F1711" s="75">
        <v>36914.0</v>
      </c>
      <c r="G1711" s="76"/>
      <c r="H1711" s="76"/>
      <c r="I1711" s="73" t="s">
        <v>366</v>
      </c>
      <c r="J1711" s="76"/>
    </row>
    <row r="1712">
      <c r="A1712" s="74">
        <v>1708.0</v>
      </c>
      <c r="B1712" s="73" t="s">
        <v>1984</v>
      </c>
      <c r="C1712" s="74">
        <v>8.30079283E8</v>
      </c>
      <c r="D1712" s="73" t="s">
        <v>2183</v>
      </c>
      <c r="E1712" s="72">
        <v>10.0</v>
      </c>
      <c r="F1712" s="75">
        <v>36914.0</v>
      </c>
      <c r="G1712" s="76"/>
      <c r="H1712" s="76"/>
      <c r="I1712" s="73" t="s">
        <v>366</v>
      </c>
      <c r="J1712" s="76"/>
    </row>
    <row r="1713">
      <c r="A1713" s="74">
        <v>1709.0</v>
      </c>
      <c r="B1713" s="73" t="s">
        <v>1984</v>
      </c>
      <c r="C1713" s="74">
        <v>8.60519822E8</v>
      </c>
      <c r="D1713" s="73" t="s">
        <v>2184</v>
      </c>
      <c r="E1713" s="72">
        <v>13.0</v>
      </c>
      <c r="F1713" s="75">
        <v>36920.0</v>
      </c>
      <c r="G1713" s="76"/>
      <c r="H1713" s="76"/>
      <c r="I1713" s="73" t="s">
        <v>366</v>
      </c>
      <c r="J1713" s="76"/>
    </row>
    <row r="1714">
      <c r="A1714" s="74">
        <v>1710.0</v>
      </c>
      <c r="B1714" s="73" t="s">
        <v>1984</v>
      </c>
      <c r="C1714" s="74">
        <v>8.6053417E8</v>
      </c>
      <c r="D1714" s="73" t="s">
        <v>2185</v>
      </c>
      <c r="E1714" s="72">
        <v>12.0</v>
      </c>
      <c r="F1714" s="75">
        <v>36920.0</v>
      </c>
      <c r="G1714" s="76"/>
      <c r="H1714" s="76"/>
      <c r="I1714" s="73" t="s">
        <v>366</v>
      </c>
      <c r="J1714" s="76"/>
    </row>
    <row r="1715">
      <c r="A1715" s="74">
        <v>1711.0</v>
      </c>
      <c r="B1715" s="73" t="s">
        <v>1984</v>
      </c>
      <c r="C1715" s="74">
        <v>8.00214321E8</v>
      </c>
      <c r="D1715" s="73" t="s">
        <v>2186</v>
      </c>
      <c r="E1715" s="72">
        <v>15.0</v>
      </c>
      <c r="F1715" s="75">
        <v>36921.0</v>
      </c>
      <c r="G1715" s="76"/>
      <c r="H1715" s="76"/>
      <c r="I1715" s="73" t="s">
        <v>366</v>
      </c>
      <c r="J1715" s="76"/>
    </row>
    <row r="1716">
      <c r="A1716" s="74">
        <v>1712.0</v>
      </c>
      <c r="B1716" s="73" t="s">
        <v>1984</v>
      </c>
      <c r="C1716" s="74">
        <v>8.30078E8</v>
      </c>
      <c r="D1716" s="73" t="s">
        <v>2187</v>
      </c>
      <c r="E1716" s="72">
        <v>17.0</v>
      </c>
      <c r="F1716" s="75">
        <v>36921.0</v>
      </c>
      <c r="G1716" s="76"/>
      <c r="H1716" s="76"/>
      <c r="I1716" s="73" t="s">
        <v>366</v>
      </c>
      <c r="J1716" s="76"/>
    </row>
    <row r="1717">
      <c r="A1717" s="74">
        <v>1713.0</v>
      </c>
      <c r="B1717" s="73" t="s">
        <v>1984</v>
      </c>
      <c r="C1717" s="74">
        <v>8.00035276E8</v>
      </c>
      <c r="D1717" s="73" t="s">
        <v>2188</v>
      </c>
      <c r="E1717" s="72">
        <v>471.0</v>
      </c>
      <c r="F1717" s="75">
        <v>36936.0</v>
      </c>
      <c r="G1717" s="76"/>
      <c r="H1717" s="76"/>
      <c r="I1717" s="73" t="s">
        <v>366</v>
      </c>
      <c r="J1717" s="76"/>
    </row>
    <row r="1718">
      <c r="A1718" s="74">
        <v>1714.0</v>
      </c>
      <c r="B1718" s="73" t="s">
        <v>1984</v>
      </c>
      <c r="C1718" s="74">
        <v>8.00096454E8</v>
      </c>
      <c r="D1718" s="73" t="s">
        <v>2189</v>
      </c>
      <c r="E1718" s="72">
        <v>468.0</v>
      </c>
      <c r="F1718" s="75">
        <v>36936.0</v>
      </c>
      <c r="G1718" s="76"/>
      <c r="H1718" s="76"/>
      <c r="I1718" s="73" t="s">
        <v>366</v>
      </c>
      <c r="J1718" s="76"/>
    </row>
    <row r="1719">
      <c r="A1719" s="74">
        <v>1715.0</v>
      </c>
      <c r="B1719" s="73" t="s">
        <v>1984</v>
      </c>
      <c r="C1719" s="74">
        <v>8.00149523E8</v>
      </c>
      <c r="D1719" s="73" t="s">
        <v>2190</v>
      </c>
      <c r="E1719" s="72">
        <v>475.0</v>
      </c>
      <c r="F1719" s="75">
        <v>36941.0</v>
      </c>
      <c r="G1719" s="76"/>
      <c r="H1719" s="76"/>
      <c r="I1719" s="73" t="s">
        <v>366</v>
      </c>
      <c r="J1719" s="76"/>
    </row>
    <row r="1720">
      <c r="A1720" s="74">
        <v>1716.0</v>
      </c>
      <c r="B1720" s="73" t="s">
        <v>1984</v>
      </c>
      <c r="C1720" s="74">
        <v>8.00187807E8</v>
      </c>
      <c r="D1720" s="73" t="s">
        <v>2191</v>
      </c>
      <c r="E1720" s="72">
        <v>473.0</v>
      </c>
      <c r="F1720" s="75">
        <v>36941.0</v>
      </c>
      <c r="G1720" s="76"/>
      <c r="H1720" s="76"/>
      <c r="I1720" s="73" t="s">
        <v>366</v>
      </c>
      <c r="J1720" s="76"/>
    </row>
    <row r="1721">
      <c r="A1721" s="74">
        <v>1717.0</v>
      </c>
      <c r="B1721" s="73" t="s">
        <v>1984</v>
      </c>
      <c r="C1721" s="74">
        <v>8.60003954E8</v>
      </c>
      <c r="D1721" s="73" t="s">
        <v>2192</v>
      </c>
      <c r="E1721" s="72">
        <v>476.0</v>
      </c>
      <c r="F1721" s="75">
        <v>36941.0</v>
      </c>
      <c r="G1721" s="76"/>
      <c r="H1721" s="76"/>
      <c r="I1721" s="73" t="s">
        <v>366</v>
      </c>
      <c r="J1721" s="76"/>
    </row>
    <row r="1722">
      <c r="A1722" s="74">
        <v>1718.0</v>
      </c>
      <c r="B1722" s="73" t="s">
        <v>1984</v>
      </c>
      <c r="C1722" s="74">
        <v>8.90504655E8</v>
      </c>
      <c r="D1722" s="73" t="s">
        <v>2193</v>
      </c>
      <c r="E1722" s="72">
        <v>474.0</v>
      </c>
      <c r="F1722" s="75">
        <v>36941.0</v>
      </c>
      <c r="G1722" s="76"/>
      <c r="H1722" s="76"/>
      <c r="I1722" s="73" t="s">
        <v>366</v>
      </c>
      <c r="J1722" s="76"/>
    </row>
    <row r="1723">
      <c r="A1723" s="74">
        <v>1719.0</v>
      </c>
      <c r="B1723" s="73" t="s">
        <v>1984</v>
      </c>
      <c r="C1723" s="74">
        <v>8.30079651E8</v>
      </c>
      <c r="D1723" s="73" t="s">
        <v>2194</v>
      </c>
      <c r="E1723" s="72">
        <v>775.0</v>
      </c>
      <c r="F1723" s="75">
        <v>36950.0</v>
      </c>
      <c r="G1723" s="76"/>
      <c r="H1723" s="76"/>
      <c r="I1723" s="73" t="s">
        <v>366</v>
      </c>
      <c r="J1723" s="76"/>
    </row>
    <row r="1724">
      <c r="A1724" s="74">
        <v>1720.0</v>
      </c>
      <c r="B1724" s="73" t="s">
        <v>1984</v>
      </c>
      <c r="C1724" s="74">
        <v>8.30080035E8</v>
      </c>
      <c r="D1724" s="73" t="s">
        <v>2195</v>
      </c>
      <c r="E1724" s="72">
        <v>778.0</v>
      </c>
      <c r="F1724" s="75">
        <v>36950.0</v>
      </c>
      <c r="G1724" s="76"/>
      <c r="H1724" s="76"/>
      <c r="I1724" s="73" t="s">
        <v>366</v>
      </c>
      <c r="J1724" s="76"/>
    </row>
    <row r="1725">
      <c r="A1725" s="74">
        <v>1721.0</v>
      </c>
      <c r="B1725" s="73" t="s">
        <v>1984</v>
      </c>
      <c r="C1725" s="74">
        <v>8.30005863E8</v>
      </c>
      <c r="D1725" s="73" t="s">
        <v>2196</v>
      </c>
      <c r="E1725" s="72">
        <v>804.0</v>
      </c>
      <c r="F1725" s="75">
        <v>36955.0</v>
      </c>
      <c r="G1725" s="76"/>
      <c r="H1725" s="76"/>
      <c r="I1725" s="73" t="s">
        <v>366</v>
      </c>
      <c r="J1725" s="76"/>
    </row>
    <row r="1726">
      <c r="A1726" s="74">
        <v>1722.0</v>
      </c>
      <c r="B1726" s="73" t="s">
        <v>1984</v>
      </c>
      <c r="C1726" s="74">
        <v>8.6051233E8</v>
      </c>
      <c r="D1726" s="73" t="s">
        <v>2197</v>
      </c>
      <c r="E1726" s="72">
        <v>805.0</v>
      </c>
      <c r="F1726" s="75">
        <v>36955.0</v>
      </c>
      <c r="G1726" s="76"/>
      <c r="H1726" s="76"/>
      <c r="I1726" s="73" t="s">
        <v>366</v>
      </c>
      <c r="J1726" s="76"/>
    </row>
    <row r="1727">
      <c r="A1727" s="74">
        <v>1723.0</v>
      </c>
      <c r="B1727" s="73" t="s">
        <v>1984</v>
      </c>
      <c r="C1727" s="74">
        <v>8.00210313E8</v>
      </c>
      <c r="D1727" s="73" t="s">
        <v>2198</v>
      </c>
      <c r="E1727" s="72">
        <v>1095.0</v>
      </c>
      <c r="F1727" s="75">
        <v>36977.0</v>
      </c>
      <c r="G1727" s="76"/>
      <c r="H1727" s="76"/>
      <c r="I1727" s="73" t="s">
        <v>366</v>
      </c>
      <c r="J1727" s="76"/>
    </row>
    <row r="1728">
      <c r="A1728" s="74">
        <v>1724.0</v>
      </c>
      <c r="B1728" s="73" t="s">
        <v>1984</v>
      </c>
      <c r="C1728" s="74">
        <v>8.00222189E8</v>
      </c>
      <c r="D1728" s="73" t="s">
        <v>2199</v>
      </c>
      <c r="E1728" s="72">
        <v>1098.0</v>
      </c>
      <c r="F1728" s="75">
        <v>36977.0</v>
      </c>
      <c r="G1728" s="76"/>
      <c r="H1728" s="76"/>
      <c r="I1728" s="73" t="s">
        <v>366</v>
      </c>
      <c r="J1728" s="76"/>
    </row>
    <row r="1729">
      <c r="A1729" s="74">
        <v>1725.0</v>
      </c>
      <c r="B1729" s="73" t="s">
        <v>1984</v>
      </c>
      <c r="C1729" s="74">
        <v>8.30082247E8</v>
      </c>
      <c r="D1729" s="73" t="s">
        <v>2200</v>
      </c>
      <c r="E1729" s="72">
        <v>1096.0</v>
      </c>
      <c r="F1729" s="75">
        <v>36977.0</v>
      </c>
      <c r="G1729" s="76"/>
      <c r="H1729" s="76"/>
      <c r="I1729" s="73" t="s">
        <v>366</v>
      </c>
      <c r="J1729" s="76"/>
    </row>
    <row r="1730">
      <c r="A1730" s="74">
        <v>1726.0</v>
      </c>
      <c r="B1730" s="73" t="s">
        <v>1984</v>
      </c>
      <c r="C1730" s="74">
        <v>8.60003394E8</v>
      </c>
      <c r="D1730" s="73" t="s">
        <v>2201</v>
      </c>
      <c r="E1730" s="72">
        <v>1097.0</v>
      </c>
      <c r="F1730" s="75">
        <v>36977.0</v>
      </c>
      <c r="G1730" s="76"/>
      <c r="H1730" s="76"/>
      <c r="I1730" s="73" t="s">
        <v>366</v>
      </c>
      <c r="J1730" s="76"/>
    </row>
    <row r="1731">
      <c r="A1731" s="74">
        <v>1727.0</v>
      </c>
      <c r="B1731" s="73" t="s">
        <v>1984</v>
      </c>
      <c r="C1731" s="74">
        <v>8.60061766E8</v>
      </c>
      <c r="D1731" s="73" t="s">
        <v>2202</v>
      </c>
      <c r="E1731" s="72">
        <v>1291.0</v>
      </c>
      <c r="F1731" s="75">
        <v>36984.0</v>
      </c>
      <c r="G1731" s="76"/>
      <c r="H1731" s="76"/>
      <c r="I1731" s="73" t="s">
        <v>366</v>
      </c>
      <c r="J1731" s="76"/>
    </row>
    <row r="1732">
      <c r="A1732" s="74">
        <v>1728.0</v>
      </c>
      <c r="B1732" s="73" t="s">
        <v>1984</v>
      </c>
      <c r="C1732" s="74">
        <v>8.00145434E8</v>
      </c>
      <c r="D1732" s="73" t="s">
        <v>2203</v>
      </c>
      <c r="E1732" s="72">
        <v>102.0</v>
      </c>
      <c r="F1732" s="75">
        <v>36992.0</v>
      </c>
      <c r="G1732" s="76"/>
      <c r="H1732" s="76"/>
      <c r="I1732" s="73" t="s">
        <v>366</v>
      </c>
      <c r="J1732" s="76"/>
    </row>
    <row r="1733">
      <c r="A1733" s="74">
        <v>1729.0</v>
      </c>
      <c r="B1733" s="73" t="s">
        <v>1984</v>
      </c>
      <c r="C1733" s="74">
        <v>8.00106222E8</v>
      </c>
      <c r="D1733" s="73" t="s">
        <v>2204</v>
      </c>
      <c r="E1733" s="72">
        <v>1995.0</v>
      </c>
      <c r="F1733" s="75">
        <v>37013.0</v>
      </c>
      <c r="G1733" s="76"/>
      <c r="H1733" s="76"/>
      <c r="I1733" s="73" t="s">
        <v>366</v>
      </c>
      <c r="J1733" s="76"/>
    </row>
    <row r="1734">
      <c r="A1734" s="74">
        <v>1730.0</v>
      </c>
      <c r="B1734" s="73" t="s">
        <v>1984</v>
      </c>
      <c r="C1734" s="74">
        <v>8.00162887E8</v>
      </c>
      <c r="D1734" s="73" t="s">
        <v>2205</v>
      </c>
      <c r="E1734" s="72">
        <v>1997.0</v>
      </c>
      <c r="F1734" s="75">
        <v>37013.0</v>
      </c>
      <c r="G1734" s="76"/>
      <c r="H1734" s="76"/>
      <c r="I1734" s="73" t="s">
        <v>366</v>
      </c>
      <c r="J1734" s="76"/>
    </row>
    <row r="1735">
      <c r="A1735" s="85">
        <v>1731.0</v>
      </c>
      <c r="B1735" s="79" t="s">
        <v>1984</v>
      </c>
      <c r="C1735" s="80">
        <v>8.30081791E8</v>
      </c>
      <c r="D1735" s="79" t="s">
        <v>2206</v>
      </c>
      <c r="E1735" s="81">
        <v>1998.0</v>
      </c>
      <c r="F1735" s="84">
        <v>37013.0</v>
      </c>
      <c r="G1735" s="83"/>
      <c r="H1735" s="83"/>
      <c r="I1735" s="73" t="s">
        <v>366</v>
      </c>
      <c r="J1735" s="76"/>
    </row>
    <row r="1736">
      <c r="A1736" s="74">
        <v>1732.0</v>
      </c>
      <c r="B1736" s="73" t="s">
        <v>1984</v>
      </c>
      <c r="C1736" s="74">
        <v>8.00107626E8</v>
      </c>
      <c r="D1736" s="73" t="s">
        <v>2207</v>
      </c>
      <c r="E1736" s="72">
        <v>2039.0</v>
      </c>
      <c r="F1736" s="75">
        <v>37018.0</v>
      </c>
      <c r="G1736" s="76"/>
      <c r="H1736" s="76"/>
      <c r="I1736" s="73" t="s">
        <v>366</v>
      </c>
      <c r="J1736" s="76"/>
    </row>
    <row r="1737">
      <c r="A1737" s="74">
        <v>1733.0</v>
      </c>
      <c r="B1737" s="73" t="s">
        <v>1984</v>
      </c>
      <c r="C1737" s="74">
        <v>8.00243284E8</v>
      </c>
      <c r="D1737" s="73" t="s">
        <v>2208</v>
      </c>
      <c r="E1737" s="72">
        <v>2090.0</v>
      </c>
      <c r="F1737" s="75">
        <v>37025.0</v>
      </c>
      <c r="G1737" s="76"/>
      <c r="H1737" s="76"/>
      <c r="I1737" s="73" t="s">
        <v>366</v>
      </c>
      <c r="J1737" s="76"/>
    </row>
    <row r="1738">
      <c r="A1738" s="74">
        <v>1734.0</v>
      </c>
      <c r="B1738" s="73" t="s">
        <v>1984</v>
      </c>
      <c r="C1738" s="74">
        <v>8.00116838E8</v>
      </c>
      <c r="D1738" s="73" t="s">
        <v>2209</v>
      </c>
      <c r="E1738" s="72">
        <v>2095.0</v>
      </c>
      <c r="F1738" s="75">
        <v>37027.0</v>
      </c>
      <c r="G1738" s="76"/>
      <c r="H1738" s="76"/>
      <c r="I1738" s="73" t="s">
        <v>366</v>
      </c>
      <c r="J1738" s="76"/>
    </row>
    <row r="1739">
      <c r="A1739" s="74">
        <v>1735.0</v>
      </c>
      <c r="B1739" s="73" t="s">
        <v>1984</v>
      </c>
      <c r="C1739" s="74">
        <v>8.00118466E8</v>
      </c>
      <c r="D1739" s="73" t="s">
        <v>2210</v>
      </c>
      <c r="E1739" s="72">
        <v>2097.0</v>
      </c>
      <c r="F1739" s="75">
        <v>37032.0</v>
      </c>
      <c r="G1739" s="76"/>
      <c r="H1739" s="76"/>
      <c r="I1739" s="73" t="s">
        <v>366</v>
      </c>
      <c r="J1739" s="76"/>
    </row>
    <row r="1740">
      <c r="A1740" s="74">
        <v>1736.0</v>
      </c>
      <c r="B1740" s="73" t="s">
        <v>1984</v>
      </c>
      <c r="C1740" s="74">
        <v>8.04010418E8</v>
      </c>
      <c r="D1740" s="73" t="s">
        <v>2211</v>
      </c>
      <c r="E1740" s="72">
        <v>2099.0</v>
      </c>
      <c r="F1740" s="75">
        <v>37032.0</v>
      </c>
      <c r="G1740" s="76"/>
      <c r="H1740" s="76"/>
      <c r="I1740" s="73" t="s">
        <v>366</v>
      </c>
      <c r="J1740" s="76"/>
    </row>
    <row r="1741">
      <c r="A1741" s="74">
        <v>1737.0</v>
      </c>
      <c r="B1741" s="73" t="s">
        <v>1984</v>
      </c>
      <c r="C1741" s="74">
        <v>8.30081825E8</v>
      </c>
      <c r="D1741" s="73" t="s">
        <v>2212</v>
      </c>
      <c r="E1741" s="72">
        <v>2098.0</v>
      </c>
      <c r="F1741" s="75">
        <v>37032.0</v>
      </c>
      <c r="G1741" s="76"/>
      <c r="H1741" s="76"/>
      <c r="I1741" s="73" t="s">
        <v>366</v>
      </c>
      <c r="J1741" s="76"/>
    </row>
    <row r="1742">
      <c r="A1742" s="74">
        <v>1738.0</v>
      </c>
      <c r="B1742" s="73" t="s">
        <v>1984</v>
      </c>
      <c r="C1742" s="74">
        <v>8.30004861E8</v>
      </c>
      <c r="D1742" s="73" t="s">
        <v>2213</v>
      </c>
      <c r="E1742" s="72">
        <v>2102.0</v>
      </c>
      <c r="F1742" s="75">
        <v>37035.0</v>
      </c>
      <c r="G1742" s="76"/>
      <c r="H1742" s="76"/>
      <c r="I1742" s="73" t="s">
        <v>366</v>
      </c>
      <c r="J1742" s="76"/>
    </row>
    <row r="1743">
      <c r="A1743" s="74">
        <v>1739.0</v>
      </c>
      <c r="B1743" s="73" t="s">
        <v>1984</v>
      </c>
      <c r="C1743" s="74">
        <v>8.30085847E8</v>
      </c>
      <c r="D1743" s="73" t="s">
        <v>2214</v>
      </c>
      <c r="E1743" s="72">
        <v>2103.0</v>
      </c>
      <c r="F1743" s="75">
        <v>37035.0</v>
      </c>
      <c r="G1743" s="76"/>
      <c r="H1743" s="76"/>
      <c r="I1743" s="73" t="s">
        <v>366</v>
      </c>
      <c r="J1743" s="76"/>
    </row>
    <row r="1744">
      <c r="A1744" s="74">
        <v>1740.0</v>
      </c>
      <c r="B1744" s="73" t="s">
        <v>1984</v>
      </c>
      <c r="C1744" s="74">
        <v>8.30029175E8</v>
      </c>
      <c r="D1744" s="73" t="s">
        <v>2215</v>
      </c>
      <c r="E1744" s="72">
        <v>2112.0</v>
      </c>
      <c r="F1744" s="75">
        <v>37040.0</v>
      </c>
      <c r="G1744" s="76"/>
      <c r="H1744" s="76"/>
      <c r="I1744" s="73" t="s">
        <v>366</v>
      </c>
      <c r="J1744" s="76"/>
    </row>
    <row r="1745">
      <c r="A1745" s="74">
        <v>1741.0</v>
      </c>
      <c r="B1745" s="73" t="s">
        <v>1984</v>
      </c>
      <c r="C1745" s="74">
        <v>8.11008436E8</v>
      </c>
      <c r="D1745" s="73" t="s">
        <v>2216</v>
      </c>
      <c r="E1745" s="72">
        <v>207.0</v>
      </c>
      <c r="F1745" s="75">
        <v>37042.0</v>
      </c>
      <c r="G1745" s="76"/>
      <c r="H1745" s="76"/>
      <c r="I1745" s="73" t="s">
        <v>366</v>
      </c>
      <c r="J1745" s="76"/>
    </row>
    <row r="1746">
      <c r="A1746" s="74">
        <v>1742.0</v>
      </c>
      <c r="B1746" s="73" t="s">
        <v>1984</v>
      </c>
      <c r="C1746" s="74">
        <v>8.00162472E8</v>
      </c>
      <c r="D1746" s="73" t="s">
        <v>2217</v>
      </c>
      <c r="E1746" s="72">
        <v>2116.0</v>
      </c>
      <c r="F1746" s="75">
        <v>37043.0</v>
      </c>
      <c r="G1746" s="76"/>
      <c r="H1746" s="76"/>
      <c r="I1746" s="73" t="s">
        <v>366</v>
      </c>
      <c r="J1746" s="76"/>
    </row>
    <row r="1747">
      <c r="A1747" s="74">
        <v>1743.0</v>
      </c>
      <c r="B1747" s="73" t="s">
        <v>1984</v>
      </c>
      <c r="C1747" s="74">
        <v>8.30086213E8</v>
      </c>
      <c r="D1747" s="73" t="s">
        <v>2218</v>
      </c>
      <c r="E1747" s="72">
        <v>2120.0</v>
      </c>
      <c r="F1747" s="75">
        <v>37046.0</v>
      </c>
      <c r="G1747" s="76"/>
      <c r="H1747" s="76"/>
      <c r="I1747" s="73" t="s">
        <v>366</v>
      </c>
      <c r="J1747" s="76"/>
    </row>
    <row r="1748">
      <c r="A1748" s="74">
        <v>1744.0</v>
      </c>
      <c r="B1748" s="73" t="s">
        <v>1984</v>
      </c>
      <c r="C1748" s="74">
        <v>8.60014493E8</v>
      </c>
      <c r="D1748" s="73" t="s">
        <v>2219</v>
      </c>
      <c r="E1748" s="72">
        <v>2122.0</v>
      </c>
      <c r="F1748" s="75">
        <v>37046.0</v>
      </c>
      <c r="G1748" s="76"/>
      <c r="H1748" s="76"/>
      <c r="I1748" s="73" t="s">
        <v>366</v>
      </c>
      <c r="J1748" s="76"/>
    </row>
    <row r="1749">
      <c r="A1749" s="74">
        <v>1745.0</v>
      </c>
      <c r="B1749" s="73" t="s">
        <v>1984</v>
      </c>
      <c r="C1749" s="74">
        <v>8.0016462E8</v>
      </c>
      <c r="D1749" s="73" t="s">
        <v>2220</v>
      </c>
      <c r="E1749" s="72">
        <v>2137.0</v>
      </c>
      <c r="F1749" s="75">
        <v>37057.0</v>
      </c>
      <c r="G1749" s="76"/>
      <c r="H1749" s="76"/>
      <c r="I1749" s="73" t="s">
        <v>366</v>
      </c>
      <c r="J1749" s="76"/>
    </row>
    <row r="1750">
      <c r="A1750" s="74">
        <v>1746.0</v>
      </c>
      <c r="B1750" s="73" t="s">
        <v>1984</v>
      </c>
      <c r="C1750" s="74">
        <v>8.30084402E8</v>
      </c>
      <c r="D1750" s="73" t="s">
        <v>2221</v>
      </c>
      <c r="E1750" s="72">
        <v>2136.0</v>
      </c>
      <c r="F1750" s="75">
        <v>37057.0</v>
      </c>
      <c r="G1750" s="76"/>
      <c r="H1750" s="76"/>
      <c r="I1750" s="73" t="s">
        <v>366</v>
      </c>
      <c r="J1750" s="76"/>
    </row>
    <row r="1751">
      <c r="A1751" s="74">
        <v>1747.0</v>
      </c>
      <c r="B1751" s="73" t="s">
        <v>1984</v>
      </c>
      <c r="C1751" s="74">
        <v>8.30085933E8</v>
      </c>
      <c r="D1751" s="73" t="s">
        <v>2222</v>
      </c>
      <c r="E1751" s="72">
        <v>2135.0</v>
      </c>
      <c r="F1751" s="75">
        <v>37057.0</v>
      </c>
      <c r="G1751" s="76"/>
      <c r="H1751" s="76"/>
      <c r="I1751" s="73" t="s">
        <v>366</v>
      </c>
      <c r="J1751" s="76"/>
    </row>
    <row r="1752">
      <c r="A1752" s="74">
        <v>1748.0</v>
      </c>
      <c r="B1752" s="73" t="s">
        <v>1984</v>
      </c>
      <c r="C1752" s="74">
        <v>8.60025287E8</v>
      </c>
      <c r="D1752" s="73" t="s">
        <v>2223</v>
      </c>
      <c r="E1752" s="72">
        <v>2138.0</v>
      </c>
      <c r="F1752" s="75">
        <v>37057.0</v>
      </c>
      <c r="G1752" s="76"/>
      <c r="H1752" s="76"/>
      <c r="I1752" s="73" t="s">
        <v>366</v>
      </c>
      <c r="J1752" s="76"/>
    </row>
    <row r="1753">
      <c r="A1753" s="74">
        <v>1749.0</v>
      </c>
      <c r="B1753" s="73" t="s">
        <v>1984</v>
      </c>
      <c r="C1753" s="74">
        <v>8.00153615E8</v>
      </c>
      <c r="D1753" s="73" t="s">
        <v>2224</v>
      </c>
      <c r="E1753" s="72">
        <v>2171.0</v>
      </c>
      <c r="F1753" s="75">
        <v>37062.0</v>
      </c>
      <c r="G1753" s="76"/>
      <c r="H1753" s="76"/>
      <c r="I1753" s="73" t="s">
        <v>366</v>
      </c>
      <c r="J1753" s="76"/>
    </row>
    <row r="1754">
      <c r="A1754" s="74">
        <v>1750.0</v>
      </c>
      <c r="B1754" s="73" t="s">
        <v>1984</v>
      </c>
      <c r="C1754" s="74">
        <v>8.30060136E8</v>
      </c>
      <c r="D1754" s="73" t="s">
        <v>2225</v>
      </c>
      <c r="E1754" s="72">
        <v>2172.0</v>
      </c>
      <c r="F1754" s="75">
        <v>37062.0</v>
      </c>
      <c r="G1754" s="76"/>
      <c r="H1754" s="76"/>
      <c r="I1754" s="73" t="s">
        <v>366</v>
      </c>
      <c r="J1754" s="76"/>
    </row>
    <row r="1755">
      <c r="A1755" s="74">
        <v>1751.0</v>
      </c>
      <c r="B1755" s="73" t="s">
        <v>1984</v>
      </c>
      <c r="C1755" s="74">
        <v>8.60058029E8</v>
      </c>
      <c r="D1755" s="73" t="s">
        <v>2226</v>
      </c>
      <c r="E1755" s="72">
        <v>2561.0</v>
      </c>
      <c r="F1755" s="75">
        <v>37068.0</v>
      </c>
      <c r="G1755" s="76"/>
      <c r="H1755" s="76"/>
      <c r="I1755" s="73" t="s">
        <v>366</v>
      </c>
      <c r="J1755" s="76"/>
    </row>
    <row r="1756">
      <c r="A1756" s="74">
        <v>1752.0</v>
      </c>
      <c r="B1756" s="73" t="s">
        <v>1984</v>
      </c>
      <c r="C1756" s="74">
        <v>8.30022889E8</v>
      </c>
      <c r="D1756" s="73" t="s">
        <v>2227</v>
      </c>
      <c r="E1756" s="72">
        <v>2576.0</v>
      </c>
      <c r="F1756" s="75">
        <v>37075.0</v>
      </c>
      <c r="G1756" s="76"/>
      <c r="H1756" s="76"/>
      <c r="I1756" s="73" t="s">
        <v>366</v>
      </c>
      <c r="J1756" s="76"/>
    </row>
    <row r="1757">
      <c r="A1757" s="74">
        <v>1753.0</v>
      </c>
      <c r="B1757" s="73" t="s">
        <v>1984</v>
      </c>
      <c r="C1757" s="74">
        <v>8.3008707E8</v>
      </c>
      <c r="D1757" s="73" t="s">
        <v>2228</v>
      </c>
      <c r="E1757" s="72">
        <v>3681.0</v>
      </c>
      <c r="F1757" s="75">
        <v>37089.0</v>
      </c>
      <c r="G1757" s="76"/>
      <c r="H1757" s="76"/>
      <c r="I1757" s="73" t="s">
        <v>366</v>
      </c>
      <c r="J1757" s="76"/>
    </row>
    <row r="1758">
      <c r="A1758" s="74">
        <v>1754.0</v>
      </c>
      <c r="B1758" s="73" t="s">
        <v>1984</v>
      </c>
      <c r="C1758" s="74">
        <v>8.30088009E8</v>
      </c>
      <c r="D1758" s="73" t="s">
        <v>2229</v>
      </c>
      <c r="E1758" s="72">
        <v>3680.0</v>
      </c>
      <c r="F1758" s="75">
        <v>37089.0</v>
      </c>
      <c r="G1758" s="76"/>
      <c r="H1758" s="76"/>
      <c r="I1758" s="73" t="s">
        <v>366</v>
      </c>
      <c r="J1758" s="76"/>
    </row>
    <row r="1759">
      <c r="A1759" s="74">
        <v>1755.0</v>
      </c>
      <c r="B1759" s="73" t="s">
        <v>1984</v>
      </c>
      <c r="C1759" s="74">
        <v>8.00071488E8</v>
      </c>
      <c r="D1759" s="73" t="s">
        <v>2230</v>
      </c>
      <c r="E1759" s="72">
        <v>3686.0</v>
      </c>
      <c r="F1759" s="75">
        <v>37091.0</v>
      </c>
      <c r="G1759" s="76"/>
      <c r="H1759" s="76"/>
      <c r="I1759" s="73" t="s">
        <v>366</v>
      </c>
      <c r="J1759" s="76"/>
    </row>
    <row r="1760">
      <c r="A1760" s="74">
        <v>1756.0</v>
      </c>
      <c r="B1760" s="73" t="s">
        <v>1984</v>
      </c>
      <c r="C1760" s="74">
        <v>8.00189847E8</v>
      </c>
      <c r="D1760" s="73" t="s">
        <v>2231</v>
      </c>
      <c r="E1760" s="72">
        <v>3688.0</v>
      </c>
      <c r="F1760" s="75">
        <v>37091.0</v>
      </c>
      <c r="G1760" s="76"/>
      <c r="H1760" s="76"/>
      <c r="I1760" s="73" t="s">
        <v>366</v>
      </c>
      <c r="J1760" s="76"/>
    </row>
    <row r="1761">
      <c r="A1761" s="74">
        <v>1757.0</v>
      </c>
      <c r="B1761" s="73" t="s">
        <v>1984</v>
      </c>
      <c r="C1761" s="74">
        <v>8.00073189E8</v>
      </c>
      <c r="D1761" s="73" t="s">
        <v>2232</v>
      </c>
      <c r="E1761" s="72">
        <v>3697.0</v>
      </c>
      <c r="F1761" s="75">
        <v>37096.0</v>
      </c>
      <c r="G1761" s="76"/>
      <c r="H1761" s="76"/>
      <c r="I1761" s="73" t="s">
        <v>366</v>
      </c>
      <c r="J1761" s="76"/>
    </row>
    <row r="1762">
      <c r="A1762" s="74">
        <v>1758.0</v>
      </c>
      <c r="B1762" s="73" t="s">
        <v>1984</v>
      </c>
      <c r="C1762" s="74">
        <v>8.30009717E8</v>
      </c>
      <c r="D1762" s="73" t="s">
        <v>2233</v>
      </c>
      <c r="E1762" s="72">
        <v>3702.0</v>
      </c>
      <c r="F1762" s="75">
        <v>37102.0</v>
      </c>
      <c r="G1762" s="76"/>
      <c r="H1762" s="76"/>
      <c r="I1762" s="73" t="s">
        <v>366</v>
      </c>
      <c r="J1762" s="76"/>
    </row>
    <row r="1763">
      <c r="A1763" s="74">
        <v>1759.0</v>
      </c>
      <c r="B1763" s="73" t="s">
        <v>1984</v>
      </c>
      <c r="C1763" s="74">
        <v>8.30088839E8</v>
      </c>
      <c r="D1763" s="73" t="s">
        <v>2234</v>
      </c>
      <c r="E1763" s="72">
        <v>3703.0</v>
      </c>
      <c r="F1763" s="75">
        <v>37102.0</v>
      </c>
      <c r="G1763" s="76"/>
      <c r="H1763" s="76"/>
      <c r="I1763" s="73" t="s">
        <v>366</v>
      </c>
      <c r="J1763" s="76"/>
    </row>
    <row r="1764">
      <c r="A1764" s="74">
        <v>1760.0</v>
      </c>
      <c r="B1764" s="73" t="s">
        <v>1984</v>
      </c>
      <c r="C1764" s="74">
        <v>8.30038007E8</v>
      </c>
      <c r="D1764" s="73" t="s">
        <v>2235</v>
      </c>
      <c r="E1764" s="72">
        <v>3706.0</v>
      </c>
      <c r="F1764" s="75">
        <v>37103.0</v>
      </c>
      <c r="G1764" s="76"/>
      <c r="H1764" s="76"/>
      <c r="I1764" s="73" t="s">
        <v>366</v>
      </c>
      <c r="J1764" s="76"/>
    </row>
    <row r="1765">
      <c r="A1765" s="74">
        <v>1761.0</v>
      </c>
      <c r="B1765" s="73" t="s">
        <v>1984</v>
      </c>
      <c r="C1765" s="74">
        <v>8.30088979E8</v>
      </c>
      <c r="D1765" s="73" t="s">
        <v>2236</v>
      </c>
      <c r="E1765" s="72">
        <v>3716.0</v>
      </c>
      <c r="F1765" s="75">
        <v>37105.0</v>
      </c>
      <c r="G1765" s="76"/>
      <c r="H1765" s="76"/>
      <c r="I1765" s="73" t="s">
        <v>366</v>
      </c>
      <c r="J1765" s="76"/>
    </row>
    <row r="1766">
      <c r="A1766" s="74">
        <v>1762.0</v>
      </c>
      <c r="B1766" s="73" t="s">
        <v>1984</v>
      </c>
      <c r="C1766" s="74">
        <v>8.30088956E8</v>
      </c>
      <c r="D1766" s="73" t="s">
        <v>2237</v>
      </c>
      <c r="E1766" s="72">
        <v>3750.0</v>
      </c>
      <c r="F1766" s="75">
        <v>37107.0</v>
      </c>
      <c r="G1766" s="76"/>
      <c r="H1766" s="76"/>
      <c r="I1766" s="73" t="s">
        <v>366</v>
      </c>
      <c r="J1766" s="76"/>
    </row>
    <row r="1767">
      <c r="A1767" s="74">
        <v>1763.0</v>
      </c>
      <c r="B1767" s="73" t="s">
        <v>1984</v>
      </c>
      <c r="C1767" s="74">
        <v>8.30087165E8</v>
      </c>
      <c r="D1767" s="73" t="s">
        <v>2238</v>
      </c>
      <c r="E1767" s="72">
        <v>3720.0</v>
      </c>
      <c r="F1767" s="75">
        <v>37113.0</v>
      </c>
      <c r="G1767" s="76"/>
      <c r="H1767" s="76"/>
      <c r="I1767" s="73" t="s">
        <v>366</v>
      </c>
      <c r="J1767" s="76"/>
    </row>
    <row r="1768">
      <c r="A1768" s="74">
        <v>1764.0</v>
      </c>
      <c r="B1768" s="73" t="s">
        <v>1984</v>
      </c>
      <c r="C1768" s="74">
        <v>8.30087651E8</v>
      </c>
      <c r="D1768" s="73" t="s">
        <v>2239</v>
      </c>
      <c r="E1768" s="72">
        <v>3725.0</v>
      </c>
      <c r="F1768" s="75">
        <v>37113.0</v>
      </c>
      <c r="G1768" s="76"/>
      <c r="H1768" s="76"/>
      <c r="I1768" s="73" t="s">
        <v>366</v>
      </c>
      <c r="J1768" s="76"/>
    </row>
    <row r="1769">
      <c r="A1769" s="74">
        <v>1765.0</v>
      </c>
      <c r="B1769" s="73" t="s">
        <v>1984</v>
      </c>
      <c r="C1769" s="74">
        <v>8.00081653E8</v>
      </c>
      <c r="D1769" s="73" t="s">
        <v>2240</v>
      </c>
      <c r="E1769" s="72">
        <v>3739.0</v>
      </c>
      <c r="F1769" s="75">
        <v>37125.0</v>
      </c>
      <c r="G1769" s="76"/>
      <c r="H1769" s="76"/>
      <c r="I1769" s="73" t="s">
        <v>366</v>
      </c>
      <c r="J1769" s="76"/>
    </row>
    <row r="1770">
      <c r="A1770" s="74">
        <v>1766.0</v>
      </c>
      <c r="B1770" s="73" t="s">
        <v>1984</v>
      </c>
      <c r="C1770" s="74">
        <v>8.00176706E8</v>
      </c>
      <c r="D1770" s="73" t="s">
        <v>2241</v>
      </c>
      <c r="E1770" s="72">
        <v>3749.0</v>
      </c>
      <c r="F1770" s="75">
        <v>37127.0</v>
      </c>
      <c r="G1770" s="76"/>
      <c r="H1770" s="76"/>
      <c r="I1770" s="73" t="s">
        <v>366</v>
      </c>
      <c r="J1770" s="76"/>
    </row>
    <row r="1771">
      <c r="A1771" s="74">
        <v>1767.0</v>
      </c>
      <c r="B1771" s="73" t="s">
        <v>1984</v>
      </c>
      <c r="C1771" s="74">
        <v>8.00191198E8</v>
      </c>
      <c r="D1771" s="73" t="s">
        <v>2242</v>
      </c>
      <c r="E1771" s="72">
        <v>323.0</v>
      </c>
      <c r="F1771" s="75">
        <v>37127.0</v>
      </c>
      <c r="G1771" s="76"/>
      <c r="H1771" s="76"/>
      <c r="I1771" s="73" t="s">
        <v>366</v>
      </c>
      <c r="J1771" s="76"/>
    </row>
    <row r="1772">
      <c r="A1772" s="74">
        <v>1768.0</v>
      </c>
      <c r="B1772" s="73" t="s">
        <v>1984</v>
      </c>
      <c r="C1772" s="74">
        <v>8.60052728E8</v>
      </c>
      <c r="D1772" s="73" t="s">
        <v>2243</v>
      </c>
      <c r="E1772" s="72">
        <v>3751.0</v>
      </c>
      <c r="F1772" s="75">
        <v>37127.0</v>
      </c>
      <c r="G1772" s="76"/>
      <c r="H1772" s="76"/>
      <c r="I1772" s="73" t="s">
        <v>366</v>
      </c>
      <c r="J1772" s="76"/>
    </row>
    <row r="1773">
      <c r="A1773" s="74">
        <v>1769.0</v>
      </c>
      <c r="B1773" s="73" t="s">
        <v>1984</v>
      </c>
      <c r="C1773" s="74">
        <v>8.30091275E8</v>
      </c>
      <c r="D1773" s="73" t="s">
        <v>2244</v>
      </c>
      <c r="E1773" s="72">
        <v>3753.0</v>
      </c>
      <c r="F1773" s="75">
        <v>37131.0</v>
      </c>
      <c r="G1773" s="76"/>
      <c r="H1773" s="76"/>
      <c r="I1773" s="73" t="s">
        <v>366</v>
      </c>
      <c r="J1773" s="76"/>
    </row>
    <row r="1774">
      <c r="A1774" s="74">
        <v>1770.0</v>
      </c>
      <c r="B1774" s="73" t="s">
        <v>1984</v>
      </c>
      <c r="C1774" s="74">
        <v>8.00098943E8</v>
      </c>
      <c r="D1774" s="73" t="s">
        <v>2245</v>
      </c>
      <c r="E1774" s="72">
        <v>3757.0</v>
      </c>
      <c r="F1774" s="75">
        <v>37134.0</v>
      </c>
      <c r="G1774" s="76"/>
      <c r="H1774" s="76"/>
      <c r="I1774" s="73" t="s">
        <v>366</v>
      </c>
      <c r="J1774" s="76"/>
    </row>
    <row r="1775">
      <c r="A1775" s="74">
        <v>1771.0</v>
      </c>
      <c r="B1775" s="73" t="s">
        <v>1984</v>
      </c>
      <c r="C1775" s="74">
        <v>8.60055939E8</v>
      </c>
      <c r="D1775" s="73" t="s">
        <v>2246</v>
      </c>
      <c r="E1775" s="72">
        <v>3758.0</v>
      </c>
      <c r="F1775" s="75">
        <v>37134.0</v>
      </c>
      <c r="G1775" s="76"/>
      <c r="H1775" s="76"/>
      <c r="I1775" s="73" t="s">
        <v>366</v>
      </c>
      <c r="J1775" s="76"/>
    </row>
    <row r="1776">
      <c r="A1776" s="74">
        <v>1772.0</v>
      </c>
      <c r="B1776" s="73" t="s">
        <v>1984</v>
      </c>
      <c r="C1776" s="74">
        <v>8.001045E8</v>
      </c>
      <c r="D1776" s="73" t="s">
        <v>2247</v>
      </c>
      <c r="E1776" s="72">
        <v>4864.0</v>
      </c>
      <c r="F1776" s="75">
        <v>37152.0</v>
      </c>
      <c r="G1776" s="76"/>
      <c r="H1776" s="76"/>
      <c r="I1776" s="73" t="s">
        <v>366</v>
      </c>
      <c r="J1776" s="76"/>
    </row>
    <row r="1777">
      <c r="A1777" s="74">
        <v>1773.0</v>
      </c>
      <c r="B1777" s="73" t="s">
        <v>1984</v>
      </c>
      <c r="C1777" s="74">
        <v>8.90315639E8</v>
      </c>
      <c r="D1777" s="73" t="s">
        <v>2248</v>
      </c>
      <c r="E1777" s="72">
        <v>4863.0</v>
      </c>
      <c r="F1777" s="75">
        <v>37152.0</v>
      </c>
      <c r="G1777" s="76"/>
      <c r="H1777" s="76"/>
      <c r="I1777" s="73" t="s">
        <v>366</v>
      </c>
      <c r="J1777" s="76"/>
    </row>
    <row r="1778">
      <c r="A1778" s="74">
        <v>1774.0</v>
      </c>
      <c r="B1778" s="73" t="s">
        <v>1984</v>
      </c>
      <c r="C1778" s="74">
        <v>8.00097554E8</v>
      </c>
      <c r="D1778" s="73" t="s">
        <v>2249</v>
      </c>
      <c r="E1778" s="72">
        <v>4890.0</v>
      </c>
      <c r="F1778" s="75">
        <v>37161.0</v>
      </c>
      <c r="G1778" s="76"/>
      <c r="H1778" s="76"/>
      <c r="I1778" s="73" t="s">
        <v>366</v>
      </c>
      <c r="J1778" s="76"/>
    </row>
    <row r="1779">
      <c r="A1779" s="74">
        <v>1775.0</v>
      </c>
      <c r="B1779" s="73" t="s">
        <v>1984</v>
      </c>
      <c r="C1779" s="74">
        <v>8.00241471E8</v>
      </c>
      <c r="D1779" s="73" t="s">
        <v>2250</v>
      </c>
      <c r="E1779" s="72">
        <v>4885.0</v>
      </c>
      <c r="F1779" s="75">
        <v>37161.0</v>
      </c>
      <c r="G1779" s="76"/>
      <c r="H1779" s="76"/>
      <c r="I1779" s="73" t="s">
        <v>366</v>
      </c>
      <c r="J1779" s="76"/>
    </row>
    <row r="1780">
      <c r="A1780" s="74">
        <v>1776.0</v>
      </c>
      <c r="B1780" s="73" t="s">
        <v>1984</v>
      </c>
      <c r="C1780" s="74">
        <v>8.30054581E8</v>
      </c>
      <c r="D1780" s="73" t="s">
        <v>2251</v>
      </c>
      <c r="E1780" s="72">
        <v>4887.0</v>
      </c>
      <c r="F1780" s="75">
        <v>37161.0</v>
      </c>
      <c r="G1780" s="76"/>
      <c r="H1780" s="76"/>
      <c r="I1780" s="73" t="s">
        <v>366</v>
      </c>
      <c r="J1780" s="76"/>
    </row>
    <row r="1781">
      <c r="A1781" s="74">
        <v>1777.0</v>
      </c>
      <c r="B1781" s="73" t="s">
        <v>1984</v>
      </c>
      <c r="C1781" s="74">
        <v>8.60506928E8</v>
      </c>
      <c r="D1781" s="73" t="s">
        <v>2252</v>
      </c>
      <c r="E1781" s="72">
        <v>4886.0</v>
      </c>
      <c r="F1781" s="75">
        <v>37161.0</v>
      </c>
      <c r="G1781" s="76"/>
      <c r="H1781" s="76"/>
      <c r="I1781" s="73" t="s">
        <v>366</v>
      </c>
      <c r="J1781" s="76"/>
    </row>
    <row r="1782">
      <c r="A1782" s="74">
        <v>1778.0</v>
      </c>
      <c r="B1782" s="73" t="s">
        <v>1984</v>
      </c>
      <c r="C1782" s="74">
        <v>8.00175706E8</v>
      </c>
      <c r="D1782" s="73" t="s">
        <v>2253</v>
      </c>
      <c r="E1782" s="72">
        <v>4905.0</v>
      </c>
      <c r="F1782" s="77">
        <v>37174.0</v>
      </c>
      <c r="G1782" s="76"/>
      <c r="H1782" s="76"/>
      <c r="I1782" s="73" t="s">
        <v>366</v>
      </c>
      <c r="J1782" s="76"/>
    </row>
    <row r="1783">
      <c r="A1783" s="74">
        <v>1779.0</v>
      </c>
      <c r="B1783" s="73" t="s">
        <v>1984</v>
      </c>
      <c r="C1783" s="74">
        <v>8.00163833E8</v>
      </c>
      <c r="D1783" s="73" t="s">
        <v>2254</v>
      </c>
      <c r="E1783" s="72">
        <v>4914.0</v>
      </c>
      <c r="F1783" s="77">
        <v>37176.0</v>
      </c>
      <c r="G1783" s="76"/>
      <c r="H1783" s="76"/>
      <c r="I1783" s="73" t="s">
        <v>366</v>
      </c>
      <c r="J1783" s="76"/>
    </row>
    <row r="1784">
      <c r="A1784" s="74">
        <v>1780.0</v>
      </c>
      <c r="B1784" s="73" t="s">
        <v>1984</v>
      </c>
      <c r="C1784" s="74">
        <v>8.3001846E8</v>
      </c>
      <c r="D1784" s="73" t="s">
        <v>2255</v>
      </c>
      <c r="E1784" s="72">
        <v>4913.0</v>
      </c>
      <c r="F1784" s="77">
        <v>37176.0</v>
      </c>
      <c r="G1784" s="76"/>
      <c r="H1784" s="76"/>
      <c r="I1784" s="73" t="s">
        <v>366</v>
      </c>
      <c r="J1784" s="76"/>
    </row>
    <row r="1785">
      <c r="A1785" s="74">
        <v>1781.0</v>
      </c>
      <c r="B1785" s="73" t="s">
        <v>1984</v>
      </c>
      <c r="C1785" s="74">
        <v>8.30091634E8</v>
      </c>
      <c r="D1785" s="73" t="s">
        <v>2256</v>
      </c>
      <c r="E1785" s="72">
        <v>4916.0</v>
      </c>
      <c r="F1785" s="77">
        <v>37176.0</v>
      </c>
      <c r="G1785" s="76"/>
      <c r="H1785" s="76"/>
      <c r="I1785" s="73" t="s">
        <v>366</v>
      </c>
      <c r="J1785" s="76"/>
    </row>
    <row r="1786">
      <c r="A1786" s="74">
        <v>1782.0</v>
      </c>
      <c r="B1786" s="73" t="s">
        <v>1984</v>
      </c>
      <c r="C1786" s="74">
        <v>8.0023922E8</v>
      </c>
      <c r="D1786" s="73" t="s">
        <v>2257</v>
      </c>
      <c r="E1786" s="72">
        <v>4926.0</v>
      </c>
      <c r="F1786" s="77">
        <v>37186.0</v>
      </c>
      <c r="G1786" s="76"/>
      <c r="H1786" s="76"/>
      <c r="I1786" s="73" t="s">
        <v>366</v>
      </c>
      <c r="J1786" s="76"/>
    </row>
    <row r="1787">
      <c r="A1787" s="74">
        <v>1783.0</v>
      </c>
      <c r="B1787" s="73" t="s">
        <v>1984</v>
      </c>
      <c r="C1787" s="74">
        <v>8.30092461E8</v>
      </c>
      <c r="D1787" s="73" t="s">
        <v>2258</v>
      </c>
      <c r="E1787" s="72">
        <v>4974.0</v>
      </c>
      <c r="F1787" s="77">
        <v>37188.0</v>
      </c>
      <c r="G1787" s="76"/>
      <c r="H1787" s="76"/>
      <c r="I1787" s="73" t="s">
        <v>366</v>
      </c>
      <c r="J1787" s="76"/>
    </row>
    <row r="1788">
      <c r="A1788" s="85">
        <v>1784.0</v>
      </c>
      <c r="B1788" s="79" t="s">
        <v>1984</v>
      </c>
      <c r="C1788" s="80">
        <v>8.30090207E8</v>
      </c>
      <c r="D1788" s="79" t="s">
        <v>2259</v>
      </c>
      <c r="E1788" s="81">
        <v>4975.0</v>
      </c>
      <c r="F1788" s="82">
        <v>37189.0</v>
      </c>
      <c r="G1788" s="83"/>
      <c r="H1788" s="83"/>
      <c r="I1788" s="73" t="s">
        <v>366</v>
      </c>
      <c r="J1788" s="76"/>
    </row>
    <row r="1789">
      <c r="A1789" s="74">
        <v>1785.0</v>
      </c>
      <c r="B1789" s="73" t="s">
        <v>1984</v>
      </c>
      <c r="C1789" s="74">
        <v>8.30065805E8</v>
      </c>
      <c r="D1789" s="73" t="s">
        <v>2260</v>
      </c>
      <c r="E1789" s="72">
        <v>4982.0</v>
      </c>
      <c r="F1789" s="77">
        <v>37195.0</v>
      </c>
      <c r="G1789" s="76"/>
      <c r="H1789" s="76"/>
      <c r="I1789" s="73" t="s">
        <v>366</v>
      </c>
      <c r="J1789" s="76"/>
    </row>
    <row r="1790">
      <c r="A1790" s="74">
        <v>1786.0</v>
      </c>
      <c r="B1790" s="73" t="s">
        <v>1984</v>
      </c>
      <c r="C1790" s="74">
        <v>8.00105031E8</v>
      </c>
      <c r="D1790" s="73" t="s">
        <v>2261</v>
      </c>
      <c r="E1790" s="72">
        <v>4987.0</v>
      </c>
      <c r="F1790" s="77">
        <v>37196.0</v>
      </c>
      <c r="G1790" s="76"/>
      <c r="H1790" s="76"/>
      <c r="I1790" s="73" t="s">
        <v>366</v>
      </c>
      <c r="J1790" s="76"/>
    </row>
    <row r="1791">
      <c r="A1791" s="74">
        <v>1787.0</v>
      </c>
      <c r="B1791" s="73" t="s">
        <v>1984</v>
      </c>
      <c r="C1791" s="74">
        <v>8.30080892E8</v>
      </c>
      <c r="D1791" s="73" t="s">
        <v>2262</v>
      </c>
      <c r="E1791" s="72">
        <v>5012.0</v>
      </c>
      <c r="F1791" s="77">
        <v>37201.0</v>
      </c>
      <c r="G1791" s="76"/>
      <c r="H1791" s="76"/>
      <c r="I1791" s="73" t="s">
        <v>366</v>
      </c>
      <c r="J1791" s="76"/>
    </row>
    <row r="1792">
      <c r="A1792" s="74">
        <v>1788.0</v>
      </c>
      <c r="B1792" s="73" t="s">
        <v>1984</v>
      </c>
      <c r="C1792" s="74">
        <v>8.30092981E8</v>
      </c>
      <c r="D1792" s="73" t="s">
        <v>2263</v>
      </c>
      <c r="E1792" s="72">
        <v>5013.0</v>
      </c>
      <c r="F1792" s="77">
        <v>37201.0</v>
      </c>
      <c r="G1792" s="76"/>
      <c r="H1792" s="76"/>
      <c r="I1792" s="73" t="s">
        <v>366</v>
      </c>
      <c r="J1792" s="76"/>
    </row>
    <row r="1793">
      <c r="A1793" s="74">
        <v>1789.0</v>
      </c>
      <c r="B1793" s="73" t="s">
        <v>1984</v>
      </c>
      <c r="C1793" s="74">
        <v>8.60054978E8</v>
      </c>
      <c r="D1793" s="73" t="s">
        <v>2264</v>
      </c>
      <c r="E1793" s="72">
        <v>5014.0</v>
      </c>
      <c r="F1793" s="77">
        <v>37201.0</v>
      </c>
      <c r="G1793" s="76"/>
      <c r="H1793" s="76"/>
      <c r="I1793" s="73" t="s">
        <v>366</v>
      </c>
      <c r="J1793" s="76"/>
    </row>
    <row r="1794">
      <c r="A1794" s="74">
        <v>1790.0</v>
      </c>
      <c r="B1794" s="73" t="s">
        <v>1984</v>
      </c>
      <c r="C1794" s="74">
        <v>8.32005569E8</v>
      </c>
      <c r="D1794" s="73" t="s">
        <v>2265</v>
      </c>
      <c r="E1794" s="72">
        <v>5055.0</v>
      </c>
      <c r="F1794" s="77">
        <v>37214.0</v>
      </c>
      <c r="G1794" s="76"/>
      <c r="H1794" s="76"/>
      <c r="I1794" s="73" t="s">
        <v>366</v>
      </c>
      <c r="J1794" s="76"/>
    </row>
    <row r="1795">
      <c r="A1795" s="74">
        <v>1791.0</v>
      </c>
      <c r="B1795" s="73" t="s">
        <v>1984</v>
      </c>
      <c r="C1795" s="74">
        <v>8.60068121E8</v>
      </c>
      <c r="D1795" s="73" t="s">
        <v>2266</v>
      </c>
      <c r="E1795" s="72">
        <v>5059.0</v>
      </c>
      <c r="F1795" s="77">
        <v>37214.0</v>
      </c>
      <c r="G1795" s="76"/>
      <c r="H1795" s="76"/>
      <c r="I1795" s="73" t="s">
        <v>366</v>
      </c>
      <c r="J1795" s="76"/>
    </row>
    <row r="1796">
      <c r="A1796" s="74">
        <v>1792.0</v>
      </c>
      <c r="B1796" s="73" t="s">
        <v>1984</v>
      </c>
      <c r="C1796" s="74">
        <v>8.60508646E8</v>
      </c>
      <c r="D1796" s="73" t="s">
        <v>2267</v>
      </c>
      <c r="E1796" s="72">
        <v>5058.0</v>
      </c>
      <c r="F1796" s="77">
        <v>37214.0</v>
      </c>
      <c r="G1796" s="76"/>
      <c r="H1796" s="76"/>
      <c r="I1796" s="73" t="s">
        <v>366</v>
      </c>
      <c r="J1796" s="76"/>
    </row>
    <row r="1797">
      <c r="A1797" s="74">
        <v>1793.0</v>
      </c>
      <c r="B1797" s="73" t="s">
        <v>1984</v>
      </c>
      <c r="C1797" s="74">
        <v>8.30092136E8</v>
      </c>
      <c r="D1797" s="73" t="s">
        <v>2268</v>
      </c>
      <c r="E1797" s="72">
        <v>5098.0</v>
      </c>
      <c r="F1797" s="77">
        <v>37223.0</v>
      </c>
      <c r="G1797" s="76"/>
      <c r="H1797" s="76"/>
      <c r="I1797" s="73" t="s">
        <v>366</v>
      </c>
      <c r="J1797" s="76"/>
    </row>
    <row r="1798">
      <c r="A1798" s="74">
        <v>1794.0</v>
      </c>
      <c r="B1798" s="73" t="s">
        <v>1984</v>
      </c>
      <c r="C1798" s="74">
        <v>8.32005855E8</v>
      </c>
      <c r="D1798" s="73" t="s">
        <v>2269</v>
      </c>
      <c r="E1798" s="72">
        <v>5099.0</v>
      </c>
      <c r="F1798" s="77">
        <v>37223.0</v>
      </c>
      <c r="G1798" s="76"/>
      <c r="H1798" s="76"/>
      <c r="I1798" s="73" t="s">
        <v>366</v>
      </c>
      <c r="J1798" s="76"/>
    </row>
    <row r="1799">
      <c r="A1799" s="74">
        <v>1795.0</v>
      </c>
      <c r="B1799" s="73" t="s">
        <v>1984</v>
      </c>
      <c r="C1799" s="74">
        <v>8.00148973E8</v>
      </c>
      <c r="D1799" s="73" t="s">
        <v>2270</v>
      </c>
      <c r="E1799" s="72">
        <v>5125.0</v>
      </c>
      <c r="F1799" s="77">
        <v>37230.0</v>
      </c>
      <c r="G1799" s="76"/>
      <c r="H1799" s="76"/>
      <c r="I1799" s="73" t="s">
        <v>366</v>
      </c>
      <c r="J1799" s="76"/>
    </row>
    <row r="1800">
      <c r="A1800" s="74">
        <v>1796.0</v>
      </c>
      <c r="B1800" s="73" t="s">
        <v>1984</v>
      </c>
      <c r="C1800" s="74">
        <v>8.6050166E8</v>
      </c>
      <c r="D1800" s="73" t="s">
        <v>2271</v>
      </c>
      <c r="E1800" s="72">
        <v>5136.0</v>
      </c>
      <c r="F1800" s="77">
        <v>37236.0</v>
      </c>
      <c r="G1800" s="76"/>
      <c r="H1800" s="76"/>
      <c r="I1800" s="73" t="s">
        <v>366</v>
      </c>
      <c r="J1800" s="76"/>
    </row>
    <row r="1801">
      <c r="A1801" s="74">
        <v>1797.0</v>
      </c>
      <c r="B1801" s="73" t="s">
        <v>1984</v>
      </c>
      <c r="C1801" s="74">
        <v>8.60045499E8</v>
      </c>
      <c r="D1801" s="73" t="s">
        <v>2272</v>
      </c>
      <c r="E1801" s="72">
        <v>5148.0</v>
      </c>
      <c r="F1801" s="77">
        <v>37239.0</v>
      </c>
      <c r="G1801" s="76"/>
      <c r="H1801" s="76"/>
      <c r="I1801" s="73" t="s">
        <v>366</v>
      </c>
      <c r="J1801" s="76"/>
    </row>
    <row r="1802">
      <c r="A1802" s="74">
        <v>1798.0</v>
      </c>
      <c r="B1802" s="73" t="s">
        <v>1984</v>
      </c>
      <c r="C1802" s="74">
        <v>8.00039515E8</v>
      </c>
      <c r="D1802" s="73" t="s">
        <v>2273</v>
      </c>
      <c r="E1802" s="72">
        <v>5156.0</v>
      </c>
      <c r="F1802" s="77">
        <v>37242.0</v>
      </c>
      <c r="G1802" s="76"/>
      <c r="H1802" s="76"/>
      <c r="I1802" s="73" t="s">
        <v>366</v>
      </c>
      <c r="J1802" s="76"/>
    </row>
    <row r="1803">
      <c r="A1803" s="74">
        <v>1799.0</v>
      </c>
      <c r="B1803" s="73" t="s">
        <v>1984</v>
      </c>
      <c r="C1803" s="74">
        <v>8.00131512E8</v>
      </c>
      <c r="D1803" s="73" t="s">
        <v>2274</v>
      </c>
      <c r="E1803" s="72">
        <v>5157.0</v>
      </c>
      <c r="F1803" s="77">
        <v>37242.0</v>
      </c>
      <c r="G1803" s="76"/>
      <c r="H1803" s="76"/>
      <c r="I1803" s="73" t="s">
        <v>366</v>
      </c>
      <c r="J1803" s="76"/>
    </row>
    <row r="1804">
      <c r="A1804" s="74">
        <v>1800.0</v>
      </c>
      <c r="B1804" s="73" t="s">
        <v>1984</v>
      </c>
      <c r="C1804" s="74">
        <v>8.00199108E8</v>
      </c>
      <c r="D1804" s="73" t="s">
        <v>2275</v>
      </c>
      <c r="E1804" s="72">
        <v>5158.0</v>
      </c>
      <c r="F1804" s="77">
        <v>37242.0</v>
      </c>
      <c r="G1804" s="76"/>
      <c r="H1804" s="76"/>
      <c r="I1804" s="73" t="s">
        <v>366</v>
      </c>
      <c r="J1804" s="76"/>
    </row>
    <row r="1805">
      <c r="A1805" s="74">
        <v>1801.0</v>
      </c>
      <c r="B1805" s="73" t="s">
        <v>1984</v>
      </c>
      <c r="C1805" s="74">
        <v>8.30095534E8</v>
      </c>
      <c r="D1805" s="73" t="s">
        <v>2276</v>
      </c>
      <c r="E1805" s="72">
        <v>4.0</v>
      </c>
      <c r="F1805" s="75">
        <v>37265.0</v>
      </c>
      <c r="G1805" s="76"/>
      <c r="H1805" s="76"/>
      <c r="I1805" s="73" t="s">
        <v>366</v>
      </c>
      <c r="J1805" s="76"/>
    </row>
    <row r="1806">
      <c r="A1806" s="74">
        <v>1802.0</v>
      </c>
      <c r="B1806" s="73" t="s">
        <v>1984</v>
      </c>
      <c r="C1806" s="74">
        <v>8.00170939E8</v>
      </c>
      <c r="D1806" s="73" t="s">
        <v>2277</v>
      </c>
      <c r="E1806" s="72">
        <v>5.0</v>
      </c>
      <c r="F1806" s="75">
        <v>37265.0</v>
      </c>
      <c r="G1806" s="76"/>
      <c r="H1806" s="76"/>
      <c r="I1806" s="73" t="s">
        <v>366</v>
      </c>
      <c r="J1806" s="76"/>
    </row>
    <row r="1807">
      <c r="A1807" s="74">
        <v>1803.0</v>
      </c>
      <c r="B1807" s="73" t="s">
        <v>1984</v>
      </c>
      <c r="C1807" s="74">
        <v>8.00167994E8</v>
      </c>
      <c r="D1807" s="73" t="s">
        <v>2278</v>
      </c>
      <c r="E1807" s="72">
        <v>11.0</v>
      </c>
      <c r="F1807" s="75">
        <v>37266.0</v>
      </c>
      <c r="G1807" s="76"/>
      <c r="H1807" s="76"/>
      <c r="I1807" s="73" t="s">
        <v>366</v>
      </c>
      <c r="J1807" s="76"/>
    </row>
    <row r="1808">
      <c r="A1808" s="74">
        <v>1804.0</v>
      </c>
      <c r="B1808" s="73" t="s">
        <v>1984</v>
      </c>
      <c r="C1808" s="74">
        <v>8.00130199E8</v>
      </c>
      <c r="D1808" s="73" t="s">
        <v>2279</v>
      </c>
      <c r="E1808" s="72">
        <v>6.0</v>
      </c>
      <c r="F1808" s="75">
        <v>37267.0</v>
      </c>
      <c r="G1808" s="76"/>
      <c r="H1808" s="76"/>
      <c r="I1808" s="73" t="s">
        <v>366</v>
      </c>
      <c r="J1808" s="76"/>
    </row>
    <row r="1809">
      <c r="A1809" s="74">
        <v>1805.0</v>
      </c>
      <c r="B1809" s="73" t="s">
        <v>1984</v>
      </c>
      <c r="C1809" s="74">
        <v>8.3009448E8</v>
      </c>
      <c r="D1809" s="73" t="s">
        <v>2280</v>
      </c>
      <c r="E1809" s="72">
        <v>11.0</v>
      </c>
      <c r="F1809" s="75">
        <v>37270.0</v>
      </c>
      <c r="G1809" s="76"/>
      <c r="H1809" s="76"/>
      <c r="I1809" s="73" t="s">
        <v>366</v>
      </c>
      <c r="J1809" s="76"/>
    </row>
    <row r="1810">
      <c r="A1810" s="74">
        <v>1806.0</v>
      </c>
      <c r="B1810" s="73" t="s">
        <v>1984</v>
      </c>
      <c r="C1810" s="74">
        <v>8.3200625E8</v>
      </c>
      <c r="D1810" s="73" t="s">
        <v>2281</v>
      </c>
      <c r="E1810" s="72">
        <v>13.0</v>
      </c>
      <c r="F1810" s="75">
        <v>37270.0</v>
      </c>
      <c r="G1810" s="76"/>
      <c r="H1810" s="76"/>
      <c r="I1810" s="73" t="s">
        <v>366</v>
      </c>
      <c r="J1810" s="76"/>
    </row>
    <row r="1811">
      <c r="A1811" s="74">
        <v>1807.0</v>
      </c>
      <c r="B1811" s="73" t="s">
        <v>1984</v>
      </c>
      <c r="C1811" s="74">
        <v>9.00925028E8</v>
      </c>
      <c r="D1811" s="73" t="s">
        <v>2282</v>
      </c>
      <c r="E1811" s="72">
        <v>14.0</v>
      </c>
      <c r="F1811" s="75">
        <v>37270.0</v>
      </c>
      <c r="G1811" s="76"/>
      <c r="H1811" s="76"/>
      <c r="I1811" s="73" t="s">
        <v>366</v>
      </c>
      <c r="J1811" s="76"/>
    </row>
    <row r="1812">
      <c r="A1812" s="74">
        <v>1808.0</v>
      </c>
      <c r="B1812" s="73" t="s">
        <v>1984</v>
      </c>
      <c r="C1812" s="74">
        <v>8.30095616E8</v>
      </c>
      <c r="D1812" s="73" t="s">
        <v>2283</v>
      </c>
      <c r="E1812" s="72">
        <v>19.0</v>
      </c>
      <c r="F1812" s="75">
        <v>37284.0</v>
      </c>
      <c r="G1812" s="76"/>
      <c r="H1812" s="76"/>
      <c r="I1812" s="73" t="s">
        <v>366</v>
      </c>
      <c r="J1812" s="76"/>
    </row>
    <row r="1813">
      <c r="A1813" s="74">
        <v>1809.0</v>
      </c>
      <c r="B1813" s="73" t="s">
        <v>1984</v>
      </c>
      <c r="C1813" s="74">
        <v>8.60004838E8</v>
      </c>
      <c r="D1813" s="73" t="s">
        <v>2284</v>
      </c>
      <c r="E1813" s="72">
        <v>32.0</v>
      </c>
      <c r="F1813" s="75">
        <v>37291.0</v>
      </c>
      <c r="G1813" s="76"/>
      <c r="H1813" s="76"/>
      <c r="I1813" s="73" t="s">
        <v>366</v>
      </c>
      <c r="J1813" s="76"/>
    </row>
    <row r="1814">
      <c r="A1814" s="74">
        <v>1810.0</v>
      </c>
      <c r="B1814" s="73" t="s">
        <v>1984</v>
      </c>
      <c r="C1814" s="74">
        <v>8.00101399E8</v>
      </c>
      <c r="D1814" s="73" t="s">
        <v>2285</v>
      </c>
      <c r="E1814" s="72">
        <v>42.0</v>
      </c>
      <c r="F1814" s="75">
        <v>37294.0</v>
      </c>
      <c r="G1814" s="76"/>
      <c r="H1814" s="76"/>
      <c r="I1814" s="73" t="s">
        <v>366</v>
      </c>
      <c r="J1814" s="76"/>
    </row>
    <row r="1815">
      <c r="A1815" s="74">
        <v>1811.0</v>
      </c>
      <c r="B1815" s="73" t="s">
        <v>1984</v>
      </c>
      <c r="C1815" s="74">
        <v>8.60053746E8</v>
      </c>
      <c r="D1815" s="73" t="s">
        <v>2286</v>
      </c>
      <c r="E1815" s="72">
        <v>41.0</v>
      </c>
      <c r="F1815" s="75">
        <v>37294.0</v>
      </c>
      <c r="G1815" s="76"/>
      <c r="H1815" s="76"/>
      <c r="I1815" s="73" t="s">
        <v>366</v>
      </c>
      <c r="J1815" s="76"/>
    </row>
    <row r="1816">
      <c r="A1816" s="74">
        <v>1812.0</v>
      </c>
      <c r="B1816" s="73" t="s">
        <v>1984</v>
      </c>
      <c r="C1816" s="74">
        <v>8.30077594E8</v>
      </c>
      <c r="D1816" s="73" t="s">
        <v>2287</v>
      </c>
      <c r="E1816" s="72">
        <v>64.0</v>
      </c>
      <c r="F1816" s="75">
        <v>37299.0</v>
      </c>
      <c r="G1816" s="76"/>
      <c r="H1816" s="76"/>
      <c r="I1816" s="73" t="s">
        <v>366</v>
      </c>
      <c r="J1816" s="76"/>
    </row>
    <row r="1817">
      <c r="A1817" s="74">
        <v>1813.0</v>
      </c>
      <c r="B1817" s="73" t="s">
        <v>1984</v>
      </c>
      <c r="C1817" s="74">
        <v>8.30093992E8</v>
      </c>
      <c r="D1817" s="73" t="s">
        <v>2288</v>
      </c>
      <c r="E1817" s="72">
        <v>66.0</v>
      </c>
      <c r="F1817" s="75">
        <v>37299.0</v>
      </c>
      <c r="G1817" s="76"/>
      <c r="H1817" s="76"/>
      <c r="I1817" s="73" t="s">
        <v>366</v>
      </c>
      <c r="J1817" s="76"/>
    </row>
    <row r="1818">
      <c r="A1818" s="74">
        <v>1814.0</v>
      </c>
      <c r="B1818" s="73" t="s">
        <v>1984</v>
      </c>
      <c r="C1818" s="74">
        <v>8.3003885E8</v>
      </c>
      <c r="D1818" s="73" t="s">
        <v>2289</v>
      </c>
      <c r="E1818" s="72">
        <v>182.0</v>
      </c>
      <c r="F1818" s="75">
        <v>37301.0</v>
      </c>
      <c r="G1818" s="76"/>
      <c r="H1818" s="76"/>
      <c r="I1818" s="73" t="s">
        <v>366</v>
      </c>
      <c r="J1818" s="76"/>
    </row>
    <row r="1819">
      <c r="A1819" s="74">
        <v>1815.0</v>
      </c>
      <c r="B1819" s="73" t="s">
        <v>1984</v>
      </c>
      <c r="C1819" s="74">
        <v>8.30098566E8</v>
      </c>
      <c r="D1819" s="73" t="s">
        <v>2290</v>
      </c>
      <c r="E1819" s="72">
        <v>168.0</v>
      </c>
      <c r="F1819" s="75">
        <v>37301.0</v>
      </c>
      <c r="G1819" s="76"/>
      <c r="H1819" s="76"/>
      <c r="I1819" s="73" t="s">
        <v>366</v>
      </c>
      <c r="J1819" s="76"/>
    </row>
    <row r="1820">
      <c r="A1820" s="74">
        <v>1816.0</v>
      </c>
      <c r="B1820" s="73" t="s">
        <v>1984</v>
      </c>
      <c r="C1820" s="74">
        <v>9.00559843E8</v>
      </c>
      <c r="D1820" s="73" t="s">
        <v>2291</v>
      </c>
      <c r="E1820" s="72">
        <v>168.0</v>
      </c>
      <c r="F1820" s="75">
        <v>37301.0</v>
      </c>
      <c r="G1820" s="76"/>
      <c r="H1820" s="76"/>
      <c r="I1820" s="73" t="s">
        <v>366</v>
      </c>
      <c r="J1820" s="76"/>
    </row>
    <row r="1821">
      <c r="A1821" s="74">
        <v>1817.0</v>
      </c>
      <c r="B1821" s="73" t="s">
        <v>1984</v>
      </c>
      <c r="C1821" s="74">
        <v>8.00099805E8</v>
      </c>
      <c r="D1821" s="73" t="s">
        <v>2292</v>
      </c>
      <c r="E1821" s="72">
        <v>186.0</v>
      </c>
      <c r="F1821" s="75">
        <v>37305.0</v>
      </c>
      <c r="G1821" s="76"/>
      <c r="H1821" s="76"/>
      <c r="I1821" s="73" t="s">
        <v>366</v>
      </c>
      <c r="J1821" s="76"/>
    </row>
    <row r="1822">
      <c r="A1822" s="74">
        <v>1818.0</v>
      </c>
      <c r="B1822" s="73" t="s">
        <v>1984</v>
      </c>
      <c r="C1822" s="74">
        <v>8.09000555E8</v>
      </c>
      <c r="D1822" s="73" t="s">
        <v>2293</v>
      </c>
      <c r="E1822" s="72">
        <v>107.0</v>
      </c>
      <c r="F1822" s="75">
        <v>37305.0</v>
      </c>
      <c r="G1822" s="76"/>
      <c r="H1822" s="76"/>
      <c r="I1822" s="73" t="s">
        <v>366</v>
      </c>
      <c r="J1822" s="76"/>
    </row>
    <row r="1823">
      <c r="A1823" s="74">
        <v>1819.0</v>
      </c>
      <c r="B1823" s="73" t="s">
        <v>1984</v>
      </c>
      <c r="C1823" s="74">
        <v>8.00209576E8</v>
      </c>
      <c r="D1823" s="73" t="s">
        <v>2294</v>
      </c>
      <c r="E1823" s="72">
        <v>192.0</v>
      </c>
      <c r="F1823" s="75">
        <v>37307.0</v>
      </c>
      <c r="G1823" s="76"/>
      <c r="H1823" s="76"/>
      <c r="I1823" s="73" t="s">
        <v>366</v>
      </c>
      <c r="J1823" s="76"/>
    </row>
    <row r="1824">
      <c r="A1824" s="74">
        <v>1820.0</v>
      </c>
      <c r="B1824" s="73" t="s">
        <v>1984</v>
      </c>
      <c r="C1824" s="74">
        <v>8.3009716E8</v>
      </c>
      <c r="D1824" s="73" t="s">
        <v>2295</v>
      </c>
      <c r="E1824" s="72">
        <v>188.0</v>
      </c>
      <c r="F1824" s="75">
        <v>37307.0</v>
      </c>
      <c r="G1824" s="76"/>
      <c r="H1824" s="76"/>
      <c r="I1824" s="73" t="s">
        <v>366</v>
      </c>
      <c r="J1824" s="76"/>
    </row>
    <row r="1825">
      <c r="A1825" s="74">
        <v>1821.0</v>
      </c>
      <c r="B1825" s="73" t="s">
        <v>1984</v>
      </c>
      <c r="C1825" s="74">
        <v>8.30095544E8</v>
      </c>
      <c r="D1825" s="73" t="s">
        <v>2296</v>
      </c>
      <c r="E1825" s="72">
        <v>203.0</v>
      </c>
      <c r="F1825" s="75">
        <v>37313.0</v>
      </c>
      <c r="G1825" s="76"/>
      <c r="H1825" s="76"/>
      <c r="I1825" s="73" t="s">
        <v>366</v>
      </c>
      <c r="J1825" s="76"/>
    </row>
    <row r="1826">
      <c r="A1826" s="74">
        <v>1822.0</v>
      </c>
      <c r="B1826" s="73" t="s">
        <v>1984</v>
      </c>
      <c r="C1826" s="74">
        <v>8.60001371E8</v>
      </c>
      <c r="D1826" s="73" t="s">
        <v>2297</v>
      </c>
      <c r="E1826" s="72">
        <v>202.0</v>
      </c>
      <c r="F1826" s="75">
        <v>37313.0</v>
      </c>
      <c r="G1826" s="76"/>
      <c r="H1826" s="76"/>
      <c r="I1826" s="73" t="s">
        <v>366</v>
      </c>
      <c r="J1826" s="76"/>
    </row>
    <row r="1827">
      <c r="A1827" s="74">
        <v>1823.0</v>
      </c>
      <c r="B1827" s="73" t="s">
        <v>1984</v>
      </c>
      <c r="C1827" s="74">
        <v>8.60534357E8</v>
      </c>
      <c r="D1827" s="73" t="s">
        <v>2298</v>
      </c>
      <c r="E1827" s="72">
        <v>201.0</v>
      </c>
      <c r="F1827" s="75">
        <v>37313.0</v>
      </c>
      <c r="G1827" s="76"/>
      <c r="H1827" s="76"/>
      <c r="I1827" s="73" t="s">
        <v>366</v>
      </c>
      <c r="J1827" s="76"/>
    </row>
    <row r="1828">
      <c r="A1828" s="74">
        <v>1824.0</v>
      </c>
      <c r="B1828" s="73" t="s">
        <v>1984</v>
      </c>
      <c r="C1828" s="74">
        <v>8.30097082E8</v>
      </c>
      <c r="D1828" s="73" t="s">
        <v>2299</v>
      </c>
      <c r="E1828" s="72">
        <v>207.0</v>
      </c>
      <c r="F1828" s="75">
        <v>37314.0</v>
      </c>
      <c r="G1828" s="76"/>
      <c r="H1828" s="76"/>
      <c r="I1828" s="73" t="s">
        <v>366</v>
      </c>
      <c r="J1828" s="76"/>
    </row>
    <row r="1829">
      <c r="A1829" s="74">
        <v>1825.0</v>
      </c>
      <c r="B1829" s="73" t="s">
        <v>1984</v>
      </c>
      <c r="C1829" s="74">
        <v>8.30038608E8</v>
      </c>
      <c r="D1829" s="73" t="s">
        <v>2300</v>
      </c>
      <c r="E1829" s="72">
        <v>215.0</v>
      </c>
      <c r="F1829" s="75">
        <v>37322.0</v>
      </c>
      <c r="G1829" s="76"/>
      <c r="H1829" s="76"/>
      <c r="I1829" s="73" t="s">
        <v>366</v>
      </c>
      <c r="J1829" s="76"/>
    </row>
    <row r="1830">
      <c r="A1830" s="74">
        <v>1826.0</v>
      </c>
      <c r="B1830" s="73" t="s">
        <v>1984</v>
      </c>
      <c r="C1830" s="74">
        <v>8.3009826E8</v>
      </c>
      <c r="D1830" s="73" t="s">
        <v>2301</v>
      </c>
      <c r="E1830" s="72">
        <v>503.0</v>
      </c>
      <c r="F1830" s="75">
        <v>37336.0</v>
      </c>
      <c r="G1830" s="76"/>
      <c r="H1830" s="76"/>
      <c r="I1830" s="73" t="s">
        <v>366</v>
      </c>
      <c r="J1830" s="76"/>
    </row>
    <row r="1831">
      <c r="A1831" s="74">
        <v>1827.0</v>
      </c>
      <c r="B1831" s="73" t="s">
        <v>1984</v>
      </c>
      <c r="C1831" s="74">
        <v>8.30034719E8</v>
      </c>
      <c r="D1831" s="73" t="s">
        <v>2302</v>
      </c>
      <c r="E1831" s="72">
        <v>545.0</v>
      </c>
      <c r="F1831" s="75">
        <v>37351.0</v>
      </c>
      <c r="G1831" s="76"/>
      <c r="H1831" s="76"/>
      <c r="I1831" s="73" t="s">
        <v>366</v>
      </c>
      <c r="J1831" s="76"/>
    </row>
    <row r="1832">
      <c r="A1832" s="74">
        <v>1828.0</v>
      </c>
      <c r="B1832" s="73" t="s">
        <v>1984</v>
      </c>
      <c r="C1832" s="74">
        <v>8.01001686E8</v>
      </c>
      <c r="D1832" s="73" t="s">
        <v>2303</v>
      </c>
      <c r="E1832" s="72">
        <v>552.0</v>
      </c>
      <c r="F1832" s="75">
        <v>37354.0</v>
      </c>
      <c r="G1832" s="76"/>
      <c r="H1832" s="76"/>
      <c r="I1832" s="73" t="s">
        <v>366</v>
      </c>
      <c r="J1832" s="76"/>
    </row>
    <row r="1833">
      <c r="A1833" s="74">
        <v>1829.0</v>
      </c>
      <c r="B1833" s="73" t="s">
        <v>1984</v>
      </c>
      <c r="C1833" s="74">
        <v>8.60504882E8</v>
      </c>
      <c r="D1833" s="73" t="s">
        <v>2304</v>
      </c>
      <c r="E1833" s="72">
        <v>555.0</v>
      </c>
      <c r="F1833" s="75">
        <v>37354.0</v>
      </c>
      <c r="G1833" s="76"/>
      <c r="H1833" s="76"/>
      <c r="I1833" s="73" t="s">
        <v>366</v>
      </c>
      <c r="J1833" s="76"/>
    </row>
    <row r="1834">
      <c r="A1834" s="74">
        <v>1830.0</v>
      </c>
      <c r="B1834" s="73" t="s">
        <v>1984</v>
      </c>
      <c r="C1834" s="74">
        <v>8.30099596E8</v>
      </c>
      <c r="D1834" s="73" t="s">
        <v>2305</v>
      </c>
      <c r="E1834" s="72">
        <v>554.0</v>
      </c>
      <c r="F1834" s="75">
        <v>37354.0</v>
      </c>
      <c r="G1834" s="76"/>
      <c r="H1834" s="76"/>
      <c r="I1834" s="73" t="s">
        <v>366</v>
      </c>
      <c r="J1834" s="76"/>
    </row>
    <row r="1835">
      <c r="A1835" s="74">
        <v>1831.0</v>
      </c>
      <c r="B1835" s="73" t="s">
        <v>1984</v>
      </c>
      <c r="C1835" s="74">
        <v>8.00047876E8</v>
      </c>
      <c r="D1835" s="73" t="s">
        <v>2306</v>
      </c>
      <c r="E1835" s="72">
        <v>734.0</v>
      </c>
      <c r="F1835" s="75">
        <v>37356.0</v>
      </c>
      <c r="G1835" s="76"/>
      <c r="H1835" s="76"/>
      <c r="I1835" s="73" t="s">
        <v>366</v>
      </c>
      <c r="J1835" s="76"/>
    </row>
    <row r="1836">
      <c r="A1836" s="74">
        <v>1832.0</v>
      </c>
      <c r="B1836" s="73" t="s">
        <v>1984</v>
      </c>
      <c r="C1836" s="74">
        <v>8.60076309E8</v>
      </c>
      <c r="D1836" s="73" t="s">
        <v>2302</v>
      </c>
      <c r="E1836" s="72">
        <v>832.0</v>
      </c>
      <c r="F1836" s="75">
        <v>37361.0</v>
      </c>
      <c r="G1836" s="76"/>
      <c r="H1836" s="76"/>
      <c r="I1836" s="73" t="s">
        <v>366</v>
      </c>
      <c r="J1836" s="76"/>
    </row>
    <row r="1837">
      <c r="A1837" s="74">
        <v>1833.0</v>
      </c>
      <c r="B1837" s="73" t="s">
        <v>1984</v>
      </c>
      <c r="C1837" s="74">
        <v>8.00131683E8</v>
      </c>
      <c r="D1837" s="73" t="s">
        <v>2307</v>
      </c>
      <c r="E1837" s="72">
        <v>1072.0</v>
      </c>
      <c r="F1837" s="75">
        <v>37365.0</v>
      </c>
      <c r="G1837" s="76"/>
      <c r="H1837" s="76"/>
      <c r="I1837" s="73" t="s">
        <v>366</v>
      </c>
      <c r="J1837" s="76"/>
    </row>
    <row r="1838">
      <c r="A1838" s="74">
        <v>1834.0</v>
      </c>
      <c r="B1838" s="73" t="s">
        <v>1984</v>
      </c>
      <c r="C1838" s="74">
        <v>8.00141915E8</v>
      </c>
      <c r="D1838" s="73" t="s">
        <v>2308</v>
      </c>
      <c r="E1838" s="72">
        <v>1398.0</v>
      </c>
      <c r="F1838" s="75">
        <v>37371.0</v>
      </c>
      <c r="G1838" s="76"/>
      <c r="H1838" s="76"/>
      <c r="I1838" s="73" t="s">
        <v>366</v>
      </c>
      <c r="J1838" s="76"/>
    </row>
    <row r="1839">
      <c r="A1839" s="74">
        <v>1835.0</v>
      </c>
      <c r="B1839" s="73" t="s">
        <v>1984</v>
      </c>
      <c r="C1839" s="74">
        <v>8.0004221E8</v>
      </c>
      <c r="D1839" s="73" t="s">
        <v>2309</v>
      </c>
      <c r="E1839" s="72">
        <v>1632.0</v>
      </c>
      <c r="F1839" s="75">
        <v>37376.0</v>
      </c>
      <c r="G1839" s="76"/>
      <c r="H1839" s="76"/>
      <c r="I1839" s="73" t="s">
        <v>366</v>
      </c>
      <c r="J1839" s="76"/>
    </row>
    <row r="1840">
      <c r="A1840" s="74">
        <v>1836.0</v>
      </c>
      <c r="B1840" s="73" t="s">
        <v>1984</v>
      </c>
      <c r="C1840" s="74">
        <v>8.00186001E8</v>
      </c>
      <c r="D1840" s="73" t="s">
        <v>2310</v>
      </c>
      <c r="E1840" s="72">
        <v>1622.0</v>
      </c>
      <c r="F1840" s="75">
        <v>37376.0</v>
      </c>
      <c r="G1840" s="76"/>
      <c r="H1840" s="76"/>
      <c r="I1840" s="73" t="s">
        <v>366</v>
      </c>
      <c r="J1840" s="76"/>
    </row>
    <row r="1841">
      <c r="A1841" s="85">
        <v>1837.0</v>
      </c>
      <c r="B1841" s="79" t="s">
        <v>1984</v>
      </c>
      <c r="C1841" s="80">
        <v>8.00221881E8</v>
      </c>
      <c r="D1841" s="79" t="s">
        <v>2311</v>
      </c>
      <c r="E1841" s="81">
        <v>1633.0</v>
      </c>
      <c r="F1841" s="84">
        <v>37376.0</v>
      </c>
      <c r="G1841" s="83"/>
      <c r="H1841" s="83"/>
      <c r="I1841" s="73" t="s">
        <v>366</v>
      </c>
      <c r="J1841" s="76"/>
    </row>
    <row r="1842">
      <c r="A1842" s="74">
        <v>1838.0</v>
      </c>
      <c r="B1842" s="73" t="s">
        <v>1984</v>
      </c>
      <c r="C1842" s="74">
        <v>8.30006177E8</v>
      </c>
      <c r="D1842" s="73" t="s">
        <v>2312</v>
      </c>
      <c r="E1842" s="72">
        <v>1628.0</v>
      </c>
      <c r="F1842" s="75">
        <v>37376.0</v>
      </c>
      <c r="G1842" s="76"/>
      <c r="H1842" s="76"/>
      <c r="I1842" s="73" t="s">
        <v>366</v>
      </c>
      <c r="J1842" s="76"/>
    </row>
    <row r="1843">
      <c r="A1843" s="74">
        <v>1839.0</v>
      </c>
      <c r="B1843" s="73" t="s">
        <v>1984</v>
      </c>
      <c r="C1843" s="74">
        <v>8.0020358E8</v>
      </c>
      <c r="D1843" s="73" t="s">
        <v>2313</v>
      </c>
      <c r="E1843" s="72">
        <v>2080.0</v>
      </c>
      <c r="F1843" s="75">
        <v>37383.0</v>
      </c>
      <c r="G1843" s="76"/>
      <c r="H1843" s="76"/>
      <c r="I1843" s="73" t="s">
        <v>366</v>
      </c>
      <c r="J1843" s="76"/>
    </row>
    <row r="1844">
      <c r="A1844" s="74">
        <v>1840.0</v>
      </c>
      <c r="B1844" s="73" t="s">
        <v>1984</v>
      </c>
      <c r="C1844" s="74">
        <v>8.60031417E8</v>
      </c>
      <c r="D1844" s="73" t="s">
        <v>2314</v>
      </c>
      <c r="E1844" s="72">
        <v>2072.0</v>
      </c>
      <c r="F1844" s="75">
        <v>37383.0</v>
      </c>
      <c r="G1844" s="76"/>
      <c r="H1844" s="76"/>
      <c r="I1844" s="73" t="s">
        <v>366</v>
      </c>
      <c r="J1844" s="76"/>
    </row>
    <row r="1845">
      <c r="A1845" s="74">
        <v>1841.0</v>
      </c>
      <c r="B1845" s="73" t="s">
        <v>1984</v>
      </c>
      <c r="C1845" s="74">
        <v>8.60519098E8</v>
      </c>
      <c r="D1845" s="73" t="s">
        <v>2315</v>
      </c>
      <c r="E1845" s="72">
        <v>2073.0</v>
      </c>
      <c r="F1845" s="75">
        <v>37383.0</v>
      </c>
      <c r="G1845" s="76"/>
      <c r="H1845" s="76"/>
      <c r="I1845" s="73" t="s">
        <v>366</v>
      </c>
      <c r="J1845" s="76"/>
    </row>
    <row r="1846">
      <c r="A1846" s="74">
        <v>1842.0</v>
      </c>
      <c r="B1846" s="73" t="s">
        <v>1984</v>
      </c>
      <c r="C1846" s="74">
        <v>8.00126046E8</v>
      </c>
      <c r="D1846" s="73" t="s">
        <v>2316</v>
      </c>
      <c r="E1846" s="72">
        <v>2082.0</v>
      </c>
      <c r="F1846" s="75">
        <v>37385.0</v>
      </c>
      <c r="G1846" s="76"/>
      <c r="H1846" s="76"/>
      <c r="I1846" s="73" t="s">
        <v>366</v>
      </c>
      <c r="J1846" s="76"/>
    </row>
    <row r="1847">
      <c r="A1847" s="74">
        <v>1843.0</v>
      </c>
      <c r="B1847" s="73" t="s">
        <v>1984</v>
      </c>
      <c r="C1847" s="74">
        <v>8.00213907E8</v>
      </c>
      <c r="D1847" s="73" t="s">
        <v>2317</v>
      </c>
      <c r="E1847" s="72">
        <v>2083.0</v>
      </c>
      <c r="F1847" s="75">
        <v>37385.0</v>
      </c>
      <c r="G1847" s="76"/>
      <c r="H1847" s="76"/>
      <c r="I1847" s="73" t="s">
        <v>366</v>
      </c>
      <c r="J1847" s="76"/>
    </row>
    <row r="1848">
      <c r="A1848" s="74">
        <v>1844.0</v>
      </c>
      <c r="B1848" s="73" t="s">
        <v>1984</v>
      </c>
      <c r="C1848" s="74">
        <v>8.30012149E8</v>
      </c>
      <c r="D1848" s="73" t="s">
        <v>2318</v>
      </c>
      <c r="E1848" s="72">
        <v>2219.0</v>
      </c>
      <c r="F1848" s="75">
        <v>37393.0</v>
      </c>
      <c r="G1848" s="76"/>
      <c r="H1848" s="76"/>
      <c r="I1848" s="73" t="s">
        <v>366</v>
      </c>
      <c r="J1848" s="76"/>
    </row>
    <row r="1849">
      <c r="A1849" s="74">
        <v>1845.0</v>
      </c>
      <c r="B1849" s="73" t="s">
        <v>1984</v>
      </c>
      <c r="C1849" s="74">
        <v>8.30101302E8</v>
      </c>
      <c r="D1849" s="73" t="s">
        <v>2319</v>
      </c>
      <c r="E1849" s="72">
        <v>2240.0</v>
      </c>
      <c r="F1849" s="75">
        <v>37397.0</v>
      </c>
      <c r="G1849" s="76"/>
      <c r="H1849" s="76"/>
      <c r="I1849" s="73" t="s">
        <v>366</v>
      </c>
      <c r="J1849" s="76"/>
    </row>
    <row r="1850">
      <c r="A1850" s="74">
        <v>1846.0</v>
      </c>
      <c r="B1850" s="73" t="s">
        <v>1984</v>
      </c>
      <c r="C1850" s="74">
        <v>8.00090168E8</v>
      </c>
      <c r="D1850" s="73" t="s">
        <v>2320</v>
      </c>
      <c r="E1850" s="72">
        <v>2247.0</v>
      </c>
      <c r="F1850" s="75">
        <v>37398.0</v>
      </c>
      <c r="G1850" s="76"/>
      <c r="H1850" s="76"/>
      <c r="I1850" s="73" t="s">
        <v>366</v>
      </c>
      <c r="J1850" s="76"/>
    </row>
    <row r="1851">
      <c r="A1851" s="74">
        <v>1847.0</v>
      </c>
      <c r="B1851" s="73" t="s">
        <v>1984</v>
      </c>
      <c r="C1851" s="74">
        <v>8.00201723E8</v>
      </c>
      <c r="D1851" s="73" t="s">
        <v>2321</v>
      </c>
      <c r="E1851" s="72">
        <v>2249.0</v>
      </c>
      <c r="F1851" s="75">
        <v>37398.0</v>
      </c>
      <c r="G1851" s="76"/>
      <c r="H1851" s="76"/>
      <c r="I1851" s="73" t="s">
        <v>366</v>
      </c>
      <c r="J1851" s="76"/>
    </row>
    <row r="1852">
      <c r="A1852" s="74">
        <v>1848.0</v>
      </c>
      <c r="B1852" s="73" t="s">
        <v>1984</v>
      </c>
      <c r="C1852" s="74">
        <v>8.60057016E8</v>
      </c>
      <c r="D1852" s="73" t="s">
        <v>2322</v>
      </c>
      <c r="E1852" s="72">
        <v>2246.0</v>
      </c>
      <c r="F1852" s="75">
        <v>37398.0</v>
      </c>
      <c r="G1852" s="76"/>
      <c r="H1852" s="76"/>
      <c r="I1852" s="73" t="s">
        <v>366</v>
      </c>
      <c r="J1852" s="76"/>
    </row>
    <row r="1853">
      <c r="A1853" s="74">
        <v>1849.0</v>
      </c>
      <c r="B1853" s="73" t="s">
        <v>1984</v>
      </c>
      <c r="C1853" s="74">
        <v>8.60007463E8</v>
      </c>
      <c r="D1853" s="73" t="s">
        <v>2323</v>
      </c>
      <c r="E1853" s="72">
        <v>2252.0</v>
      </c>
      <c r="F1853" s="75">
        <v>37400.0</v>
      </c>
      <c r="G1853" s="76"/>
      <c r="H1853" s="76"/>
      <c r="I1853" s="73" t="s">
        <v>366</v>
      </c>
      <c r="J1853" s="76"/>
    </row>
    <row r="1854">
      <c r="A1854" s="74">
        <v>1850.0</v>
      </c>
      <c r="B1854" s="73" t="s">
        <v>1984</v>
      </c>
      <c r="C1854" s="74">
        <v>8.30035511E8</v>
      </c>
      <c r="D1854" s="73" t="s">
        <v>2324</v>
      </c>
      <c r="E1854" s="72">
        <v>2276.0</v>
      </c>
      <c r="F1854" s="75">
        <v>37412.0</v>
      </c>
      <c r="G1854" s="76"/>
      <c r="H1854" s="76"/>
      <c r="I1854" s="73" t="s">
        <v>366</v>
      </c>
      <c r="J1854" s="76"/>
    </row>
    <row r="1855">
      <c r="A1855" s="74">
        <v>1851.0</v>
      </c>
      <c r="B1855" s="73" t="s">
        <v>1984</v>
      </c>
      <c r="C1855" s="74">
        <v>8.30099793E8</v>
      </c>
      <c r="D1855" s="73" t="s">
        <v>2325</v>
      </c>
      <c r="E1855" s="72">
        <v>2275.0</v>
      </c>
      <c r="F1855" s="75">
        <v>37412.0</v>
      </c>
      <c r="G1855" s="76"/>
      <c r="H1855" s="76"/>
      <c r="I1855" s="73" t="s">
        <v>366</v>
      </c>
      <c r="J1855" s="76"/>
    </row>
    <row r="1856">
      <c r="A1856" s="74">
        <v>1852.0</v>
      </c>
      <c r="B1856" s="73" t="s">
        <v>1984</v>
      </c>
      <c r="C1856" s="74">
        <v>8.3010135E8</v>
      </c>
      <c r="D1856" s="73" t="s">
        <v>2326</v>
      </c>
      <c r="E1856" s="72">
        <v>2272.0</v>
      </c>
      <c r="F1856" s="75">
        <v>37412.0</v>
      </c>
      <c r="G1856" s="76"/>
      <c r="H1856" s="76"/>
      <c r="I1856" s="73" t="s">
        <v>366</v>
      </c>
      <c r="J1856" s="76"/>
    </row>
    <row r="1857">
      <c r="A1857" s="74">
        <v>1853.0</v>
      </c>
      <c r="B1857" s="73" t="s">
        <v>1984</v>
      </c>
      <c r="C1857" s="74">
        <v>8.30037921E8</v>
      </c>
      <c r="D1857" s="73" t="s">
        <v>2327</v>
      </c>
      <c r="E1857" s="72">
        <v>2278.0</v>
      </c>
      <c r="F1857" s="75">
        <v>37413.0</v>
      </c>
      <c r="G1857" s="76"/>
      <c r="H1857" s="76"/>
      <c r="I1857" s="73" t="s">
        <v>366</v>
      </c>
      <c r="J1857" s="76"/>
    </row>
    <row r="1858">
      <c r="A1858" s="74">
        <v>1854.0</v>
      </c>
      <c r="B1858" s="73" t="s">
        <v>1984</v>
      </c>
      <c r="C1858" s="74">
        <v>8.00101182E8</v>
      </c>
      <c r="D1858" s="73" t="s">
        <v>2328</v>
      </c>
      <c r="E1858" s="72">
        <v>2289.0</v>
      </c>
      <c r="F1858" s="75">
        <v>37418.0</v>
      </c>
      <c r="G1858" s="76"/>
      <c r="H1858" s="76"/>
      <c r="I1858" s="73" t="s">
        <v>366</v>
      </c>
      <c r="J1858" s="76"/>
    </row>
    <row r="1859">
      <c r="A1859" s="74">
        <v>1855.0</v>
      </c>
      <c r="B1859" s="73" t="s">
        <v>1984</v>
      </c>
      <c r="C1859" s="74">
        <v>8.60533311E8</v>
      </c>
      <c r="D1859" s="73" t="s">
        <v>2329</v>
      </c>
      <c r="E1859" s="72">
        <v>2297.0</v>
      </c>
      <c r="F1859" s="75">
        <v>37419.0</v>
      </c>
      <c r="G1859" s="76"/>
      <c r="H1859" s="76"/>
      <c r="I1859" s="73" t="s">
        <v>366</v>
      </c>
      <c r="J1859" s="76"/>
    </row>
    <row r="1860">
      <c r="A1860" s="74">
        <v>1856.0</v>
      </c>
      <c r="B1860" s="73" t="s">
        <v>1984</v>
      </c>
      <c r="C1860" s="74">
        <v>8.30100365E8</v>
      </c>
      <c r="D1860" s="73" t="s">
        <v>2330</v>
      </c>
      <c r="E1860" s="72">
        <v>2314.0</v>
      </c>
      <c r="F1860" s="75">
        <v>37421.0</v>
      </c>
      <c r="G1860" s="76"/>
      <c r="H1860" s="76"/>
      <c r="I1860" s="73" t="s">
        <v>366</v>
      </c>
      <c r="J1860" s="76"/>
    </row>
    <row r="1861">
      <c r="A1861" s="74">
        <v>1857.0</v>
      </c>
      <c r="B1861" s="73" t="s">
        <v>1984</v>
      </c>
      <c r="C1861" s="74">
        <v>8.30101597E8</v>
      </c>
      <c r="D1861" s="73" t="s">
        <v>2331</v>
      </c>
      <c r="E1861" s="72">
        <v>2313.0</v>
      </c>
      <c r="F1861" s="75">
        <v>37421.0</v>
      </c>
      <c r="G1861" s="76"/>
      <c r="H1861" s="76"/>
      <c r="I1861" s="73" t="s">
        <v>366</v>
      </c>
      <c r="J1861" s="76"/>
    </row>
    <row r="1862">
      <c r="A1862" s="74">
        <v>1858.0</v>
      </c>
      <c r="B1862" s="73" t="s">
        <v>1984</v>
      </c>
      <c r="C1862" s="74">
        <v>8.30101579E8</v>
      </c>
      <c r="D1862" s="73" t="s">
        <v>2332</v>
      </c>
      <c r="E1862" s="72">
        <v>2401.0</v>
      </c>
      <c r="F1862" s="75">
        <v>37426.0</v>
      </c>
      <c r="G1862" s="76"/>
      <c r="H1862" s="76"/>
      <c r="I1862" s="73" t="s">
        <v>366</v>
      </c>
      <c r="J1862" s="76"/>
    </row>
    <row r="1863">
      <c r="A1863" s="74">
        <v>1859.0</v>
      </c>
      <c r="B1863" s="73" t="s">
        <v>1984</v>
      </c>
      <c r="C1863" s="74">
        <v>8.30102234E8</v>
      </c>
      <c r="D1863" s="73" t="s">
        <v>2333</v>
      </c>
      <c r="E1863" s="72">
        <v>2400.0</v>
      </c>
      <c r="F1863" s="75">
        <v>37426.0</v>
      </c>
      <c r="G1863" s="76"/>
      <c r="H1863" s="76"/>
      <c r="I1863" s="73" t="s">
        <v>366</v>
      </c>
      <c r="J1863" s="76"/>
    </row>
    <row r="1864">
      <c r="A1864" s="74">
        <v>1860.0</v>
      </c>
      <c r="B1864" s="73" t="s">
        <v>1984</v>
      </c>
      <c r="C1864" s="74">
        <v>8.9011591E8</v>
      </c>
      <c r="D1864" s="73" t="s">
        <v>2334</v>
      </c>
      <c r="E1864" s="72">
        <v>2405.0</v>
      </c>
      <c r="F1864" s="75">
        <v>37426.0</v>
      </c>
      <c r="G1864" s="76"/>
      <c r="H1864" s="76"/>
      <c r="I1864" s="73" t="s">
        <v>366</v>
      </c>
      <c r="J1864" s="76"/>
    </row>
    <row r="1865">
      <c r="A1865" s="74">
        <v>1861.0</v>
      </c>
      <c r="B1865" s="73" t="s">
        <v>1984</v>
      </c>
      <c r="C1865" s="74">
        <v>8.60039004E8</v>
      </c>
      <c r="D1865" s="73" t="s">
        <v>2335</v>
      </c>
      <c r="E1865" s="72">
        <v>2411.0</v>
      </c>
      <c r="F1865" s="75">
        <v>37431.0</v>
      </c>
      <c r="G1865" s="76"/>
      <c r="H1865" s="76"/>
      <c r="I1865" s="73" t="s">
        <v>366</v>
      </c>
      <c r="J1865" s="76"/>
    </row>
    <row r="1866">
      <c r="A1866" s="74">
        <v>1862.0</v>
      </c>
      <c r="B1866" s="73" t="s">
        <v>1984</v>
      </c>
      <c r="C1866" s="74">
        <v>8.30101819E8</v>
      </c>
      <c r="D1866" s="73" t="s">
        <v>2336</v>
      </c>
      <c r="E1866" s="72">
        <v>2425.0</v>
      </c>
      <c r="F1866" s="75">
        <v>37434.0</v>
      </c>
      <c r="G1866" s="76"/>
      <c r="H1866" s="76"/>
      <c r="I1866" s="73" t="s">
        <v>366</v>
      </c>
      <c r="J1866" s="76"/>
    </row>
    <row r="1867">
      <c r="A1867" s="74">
        <v>1863.0</v>
      </c>
      <c r="B1867" s="73" t="s">
        <v>1984</v>
      </c>
      <c r="C1867" s="74">
        <v>8.30101959E8</v>
      </c>
      <c r="D1867" s="73" t="s">
        <v>2337</v>
      </c>
      <c r="E1867" s="72">
        <v>2424.0</v>
      </c>
      <c r="F1867" s="75">
        <v>37434.0</v>
      </c>
      <c r="G1867" s="76"/>
      <c r="H1867" s="76"/>
      <c r="I1867" s="73" t="s">
        <v>366</v>
      </c>
      <c r="J1867" s="76"/>
    </row>
    <row r="1868">
      <c r="A1868" s="74">
        <v>1864.0</v>
      </c>
      <c r="B1868" s="73" t="s">
        <v>1984</v>
      </c>
      <c r="C1868" s="74">
        <v>8.60015555E8</v>
      </c>
      <c r="D1868" s="73" t="s">
        <v>2338</v>
      </c>
      <c r="E1868" s="72">
        <v>2427.0</v>
      </c>
      <c r="F1868" s="75">
        <v>37434.0</v>
      </c>
      <c r="G1868" s="76"/>
      <c r="H1868" s="76"/>
      <c r="I1868" s="73" t="s">
        <v>366</v>
      </c>
      <c r="J1868" s="76"/>
    </row>
    <row r="1869">
      <c r="A1869" s="74">
        <v>1865.0</v>
      </c>
      <c r="B1869" s="73" t="s">
        <v>1984</v>
      </c>
      <c r="C1869" s="74">
        <v>8.30089613E8</v>
      </c>
      <c r="D1869" s="73" t="s">
        <v>2339</v>
      </c>
      <c r="E1869" s="72">
        <v>2437.0</v>
      </c>
      <c r="F1869" s="75">
        <v>37440.0</v>
      </c>
      <c r="G1869" s="76"/>
      <c r="H1869" s="76"/>
      <c r="I1869" s="73" t="s">
        <v>366</v>
      </c>
      <c r="J1869" s="76"/>
    </row>
    <row r="1870">
      <c r="A1870" s="74">
        <v>1866.0</v>
      </c>
      <c r="B1870" s="73" t="s">
        <v>1984</v>
      </c>
      <c r="C1870" s="74">
        <v>8.32007178E8</v>
      </c>
      <c r="D1870" s="73" t="s">
        <v>2340</v>
      </c>
      <c r="E1870" s="72">
        <v>2440.0</v>
      </c>
      <c r="F1870" s="75">
        <v>37440.0</v>
      </c>
      <c r="G1870" s="76"/>
      <c r="H1870" s="76"/>
      <c r="I1870" s="73" t="s">
        <v>366</v>
      </c>
      <c r="J1870" s="76"/>
    </row>
    <row r="1871">
      <c r="A1871" s="74">
        <v>1867.0</v>
      </c>
      <c r="B1871" s="73" t="s">
        <v>1984</v>
      </c>
      <c r="C1871" s="74">
        <v>8.00155124E8</v>
      </c>
      <c r="D1871" s="73" t="s">
        <v>2341</v>
      </c>
      <c r="E1871" s="72">
        <v>2459.0</v>
      </c>
      <c r="F1871" s="75">
        <v>37442.0</v>
      </c>
      <c r="G1871" s="76"/>
      <c r="H1871" s="76"/>
      <c r="I1871" s="73" t="s">
        <v>366</v>
      </c>
      <c r="J1871" s="76"/>
    </row>
    <row r="1872">
      <c r="A1872" s="74">
        <v>1868.0</v>
      </c>
      <c r="B1872" s="73" t="s">
        <v>1984</v>
      </c>
      <c r="C1872" s="74">
        <v>8.30102664E8</v>
      </c>
      <c r="D1872" s="73" t="s">
        <v>2342</v>
      </c>
      <c r="E1872" s="72">
        <v>2454.0</v>
      </c>
      <c r="F1872" s="75">
        <v>37442.0</v>
      </c>
      <c r="G1872" s="76"/>
      <c r="H1872" s="76"/>
      <c r="I1872" s="73" t="s">
        <v>366</v>
      </c>
      <c r="J1872" s="76"/>
    </row>
    <row r="1873">
      <c r="A1873" s="74">
        <v>1869.0</v>
      </c>
      <c r="B1873" s="73" t="s">
        <v>1984</v>
      </c>
      <c r="C1873" s="74">
        <v>8.00204987E8</v>
      </c>
      <c r="D1873" s="73" t="s">
        <v>2343</v>
      </c>
      <c r="E1873" s="72">
        <v>2464.0</v>
      </c>
      <c r="F1873" s="75">
        <v>37445.0</v>
      </c>
      <c r="G1873" s="76"/>
      <c r="H1873" s="76"/>
      <c r="I1873" s="73" t="s">
        <v>366</v>
      </c>
      <c r="J1873" s="76"/>
    </row>
    <row r="1874">
      <c r="A1874" s="74">
        <v>1870.0</v>
      </c>
      <c r="B1874" s="73" t="s">
        <v>1984</v>
      </c>
      <c r="C1874" s="74">
        <v>8.30101524E8</v>
      </c>
      <c r="D1874" s="73" t="s">
        <v>2344</v>
      </c>
      <c r="E1874" s="72">
        <v>2803.0</v>
      </c>
      <c r="F1874" s="75">
        <v>37453.0</v>
      </c>
      <c r="G1874" s="76"/>
      <c r="H1874" s="76"/>
      <c r="I1874" s="73" t="s">
        <v>366</v>
      </c>
      <c r="J1874" s="76"/>
    </row>
    <row r="1875">
      <c r="A1875" s="74">
        <v>1871.0</v>
      </c>
      <c r="B1875" s="73" t="s">
        <v>1984</v>
      </c>
      <c r="C1875" s="74">
        <v>8.30101973E8</v>
      </c>
      <c r="D1875" s="73" t="s">
        <v>2345</v>
      </c>
      <c r="E1875" s="72">
        <v>2801.0</v>
      </c>
      <c r="F1875" s="75">
        <v>37453.0</v>
      </c>
      <c r="G1875" s="76"/>
      <c r="H1875" s="76"/>
      <c r="I1875" s="73" t="s">
        <v>366</v>
      </c>
      <c r="J1875" s="76"/>
    </row>
    <row r="1876">
      <c r="A1876" s="74">
        <v>1872.0</v>
      </c>
      <c r="B1876" s="73" t="s">
        <v>1984</v>
      </c>
      <c r="C1876" s="74">
        <v>8.30060953E8</v>
      </c>
      <c r="D1876" s="73" t="s">
        <v>2346</v>
      </c>
      <c r="E1876" s="72">
        <v>2848.0</v>
      </c>
      <c r="F1876" s="75">
        <v>37454.0</v>
      </c>
      <c r="G1876" s="76"/>
      <c r="H1876" s="76"/>
      <c r="I1876" s="73" t="s">
        <v>366</v>
      </c>
      <c r="J1876" s="76"/>
    </row>
    <row r="1877">
      <c r="A1877" s="74">
        <v>1873.0</v>
      </c>
      <c r="B1877" s="73" t="s">
        <v>1984</v>
      </c>
      <c r="C1877" s="74">
        <v>8.30105273E8</v>
      </c>
      <c r="D1877" s="73" t="s">
        <v>2347</v>
      </c>
      <c r="E1877" s="72">
        <v>2968.0</v>
      </c>
      <c r="F1877" s="75">
        <v>37459.0</v>
      </c>
      <c r="G1877" s="76"/>
      <c r="H1877" s="76"/>
      <c r="I1877" s="73" t="s">
        <v>366</v>
      </c>
      <c r="J1877" s="76"/>
    </row>
    <row r="1878">
      <c r="A1878" s="74">
        <v>1874.0</v>
      </c>
      <c r="B1878" s="73" t="s">
        <v>1984</v>
      </c>
      <c r="C1878" s="74">
        <v>8.32006831E8</v>
      </c>
      <c r="D1878" s="73" t="s">
        <v>2348</v>
      </c>
      <c r="E1878" s="72">
        <v>2979.0</v>
      </c>
      <c r="F1878" s="75">
        <v>37461.0</v>
      </c>
      <c r="G1878" s="76"/>
      <c r="H1878" s="76"/>
      <c r="I1878" s="73" t="s">
        <v>366</v>
      </c>
      <c r="J1878" s="76"/>
    </row>
    <row r="1879">
      <c r="A1879" s="74">
        <v>1875.0</v>
      </c>
      <c r="B1879" s="73" t="s">
        <v>1984</v>
      </c>
      <c r="C1879" s="74">
        <v>8.32007338E8</v>
      </c>
      <c r="D1879" s="73" t="s">
        <v>2349</v>
      </c>
      <c r="E1879" s="72">
        <v>3088.0</v>
      </c>
      <c r="F1879" s="75">
        <v>37474.0</v>
      </c>
      <c r="G1879" s="76"/>
      <c r="H1879" s="76"/>
      <c r="I1879" s="73" t="s">
        <v>366</v>
      </c>
      <c r="J1879" s="76"/>
    </row>
    <row r="1880">
      <c r="A1880" s="74">
        <v>1876.0</v>
      </c>
      <c r="B1880" s="73" t="s">
        <v>1984</v>
      </c>
      <c r="C1880" s="74">
        <v>8.32007198E8</v>
      </c>
      <c r="D1880" s="73" t="s">
        <v>2350</v>
      </c>
      <c r="E1880" s="72">
        <v>3148.0</v>
      </c>
      <c r="F1880" s="75">
        <v>37483.0</v>
      </c>
      <c r="G1880" s="76"/>
      <c r="H1880" s="76"/>
      <c r="I1880" s="73" t="s">
        <v>366</v>
      </c>
      <c r="J1880" s="76"/>
    </row>
    <row r="1881">
      <c r="A1881" s="74">
        <v>1877.0</v>
      </c>
      <c r="B1881" s="73" t="s">
        <v>1984</v>
      </c>
      <c r="C1881" s="74">
        <v>8.60091008E8</v>
      </c>
      <c r="D1881" s="73" t="s">
        <v>2351</v>
      </c>
      <c r="E1881" s="72">
        <v>3150.0</v>
      </c>
      <c r="F1881" s="75">
        <v>37483.0</v>
      </c>
      <c r="G1881" s="76"/>
      <c r="H1881" s="76"/>
      <c r="I1881" s="73" t="s">
        <v>366</v>
      </c>
      <c r="J1881" s="76"/>
    </row>
    <row r="1882">
      <c r="A1882" s="74">
        <v>1878.0</v>
      </c>
      <c r="B1882" s="73" t="s">
        <v>1984</v>
      </c>
      <c r="C1882" s="74">
        <v>8.00058292E8</v>
      </c>
      <c r="D1882" s="73" t="s">
        <v>2352</v>
      </c>
      <c r="E1882" s="72">
        <v>595.0</v>
      </c>
      <c r="F1882" s="75">
        <v>37490.0</v>
      </c>
      <c r="G1882" s="76"/>
      <c r="H1882" s="76"/>
      <c r="I1882" s="73" t="s">
        <v>366</v>
      </c>
      <c r="J1882" s="76"/>
    </row>
    <row r="1883">
      <c r="A1883" s="74">
        <v>1879.0</v>
      </c>
      <c r="B1883" s="73" t="s">
        <v>1984</v>
      </c>
      <c r="C1883" s="74">
        <v>8.30106931E8</v>
      </c>
      <c r="D1883" s="73" t="s">
        <v>2353</v>
      </c>
      <c r="E1883" s="72">
        <v>3215.0</v>
      </c>
      <c r="F1883" s="75">
        <v>37495.0</v>
      </c>
      <c r="G1883" s="76"/>
      <c r="H1883" s="76"/>
      <c r="I1883" s="73" t="s">
        <v>366</v>
      </c>
      <c r="J1883" s="76"/>
    </row>
    <row r="1884">
      <c r="A1884" s="74">
        <v>1880.0</v>
      </c>
      <c r="B1884" s="73" t="s">
        <v>1984</v>
      </c>
      <c r="C1884" s="74">
        <v>8.30102277E8</v>
      </c>
      <c r="D1884" s="73" t="s">
        <v>2354</v>
      </c>
      <c r="E1884" s="72">
        <v>3514.0</v>
      </c>
      <c r="F1884" s="75">
        <v>37505.0</v>
      </c>
      <c r="G1884" s="76"/>
      <c r="H1884" s="76"/>
      <c r="I1884" s="73" t="s">
        <v>366</v>
      </c>
      <c r="J1884" s="76"/>
    </row>
    <row r="1885">
      <c r="A1885" s="74">
        <v>1881.0</v>
      </c>
      <c r="B1885" s="73" t="s">
        <v>1984</v>
      </c>
      <c r="C1885" s="74">
        <v>8.00183171E8</v>
      </c>
      <c r="D1885" s="73" t="s">
        <v>2355</v>
      </c>
      <c r="E1885" s="72">
        <v>3932.0</v>
      </c>
      <c r="F1885" s="75">
        <v>37519.0</v>
      </c>
      <c r="G1885" s="76"/>
      <c r="H1885" s="76"/>
      <c r="I1885" s="73" t="s">
        <v>366</v>
      </c>
      <c r="J1885" s="76"/>
    </row>
    <row r="1886">
      <c r="A1886" s="74">
        <v>1882.0</v>
      </c>
      <c r="B1886" s="73" t="s">
        <v>1984</v>
      </c>
      <c r="C1886" s="74">
        <v>8.30100485E8</v>
      </c>
      <c r="D1886" s="73" t="s">
        <v>2356</v>
      </c>
      <c r="E1886" s="72">
        <v>4670.0</v>
      </c>
      <c r="F1886" s="77">
        <v>37533.0</v>
      </c>
      <c r="G1886" s="76"/>
      <c r="H1886" s="76"/>
      <c r="I1886" s="73" t="s">
        <v>366</v>
      </c>
      <c r="J1886" s="76"/>
    </row>
    <row r="1887">
      <c r="A1887" s="74">
        <v>1883.0</v>
      </c>
      <c r="B1887" s="73" t="s">
        <v>1984</v>
      </c>
      <c r="C1887" s="74">
        <v>8.30100949E8</v>
      </c>
      <c r="D1887" s="73" t="s">
        <v>2357</v>
      </c>
      <c r="E1887" s="72">
        <v>4671.0</v>
      </c>
      <c r="F1887" s="77">
        <v>37533.0</v>
      </c>
      <c r="G1887" s="76"/>
      <c r="H1887" s="76"/>
      <c r="I1887" s="73" t="s">
        <v>366</v>
      </c>
      <c r="J1887" s="76"/>
    </row>
    <row r="1888">
      <c r="A1888" s="74">
        <v>1884.0</v>
      </c>
      <c r="B1888" s="73" t="s">
        <v>1984</v>
      </c>
      <c r="C1888" s="74">
        <v>8.60531693E8</v>
      </c>
      <c r="D1888" s="73" t="s">
        <v>2358</v>
      </c>
      <c r="E1888" s="72">
        <v>4669.0</v>
      </c>
      <c r="F1888" s="77">
        <v>37533.0</v>
      </c>
      <c r="G1888" s="76"/>
      <c r="H1888" s="76"/>
      <c r="I1888" s="73" t="s">
        <v>366</v>
      </c>
      <c r="J1888" s="76"/>
    </row>
    <row r="1889">
      <c r="A1889" s="74">
        <v>1885.0</v>
      </c>
      <c r="B1889" s="73" t="s">
        <v>1984</v>
      </c>
      <c r="C1889" s="74">
        <v>8.00210427E8</v>
      </c>
      <c r="D1889" s="73" t="s">
        <v>2359</v>
      </c>
      <c r="E1889" s="72">
        <v>4762.0</v>
      </c>
      <c r="F1889" s="77">
        <v>37539.0</v>
      </c>
      <c r="G1889" s="76"/>
      <c r="H1889" s="76"/>
      <c r="I1889" s="73" t="s">
        <v>366</v>
      </c>
      <c r="J1889" s="76"/>
    </row>
    <row r="1890">
      <c r="A1890" s="74">
        <v>1886.0</v>
      </c>
      <c r="B1890" s="73" t="s">
        <v>1984</v>
      </c>
      <c r="C1890" s="74">
        <v>8.30103074E8</v>
      </c>
      <c r="D1890" s="73" t="s">
        <v>2360</v>
      </c>
      <c r="E1890" s="72">
        <v>5041.0</v>
      </c>
      <c r="F1890" s="77">
        <v>37566.0</v>
      </c>
      <c r="G1890" s="76"/>
      <c r="H1890" s="76"/>
      <c r="I1890" s="73" t="s">
        <v>366</v>
      </c>
      <c r="J1890" s="76"/>
    </row>
    <row r="1891">
      <c r="A1891" s="74">
        <v>1887.0</v>
      </c>
      <c r="B1891" s="73" t="s">
        <v>1984</v>
      </c>
      <c r="C1891" s="74">
        <v>8.30110727E8</v>
      </c>
      <c r="D1891" s="73" t="s">
        <v>2361</v>
      </c>
      <c r="E1891" s="72">
        <v>5096.0</v>
      </c>
      <c r="F1891" s="77">
        <v>37572.0</v>
      </c>
      <c r="G1891" s="76"/>
      <c r="H1891" s="76"/>
      <c r="I1891" s="73" t="s">
        <v>366</v>
      </c>
      <c r="J1891" s="76"/>
    </row>
    <row r="1892">
      <c r="A1892" s="74">
        <v>1888.0</v>
      </c>
      <c r="B1892" s="73" t="s">
        <v>1984</v>
      </c>
      <c r="C1892" s="74">
        <v>8.30109602E8</v>
      </c>
      <c r="D1892" s="73" t="s">
        <v>2362</v>
      </c>
      <c r="E1892" s="72">
        <v>5122.0</v>
      </c>
      <c r="F1892" s="77">
        <v>37575.0</v>
      </c>
      <c r="G1892" s="76"/>
      <c r="H1892" s="76"/>
      <c r="I1892" s="73" t="s">
        <v>366</v>
      </c>
      <c r="J1892" s="76"/>
    </row>
    <row r="1893">
      <c r="A1893" s="74">
        <v>1889.0</v>
      </c>
      <c r="B1893" s="73" t="s">
        <v>1984</v>
      </c>
      <c r="C1893" s="74">
        <v>8.30109746E8</v>
      </c>
      <c r="D1893" s="73" t="s">
        <v>2363</v>
      </c>
      <c r="E1893" s="72">
        <v>5269.0</v>
      </c>
      <c r="F1893" s="77">
        <v>37585.0</v>
      </c>
      <c r="G1893" s="76"/>
      <c r="H1893" s="76"/>
      <c r="I1893" s="73" t="s">
        <v>366</v>
      </c>
      <c r="J1893" s="76"/>
    </row>
    <row r="1894">
      <c r="A1894" s="85">
        <v>1890.0</v>
      </c>
      <c r="B1894" s="79" t="s">
        <v>1984</v>
      </c>
      <c r="C1894" s="80">
        <v>8.30107048E8</v>
      </c>
      <c r="D1894" s="79" t="s">
        <v>2364</v>
      </c>
      <c r="E1894" s="81">
        <v>5277.0</v>
      </c>
      <c r="F1894" s="82">
        <v>37586.0</v>
      </c>
      <c r="G1894" s="83"/>
      <c r="H1894" s="83"/>
      <c r="I1894" s="73" t="s">
        <v>366</v>
      </c>
      <c r="J1894" s="76"/>
    </row>
    <row r="1895">
      <c r="A1895" s="74">
        <v>1891.0</v>
      </c>
      <c r="B1895" s="73" t="s">
        <v>1984</v>
      </c>
      <c r="C1895" s="74">
        <v>8.30091593E8</v>
      </c>
      <c r="D1895" s="73" t="s">
        <v>2365</v>
      </c>
      <c r="E1895" s="72">
        <v>5445.0</v>
      </c>
      <c r="F1895" s="77">
        <v>37593.0</v>
      </c>
      <c r="G1895" s="76"/>
      <c r="H1895" s="76"/>
      <c r="I1895" s="73" t="s">
        <v>366</v>
      </c>
      <c r="J1895" s="76"/>
    </row>
    <row r="1896">
      <c r="A1896" s="74">
        <v>1892.0</v>
      </c>
      <c r="B1896" s="73" t="s">
        <v>1984</v>
      </c>
      <c r="C1896" s="74">
        <v>8.30109831E8</v>
      </c>
      <c r="D1896" s="73" t="s">
        <v>2366</v>
      </c>
      <c r="E1896" s="72">
        <v>5449.0</v>
      </c>
      <c r="F1896" s="77">
        <v>37594.0</v>
      </c>
      <c r="G1896" s="76"/>
      <c r="H1896" s="76"/>
      <c r="I1896" s="73" t="s">
        <v>366</v>
      </c>
      <c r="J1896" s="76"/>
    </row>
    <row r="1897">
      <c r="A1897" s="74">
        <v>1893.0</v>
      </c>
      <c r="B1897" s="73" t="s">
        <v>1984</v>
      </c>
      <c r="C1897" s="74">
        <v>8.30112102E8</v>
      </c>
      <c r="D1897" s="73" t="s">
        <v>2367</v>
      </c>
      <c r="E1897" s="72">
        <v>5788.0</v>
      </c>
      <c r="F1897" s="77">
        <v>37596.0</v>
      </c>
      <c r="G1897" s="76"/>
      <c r="H1897" s="76"/>
      <c r="I1897" s="73" t="s">
        <v>366</v>
      </c>
      <c r="J1897" s="76"/>
    </row>
    <row r="1898">
      <c r="A1898" s="74">
        <v>1894.0</v>
      </c>
      <c r="B1898" s="73" t="s">
        <v>1984</v>
      </c>
      <c r="C1898" s="74">
        <v>8.30096202E8</v>
      </c>
      <c r="D1898" s="73" t="s">
        <v>2368</v>
      </c>
      <c r="E1898" s="72">
        <v>5874.0</v>
      </c>
      <c r="F1898" s="77">
        <v>37599.0</v>
      </c>
      <c r="G1898" s="76"/>
      <c r="H1898" s="76"/>
      <c r="I1898" s="73" t="s">
        <v>366</v>
      </c>
      <c r="J1898" s="76"/>
    </row>
    <row r="1899">
      <c r="A1899" s="74">
        <v>1895.0</v>
      </c>
      <c r="B1899" s="73" t="s">
        <v>1984</v>
      </c>
      <c r="C1899" s="74">
        <v>8.30027461E8</v>
      </c>
      <c r="D1899" s="73" t="s">
        <v>2369</v>
      </c>
      <c r="E1899" s="72">
        <v>5879.0</v>
      </c>
      <c r="F1899" s="77">
        <v>37602.0</v>
      </c>
      <c r="G1899" s="76"/>
      <c r="H1899" s="76"/>
      <c r="I1899" s="73" t="s">
        <v>366</v>
      </c>
      <c r="J1899" s="76"/>
    </row>
    <row r="1900">
      <c r="A1900" s="74">
        <v>1896.0</v>
      </c>
      <c r="B1900" s="73" t="s">
        <v>1984</v>
      </c>
      <c r="C1900" s="74">
        <v>8.30110671E8</v>
      </c>
      <c r="D1900" s="73" t="s">
        <v>2370</v>
      </c>
      <c r="E1900" s="72">
        <v>5891.0</v>
      </c>
      <c r="F1900" s="77">
        <v>37603.0</v>
      </c>
      <c r="G1900" s="76"/>
      <c r="H1900" s="76"/>
      <c r="I1900" s="73" t="s">
        <v>366</v>
      </c>
      <c r="J1900" s="76"/>
    </row>
    <row r="1901">
      <c r="A1901" s="74">
        <v>1897.0</v>
      </c>
      <c r="B1901" s="73" t="s">
        <v>1984</v>
      </c>
      <c r="C1901" s="74">
        <v>8.30071467E8</v>
      </c>
      <c r="D1901" s="73" t="s">
        <v>2371</v>
      </c>
      <c r="E1901" s="72">
        <v>7.0</v>
      </c>
      <c r="F1901" s="75">
        <v>37635.0</v>
      </c>
      <c r="G1901" s="76"/>
      <c r="H1901" s="76"/>
      <c r="I1901" s="73" t="s">
        <v>366</v>
      </c>
      <c r="J1901" s="76"/>
    </row>
    <row r="1902">
      <c r="A1902" s="74">
        <v>1898.0</v>
      </c>
      <c r="B1902" s="73" t="s">
        <v>1984</v>
      </c>
      <c r="C1902" s="74">
        <v>8.30109431E8</v>
      </c>
      <c r="D1902" s="73" t="s">
        <v>2372</v>
      </c>
      <c r="E1902" s="72">
        <v>8.0</v>
      </c>
      <c r="F1902" s="75">
        <v>37635.0</v>
      </c>
      <c r="G1902" s="76"/>
      <c r="H1902" s="76"/>
      <c r="I1902" s="73" t="s">
        <v>366</v>
      </c>
      <c r="J1902" s="76"/>
    </row>
    <row r="1903">
      <c r="A1903" s="74">
        <v>1899.0</v>
      </c>
      <c r="B1903" s="73" t="s">
        <v>1984</v>
      </c>
      <c r="C1903" s="74">
        <v>8.60503092E8</v>
      </c>
      <c r="D1903" s="73" t="s">
        <v>2373</v>
      </c>
      <c r="E1903" s="72">
        <v>286.0</v>
      </c>
      <c r="F1903" s="75">
        <v>37644.0</v>
      </c>
      <c r="G1903" s="76"/>
      <c r="H1903" s="76"/>
      <c r="I1903" s="73" t="s">
        <v>366</v>
      </c>
      <c r="J1903" s="76"/>
    </row>
    <row r="1904">
      <c r="A1904" s="74">
        <v>1900.0</v>
      </c>
      <c r="B1904" s="73" t="s">
        <v>1984</v>
      </c>
      <c r="C1904" s="74">
        <v>8.60006151E8</v>
      </c>
      <c r="D1904" s="73" t="s">
        <v>2374</v>
      </c>
      <c r="E1904" s="72">
        <v>623.0</v>
      </c>
      <c r="F1904" s="75">
        <v>37645.0</v>
      </c>
      <c r="G1904" s="76"/>
      <c r="H1904" s="76"/>
      <c r="I1904" s="73" t="s">
        <v>366</v>
      </c>
      <c r="J1904" s="76"/>
    </row>
    <row r="1905">
      <c r="A1905" s="74">
        <v>1901.0</v>
      </c>
      <c r="B1905" s="73" t="s">
        <v>1984</v>
      </c>
      <c r="C1905" s="74">
        <v>8.30107007E8</v>
      </c>
      <c r="D1905" s="73" t="s">
        <v>2375</v>
      </c>
      <c r="E1905" s="72">
        <v>662.0</v>
      </c>
      <c r="F1905" s="75">
        <v>37669.0</v>
      </c>
      <c r="G1905" s="76"/>
      <c r="H1905" s="76"/>
      <c r="I1905" s="73" t="s">
        <v>366</v>
      </c>
      <c r="J1905" s="76"/>
    </row>
    <row r="1906">
      <c r="A1906" s="74">
        <v>1902.0</v>
      </c>
      <c r="B1906" s="73" t="s">
        <v>1984</v>
      </c>
      <c r="C1906" s="74">
        <v>8.30109794E8</v>
      </c>
      <c r="D1906" s="73" t="s">
        <v>2376</v>
      </c>
      <c r="E1906" s="72">
        <v>660.0</v>
      </c>
      <c r="F1906" s="75">
        <v>37669.0</v>
      </c>
      <c r="G1906" s="76"/>
      <c r="H1906" s="76"/>
      <c r="I1906" s="73" t="s">
        <v>366</v>
      </c>
      <c r="J1906" s="76"/>
    </row>
    <row r="1907">
      <c r="A1907" s="74">
        <v>1903.0</v>
      </c>
      <c r="B1907" s="73" t="s">
        <v>1984</v>
      </c>
      <c r="C1907" s="74">
        <v>8.30112529E8</v>
      </c>
      <c r="D1907" s="73" t="s">
        <v>2377</v>
      </c>
      <c r="E1907" s="72">
        <v>672.0</v>
      </c>
      <c r="F1907" s="75">
        <v>37671.0</v>
      </c>
      <c r="G1907" s="76"/>
      <c r="H1907" s="76"/>
      <c r="I1907" s="73" t="s">
        <v>366</v>
      </c>
      <c r="J1907" s="76"/>
    </row>
    <row r="1908">
      <c r="A1908" s="74">
        <v>1904.0</v>
      </c>
      <c r="B1908" s="73" t="s">
        <v>1984</v>
      </c>
      <c r="C1908" s="74">
        <v>8.00250475E8</v>
      </c>
      <c r="D1908" s="73" t="s">
        <v>2378</v>
      </c>
      <c r="E1908" s="72">
        <v>825.0</v>
      </c>
      <c r="F1908" s="75">
        <v>37690.0</v>
      </c>
      <c r="G1908" s="76"/>
      <c r="H1908" s="76"/>
      <c r="I1908" s="73" t="s">
        <v>366</v>
      </c>
      <c r="J1908" s="76"/>
    </row>
    <row r="1909">
      <c r="A1909" s="74">
        <v>1905.0</v>
      </c>
      <c r="B1909" s="73" t="s">
        <v>1984</v>
      </c>
      <c r="C1909" s="74">
        <v>8.30108548E8</v>
      </c>
      <c r="D1909" s="73" t="s">
        <v>2379</v>
      </c>
      <c r="E1909" s="72">
        <v>834.0</v>
      </c>
      <c r="F1909" s="75">
        <v>37694.0</v>
      </c>
      <c r="G1909" s="76"/>
      <c r="H1909" s="76"/>
      <c r="I1909" s="73" t="s">
        <v>366</v>
      </c>
      <c r="J1909" s="76"/>
    </row>
    <row r="1910">
      <c r="A1910" s="74">
        <v>1906.0</v>
      </c>
      <c r="B1910" s="73" t="s">
        <v>1984</v>
      </c>
      <c r="C1910" s="74">
        <v>8.30116474E8</v>
      </c>
      <c r="D1910" s="73" t="s">
        <v>2380</v>
      </c>
      <c r="E1910" s="72">
        <v>923.0</v>
      </c>
      <c r="F1910" s="75">
        <v>37714.0</v>
      </c>
      <c r="G1910" s="76"/>
      <c r="H1910" s="76"/>
      <c r="I1910" s="73" t="s">
        <v>366</v>
      </c>
      <c r="J1910" s="76"/>
    </row>
    <row r="1911">
      <c r="A1911" s="74">
        <v>1907.0</v>
      </c>
      <c r="B1911" s="73" t="s">
        <v>1984</v>
      </c>
      <c r="C1911" s="74">
        <v>8.30111048E8</v>
      </c>
      <c r="D1911" s="73" t="s">
        <v>2381</v>
      </c>
      <c r="E1911" s="72">
        <v>937.0</v>
      </c>
      <c r="F1911" s="75">
        <v>37720.0</v>
      </c>
      <c r="G1911" s="76"/>
      <c r="H1911" s="76"/>
      <c r="I1911" s="73" t="s">
        <v>366</v>
      </c>
      <c r="J1911" s="76"/>
    </row>
    <row r="1912">
      <c r="A1912" s="74">
        <v>1908.0</v>
      </c>
      <c r="B1912" s="73" t="s">
        <v>1984</v>
      </c>
      <c r="C1912" s="74">
        <v>8.6007878E8</v>
      </c>
      <c r="D1912" s="73" t="s">
        <v>2382</v>
      </c>
      <c r="E1912" s="72">
        <v>935.0</v>
      </c>
      <c r="F1912" s="75">
        <v>37720.0</v>
      </c>
      <c r="G1912" s="76"/>
      <c r="H1912" s="76"/>
      <c r="I1912" s="73" t="s">
        <v>366</v>
      </c>
      <c r="J1912" s="76"/>
    </row>
    <row r="1913">
      <c r="A1913" s="74">
        <v>1909.0</v>
      </c>
      <c r="B1913" s="73" t="s">
        <v>1984</v>
      </c>
      <c r="C1913" s="74">
        <v>8.00166412E8</v>
      </c>
      <c r="D1913" s="73" t="s">
        <v>2383</v>
      </c>
      <c r="E1913" s="72">
        <v>1029.0</v>
      </c>
      <c r="F1913" s="75">
        <v>37747.0</v>
      </c>
      <c r="G1913" s="76"/>
      <c r="H1913" s="76"/>
      <c r="I1913" s="73" t="s">
        <v>366</v>
      </c>
      <c r="J1913" s="76"/>
    </row>
    <row r="1914">
      <c r="A1914" s="74">
        <v>1910.0</v>
      </c>
      <c r="B1914" s="73" t="s">
        <v>1984</v>
      </c>
      <c r="C1914" s="74">
        <v>8.30105184E8</v>
      </c>
      <c r="D1914" s="73" t="s">
        <v>2384</v>
      </c>
      <c r="E1914" s="72">
        <v>1225.0</v>
      </c>
      <c r="F1914" s="75">
        <v>37763.0</v>
      </c>
      <c r="G1914" s="76"/>
      <c r="H1914" s="76"/>
      <c r="I1914" s="73" t="s">
        <v>366</v>
      </c>
      <c r="J1914" s="76"/>
    </row>
    <row r="1915">
      <c r="A1915" s="74">
        <v>1911.0</v>
      </c>
      <c r="B1915" s="73" t="s">
        <v>1984</v>
      </c>
      <c r="C1915" s="74">
        <v>8.30118785E8</v>
      </c>
      <c r="D1915" s="73" t="s">
        <v>2385</v>
      </c>
      <c r="E1915" s="72">
        <v>1226.0</v>
      </c>
      <c r="F1915" s="75">
        <v>37763.0</v>
      </c>
      <c r="G1915" s="76"/>
      <c r="H1915" s="76"/>
      <c r="I1915" s="73" t="s">
        <v>366</v>
      </c>
      <c r="J1915" s="76"/>
    </row>
    <row r="1916">
      <c r="A1916" s="74">
        <v>1912.0</v>
      </c>
      <c r="B1916" s="73" t="s">
        <v>1984</v>
      </c>
      <c r="C1916" s="74">
        <v>8.60400199E8</v>
      </c>
      <c r="D1916" s="73" t="s">
        <v>2386</v>
      </c>
      <c r="E1916" s="72">
        <v>1224.0</v>
      </c>
      <c r="F1916" s="75">
        <v>37763.0</v>
      </c>
      <c r="G1916" s="76"/>
      <c r="H1916" s="76"/>
      <c r="I1916" s="73" t="s">
        <v>366</v>
      </c>
      <c r="J1916" s="76"/>
    </row>
    <row r="1917">
      <c r="A1917" s="74">
        <v>1913.0</v>
      </c>
      <c r="B1917" s="73" t="s">
        <v>1984</v>
      </c>
      <c r="C1917" s="74">
        <v>8.30120347E8</v>
      </c>
      <c r="D1917" s="73" t="s">
        <v>2387</v>
      </c>
      <c r="E1917" s="72">
        <v>1379.0</v>
      </c>
      <c r="F1917" s="75">
        <v>37782.0</v>
      </c>
      <c r="G1917" s="76"/>
      <c r="H1917" s="76"/>
      <c r="I1917" s="73" t="s">
        <v>366</v>
      </c>
      <c r="J1917" s="76"/>
    </row>
    <row r="1918">
      <c r="A1918" s="74">
        <v>1914.0</v>
      </c>
      <c r="B1918" s="73" t="s">
        <v>1984</v>
      </c>
      <c r="C1918" s="74">
        <v>8.30096532E8</v>
      </c>
      <c r="D1918" s="73" t="s">
        <v>2388</v>
      </c>
      <c r="E1918" s="72">
        <v>1390.0</v>
      </c>
      <c r="F1918" s="75">
        <v>37788.0</v>
      </c>
      <c r="G1918" s="76"/>
      <c r="H1918" s="76"/>
      <c r="I1918" s="73" t="s">
        <v>366</v>
      </c>
      <c r="J1918" s="76"/>
    </row>
    <row r="1919">
      <c r="A1919" s="74">
        <v>1915.0</v>
      </c>
      <c r="B1919" s="73" t="s">
        <v>1984</v>
      </c>
      <c r="C1919" s="74">
        <v>8.30117623E8</v>
      </c>
      <c r="D1919" s="73" t="s">
        <v>2389</v>
      </c>
      <c r="E1919" s="72">
        <v>1403.0</v>
      </c>
      <c r="F1919" s="75">
        <v>37797.0</v>
      </c>
      <c r="G1919" s="76"/>
      <c r="H1919" s="76"/>
      <c r="I1919" s="73" t="s">
        <v>366</v>
      </c>
      <c r="J1919" s="76"/>
    </row>
    <row r="1920">
      <c r="A1920" s="74">
        <v>1916.0</v>
      </c>
      <c r="B1920" s="73" t="s">
        <v>1984</v>
      </c>
      <c r="C1920" s="74">
        <v>8.30101283E8</v>
      </c>
      <c r="D1920" s="73" t="s">
        <v>2390</v>
      </c>
      <c r="E1920" s="72">
        <v>1414.0</v>
      </c>
      <c r="F1920" s="75">
        <v>37798.0</v>
      </c>
      <c r="G1920" s="76"/>
      <c r="H1920" s="76"/>
      <c r="I1920" s="73" t="s">
        <v>366</v>
      </c>
      <c r="J1920" s="76"/>
    </row>
    <row r="1921">
      <c r="A1921" s="74">
        <v>1917.0</v>
      </c>
      <c r="B1921" s="73" t="s">
        <v>1984</v>
      </c>
      <c r="C1921" s="74">
        <v>8.32008861E8</v>
      </c>
      <c r="D1921" s="73" t="s">
        <v>2391</v>
      </c>
      <c r="E1921" s="72">
        <v>1434.0</v>
      </c>
      <c r="F1921" s="75">
        <v>37823.0</v>
      </c>
      <c r="G1921" s="76"/>
      <c r="H1921" s="76"/>
      <c r="I1921" s="73" t="s">
        <v>366</v>
      </c>
      <c r="J1921" s="76"/>
    </row>
    <row r="1922">
      <c r="A1922" s="74">
        <v>1918.0</v>
      </c>
      <c r="B1922" s="73" t="s">
        <v>1984</v>
      </c>
      <c r="C1922" s="74">
        <v>8.30113429E8</v>
      </c>
      <c r="D1922" s="73" t="s">
        <v>2392</v>
      </c>
      <c r="E1922" s="72">
        <v>1450.0</v>
      </c>
      <c r="F1922" s="75">
        <v>37831.0</v>
      </c>
      <c r="G1922" s="76"/>
      <c r="H1922" s="76"/>
      <c r="I1922" s="73" t="s">
        <v>366</v>
      </c>
      <c r="J1922" s="76"/>
    </row>
    <row r="1923">
      <c r="A1923" s="74">
        <v>1919.0</v>
      </c>
      <c r="B1923" s="73" t="s">
        <v>1984</v>
      </c>
      <c r="C1923" s="74">
        <v>8.30123671E8</v>
      </c>
      <c r="D1923" s="73" t="s">
        <v>2393</v>
      </c>
      <c r="E1923" s="72">
        <v>150.0</v>
      </c>
      <c r="F1923" s="75">
        <v>37839.0</v>
      </c>
      <c r="G1923" s="76"/>
      <c r="H1923" s="76"/>
      <c r="I1923" s="73" t="s">
        <v>366</v>
      </c>
      <c r="J1923" s="76"/>
    </row>
    <row r="1924">
      <c r="A1924" s="74">
        <v>1920.0</v>
      </c>
      <c r="B1924" s="73" t="s">
        <v>1984</v>
      </c>
      <c r="C1924" s="74">
        <v>8.30107448E8</v>
      </c>
      <c r="D1924" s="73" t="s">
        <v>2394</v>
      </c>
      <c r="E1924" s="72">
        <v>1505.0</v>
      </c>
      <c r="F1924" s="75">
        <v>37839.0</v>
      </c>
      <c r="G1924" s="76"/>
      <c r="H1924" s="76"/>
      <c r="I1924" s="73" t="s">
        <v>366</v>
      </c>
      <c r="J1924" s="76"/>
    </row>
    <row r="1925">
      <c r="A1925" s="74">
        <v>1921.0</v>
      </c>
      <c r="B1925" s="73" t="s">
        <v>1984</v>
      </c>
      <c r="C1925" s="74">
        <v>8.30114507E8</v>
      </c>
      <c r="D1925" s="73" t="s">
        <v>2395</v>
      </c>
      <c r="E1925" s="72">
        <v>1534.0</v>
      </c>
      <c r="F1925" s="75">
        <v>37853.0</v>
      </c>
      <c r="G1925" s="76"/>
      <c r="H1925" s="76"/>
      <c r="I1925" s="73" t="s">
        <v>366</v>
      </c>
      <c r="J1925" s="76"/>
    </row>
    <row r="1926">
      <c r="A1926" s="74">
        <v>1922.0</v>
      </c>
      <c r="B1926" s="73" t="s">
        <v>1984</v>
      </c>
      <c r="C1926" s="74">
        <v>9.00141228E8</v>
      </c>
      <c r="D1926" s="73" t="s">
        <v>2396</v>
      </c>
      <c r="E1926" s="72">
        <v>1534.0</v>
      </c>
      <c r="F1926" s="75">
        <v>37853.0</v>
      </c>
      <c r="G1926" s="76"/>
      <c r="H1926" s="76"/>
      <c r="I1926" s="73" t="s">
        <v>366</v>
      </c>
      <c r="J1926" s="76"/>
    </row>
    <row r="1927">
      <c r="A1927" s="74">
        <v>1923.0</v>
      </c>
      <c r="B1927" s="73" t="s">
        <v>1984</v>
      </c>
      <c r="C1927" s="74">
        <v>8.30120116E8</v>
      </c>
      <c r="D1927" s="73" t="s">
        <v>2397</v>
      </c>
      <c r="E1927" s="72">
        <v>1571.0</v>
      </c>
      <c r="F1927" s="75">
        <v>37861.0</v>
      </c>
      <c r="G1927" s="76"/>
      <c r="H1927" s="76"/>
      <c r="I1927" s="73" t="s">
        <v>366</v>
      </c>
      <c r="J1927" s="76"/>
    </row>
    <row r="1928">
      <c r="A1928" s="74">
        <v>1924.0</v>
      </c>
      <c r="B1928" s="73" t="s">
        <v>1984</v>
      </c>
      <c r="C1928" s="74">
        <v>8.30075958E8</v>
      </c>
      <c r="D1928" s="73" t="s">
        <v>2398</v>
      </c>
      <c r="E1928" s="72">
        <v>1748.0</v>
      </c>
      <c r="F1928" s="75">
        <v>37872.0</v>
      </c>
      <c r="G1928" s="76"/>
      <c r="H1928" s="76"/>
      <c r="I1928" s="73" t="s">
        <v>366</v>
      </c>
      <c r="J1928" s="76"/>
    </row>
    <row r="1929">
      <c r="A1929" s="74">
        <v>1925.0</v>
      </c>
      <c r="B1929" s="73" t="s">
        <v>1984</v>
      </c>
      <c r="C1929" s="74">
        <v>8.30013078E8</v>
      </c>
      <c r="D1929" s="73" t="s">
        <v>2399</v>
      </c>
      <c r="E1929" s="72">
        <v>2011.0</v>
      </c>
      <c r="F1929" s="75">
        <v>37893.0</v>
      </c>
      <c r="G1929" s="76"/>
      <c r="H1929" s="76"/>
      <c r="I1929" s="73" t="s">
        <v>366</v>
      </c>
      <c r="J1929" s="76"/>
    </row>
    <row r="1930">
      <c r="A1930" s="74">
        <v>1926.0</v>
      </c>
      <c r="B1930" s="73" t="s">
        <v>1984</v>
      </c>
      <c r="C1930" s="74">
        <v>8.00006786E8</v>
      </c>
      <c r="D1930" s="73" t="s">
        <v>2400</v>
      </c>
      <c r="E1930" s="72">
        <v>2163.0</v>
      </c>
      <c r="F1930" s="77">
        <v>37896.0</v>
      </c>
      <c r="G1930" s="76"/>
      <c r="H1930" s="76"/>
      <c r="I1930" s="73" t="s">
        <v>366</v>
      </c>
      <c r="J1930" s="76"/>
    </row>
    <row r="1931">
      <c r="A1931" s="74">
        <v>1927.0</v>
      </c>
      <c r="B1931" s="73" t="s">
        <v>1984</v>
      </c>
      <c r="C1931" s="74">
        <v>8.30124326E8</v>
      </c>
      <c r="D1931" s="73" t="s">
        <v>2401</v>
      </c>
      <c r="E1931" s="72">
        <v>2164.0</v>
      </c>
      <c r="F1931" s="77">
        <v>37896.0</v>
      </c>
      <c r="G1931" s="76"/>
      <c r="H1931" s="76"/>
      <c r="I1931" s="73" t="s">
        <v>366</v>
      </c>
      <c r="J1931" s="76"/>
    </row>
    <row r="1932">
      <c r="A1932" s="74">
        <v>1928.0</v>
      </c>
      <c r="B1932" s="73" t="s">
        <v>1984</v>
      </c>
      <c r="C1932" s="74">
        <v>8.30125816E8</v>
      </c>
      <c r="D1932" s="73" t="s">
        <v>2402</v>
      </c>
      <c r="E1932" s="72">
        <v>2165.0</v>
      </c>
      <c r="F1932" s="77">
        <v>37896.0</v>
      </c>
      <c r="G1932" s="76"/>
      <c r="H1932" s="76"/>
      <c r="I1932" s="73" t="s">
        <v>366</v>
      </c>
      <c r="J1932" s="76"/>
    </row>
    <row r="1933">
      <c r="A1933" s="74">
        <v>1929.0</v>
      </c>
      <c r="B1933" s="73" t="s">
        <v>1984</v>
      </c>
      <c r="C1933" s="74">
        <v>8.30124817E8</v>
      </c>
      <c r="D1933" s="73" t="s">
        <v>2403</v>
      </c>
      <c r="E1933" s="72">
        <v>2326.0</v>
      </c>
      <c r="F1933" s="77">
        <v>37914.0</v>
      </c>
      <c r="G1933" s="76"/>
      <c r="H1933" s="76"/>
      <c r="I1933" s="73" t="s">
        <v>366</v>
      </c>
      <c r="J1933" s="76"/>
    </row>
    <row r="1934">
      <c r="A1934" s="74">
        <v>1930.0</v>
      </c>
      <c r="B1934" s="73" t="s">
        <v>1984</v>
      </c>
      <c r="C1934" s="74">
        <v>8.30120566E8</v>
      </c>
      <c r="D1934" s="73" t="s">
        <v>2404</v>
      </c>
      <c r="E1934" s="72">
        <v>2463.0</v>
      </c>
      <c r="F1934" s="77">
        <v>37918.0</v>
      </c>
      <c r="G1934" s="76"/>
      <c r="H1934" s="76"/>
      <c r="I1934" s="73" t="s">
        <v>366</v>
      </c>
      <c r="J1934" s="76"/>
    </row>
    <row r="1935">
      <c r="A1935" s="74">
        <v>1931.0</v>
      </c>
      <c r="B1935" s="73" t="s">
        <v>1984</v>
      </c>
      <c r="C1935" s="74">
        <v>8.30126659E8</v>
      </c>
      <c r="D1935" s="73" t="s">
        <v>2405</v>
      </c>
      <c r="E1935" s="72">
        <v>2853.0</v>
      </c>
      <c r="F1935" s="77">
        <v>37949.0</v>
      </c>
      <c r="G1935" s="76"/>
      <c r="H1935" s="76"/>
      <c r="I1935" s="73" t="s">
        <v>366</v>
      </c>
      <c r="J1935" s="76"/>
    </row>
    <row r="1936">
      <c r="A1936" s="74">
        <v>1932.0</v>
      </c>
      <c r="B1936" s="73" t="s">
        <v>1984</v>
      </c>
      <c r="C1936" s="74">
        <v>8.30115149E8</v>
      </c>
      <c r="D1936" s="73" t="s">
        <v>2406</v>
      </c>
      <c r="E1936" s="72">
        <v>2860.0</v>
      </c>
      <c r="F1936" s="77">
        <v>37953.0</v>
      </c>
      <c r="G1936" s="76"/>
      <c r="H1936" s="76"/>
      <c r="I1936" s="73" t="s">
        <v>366</v>
      </c>
      <c r="J1936" s="76"/>
    </row>
    <row r="1937">
      <c r="A1937" s="74">
        <v>1933.0</v>
      </c>
      <c r="B1937" s="73" t="s">
        <v>1984</v>
      </c>
      <c r="C1937" s="74">
        <v>8.30118293E8</v>
      </c>
      <c r="D1937" s="73" t="s">
        <v>2407</v>
      </c>
      <c r="E1937" s="72">
        <v>2864.0</v>
      </c>
      <c r="F1937" s="77">
        <v>37953.0</v>
      </c>
      <c r="G1937" s="76"/>
      <c r="H1937" s="76"/>
      <c r="I1937" s="73" t="s">
        <v>366</v>
      </c>
      <c r="J1937" s="76"/>
    </row>
    <row r="1938">
      <c r="A1938" s="74">
        <v>1934.0</v>
      </c>
      <c r="B1938" s="73" t="s">
        <v>1984</v>
      </c>
      <c r="C1938" s="74">
        <v>8.30067746E8</v>
      </c>
      <c r="D1938" s="73" t="s">
        <v>2408</v>
      </c>
      <c r="E1938" s="72">
        <v>3137.0</v>
      </c>
      <c r="F1938" s="77">
        <v>37974.0</v>
      </c>
      <c r="G1938" s="76"/>
      <c r="H1938" s="76"/>
      <c r="I1938" s="73" t="s">
        <v>366</v>
      </c>
      <c r="J1938" s="76"/>
    </row>
    <row r="1939">
      <c r="A1939" s="74">
        <v>1935.0</v>
      </c>
      <c r="B1939" s="73" t="s">
        <v>1984</v>
      </c>
      <c r="C1939" s="74">
        <v>8.30127357E8</v>
      </c>
      <c r="D1939" s="73" t="s">
        <v>2409</v>
      </c>
      <c r="E1939" s="72">
        <v>6.0</v>
      </c>
      <c r="F1939" s="75">
        <v>37993.0</v>
      </c>
      <c r="G1939" s="76"/>
      <c r="H1939" s="76"/>
      <c r="I1939" s="73" t="s">
        <v>366</v>
      </c>
      <c r="J1939" s="76"/>
    </row>
    <row r="1940">
      <c r="A1940" s="74">
        <v>1936.0</v>
      </c>
      <c r="B1940" s="73" t="s">
        <v>1984</v>
      </c>
      <c r="C1940" s="74">
        <v>8.30131801E8</v>
      </c>
      <c r="D1940" s="73" t="s">
        <v>2410</v>
      </c>
      <c r="E1940" s="72">
        <v>8.0</v>
      </c>
      <c r="F1940" s="75">
        <v>37993.0</v>
      </c>
      <c r="G1940" s="76"/>
      <c r="H1940" s="76"/>
      <c r="I1940" s="73" t="s">
        <v>366</v>
      </c>
      <c r="J1940" s="76"/>
    </row>
    <row r="1941">
      <c r="A1941" s="74">
        <v>1937.0</v>
      </c>
      <c r="B1941" s="73" t="s">
        <v>1984</v>
      </c>
      <c r="C1941" s="74">
        <v>8.30131713E8</v>
      </c>
      <c r="D1941" s="73" t="s">
        <v>2411</v>
      </c>
      <c r="E1941" s="72">
        <v>5.0</v>
      </c>
      <c r="F1941" s="75">
        <v>37993.0</v>
      </c>
      <c r="G1941" s="76"/>
      <c r="H1941" s="76"/>
      <c r="I1941" s="73" t="s">
        <v>366</v>
      </c>
      <c r="J1941" s="76"/>
    </row>
    <row r="1942">
      <c r="A1942" s="74">
        <v>1938.0</v>
      </c>
      <c r="B1942" s="73" t="s">
        <v>1984</v>
      </c>
      <c r="C1942" s="74">
        <v>8.30091733E8</v>
      </c>
      <c r="D1942" s="73" t="s">
        <v>2412</v>
      </c>
      <c r="E1942" s="72">
        <v>19.0</v>
      </c>
      <c r="F1942" s="75">
        <v>38012.0</v>
      </c>
      <c r="G1942" s="76"/>
      <c r="H1942" s="76"/>
      <c r="I1942" s="73" t="s">
        <v>366</v>
      </c>
      <c r="J1942" s="76"/>
    </row>
    <row r="1943">
      <c r="A1943" s="74">
        <v>1939.0</v>
      </c>
      <c r="B1943" s="73" t="s">
        <v>1984</v>
      </c>
      <c r="C1943" s="74">
        <v>8.60402876E8</v>
      </c>
      <c r="D1943" s="73" t="s">
        <v>2413</v>
      </c>
      <c r="E1943" s="72">
        <v>57.0</v>
      </c>
      <c r="F1943" s="75">
        <v>38019.0</v>
      </c>
      <c r="G1943" s="76"/>
      <c r="H1943" s="76"/>
      <c r="I1943" s="73" t="s">
        <v>366</v>
      </c>
      <c r="J1943" s="76"/>
    </row>
    <row r="1944">
      <c r="A1944" s="74">
        <v>1940.0</v>
      </c>
      <c r="B1944" s="73" t="s">
        <v>1984</v>
      </c>
      <c r="C1944" s="74">
        <v>8.30130063E8</v>
      </c>
      <c r="D1944" s="73" t="s">
        <v>2414</v>
      </c>
      <c r="E1944" s="72">
        <v>76.0</v>
      </c>
      <c r="F1944" s="75">
        <v>38034.0</v>
      </c>
      <c r="G1944" s="76"/>
      <c r="H1944" s="76"/>
      <c r="I1944" s="73" t="s">
        <v>366</v>
      </c>
      <c r="J1944" s="76"/>
    </row>
    <row r="1945">
      <c r="A1945" s="74">
        <v>1941.0</v>
      </c>
      <c r="B1945" s="73" t="s">
        <v>1984</v>
      </c>
      <c r="C1945" s="74">
        <v>8.30132145E8</v>
      </c>
      <c r="D1945" s="73" t="s">
        <v>2415</v>
      </c>
      <c r="E1945" s="72">
        <v>75.0</v>
      </c>
      <c r="F1945" s="75">
        <v>38034.0</v>
      </c>
      <c r="G1945" s="76"/>
      <c r="H1945" s="76"/>
      <c r="I1945" s="73" t="s">
        <v>366</v>
      </c>
      <c r="J1945" s="76"/>
    </row>
    <row r="1946">
      <c r="A1946" s="74">
        <v>1942.0</v>
      </c>
      <c r="B1946" s="73" t="s">
        <v>1984</v>
      </c>
      <c r="C1946" s="74">
        <v>8.30123689E8</v>
      </c>
      <c r="D1946" s="73" t="s">
        <v>2416</v>
      </c>
      <c r="E1946" s="72">
        <v>594.0</v>
      </c>
      <c r="F1946" s="75">
        <v>38063.0</v>
      </c>
      <c r="G1946" s="76"/>
      <c r="H1946" s="76"/>
      <c r="I1946" s="73" t="s">
        <v>366</v>
      </c>
      <c r="J1946" s="76"/>
    </row>
    <row r="1947">
      <c r="A1947" s="85">
        <v>1943.0</v>
      </c>
      <c r="B1947" s="79" t="s">
        <v>1984</v>
      </c>
      <c r="C1947" s="80">
        <v>8.00251569E8</v>
      </c>
      <c r="D1947" s="79" t="s">
        <v>2417</v>
      </c>
      <c r="E1947" s="81">
        <v>595.0</v>
      </c>
      <c r="F1947" s="84">
        <v>38065.0</v>
      </c>
      <c r="G1947" s="83"/>
      <c r="H1947" s="83"/>
      <c r="I1947" s="73" t="s">
        <v>366</v>
      </c>
      <c r="J1947" s="76"/>
    </row>
    <row r="1948">
      <c r="A1948" s="74">
        <v>1944.0</v>
      </c>
      <c r="B1948" s="73" t="s">
        <v>1984</v>
      </c>
      <c r="C1948" s="74">
        <v>8.30128459E8</v>
      </c>
      <c r="D1948" s="73" t="s">
        <v>2418</v>
      </c>
      <c r="E1948" s="72">
        <v>599.0</v>
      </c>
      <c r="F1948" s="75">
        <v>38070.0</v>
      </c>
      <c r="G1948" s="76"/>
      <c r="H1948" s="76"/>
      <c r="I1948" s="73" t="s">
        <v>366</v>
      </c>
      <c r="J1948" s="76"/>
    </row>
    <row r="1949">
      <c r="A1949" s="74">
        <v>1945.0</v>
      </c>
      <c r="B1949" s="73" t="s">
        <v>1984</v>
      </c>
      <c r="C1949" s="74">
        <v>8.30130782E8</v>
      </c>
      <c r="D1949" s="73" t="s">
        <v>2419</v>
      </c>
      <c r="E1949" s="72">
        <v>7.0</v>
      </c>
      <c r="F1949" s="75">
        <v>38084.0</v>
      </c>
      <c r="G1949" s="76"/>
      <c r="H1949" s="76"/>
      <c r="I1949" s="73" t="s">
        <v>366</v>
      </c>
      <c r="J1949" s="76"/>
    </row>
    <row r="1950">
      <c r="A1950" s="74">
        <v>1946.0</v>
      </c>
      <c r="B1950" s="73" t="s">
        <v>1984</v>
      </c>
      <c r="C1950" s="74">
        <v>8.00105371E8</v>
      </c>
      <c r="D1950" s="73" t="s">
        <v>2420</v>
      </c>
      <c r="E1950" s="72">
        <v>985.0</v>
      </c>
      <c r="F1950" s="75">
        <v>38097.0</v>
      </c>
      <c r="G1950" s="76"/>
      <c r="H1950" s="76"/>
      <c r="I1950" s="73" t="s">
        <v>366</v>
      </c>
      <c r="J1950" s="76"/>
    </row>
    <row r="1951">
      <c r="A1951" s="74">
        <v>1947.0</v>
      </c>
      <c r="B1951" s="73" t="s">
        <v>1984</v>
      </c>
      <c r="C1951" s="74">
        <v>8.30129679E8</v>
      </c>
      <c r="D1951" s="73" t="s">
        <v>2421</v>
      </c>
      <c r="E1951" s="72">
        <v>1037.0</v>
      </c>
      <c r="F1951" s="75">
        <v>38104.0</v>
      </c>
      <c r="G1951" s="76"/>
      <c r="H1951" s="76"/>
      <c r="I1951" s="73" t="s">
        <v>366</v>
      </c>
      <c r="J1951" s="76"/>
    </row>
    <row r="1952">
      <c r="A1952" s="74">
        <v>1948.0</v>
      </c>
      <c r="B1952" s="73" t="s">
        <v>1984</v>
      </c>
      <c r="C1952" s="74">
        <v>8.22006605E8</v>
      </c>
      <c r="D1952" s="73" t="s">
        <v>2422</v>
      </c>
      <c r="E1952" s="72">
        <v>142.0</v>
      </c>
      <c r="F1952" s="75">
        <v>38112.0</v>
      </c>
      <c r="G1952" s="76"/>
      <c r="H1952" s="76"/>
      <c r="I1952" s="73" t="s">
        <v>366</v>
      </c>
      <c r="J1952" s="76"/>
    </row>
    <row r="1953">
      <c r="A1953" s="74">
        <v>1949.0</v>
      </c>
      <c r="B1953" s="73" t="s">
        <v>1984</v>
      </c>
      <c r="C1953" s="74">
        <v>8.30132072E8</v>
      </c>
      <c r="D1953" s="73" t="s">
        <v>2423</v>
      </c>
      <c r="E1953" s="72">
        <v>1400.0</v>
      </c>
      <c r="F1953" s="75">
        <v>38138.0</v>
      </c>
      <c r="G1953" s="76"/>
      <c r="H1953" s="76"/>
      <c r="I1953" s="73" t="s">
        <v>366</v>
      </c>
      <c r="J1953" s="76"/>
    </row>
    <row r="1954">
      <c r="A1954" s="74">
        <v>1950.0</v>
      </c>
      <c r="B1954" s="73" t="s">
        <v>1984</v>
      </c>
      <c r="C1954" s="74">
        <v>8.30110532E8</v>
      </c>
      <c r="D1954" s="73" t="s">
        <v>2424</v>
      </c>
      <c r="E1954" s="72">
        <v>1560.0</v>
      </c>
      <c r="F1954" s="75">
        <v>38161.0</v>
      </c>
      <c r="G1954" s="76"/>
      <c r="H1954" s="76"/>
      <c r="I1954" s="73" t="s">
        <v>366</v>
      </c>
      <c r="J1954" s="76"/>
    </row>
    <row r="1955">
      <c r="A1955" s="74">
        <v>1951.0</v>
      </c>
      <c r="B1955" s="73" t="s">
        <v>1984</v>
      </c>
      <c r="C1955" s="74">
        <v>8.00234195E8</v>
      </c>
      <c r="D1955" s="73" t="s">
        <v>2425</v>
      </c>
      <c r="E1955" s="72">
        <v>1658.0</v>
      </c>
      <c r="F1955" s="75">
        <v>38180.0</v>
      </c>
      <c r="G1955" s="76"/>
      <c r="H1955" s="76"/>
      <c r="I1955" s="73" t="s">
        <v>366</v>
      </c>
      <c r="J1955" s="76"/>
    </row>
    <row r="1956">
      <c r="A1956" s="74">
        <v>1952.0</v>
      </c>
      <c r="B1956" s="73" t="s">
        <v>1984</v>
      </c>
      <c r="C1956" s="74">
        <v>8.30134066E8</v>
      </c>
      <c r="D1956" s="73" t="s">
        <v>2426</v>
      </c>
      <c r="E1956" s="72">
        <v>1655.0</v>
      </c>
      <c r="F1956" s="75">
        <v>38180.0</v>
      </c>
      <c r="G1956" s="76"/>
      <c r="H1956" s="76"/>
      <c r="I1956" s="73" t="s">
        <v>366</v>
      </c>
      <c r="J1956" s="76"/>
    </row>
    <row r="1957">
      <c r="A1957" s="74">
        <v>1953.0</v>
      </c>
      <c r="B1957" s="73" t="s">
        <v>1984</v>
      </c>
      <c r="C1957" s="74">
        <v>8.30102982E8</v>
      </c>
      <c r="D1957" s="73" t="s">
        <v>2427</v>
      </c>
      <c r="E1957" s="72">
        <v>1804.0</v>
      </c>
      <c r="F1957" s="75">
        <v>38219.0</v>
      </c>
      <c r="G1957" s="76"/>
      <c r="H1957" s="76"/>
      <c r="I1957" s="73" t="s">
        <v>366</v>
      </c>
      <c r="J1957" s="76"/>
    </row>
    <row r="1958">
      <c r="A1958" s="74">
        <v>1954.0</v>
      </c>
      <c r="B1958" s="73" t="s">
        <v>1984</v>
      </c>
      <c r="C1958" s="74">
        <v>8.90900943E8</v>
      </c>
      <c r="D1958" s="73" t="s">
        <v>2428</v>
      </c>
      <c r="E1958" s="72">
        <v>1803.0</v>
      </c>
      <c r="F1958" s="75">
        <v>38219.0</v>
      </c>
      <c r="G1958" s="76"/>
      <c r="H1958" s="76"/>
      <c r="I1958" s="73" t="s">
        <v>366</v>
      </c>
      <c r="J1958" s="76"/>
    </row>
    <row r="1959">
      <c r="A1959" s="74">
        <v>1955.0</v>
      </c>
      <c r="B1959" s="73" t="s">
        <v>1984</v>
      </c>
      <c r="C1959" s="74">
        <v>8.60516889E8</v>
      </c>
      <c r="D1959" s="73" t="s">
        <v>2429</v>
      </c>
      <c r="E1959" s="72">
        <v>1812.0</v>
      </c>
      <c r="F1959" s="75">
        <v>38222.0</v>
      </c>
      <c r="G1959" s="76"/>
      <c r="H1959" s="76"/>
      <c r="I1959" s="73" t="s">
        <v>366</v>
      </c>
      <c r="J1959" s="76"/>
    </row>
    <row r="1960">
      <c r="A1960" s="74">
        <v>1956.0</v>
      </c>
      <c r="B1960" s="73" t="s">
        <v>1984</v>
      </c>
      <c r="C1960" s="74">
        <v>8.30144803E8</v>
      </c>
      <c r="D1960" s="73" t="s">
        <v>2430</v>
      </c>
      <c r="E1960" s="72">
        <v>1840.0</v>
      </c>
      <c r="F1960" s="75">
        <v>38231.0</v>
      </c>
      <c r="G1960" s="76"/>
      <c r="H1960" s="76"/>
      <c r="I1960" s="73" t="s">
        <v>366</v>
      </c>
      <c r="J1960" s="76"/>
    </row>
    <row r="1961">
      <c r="A1961" s="74">
        <v>1957.0</v>
      </c>
      <c r="B1961" s="73" t="s">
        <v>1984</v>
      </c>
      <c r="C1961" s="74">
        <v>8.00233052E8</v>
      </c>
      <c r="D1961" s="73" t="s">
        <v>2431</v>
      </c>
      <c r="E1961" s="72">
        <v>1886.0</v>
      </c>
      <c r="F1961" s="75">
        <v>38239.0</v>
      </c>
      <c r="G1961" s="76"/>
      <c r="H1961" s="76"/>
      <c r="I1961" s="73" t="s">
        <v>366</v>
      </c>
      <c r="J1961" s="76"/>
    </row>
    <row r="1962">
      <c r="A1962" s="74">
        <v>1958.0</v>
      </c>
      <c r="B1962" s="73" t="s">
        <v>1984</v>
      </c>
      <c r="C1962" s="74">
        <v>8.32011319E8</v>
      </c>
      <c r="D1962" s="73" t="s">
        <v>2432</v>
      </c>
      <c r="E1962" s="72">
        <v>1885.0</v>
      </c>
      <c r="F1962" s="75">
        <v>38239.0</v>
      </c>
      <c r="G1962" s="76"/>
      <c r="H1962" s="76"/>
      <c r="I1962" s="73" t="s">
        <v>366</v>
      </c>
      <c r="J1962" s="76"/>
    </row>
    <row r="1963">
      <c r="A1963" s="74">
        <v>1959.0</v>
      </c>
      <c r="B1963" s="73" t="s">
        <v>1984</v>
      </c>
      <c r="C1963" s="74">
        <v>8.3201064E8</v>
      </c>
      <c r="D1963" s="73" t="s">
        <v>2433</v>
      </c>
      <c r="E1963" s="72">
        <v>1954.0</v>
      </c>
      <c r="F1963" s="75">
        <v>38250.0</v>
      </c>
      <c r="G1963" s="76"/>
      <c r="H1963" s="76"/>
      <c r="I1963" s="73" t="s">
        <v>366</v>
      </c>
      <c r="J1963" s="76"/>
    </row>
    <row r="1964">
      <c r="A1964" s="74">
        <v>1960.0</v>
      </c>
      <c r="B1964" s="73" t="s">
        <v>1984</v>
      </c>
      <c r="C1964" s="74">
        <v>8.30141359E8</v>
      </c>
      <c r="D1964" s="73" t="s">
        <v>2434</v>
      </c>
      <c r="E1964" s="72">
        <v>2242.0</v>
      </c>
      <c r="F1964" s="77">
        <v>38324.0</v>
      </c>
      <c r="G1964" s="76"/>
      <c r="H1964" s="76"/>
      <c r="I1964" s="73" t="s">
        <v>366</v>
      </c>
      <c r="J1964" s="76"/>
    </row>
    <row r="1965">
      <c r="A1965" s="74">
        <v>1961.0</v>
      </c>
      <c r="B1965" s="73" t="s">
        <v>1984</v>
      </c>
      <c r="C1965" s="74">
        <v>8.30506116E8</v>
      </c>
      <c r="D1965" s="73" t="s">
        <v>2435</v>
      </c>
      <c r="E1965" s="72">
        <v>2270.0</v>
      </c>
      <c r="F1965" s="77">
        <v>38338.0</v>
      </c>
      <c r="G1965" s="76"/>
      <c r="H1965" s="76"/>
      <c r="I1965" s="73" t="s">
        <v>366</v>
      </c>
      <c r="J1965" s="76"/>
    </row>
    <row r="1966">
      <c r="A1966" s="74">
        <v>1962.0</v>
      </c>
      <c r="B1966" s="73" t="s">
        <v>1984</v>
      </c>
      <c r="C1966" s="74">
        <v>8.30024297E8</v>
      </c>
      <c r="D1966" s="73" t="s">
        <v>2436</v>
      </c>
      <c r="E1966" s="72">
        <v>172.0</v>
      </c>
      <c r="F1966" s="75">
        <v>38390.0</v>
      </c>
      <c r="G1966" s="76"/>
      <c r="H1966" s="76"/>
      <c r="I1966" s="73" t="s">
        <v>366</v>
      </c>
      <c r="J1966" s="76"/>
    </row>
    <row r="1967">
      <c r="A1967" s="74">
        <v>1963.0</v>
      </c>
      <c r="B1967" s="73" t="s">
        <v>1984</v>
      </c>
      <c r="C1967" s="74">
        <v>8.30513736E8</v>
      </c>
      <c r="D1967" s="73" t="s">
        <v>2437</v>
      </c>
      <c r="E1967" s="72">
        <v>25.0</v>
      </c>
      <c r="F1967" s="75">
        <v>38394.0</v>
      </c>
      <c r="G1967" s="76"/>
      <c r="H1967" s="76"/>
      <c r="I1967" s="73" t="s">
        <v>366</v>
      </c>
      <c r="J1967" s="76"/>
    </row>
    <row r="1968">
      <c r="A1968" s="74">
        <v>1964.0</v>
      </c>
      <c r="B1968" s="73" t="s">
        <v>1984</v>
      </c>
      <c r="C1968" s="74">
        <v>8.30095213E8</v>
      </c>
      <c r="D1968" s="73" t="s">
        <v>2438</v>
      </c>
      <c r="E1968" s="72">
        <v>264.0</v>
      </c>
      <c r="F1968" s="75">
        <v>38406.0</v>
      </c>
      <c r="G1968" s="76"/>
      <c r="H1968" s="76"/>
      <c r="I1968" s="73" t="s">
        <v>366</v>
      </c>
      <c r="J1968" s="76"/>
    </row>
    <row r="1969">
      <c r="A1969" s="74">
        <v>1965.0</v>
      </c>
      <c r="B1969" s="73" t="s">
        <v>1984</v>
      </c>
      <c r="C1969" s="74">
        <v>8.30145099E8</v>
      </c>
      <c r="D1969" s="73" t="s">
        <v>2439</v>
      </c>
      <c r="E1969" s="72">
        <v>1737.0</v>
      </c>
      <c r="F1969" s="75">
        <v>38410.0</v>
      </c>
      <c r="G1969" s="76"/>
      <c r="H1969" s="76"/>
      <c r="I1969" s="73" t="s">
        <v>366</v>
      </c>
      <c r="J1969" s="76"/>
    </row>
    <row r="1970">
      <c r="A1970" s="74">
        <v>1966.0</v>
      </c>
      <c r="B1970" s="73" t="s">
        <v>1984</v>
      </c>
      <c r="C1970" s="74">
        <v>8.00242118E8</v>
      </c>
      <c r="D1970" s="73" t="s">
        <v>2440</v>
      </c>
      <c r="E1970" s="72">
        <v>364.0</v>
      </c>
      <c r="F1970" s="75">
        <v>38422.0</v>
      </c>
      <c r="G1970" s="76"/>
      <c r="H1970" s="76"/>
      <c r="I1970" s="73" t="s">
        <v>366</v>
      </c>
      <c r="J1970" s="76"/>
    </row>
    <row r="1971">
      <c r="A1971" s="74">
        <v>1967.0</v>
      </c>
      <c r="B1971" s="73" t="s">
        <v>1984</v>
      </c>
      <c r="C1971" s="74">
        <v>8.00209961E8</v>
      </c>
      <c r="D1971" s="73" t="s">
        <v>2441</v>
      </c>
      <c r="E1971" s="72">
        <v>9.0</v>
      </c>
      <c r="F1971" s="75">
        <v>38449.0</v>
      </c>
      <c r="G1971" s="76"/>
      <c r="H1971" s="76"/>
      <c r="I1971" s="73" t="s">
        <v>366</v>
      </c>
      <c r="J1971" s="76"/>
    </row>
    <row r="1972">
      <c r="A1972" s="74">
        <v>1968.0</v>
      </c>
      <c r="B1972" s="73" t="s">
        <v>1984</v>
      </c>
      <c r="C1972" s="74">
        <v>8.3014185E8</v>
      </c>
      <c r="D1972" s="73" t="s">
        <v>2442</v>
      </c>
      <c r="E1972" s="72">
        <v>607.0</v>
      </c>
      <c r="F1972" s="75">
        <v>38449.0</v>
      </c>
      <c r="G1972" s="76"/>
      <c r="H1972" s="76"/>
      <c r="I1972" s="73" t="s">
        <v>366</v>
      </c>
      <c r="J1972" s="76"/>
    </row>
    <row r="1973">
      <c r="A1973" s="74">
        <v>1969.0</v>
      </c>
      <c r="B1973" s="73" t="s">
        <v>1984</v>
      </c>
      <c r="C1973" s="74">
        <v>8.3014458E8</v>
      </c>
      <c r="D1973" s="73" t="s">
        <v>2443</v>
      </c>
      <c r="E1973" s="72">
        <v>1136.0</v>
      </c>
      <c r="F1973" s="75">
        <v>38517.0</v>
      </c>
      <c r="G1973" s="76"/>
      <c r="H1973" s="76"/>
      <c r="I1973" s="73" t="s">
        <v>366</v>
      </c>
      <c r="J1973" s="76"/>
    </row>
    <row r="1974">
      <c r="A1974" s="74">
        <v>1970.0</v>
      </c>
      <c r="B1974" s="73" t="s">
        <v>1984</v>
      </c>
      <c r="C1974" s="74">
        <v>8.30514748E8</v>
      </c>
      <c r="D1974" s="73" t="s">
        <v>2444</v>
      </c>
      <c r="E1974" s="72">
        <v>1138.0</v>
      </c>
      <c r="F1974" s="75">
        <v>38517.0</v>
      </c>
      <c r="G1974" s="76"/>
      <c r="H1974" s="76"/>
      <c r="I1974" s="73" t="s">
        <v>366</v>
      </c>
      <c r="J1974" s="76"/>
    </row>
    <row r="1975">
      <c r="A1975" s="74">
        <v>1971.0</v>
      </c>
      <c r="B1975" s="73" t="s">
        <v>1984</v>
      </c>
      <c r="C1975" s="74">
        <v>9.00009272E8</v>
      </c>
      <c r="D1975" s="73" t="s">
        <v>2445</v>
      </c>
      <c r="E1975" s="72">
        <v>1137.0</v>
      </c>
      <c r="F1975" s="75">
        <v>38517.0</v>
      </c>
      <c r="G1975" s="76"/>
      <c r="H1975" s="76"/>
      <c r="I1975" s="73" t="s">
        <v>366</v>
      </c>
      <c r="J1975" s="76"/>
    </row>
    <row r="1976">
      <c r="A1976" s="74">
        <v>1972.0</v>
      </c>
      <c r="B1976" s="73" t="s">
        <v>1984</v>
      </c>
      <c r="C1976" s="74">
        <v>9.00011999E8</v>
      </c>
      <c r="D1976" s="73" t="s">
        <v>2446</v>
      </c>
      <c r="E1976" s="72">
        <v>1135.0</v>
      </c>
      <c r="F1976" s="75">
        <v>38517.0</v>
      </c>
      <c r="G1976" s="76"/>
      <c r="H1976" s="76"/>
      <c r="I1976" s="73" t="s">
        <v>366</v>
      </c>
      <c r="J1976" s="76"/>
    </row>
    <row r="1977">
      <c r="A1977" s="74">
        <v>1973.0</v>
      </c>
      <c r="B1977" s="73" t="s">
        <v>1984</v>
      </c>
      <c r="C1977" s="74">
        <v>9.00012501E8</v>
      </c>
      <c r="D1977" s="73" t="s">
        <v>2447</v>
      </c>
      <c r="E1977" s="72">
        <v>1139.0</v>
      </c>
      <c r="F1977" s="75">
        <v>38517.0</v>
      </c>
      <c r="G1977" s="76"/>
      <c r="H1977" s="76"/>
      <c r="I1977" s="73" t="s">
        <v>366</v>
      </c>
      <c r="J1977" s="76"/>
    </row>
    <row r="1978">
      <c r="A1978" s="74">
        <v>1974.0</v>
      </c>
      <c r="B1978" s="73" t="s">
        <v>1984</v>
      </c>
      <c r="C1978" s="74">
        <v>8.30147288E8</v>
      </c>
      <c r="D1978" s="73" t="s">
        <v>2448</v>
      </c>
      <c r="E1978" s="72">
        <v>1238.0</v>
      </c>
      <c r="F1978" s="75">
        <v>38530.0</v>
      </c>
      <c r="G1978" s="76"/>
      <c r="H1978" s="76"/>
      <c r="I1978" s="73" t="s">
        <v>366</v>
      </c>
      <c r="J1978" s="76"/>
    </row>
    <row r="1979">
      <c r="A1979" s="74">
        <v>1975.0</v>
      </c>
      <c r="B1979" s="73" t="s">
        <v>1984</v>
      </c>
      <c r="C1979" s="74">
        <v>8.30084978E8</v>
      </c>
      <c r="D1979" s="73" t="s">
        <v>2449</v>
      </c>
      <c r="E1979" s="72">
        <v>1322.0</v>
      </c>
      <c r="F1979" s="75">
        <v>38558.0</v>
      </c>
      <c r="G1979" s="76"/>
      <c r="H1979" s="76"/>
      <c r="I1979" s="73" t="s">
        <v>366</v>
      </c>
      <c r="J1979" s="76"/>
    </row>
    <row r="1980">
      <c r="A1980" s="74">
        <v>1976.0</v>
      </c>
      <c r="B1980" s="73" t="s">
        <v>1984</v>
      </c>
      <c r="C1980" s="74">
        <v>9.00011368E8</v>
      </c>
      <c r="D1980" s="73" t="s">
        <v>2450</v>
      </c>
      <c r="E1980" s="72">
        <v>1321.0</v>
      </c>
      <c r="F1980" s="75">
        <v>38558.0</v>
      </c>
      <c r="G1980" s="76"/>
      <c r="H1980" s="76"/>
      <c r="I1980" s="73" t="s">
        <v>366</v>
      </c>
      <c r="J1980" s="76"/>
    </row>
    <row r="1981">
      <c r="A1981" s="74">
        <v>1977.0</v>
      </c>
      <c r="B1981" s="73" t="s">
        <v>1984</v>
      </c>
      <c r="C1981" s="74">
        <v>9.00018298E8</v>
      </c>
      <c r="D1981" s="73" t="s">
        <v>2451</v>
      </c>
      <c r="E1981" s="72">
        <v>1320.0</v>
      </c>
      <c r="F1981" s="75">
        <v>38558.0</v>
      </c>
      <c r="G1981" s="76"/>
      <c r="H1981" s="76"/>
      <c r="I1981" s="73" t="s">
        <v>366</v>
      </c>
      <c r="J1981" s="76"/>
    </row>
    <row r="1982">
      <c r="A1982" s="74">
        <v>1978.0</v>
      </c>
      <c r="B1982" s="73" t="s">
        <v>1984</v>
      </c>
      <c r="C1982" s="74">
        <v>8.00044338E8</v>
      </c>
      <c r="D1982" s="73" t="s">
        <v>2452</v>
      </c>
      <c r="E1982" s="72">
        <v>1372.0</v>
      </c>
      <c r="F1982" s="75">
        <v>38569.0</v>
      </c>
      <c r="G1982" s="76"/>
      <c r="H1982" s="76"/>
      <c r="I1982" s="73" t="s">
        <v>366</v>
      </c>
      <c r="J1982" s="76"/>
    </row>
    <row r="1983">
      <c r="A1983" s="74">
        <v>1979.0</v>
      </c>
      <c r="B1983" s="73" t="s">
        <v>1984</v>
      </c>
      <c r="C1983" s="74">
        <v>8.30500181E8</v>
      </c>
      <c r="D1983" s="73" t="s">
        <v>2453</v>
      </c>
      <c r="E1983" s="72">
        <v>1371.0</v>
      </c>
      <c r="F1983" s="75">
        <v>38579.0</v>
      </c>
      <c r="G1983" s="76"/>
      <c r="H1983" s="76"/>
      <c r="I1983" s="73" t="s">
        <v>366</v>
      </c>
      <c r="J1983" s="76"/>
    </row>
    <row r="1984">
      <c r="A1984" s="74">
        <v>1980.0</v>
      </c>
      <c r="B1984" s="73" t="s">
        <v>1984</v>
      </c>
      <c r="C1984" s="74">
        <v>8.13000298E8</v>
      </c>
      <c r="D1984" s="73" t="s">
        <v>2454</v>
      </c>
      <c r="E1984" s="72">
        <v>33.0</v>
      </c>
      <c r="F1984" s="75">
        <v>38590.0</v>
      </c>
      <c r="G1984" s="76"/>
      <c r="H1984" s="76"/>
      <c r="I1984" s="73" t="s">
        <v>366</v>
      </c>
      <c r="J1984" s="76"/>
    </row>
    <row r="1985">
      <c r="A1985" s="74">
        <v>1981.0</v>
      </c>
      <c r="B1985" s="73" t="s">
        <v>1984</v>
      </c>
      <c r="C1985" s="74">
        <v>9.00037572E8</v>
      </c>
      <c r="D1985" s="73" t="s">
        <v>2455</v>
      </c>
      <c r="E1985" s="72">
        <v>177.0</v>
      </c>
      <c r="F1985" s="75">
        <v>38590.0</v>
      </c>
      <c r="G1985" s="76"/>
      <c r="H1985" s="76"/>
      <c r="I1985" s="73" t="s">
        <v>366</v>
      </c>
      <c r="J1985" s="76"/>
    </row>
    <row r="1986">
      <c r="A1986" s="74">
        <v>1982.0</v>
      </c>
      <c r="B1986" s="73" t="s">
        <v>1984</v>
      </c>
      <c r="C1986" s="74">
        <v>9.00013518E8</v>
      </c>
      <c r="D1986" s="73" t="s">
        <v>2456</v>
      </c>
      <c r="E1986" s="72">
        <v>1489.0</v>
      </c>
      <c r="F1986" s="75">
        <v>38608.0</v>
      </c>
      <c r="G1986" s="76"/>
      <c r="H1986" s="76"/>
      <c r="I1986" s="73" t="s">
        <v>366</v>
      </c>
      <c r="J1986" s="76"/>
    </row>
    <row r="1987">
      <c r="A1987" s="74">
        <v>1983.0</v>
      </c>
      <c r="B1987" s="73" t="s">
        <v>1984</v>
      </c>
      <c r="C1987" s="74">
        <v>9.00010719E8</v>
      </c>
      <c r="D1987" s="73" t="s">
        <v>2457</v>
      </c>
      <c r="E1987" s="72">
        <v>1530.0</v>
      </c>
      <c r="F1987" s="75">
        <v>38623.0</v>
      </c>
      <c r="G1987" s="76"/>
      <c r="H1987" s="76"/>
      <c r="I1987" s="73" t="s">
        <v>366</v>
      </c>
      <c r="J1987" s="76"/>
    </row>
    <row r="1988">
      <c r="A1988" s="74">
        <v>1984.0</v>
      </c>
      <c r="B1988" s="73" t="s">
        <v>1984</v>
      </c>
      <c r="C1988" s="74">
        <v>9.00015177E8</v>
      </c>
      <c r="D1988" s="73" t="s">
        <v>2458</v>
      </c>
      <c r="E1988" s="72">
        <v>1563.0</v>
      </c>
      <c r="F1988" s="77">
        <v>38649.0</v>
      </c>
      <c r="G1988" s="76"/>
      <c r="H1988" s="76"/>
      <c r="I1988" s="73" t="s">
        <v>366</v>
      </c>
      <c r="J1988" s="76"/>
    </row>
    <row r="1989">
      <c r="A1989" s="74">
        <v>1985.0</v>
      </c>
      <c r="B1989" s="73" t="s">
        <v>1984</v>
      </c>
      <c r="C1989" s="74">
        <v>9.00044414E8</v>
      </c>
      <c r="D1989" s="73" t="s">
        <v>2459</v>
      </c>
      <c r="E1989" s="72">
        <v>1616.0</v>
      </c>
      <c r="F1989" s="77">
        <v>38658.0</v>
      </c>
      <c r="G1989" s="76"/>
      <c r="H1989" s="76"/>
      <c r="I1989" s="73" t="s">
        <v>366</v>
      </c>
      <c r="J1989" s="76"/>
    </row>
    <row r="1990">
      <c r="A1990" s="74">
        <v>1986.0</v>
      </c>
      <c r="B1990" s="73" t="s">
        <v>1984</v>
      </c>
      <c r="C1990" s="74">
        <v>8.30075219E8</v>
      </c>
      <c r="D1990" s="73" t="s">
        <v>2460</v>
      </c>
      <c r="E1990" s="72">
        <v>1619.0</v>
      </c>
      <c r="F1990" s="77">
        <v>38659.0</v>
      </c>
      <c r="G1990" s="76"/>
      <c r="H1990" s="76"/>
      <c r="I1990" s="73" t="s">
        <v>366</v>
      </c>
      <c r="J1990" s="76"/>
    </row>
    <row r="1991">
      <c r="A1991" s="74">
        <v>1987.0</v>
      </c>
      <c r="B1991" s="73" t="s">
        <v>1984</v>
      </c>
      <c r="C1991" s="74">
        <v>9.00034101E8</v>
      </c>
      <c r="D1991" s="73" t="s">
        <v>2461</v>
      </c>
      <c r="E1991" s="72">
        <v>1736.0</v>
      </c>
      <c r="F1991" s="77">
        <v>38693.0</v>
      </c>
      <c r="G1991" s="76"/>
      <c r="H1991" s="76"/>
      <c r="I1991" s="73" t="s">
        <v>366</v>
      </c>
      <c r="J1991" s="76"/>
    </row>
    <row r="1992">
      <c r="A1992" s="74">
        <v>1988.0</v>
      </c>
      <c r="B1992" s="73" t="s">
        <v>1984</v>
      </c>
      <c r="C1992" s="74">
        <v>8.30060292E8</v>
      </c>
      <c r="D1992" s="73" t="s">
        <v>2462</v>
      </c>
      <c r="E1992" s="72">
        <v>1739.0</v>
      </c>
      <c r="F1992" s="77">
        <v>38693.0</v>
      </c>
      <c r="G1992" s="76"/>
      <c r="H1992" s="76"/>
      <c r="I1992" s="73" t="s">
        <v>366</v>
      </c>
      <c r="J1992" s="76"/>
    </row>
    <row r="1993">
      <c r="A1993" s="74">
        <v>1989.0</v>
      </c>
      <c r="B1993" s="73" t="s">
        <v>1984</v>
      </c>
      <c r="C1993" s="74">
        <v>9.00011819E8</v>
      </c>
      <c r="D1993" s="73" t="s">
        <v>2463</v>
      </c>
      <c r="E1993" s="72">
        <v>1795.0</v>
      </c>
      <c r="F1993" s="77">
        <v>38707.0</v>
      </c>
      <c r="G1993" s="76"/>
      <c r="H1993" s="76"/>
      <c r="I1993" s="73" t="s">
        <v>366</v>
      </c>
      <c r="J1993" s="76"/>
    </row>
    <row r="1994">
      <c r="A1994" s="74">
        <v>1990.0</v>
      </c>
      <c r="B1994" s="73" t="s">
        <v>1984</v>
      </c>
      <c r="C1994" s="74">
        <v>8.0015384E8</v>
      </c>
      <c r="D1994" s="73" t="s">
        <v>2464</v>
      </c>
      <c r="E1994" s="72">
        <v>3.0</v>
      </c>
      <c r="F1994" s="75">
        <v>38721.0</v>
      </c>
      <c r="G1994" s="76"/>
      <c r="H1994" s="76"/>
      <c r="I1994" s="73" t="s">
        <v>366</v>
      </c>
      <c r="J1994" s="76"/>
    </row>
    <row r="1995">
      <c r="A1995" s="74">
        <v>1991.0</v>
      </c>
      <c r="B1995" s="73" t="s">
        <v>1984</v>
      </c>
      <c r="C1995" s="74">
        <v>8.30111514E8</v>
      </c>
      <c r="D1995" s="73" t="s">
        <v>2465</v>
      </c>
      <c r="E1995" s="72">
        <v>36.0</v>
      </c>
      <c r="F1995" s="75">
        <v>38734.0</v>
      </c>
      <c r="G1995" s="76"/>
      <c r="H1995" s="76"/>
      <c r="I1995" s="73" t="s">
        <v>366</v>
      </c>
      <c r="J1995" s="76"/>
    </row>
    <row r="1996">
      <c r="A1996" s="74">
        <v>1992.0</v>
      </c>
      <c r="B1996" s="73" t="s">
        <v>1984</v>
      </c>
      <c r="C1996" s="74">
        <v>9.00046733E8</v>
      </c>
      <c r="D1996" s="73" t="s">
        <v>2466</v>
      </c>
      <c r="E1996" s="72">
        <v>58.0</v>
      </c>
      <c r="F1996" s="75">
        <v>38743.0</v>
      </c>
      <c r="G1996" s="76"/>
      <c r="H1996" s="76"/>
      <c r="I1996" s="73" t="s">
        <v>366</v>
      </c>
      <c r="J1996" s="76"/>
    </row>
    <row r="1997">
      <c r="A1997" s="74">
        <v>1993.0</v>
      </c>
      <c r="B1997" s="73" t="s">
        <v>1984</v>
      </c>
      <c r="C1997" s="74">
        <v>9.00017532E8</v>
      </c>
      <c r="D1997" s="73" t="s">
        <v>2467</v>
      </c>
      <c r="E1997" s="72">
        <v>81.0</v>
      </c>
      <c r="F1997" s="75">
        <v>38749.0</v>
      </c>
      <c r="G1997" s="76"/>
      <c r="H1997" s="76"/>
      <c r="I1997" s="73" t="s">
        <v>366</v>
      </c>
      <c r="J1997" s="76"/>
    </row>
    <row r="1998">
      <c r="A1998" s="74">
        <v>1994.0</v>
      </c>
      <c r="B1998" s="73" t="s">
        <v>1984</v>
      </c>
      <c r="C1998" s="74">
        <v>8.30098513E8</v>
      </c>
      <c r="D1998" s="73" t="s">
        <v>2468</v>
      </c>
      <c r="E1998" s="72">
        <v>147.0</v>
      </c>
      <c r="F1998" s="75">
        <v>38770.0</v>
      </c>
      <c r="G1998" s="76"/>
      <c r="H1998" s="76"/>
      <c r="I1998" s="73" t="s">
        <v>366</v>
      </c>
      <c r="J1998" s="76"/>
    </row>
    <row r="1999">
      <c r="A1999" s="74">
        <v>1995.0</v>
      </c>
      <c r="B1999" s="73" t="s">
        <v>1984</v>
      </c>
      <c r="C1999" s="74">
        <v>8.30096242E8</v>
      </c>
      <c r="D1999" s="73" t="s">
        <v>2469</v>
      </c>
      <c r="E1999" s="72">
        <v>181.0</v>
      </c>
      <c r="F1999" s="75">
        <v>38777.0</v>
      </c>
      <c r="G1999" s="76"/>
      <c r="H1999" s="76"/>
      <c r="I1999" s="73" t="s">
        <v>366</v>
      </c>
      <c r="J1999" s="76"/>
    </row>
    <row r="2000">
      <c r="A2000" s="85">
        <v>1996.0</v>
      </c>
      <c r="B2000" s="79" t="s">
        <v>1984</v>
      </c>
      <c r="C2000" s="80">
        <v>9.00022325E8</v>
      </c>
      <c r="D2000" s="79" t="s">
        <v>2470</v>
      </c>
      <c r="E2000" s="81">
        <v>180.0</v>
      </c>
      <c r="F2000" s="84">
        <v>38777.0</v>
      </c>
      <c r="G2000" s="83"/>
      <c r="H2000" s="83"/>
      <c r="I2000" s="73" t="s">
        <v>366</v>
      </c>
      <c r="J2000" s="76"/>
    </row>
    <row r="2001">
      <c r="A2001" s="74">
        <v>1997.0</v>
      </c>
      <c r="B2001" s="73" t="s">
        <v>1984</v>
      </c>
      <c r="C2001" s="74">
        <v>8.30137083E8</v>
      </c>
      <c r="D2001" s="73" t="s">
        <v>2471</v>
      </c>
      <c r="E2001" s="72">
        <v>317.0</v>
      </c>
      <c r="F2001" s="75">
        <v>38787.0</v>
      </c>
      <c r="G2001" s="76"/>
      <c r="H2001" s="76"/>
      <c r="I2001" s="73" t="s">
        <v>366</v>
      </c>
      <c r="J2001" s="76"/>
    </row>
    <row r="2002">
      <c r="A2002" s="74">
        <v>1998.0</v>
      </c>
      <c r="B2002" s="73" t="s">
        <v>1984</v>
      </c>
      <c r="C2002" s="74">
        <v>8.30003273E8</v>
      </c>
      <c r="D2002" s="73" t="s">
        <v>2472</v>
      </c>
      <c r="E2002" s="72">
        <v>253.0</v>
      </c>
      <c r="F2002" s="75">
        <v>38803.0</v>
      </c>
      <c r="G2002" s="76"/>
      <c r="H2002" s="76"/>
      <c r="I2002" s="73" t="s">
        <v>366</v>
      </c>
      <c r="J2002" s="76"/>
    </row>
    <row r="2003">
      <c r="A2003" s="74">
        <v>1999.0</v>
      </c>
      <c r="B2003" s="73" t="s">
        <v>1984</v>
      </c>
      <c r="C2003" s="74">
        <v>9.00048733E8</v>
      </c>
      <c r="D2003" s="73" t="s">
        <v>2473</v>
      </c>
      <c r="E2003" s="72">
        <v>254.0</v>
      </c>
      <c r="F2003" s="75">
        <v>38803.0</v>
      </c>
      <c r="G2003" s="76"/>
      <c r="H2003" s="76"/>
      <c r="I2003" s="73" t="s">
        <v>366</v>
      </c>
      <c r="J2003" s="76"/>
    </row>
    <row r="2004">
      <c r="A2004" s="74">
        <v>2000.0</v>
      </c>
      <c r="B2004" s="73" t="s">
        <v>1984</v>
      </c>
      <c r="C2004" s="74">
        <v>9.00060018E8</v>
      </c>
      <c r="D2004" s="73" t="s">
        <v>2474</v>
      </c>
      <c r="E2004" s="72">
        <v>143.0</v>
      </c>
      <c r="F2004" s="75">
        <v>38803.0</v>
      </c>
      <c r="G2004" s="76"/>
      <c r="H2004" s="76"/>
      <c r="I2004" s="73" t="s">
        <v>366</v>
      </c>
      <c r="J2004" s="76"/>
    </row>
    <row r="2005">
      <c r="A2005" s="74">
        <v>2001.0</v>
      </c>
      <c r="B2005" s="73" t="s">
        <v>1984</v>
      </c>
      <c r="C2005" s="74">
        <v>8.3009462E8</v>
      </c>
      <c r="D2005" s="73" t="s">
        <v>2475</v>
      </c>
      <c r="E2005" s="72">
        <v>266.0</v>
      </c>
      <c r="F2005" s="75">
        <v>38806.0</v>
      </c>
      <c r="G2005" s="76"/>
      <c r="H2005" s="76"/>
      <c r="I2005" s="73" t="s">
        <v>366</v>
      </c>
      <c r="J2005" s="76"/>
    </row>
    <row r="2006">
      <c r="A2006" s="74">
        <v>2002.0</v>
      </c>
      <c r="B2006" s="73" t="s">
        <v>1984</v>
      </c>
      <c r="C2006" s="74">
        <v>9.00020376E8</v>
      </c>
      <c r="D2006" s="73" t="s">
        <v>2476</v>
      </c>
      <c r="E2006" s="72">
        <v>294.0</v>
      </c>
      <c r="F2006" s="75">
        <v>38810.0</v>
      </c>
      <c r="G2006" s="76"/>
      <c r="H2006" s="76"/>
      <c r="I2006" s="73" t="s">
        <v>366</v>
      </c>
      <c r="J2006" s="76"/>
    </row>
    <row r="2007">
      <c r="A2007" s="74">
        <v>2003.0</v>
      </c>
      <c r="B2007" s="73" t="s">
        <v>1984</v>
      </c>
      <c r="C2007" s="74">
        <v>9.00047109E8</v>
      </c>
      <c r="D2007" s="73" t="s">
        <v>2477</v>
      </c>
      <c r="E2007" s="72">
        <v>322.0</v>
      </c>
      <c r="F2007" s="75">
        <v>38818.0</v>
      </c>
      <c r="G2007" s="76"/>
      <c r="H2007" s="76"/>
      <c r="I2007" s="73" t="s">
        <v>366</v>
      </c>
      <c r="J2007" s="76"/>
    </row>
    <row r="2008">
      <c r="A2008" s="74">
        <v>2004.0</v>
      </c>
      <c r="B2008" s="73" t="s">
        <v>1984</v>
      </c>
      <c r="C2008" s="74">
        <v>9.00035807E8</v>
      </c>
      <c r="D2008" s="73" t="s">
        <v>2478</v>
      </c>
      <c r="E2008" s="72">
        <v>338.0</v>
      </c>
      <c r="F2008" s="75">
        <v>38827.0</v>
      </c>
      <c r="G2008" s="76"/>
      <c r="H2008" s="76"/>
      <c r="I2008" s="73" t="s">
        <v>366</v>
      </c>
      <c r="J2008" s="76"/>
    </row>
    <row r="2009">
      <c r="A2009" s="74">
        <v>2005.0</v>
      </c>
      <c r="B2009" s="73" t="s">
        <v>1984</v>
      </c>
      <c r="C2009" s="74">
        <v>9.00089269E8</v>
      </c>
      <c r="D2009" s="73" t="s">
        <v>2479</v>
      </c>
      <c r="E2009" s="72">
        <v>291.0</v>
      </c>
      <c r="F2009" s="75">
        <v>38894.0</v>
      </c>
      <c r="G2009" s="76"/>
      <c r="H2009" s="76"/>
      <c r="I2009" s="73" t="s">
        <v>366</v>
      </c>
      <c r="J2009" s="76"/>
    </row>
    <row r="2010">
      <c r="A2010" s="74">
        <v>2006.0</v>
      </c>
      <c r="B2010" s="73" t="s">
        <v>1984</v>
      </c>
      <c r="C2010" s="74">
        <v>9.00060415E8</v>
      </c>
      <c r="D2010" s="73" t="s">
        <v>2480</v>
      </c>
      <c r="E2010" s="72">
        <v>581.0</v>
      </c>
      <c r="F2010" s="75">
        <v>38911.0</v>
      </c>
      <c r="G2010" s="76"/>
      <c r="H2010" s="76"/>
      <c r="I2010" s="73" t="s">
        <v>366</v>
      </c>
      <c r="J2010" s="76"/>
    </row>
    <row r="2011">
      <c r="A2011" s="74">
        <v>2007.0</v>
      </c>
      <c r="B2011" s="73" t="s">
        <v>1984</v>
      </c>
      <c r="C2011" s="74">
        <v>8.11023952E8</v>
      </c>
      <c r="D2011" s="73" t="s">
        <v>2481</v>
      </c>
      <c r="E2011" s="72">
        <v>274.0</v>
      </c>
      <c r="F2011" s="75">
        <v>38917.0</v>
      </c>
      <c r="G2011" s="76"/>
      <c r="H2011" s="76"/>
      <c r="I2011" s="73" t="s">
        <v>366</v>
      </c>
      <c r="J2011" s="76"/>
    </row>
    <row r="2012">
      <c r="A2012" s="74">
        <v>2008.0</v>
      </c>
      <c r="B2012" s="73" t="s">
        <v>1984</v>
      </c>
      <c r="C2012" s="74">
        <v>9.00051563E8</v>
      </c>
      <c r="D2012" s="73" t="s">
        <v>2482</v>
      </c>
      <c r="E2012" s="72">
        <v>767.0</v>
      </c>
      <c r="F2012" s="75">
        <v>38974.0</v>
      </c>
      <c r="G2012" s="76"/>
      <c r="H2012" s="76"/>
      <c r="I2012" s="73" t="s">
        <v>366</v>
      </c>
      <c r="J2012" s="76"/>
    </row>
    <row r="2013">
      <c r="A2013" s="74">
        <v>2009.0</v>
      </c>
      <c r="B2013" s="73" t="s">
        <v>1984</v>
      </c>
      <c r="C2013" s="74">
        <v>8.30017678E8</v>
      </c>
      <c r="D2013" s="73" t="s">
        <v>2483</v>
      </c>
      <c r="E2013" s="72">
        <v>850.0</v>
      </c>
      <c r="F2013" s="77">
        <v>38993.0</v>
      </c>
      <c r="G2013" s="76"/>
      <c r="H2013" s="76"/>
      <c r="I2013" s="73" t="s">
        <v>366</v>
      </c>
      <c r="J2013" s="76"/>
    </row>
    <row r="2014">
      <c r="A2014" s="74">
        <v>2010.0</v>
      </c>
      <c r="B2014" s="73" t="s">
        <v>1984</v>
      </c>
      <c r="C2014" s="74">
        <v>9.00084653E8</v>
      </c>
      <c r="D2014" s="73" t="s">
        <v>2484</v>
      </c>
      <c r="E2014" s="72">
        <v>891.0</v>
      </c>
      <c r="F2014" s="77">
        <v>39002.0</v>
      </c>
      <c r="G2014" s="76"/>
      <c r="H2014" s="76"/>
      <c r="I2014" s="73" t="s">
        <v>366</v>
      </c>
      <c r="J2014" s="76"/>
    </row>
    <row r="2015">
      <c r="A2015" s="74">
        <v>2011.0</v>
      </c>
      <c r="B2015" s="73" t="s">
        <v>1984</v>
      </c>
      <c r="C2015" s="74">
        <v>9.00070203E8</v>
      </c>
      <c r="D2015" s="73" t="s">
        <v>2485</v>
      </c>
      <c r="E2015" s="72">
        <v>941.0</v>
      </c>
      <c r="F2015" s="77">
        <v>39017.0</v>
      </c>
      <c r="G2015" s="76"/>
      <c r="H2015" s="76"/>
      <c r="I2015" s="73" t="s">
        <v>366</v>
      </c>
      <c r="J2015" s="76"/>
    </row>
    <row r="2016">
      <c r="A2016" s="74">
        <v>2012.0</v>
      </c>
      <c r="B2016" s="73" t="s">
        <v>1984</v>
      </c>
      <c r="C2016" s="74">
        <v>9.00092521E8</v>
      </c>
      <c r="D2016" s="73" t="s">
        <v>2486</v>
      </c>
      <c r="E2016" s="72">
        <v>1007.0</v>
      </c>
      <c r="F2016" s="77">
        <v>39037.0</v>
      </c>
      <c r="G2016" s="76"/>
      <c r="H2016" s="76"/>
      <c r="I2016" s="73" t="s">
        <v>366</v>
      </c>
      <c r="J2016" s="76"/>
    </row>
    <row r="2017">
      <c r="A2017" s="74">
        <v>2013.0</v>
      </c>
      <c r="B2017" s="73" t="s">
        <v>1984</v>
      </c>
      <c r="C2017" s="74">
        <v>8.30092876E8</v>
      </c>
      <c r="D2017" s="73" t="s">
        <v>2487</v>
      </c>
      <c r="E2017" s="72">
        <v>1092.0</v>
      </c>
      <c r="F2017" s="77">
        <v>39057.0</v>
      </c>
      <c r="G2017" s="76"/>
      <c r="H2017" s="76"/>
      <c r="I2017" s="73" t="s">
        <v>366</v>
      </c>
      <c r="J2017" s="76"/>
    </row>
    <row r="2018">
      <c r="A2018" s="74">
        <v>2014.0</v>
      </c>
      <c r="B2018" s="73" t="s">
        <v>1984</v>
      </c>
      <c r="C2018" s="74">
        <v>9.00098165E8</v>
      </c>
      <c r="D2018" s="73" t="s">
        <v>2488</v>
      </c>
      <c r="E2018" s="72">
        <v>1101.0</v>
      </c>
      <c r="F2018" s="77">
        <v>39062.0</v>
      </c>
      <c r="G2018" s="76"/>
      <c r="H2018" s="76"/>
      <c r="I2018" s="73" t="s">
        <v>366</v>
      </c>
      <c r="J2018" s="76"/>
    </row>
    <row r="2019">
      <c r="A2019" s="74">
        <v>2015.0</v>
      </c>
      <c r="B2019" s="73" t="s">
        <v>1984</v>
      </c>
      <c r="C2019" s="74">
        <v>9.00097762E8</v>
      </c>
      <c r="D2019" s="73" t="s">
        <v>2489</v>
      </c>
      <c r="E2019" s="72">
        <v>1115.0</v>
      </c>
      <c r="F2019" s="77">
        <v>39064.0</v>
      </c>
      <c r="G2019" s="76"/>
      <c r="H2019" s="76"/>
      <c r="I2019" s="73" t="s">
        <v>366</v>
      </c>
      <c r="J2019" s="76"/>
    </row>
    <row r="2020">
      <c r="A2020" s="74">
        <v>2016.0</v>
      </c>
      <c r="B2020" s="73" t="s">
        <v>1984</v>
      </c>
      <c r="C2020" s="74">
        <v>8.00068046E8</v>
      </c>
      <c r="D2020" s="73" t="s">
        <v>2490</v>
      </c>
      <c r="E2020" s="72">
        <v>1129.0</v>
      </c>
      <c r="F2020" s="77">
        <v>39069.0</v>
      </c>
      <c r="G2020" s="76"/>
      <c r="H2020" s="76"/>
      <c r="I2020" s="73" t="s">
        <v>366</v>
      </c>
      <c r="J2020" s="76"/>
    </row>
    <row r="2021">
      <c r="A2021" s="74">
        <v>2017.0</v>
      </c>
      <c r="B2021" s="73" t="s">
        <v>1984</v>
      </c>
      <c r="C2021" s="74">
        <v>8.60517391E8</v>
      </c>
      <c r="D2021" s="73" t="s">
        <v>2491</v>
      </c>
      <c r="E2021" s="72">
        <v>1158.0</v>
      </c>
      <c r="F2021" s="77">
        <v>39072.0</v>
      </c>
      <c r="G2021" s="76"/>
      <c r="H2021" s="76"/>
      <c r="I2021" s="73" t="s">
        <v>366</v>
      </c>
      <c r="J2021" s="76"/>
    </row>
    <row r="2022">
      <c r="A2022" s="74">
        <v>2018.0</v>
      </c>
      <c r="B2022" s="73" t="s">
        <v>1984</v>
      </c>
      <c r="C2022" s="74">
        <v>9.00093481E8</v>
      </c>
      <c r="D2022" s="73" t="s">
        <v>2492</v>
      </c>
      <c r="E2022" s="72">
        <v>1200.0</v>
      </c>
      <c r="F2022" s="77">
        <v>39079.0</v>
      </c>
      <c r="G2022" s="76"/>
      <c r="H2022" s="76"/>
      <c r="I2022" s="73" t="s">
        <v>366</v>
      </c>
      <c r="J2022" s="76"/>
    </row>
    <row r="2023">
      <c r="A2023" s="74">
        <v>2019.0</v>
      </c>
      <c r="B2023" s="73" t="s">
        <v>1984</v>
      </c>
      <c r="C2023" s="74">
        <v>8.30011536E8</v>
      </c>
      <c r="D2023" s="73" t="s">
        <v>2493</v>
      </c>
      <c r="E2023" s="72">
        <v>116.0</v>
      </c>
      <c r="F2023" s="75">
        <v>39113.0</v>
      </c>
      <c r="G2023" s="76"/>
      <c r="H2023" s="76"/>
      <c r="I2023" s="73" t="s">
        <v>366</v>
      </c>
      <c r="J2023" s="76"/>
    </row>
    <row r="2024">
      <c r="A2024" s="74">
        <v>2020.0</v>
      </c>
      <c r="B2024" s="73" t="s">
        <v>1984</v>
      </c>
      <c r="C2024" s="74">
        <v>9.00100223E8</v>
      </c>
      <c r="D2024" s="73" t="s">
        <v>2494</v>
      </c>
      <c r="E2024" s="72">
        <v>114.0</v>
      </c>
      <c r="F2024" s="75">
        <v>39113.0</v>
      </c>
      <c r="G2024" s="76"/>
      <c r="H2024" s="76"/>
      <c r="I2024" s="73" t="s">
        <v>366</v>
      </c>
      <c r="J2024" s="76"/>
    </row>
    <row r="2025">
      <c r="A2025" s="74">
        <v>2021.0</v>
      </c>
      <c r="B2025" s="73" t="s">
        <v>1984</v>
      </c>
      <c r="C2025" s="74">
        <v>9.00068223E8</v>
      </c>
      <c r="D2025" s="73" t="s">
        <v>2495</v>
      </c>
      <c r="E2025" s="72">
        <v>122.0</v>
      </c>
      <c r="F2025" s="75">
        <v>39115.0</v>
      </c>
      <c r="G2025" s="76"/>
      <c r="H2025" s="76"/>
      <c r="I2025" s="73" t="s">
        <v>366</v>
      </c>
      <c r="J2025" s="76"/>
    </row>
    <row r="2026">
      <c r="A2026" s="74">
        <v>2022.0</v>
      </c>
      <c r="B2026" s="73" t="s">
        <v>1984</v>
      </c>
      <c r="C2026" s="74">
        <v>9.00102989E8</v>
      </c>
      <c r="D2026" s="73" t="s">
        <v>2496</v>
      </c>
      <c r="E2026" s="72">
        <v>252.0</v>
      </c>
      <c r="F2026" s="75">
        <v>39142.0</v>
      </c>
      <c r="G2026" s="76"/>
      <c r="H2026" s="76"/>
      <c r="I2026" s="73" t="s">
        <v>366</v>
      </c>
      <c r="J2026" s="76"/>
    </row>
    <row r="2027">
      <c r="A2027" s="74">
        <v>2023.0</v>
      </c>
      <c r="B2027" s="73" t="s">
        <v>1984</v>
      </c>
      <c r="C2027" s="74">
        <v>9.00135002E8</v>
      </c>
      <c r="D2027" s="73" t="s">
        <v>2497</v>
      </c>
      <c r="E2027" s="72">
        <v>132.0</v>
      </c>
      <c r="F2027" s="75">
        <v>39189.0</v>
      </c>
      <c r="G2027" s="76"/>
      <c r="H2027" s="76"/>
      <c r="I2027" s="73" t="s">
        <v>366</v>
      </c>
      <c r="J2027" s="76"/>
    </row>
    <row r="2028">
      <c r="A2028" s="74">
        <v>2024.0</v>
      </c>
      <c r="B2028" s="73" t="s">
        <v>1984</v>
      </c>
      <c r="C2028" s="74">
        <v>8.30135294E8</v>
      </c>
      <c r="D2028" s="73" t="s">
        <v>2498</v>
      </c>
      <c r="E2028" s="72">
        <v>434.0</v>
      </c>
      <c r="F2028" s="75">
        <v>39196.0</v>
      </c>
      <c r="G2028" s="76"/>
      <c r="H2028" s="76"/>
      <c r="I2028" s="73" t="s">
        <v>366</v>
      </c>
      <c r="J2028" s="76"/>
    </row>
    <row r="2029">
      <c r="A2029" s="74">
        <v>2025.0</v>
      </c>
      <c r="B2029" s="73" t="s">
        <v>1984</v>
      </c>
      <c r="C2029" s="74">
        <v>9.00085183E8</v>
      </c>
      <c r="D2029" s="73" t="s">
        <v>2499</v>
      </c>
      <c r="E2029" s="72">
        <v>433.0</v>
      </c>
      <c r="F2029" s="75">
        <v>39196.0</v>
      </c>
      <c r="G2029" s="76"/>
      <c r="H2029" s="76"/>
      <c r="I2029" s="73" t="s">
        <v>366</v>
      </c>
      <c r="J2029" s="76"/>
    </row>
    <row r="2030">
      <c r="A2030" s="74">
        <v>2026.0</v>
      </c>
      <c r="B2030" s="73" t="s">
        <v>1984</v>
      </c>
      <c r="C2030" s="74">
        <v>9.00136165E8</v>
      </c>
      <c r="D2030" s="73" t="s">
        <v>2500</v>
      </c>
      <c r="E2030" s="72">
        <v>110.0</v>
      </c>
      <c r="F2030" s="75">
        <v>39197.0</v>
      </c>
      <c r="G2030" s="76"/>
      <c r="H2030" s="76"/>
      <c r="I2030" s="73" t="s">
        <v>366</v>
      </c>
      <c r="J2030" s="76"/>
    </row>
    <row r="2031">
      <c r="A2031" s="74">
        <v>2027.0</v>
      </c>
      <c r="B2031" s="73" t="s">
        <v>1984</v>
      </c>
      <c r="C2031" s="74">
        <v>8.00092946E8</v>
      </c>
      <c r="D2031" s="73" t="s">
        <v>2501</v>
      </c>
      <c r="E2031" s="72">
        <v>448.0</v>
      </c>
      <c r="F2031" s="75">
        <v>39199.0</v>
      </c>
      <c r="G2031" s="76"/>
      <c r="H2031" s="76"/>
      <c r="I2031" s="73" t="s">
        <v>366</v>
      </c>
      <c r="J2031" s="76"/>
    </row>
    <row r="2032">
      <c r="A2032" s="74">
        <v>2028.0</v>
      </c>
      <c r="B2032" s="73" t="s">
        <v>1984</v>
      </c>
      <c r="C2032" s="74">
        <v>8.13010186E8</v>
      </c>
      <c r="D2032" s="73" t="s">
        <v>2502</v>
      </c>
      <c r="E2032" s="72">
        <v>39.0</v>
      </c>
      <c r="F2032" s="75">
        <v>39217.0</v>
      </c>
      <c r="G2032" s="76"/>
      <c r="H2032" s="76"/>
      <c r="I2032" s="73" t="s">
        <v>366</v>
      </c>
      <c r="J2032" s="76"/>
    </row>
    <row r="2033">
      <c r="A2033" s="74">
        <v>2029.0</v>
      </c>
      <c r="B2033" s="73" t="s">
        <v>1984</v>
      </c>
      <c r="C2033" s="74">
        <v>9.0012784E8</v>
      </c>
      <c r="D2033" s="73" t="s">
        <v>2503</v>
      </c>
      <c r="E2033" s="72">
        <v>493.0</v>
      </c>
      <c r="F2033" s="75">
        <v>39217.0</v>
      </c>
      <c r="G2033" s="76"/>
      <c r="H2033" s="76"/>
      <c r="I2033" s="73" t="s">
        <v>366</v>
      </c>
      <c r="J2033" s="76"/>
    </row>
    <row r="2034">
      <c r="A2034" s="74">
        <v>2030.0</v>
      </c>
      <c r="B2034" s="73" t="s">
        <v>1984</v>
      </c>
      <c r="C2034" s="74">
        <v>8.60009056E8</v>
      </c>
      <c r="D2034" s="73" t="s">
        <v>2504</v>
      </c>
      <c r="E2034" s="72">
        <v>531.0</v>
      </c>
      <c r="F2034" s="75">
        <v>39233.0</v>
      </c>
      <c r="G2034" s="76"/>
      <c r="H2034" s="76"/>
      <c r="I2034" s="73" t="s">
        <v>366</v>
      </c>
      <c r="J2034" s="76"/>
    </row>
    <row r="2035">
      <c r="A2035" s="74">
        <v>2031.0</v>
      </c>
      <c r="B2035" s="73" t="s">
        <v>1984</v>
      </c>
      <c r="C2035" s="74">
        <v>9.00062596E8</v>
      </c>
      <c r="D2035" s="73" t="s">
        <v>2505</v>
      </c>
      <c r="E2035" s="72">
        <v>547.0</v>
      </c>
      <c r="F2035" s="75">
        <v>39234.0</v>
      </c>
      <c r="G2035" s="76"/>
      <c r="H2035" s="76"/>
      <c r="I2035" s="73" t="s">
        <v>366</v>
      </c>
      <c r="J2035" s="76"/>
    </row>
    <row r="2036">
      <c r="A2036" s="74">
        <v>2032.0</v>
      </c>
      <c r="B2036" s="73" t="s">
        <v>1984</v>
      </c>
      <c r="C2036" s="74">
        <v>9.001454E8</v>
      </c>
      <c r="D2036" s="73" t="s">
        <v>2506</v>
      </c>
      <c r="E2036" s="72">
        <v>564.0</v>
      </c>
      <c r="F2036" s="75">
        <v>39238.0</v>
      </c>
      <c r="G2036" s="76"/>
      <c r="H2036" s="76"/>
      <c r="I2036" s="73" t="s">
        <v>366</v>
      </c>
      <c r="J2036" s="76"/>
    </row>
    <row r="2037">
      <c r="A2037" s="74">
        <v>2033.0</v>
      </c>
      <c r="B2037" s="73" t="s">
        <v>1984</v>
      </c>
      <c r="C2037" s="74">
        <v>9.00071876E8</v>
      </c>
      <c r="D2037" s="73" t="s">
        <v>2507</v>
      </c>
      <c r="E2037" s="72">
        <v>572.0</v>
      </c>
      <c r="F2037" s="75">
        <v>39238.0</v>
      </c>
      <c r="G2037" s="76"/>
      <c r="H2037" s="76"/>
      <c r="I2037" s="73" t="s">
        <v>366</v>
      </c>
      <c r="J2037" s="76"/>
    </row>
    <row r="2038">
      <c r="A2038" s="74">
        <v>2034.0</v>
      </c>
      <c r="B2038" s="73" t="s">
        <v>1984</v>
      </c>
      <c r="C2038" s="74">
        <v>9.0043116E8</v>
      </c>
      <c r="D2038" s="73" t="s">
        <v>2508</v>
      </c>
      <c r="E2038" s="72">
        <v>572.0</v>
      </c>
      <c r="F2038" s="75">
        <v>39238.0</v>
      </c>
      <c r="G2038" s="76"/>
      <c r="H2038" s="76"/>
      <c r="I2038" s="73" t="s">
        <v>366</v>
      </c>
      <c r="J2038" s="76"/>
    </row>
    <row r="2039">
      <c r="A2039" s="74">
        <v>2035.0</v>
      </c>
      <c r="B2039" s="73" t="s">
        <v>1984</v>
      </c>
      <c r="C2039" s="74">
        <v>9.00099451E8</v>
      </c>
      <c r="D2039" s="73" t="s">
        <v>2509</v>
      </c>
      <c r="E2039" s="72">
        <v>576.0</v>
      </c>
      <c r="F2039" s="75">
        <v>39241.0</v>
      </c>
      <c r="G2039" s="76"/>
      <c r="H2039" s="76"/>
      <c r="I2039" s="73" t="s">
        <v>366</v>
      </c>
      <c r="J2039" s="76"/>
    </row>
    <row r="2040">
      <c r="A2040" s="74">
        <v>2036.0</v>
      </c>
      <c r="B2040" s="73" t="s">
        <v>1984</v>
      </c>
      <c r="C2040" s="74">
        <v>9.00066931E8</v>
      </c>
      <c r="D2040" s="73" t="s">
        <v>2510</v>
      </c>
      <c r="E2040" s="72">
        <v>577.0</v>
      </c>
      <c r="F2040" s="75">
        <v>39241.0</v>
      </c>
      <c r="G2040" s="76"/>
      <c r="H2040" s="76"/>
      <c r="I2040" s="73" t="s">
        <v>366</v>
      </c>
      <c r="J2040" s="76"/>
    </row>
    <row r="2041">
      <c r="A2041" s="74">
        <v>2037.0</v>
      </c>
      <c r="B2041" s="73" t="s">
        <v>1984</v>
      </c>
      <c r="C2041" s="74">
        <v>8.00168263E8</v>
      </c>
      <c r="D2041" s="73" t="s">
        <v>2511</v>
      </c>
      <c r="E2041" s="72">
        <v>623.0</v>
      </c>
      <c r="F2041" s="75">
        <v>39252.0</v>
      </c>
      <c r="G2041" s="76"/>
      <c r="H2041" s="76"/>
      <c r="I2041" s="73" t="s">
        <v>366</v>
      </c>
      <c r="J2041" s="76"/>
    </row>
    <row r="2042">
      <c r="A2042" s="74">
        <v>2038.0</v>
      </c>
      <c r="B2042" s="73" t="s">
        <v>1984</v>
      </c>
      <c r="C2042" s="74">
        <v>8.30145882E8</v>
      </c>
      <c r="D2042" s="73" t="s">
        <v>2512</v>
      </c>
      <c r="E2042" s="72">
        <v>639.0</v>
      </c>
      <c r="F2042" s="75">
        <v>39252.0</v>
      </c>
      <c r="G2042" s="76"/>
      <c r="H2042" s="76"/>
      <c r="I2042" s="73" t="s">
        <v>366</v>
      </c>
      <c r="J2042" s="76"/>
    </row>
    <row r="2043">
      <c r="A2043" s="74">
        <v>2039.0</v>
      </c>
      <c r="B2043" s="73" t="s">
        <v>1984</v>
      </c>
      <c r="C2043" s="74">
        <v>9.00092079E8</v>
      </c>
      <c r="D2043" s="73" t="s">
        <v>2513</v>
      </c>
      <c r="E2043" s="72">
        <v>624.0</v>
      </c>
      <c r="F2043" s="75">
        <v>39252.0</v>
      </c>
      <c r="G2043" s="76"/>
      <c r="H2043" s="76"/>
      <c r="I2043" s="73" t="s">
        <v>366</v>
      </c>
      <c r="J2043" s="76"/>
    </row>
    <row r="2044">
      <c r="A2044" s="74">
        <v>2040.0</v>
      </c>
      <c r="B2044" s="73" t="s">
        <v>1984</v>
      </c>
      <c r="C2044" s="74">
        <v>9.00116432E8</v>
      </c>
      <c r="D2044" s="73" t="s">
        <v>2514</v>
      </c>
      <c r="E2044" s="72">
        <v>670.0</v>
      </c>
      <c r="F2044" s="75">
        <v>39267.0</v>
      </c>
      <c r="G2044" s="76"/>
      <c r="H2044" s="76"/>
      <c r="I2044" s="73" t="s">
        <v>366</v>
      </c>
      <c r="J2044" s="76"/>
    </row>
    <row r="2045">
      <c r="A2045" s="74">
        <v>2041.0</v>
      </c>
      <c r="B2045" s="73" t="s">
        <v>1984</v>
      </c>
      <c r="C2045" s="74">
        <v>8.30034351E8</v>
      </c>
      <c r="D2045" s="73" t="s">
        <v>2515</v>
      </c>
      <c r="E2045" s="72">
        <v>766.0</v>
      </c>
      <c r="F2045" s="75">
        <v>39281.0</v>
      </c>
      <c r="G2045" s="76"/>
      <c r="H2045" s="76"/>
      <c r="I2045" s="73" t="s">
        <v>366</v>
      </c>
      <c r="J2045" s="76"/>
    </row>
    <row r="2046">
      <c r="A2046" s="74">
        <v>2042.0</v>
      </c>
      <c r="B2046" s="73" t="s">
        <v>1984</v>
      </c>
      <c r="C2046" s="74">
        <v>8.30111256E8</v>
      </c>
      <c r="D2046" s="73" t="s">
        <v>2516</v>
      </c>
      <c r="E2046" s="72">
        <v>767.0</v>
      </c>
      <c r="F2046" s="75">
        <v>39281.0</v>
      </c>
      <c r="G2046" s="76"/>
      <c r="H2046" s="76"/>
      <c r="I2046" s="73" t="s">
        <v>366</v>
      </c>
      <c r="J2046" s="76"/>
    </row>
    <row r="2047">
      <c r="A2047" s="74">
        <v>2043.0</v>
      </c>
      <c r="B2047" s="73" t="s">
        <v>1984</v>
      </c>
      <c r="C2047" s="74">
        <v>9.00134456E8</v>
      </c>
      <c r="D2047" s="73" t="s">
        <v>2517</v>
      </c>
      <c r="E2047" s="72">
        <v>80.0</v>
      </c>
      <c r="F2047" s="75">
        <v>39281.0</v>
      </c>
      <c r="G2047" s="76"/>
      <c r="H2047" s="76"/>
      <c r="I2047" s="73" t="s">
        <v>366</v>
      </c>
      <c r="J2047" s="76"/>
    </row>
    <row r="2048">
      <c r="A2048" s="74">
        <v>2044.0</v>
      </c>
      <c r="B2048" s="73" t="s">
        <v>1984</v>
      </c>
      <c r="C2048" s="74">
        <v>9.00089961E8</v>
      </c>
      <c r="D2048" s="73" t="s">
        <v>2518</v>
      </c>
      <c r="E2048" s="72">
        <v>770.0</v>
      </c>
      <c r="F2048" s="75">
        <v>39282.0</v>
      </c>
      <c r="G2048" s="76"/>
      <c r="H2048" s="76"/>
      <c r="I2048" s="73" t="s">
        <v>366</v>
      </c>
      <c r="J2048" s="76"/>
    </row>
    <row r="2049">
      <c r="A2049" s="74">
        <v>2045.0</v>
      </c>
      <c r="B2049" s="73" t="s">
        <v>1984</v>
      </c>
      <c r="C2049" s="74">
        <v>8.30112988E8</v>
      </c>
      <c r="D2049" s="73" t="s">
        <v>2519</v>
      </c>
      <c r="E2049" s="72">
        <v>878.0</v>
      </c>
      <c r="F2049" s="75">
        <v>39310.0</v>
      </c>
      <c r="G2049" s="76"/>
      <c r="H2049" s="76"/>
      <c r="I2049" s="73" t="s">
        <v>366</v>
      </c>
      <c r="J2049" s="76"/>
    </row>
    <row r="2050">
      <c r="A2050" s="74">
        <v>2046.0</v>
      </c>
      <c r="B2050" s="73" t="s">
        <v>1984</v>
      </c>
      <c r="C2050" s="74">
        <v>9.00128523E8</v>
      </c>
      <c r="D2050" s="73" t="s">
        <v>2520</v>
      </c>
      <c r="E2050" s="72">
        <v>205.0</v>
      </c>
      <c r="F2050" s="75">
        <v>39315.0</v>
      </c>
      <c r="G2050" s="76"/>
      <c r="H2050" s="76"/>
      <c r="I2050" s="73" t="s">
        <v>366</v>
      </c>
      <c r="J2050" s="76"/>
    </row>
    <row r="2051">
      <c r="A2051" s="74">
        <v>2047.0</v>
      </c>
      <c r="B2051" s="73" t="s">
        <v>1984</v>
      </c>
      <c r="C2051" s="74">
        <v>9.00122855E8</v>
      </c>
      <c r="D2051" s="73" t="s">
        <v>2521</v>
      </c>
      <c r="E2051" s="72">
        <v>945.0</v>
      </c>
      <c r="F2051" s="75">
        <v>39325.0</v>
      </c>
      <c r="G2051" s="76"/>
      <c r="H2051" s="76"/>
      <c r="I2051" s="73" t="s">
        <v>366</v>
      </c>
      <c r="J2051" s="76"/>
    </row>
    <row r="2052">
      <c r="A2052" s="74">
        <v>2048.0</v>
      </c>
      <c r="B2052" s="73" t="s">
        <v>1984</v>
      </c>
      <c r="C2052" s="74">
        <v>9.0016243E8</v>
      </c>
      <c r="D2052" s="73" t="s">
        <v>2522</v>
      </c>
      <c r="E2052" s="72">
        <v>950.0</v>
      </c>
      <c r="F2052" s="75">
        <v>39328.0</v>
      </c>
      <c r="G2052" s="76"/>
      <c r="H2052" s="76"/>
      <c r="I2052" s="73" t="s">
        <v>366</v>
      </c>
      <c r="J2052" s="76"/>
    </row>
    <row r="2053">
      <c r="A2053" s="85">
        <v>2049.0</v>
      </c>
      <c r="B2053" s="79" t="s">
        <v>1984</v>
      </c>
      <c r="C2053" s="80">
        <v>9.00116578E8</v>
      </c>
      <c r="D2053" s="79" t="s">
        <v>2523</v>
      </c>
      <c r="E2053" s="81">
        <v>1012.0</v>
      </c>
      <c r="F2053" s="84">
        <v>39339.0</v>
      </c>
      <c r="G2053" s="83"/>
      <c r="H2053" s="83"/>
      <c r="I2053" s="73" t="s">
        <v>366</v>
      </c>
      <c r="J2053" s="76"/>
    </row>
    <row r="2054">
      <c r="A2054" s="74">
        <v>2050.0</v>
      </c>
      <c r="B2054" s="73" t="s">
        <v>1984</v>
      </c>
      <c r="C2054" s="74">
        <v>9.00113646E8</v>
      </c>
      <c r="D2054" s="73" t="s">
        <v>2524</v>
      </c>
      <c r="E2054" s="72">
        <v>1060.0</v>
      </c>
      <c r="F2054" s="75">
        <v>39346.0</v>
      </c>
      <c r="G2054" s="76"/>
      <c r="H2054" s="76"/>
      <c r="I2054" s="73" t="s">
        <v>366</v>
      </c>
      <c r="J2054" s="76"/>
    </row>
    <row r="2055">
      <c r="A2055" s="74">
        <v>2051.0</v>
      </c>
      <c r="B2055" s="73" t="s">
        <v>1984</v>
      </c>
      <c r="C2055" s="74">
        <v>9.00150646E8</v>
      </c>
      <c r="D2055" s="73" t="s">
        <v>2525</v>
      </c>
      <c r="E2055" s="72">
        <v>1050.0</v>
      </c>
      <c r="F2055" s="75">
        <v>39346.0</v>
      </c>
      <c r="G2055" s="76"/>
      <c r="H2055" s="76"/>
      <c r="I2055" s="73" t="s">
        <v>366</v>
      </c>
      <c r="J2055" s="76"/>
    </row>
    <row r="2056">
      <c r="A2056" s="74">
        <v>2052.0</v>
      </c>
      <c r="B2056" s="73" t="s">
        <v>1984</v>
      </c>
      <c r="C2056" s="74">
        <v>9.00156309E8</v>
      </c>
      <c r="D2056" s="73" t="s">
        <v>2526</v>
      </c>
      <c r="E2056" s="72">
        <v>1088.0</v>
      </c>
      <c r="F2056" s="77">
        <v>39356.0</v>
      </c>
      <c r="G2056" s="76"/>
      <c r="H2056" s="76"/>
      <c r="I2056" s="73" t="s">
        <v>366</v>
      </c>
      <c r="J2056" s="76"/>
    </row>
    <row r="2057">
      <c r="A2057" s="74">
        <v>2053.0</v>
      </c>
      <c r="B2057" s="73" t="s">
        <v>1984</v>
      </c>
      <c r="C2057" s="74">
        <v>9.00092476E8</v>
      </c>
      <c r="D2057" s="73" t="s">
        <v>2527</v>
      </c>
      <c r="E2057" s="72">
        <v>1100.0</v>
      </c>
      <c r="F2057" s="77">
        <v>39359.0</v>
      </c>
      <c r="G2057" s="76"/>
      <c r="H2057" s="76"/>
      <c r="I2057" s="73" t="s">
        <v>366</v>
      </c>
      <c r="J2057" s="76"/>
    </row>
    <row r="2058">
      <c r="A2058" s="74">
        <v>2054.0</v>
      </c>
      <c r="B2058" s="73" t="s">
        <v>1984</v>
      </c>
      <c r="C2058" s="74">
        <v>9.00142178E8</v>
      </c>
      <c r="D2058" s="73" t="s">
        <v>2528</v>
      </c>
      <c r="E2058" s="72">
        <v>1098.0</v>
      </c>
      <c r="F2058" s="77">
        <v>39359.0</v>
      </c>
      <c r="G2058" s="76"/>
      <c r="H2058" s="76"/>
      <c r="I2058" s="73" t="s">
        <v>366</v>
      </c>
      <c r="J2058" s="76"/>
    </row>
    <row r="2059">
      <c r="A2059" s="74">
        <v>2055.0</v>
      </c>
      <c r="B2059" s="73" t="s">
        <v>1984</v>
      </c>
      <c r="C2059" s="74">
        <v>9.001099E8</v>
      </c>
      <c r="D2059" s="73" t="s">
        <v>2529</v>
      </c>
      <c r="E2059" s="72">
        <v>1103.0</v>
      </c>
      <c r="F2059" s="77">
        <v>39360.0</v>
      </c>
      <c r="G2059" s="76"/>
      <c r="H2059" s="76"/>
      <c r="I2059" s="73" t="s">
        <v>366</v>
      </c>
      <c r="J2059" s="76"/>
    </row>
    <row r="2060">
      <c r="A2060" s="74">
        <v>2056.0</v>
      </c>
      <c r="B2060" s="73" t="s">
        <v>1984</v>
      </c>
      <c r="C2060" s="74">
        <v>9.00079785E8</v>
      </c>
      <c r="D2060" s="73" t="s">
        <v>2530</v>
      </c>
      <c r="E2060" s="72">
        <v>1110.0</v>
      </c>
      <c r="F2060" s="77">
        <v>39360.0</v>
      </c>
      <c r="G2060" s="76"/>
      <c r="H2060" s="76"/>
      <c r="I2060" s="73" t="s">
        <v>366</v>
      </c>
      <c r="J2060" s="76"/>
    </row>
    <row r="2061">
      <c r="A2061" s="74">
        <v>2057.0</v>
      </c>
      <c r="B2061" s="73" t="s">
        <v>1984</v>
      </c>
      <c r="C2061" s="74">
        <v>9.00070669E8</v>
      </c>
      <c r="D2061" s="73" t="s">
        <v>2531</v>
      </c>
      <c r="E2061" s="72">
        <v>1158.0</v>
      </c>
      <c r="F2061" s="77">
        <v>39372.0</v>
      </c>
      <c r="G2061" s="76"/>
      <c r="H2061" s="76"/>
      <c r="I2061" s="73" t="s">
        <v>366</v>
      </c>
      <c r="J2061" s="76"/>
    </row>
    <row r="2062">
      <c r="A2062" s="74">
        <v>2058.0</v>
      </c>
      <c r="B2062" s="73" t="s">
        <v>1984</v>
      </c>
      <c r="C2062" s="74">
        <v>9.00080306E8</v>
      </c>
      <c r="D2062" s="73" t="s">
        <v>2532</v>
      </c>
      <c r="E2062" s="72">
        <v>1186.0</v>
      </c>
      <c r="F2062" s="77">
        <v>39381.0</v>
      </c>
      <c r="G2062" s="76"/>
      <c r="H2062" s="76"/>
      <c r="I2062" s="73" t="s">
        <v>366</v>
      </c>
      <c r="J2062" s="76"/>
    </row>
    <row r="2063">
      <c r="A2063" s="74">
        <v>2059.0</v>
      </c>
      <c r="B2063" s="73" t="s">
        <v>1984</v>
      </c>
      <c r="C2063" s="74">
        <v>9.00115669E8</v>
      </c>
      <c r="D2063" s="73" t="s">
        <v>2533</v>
      </c>
      <c r="E2063" s="72">
        <v>1234.0</v>
      </c>
      <c r="F2063" s="77">
        <v>39393.0</v>
      </c>
      <c r="G2063" s="76"/>
      <c r="H2063" s="76"/>
      <c r="I2063" s="73" t="s">
        <v>366</v>
      </c>
      <c r="J2063" s="76"/>
    </row>
    <row r="2064">
      <c r="A2064" s="74">
        <v>2060.0</v>
      </c>
      <c r="B2064" s="73" t="s">
        <v>1984</v>
      </c>
      <c r="C2064" s="74">
        <v>9.0017526E8</v>
      </c>
      <c r="D2064" s="73" t="s">
        <v>2534</v>
      </c>
      <c r="E2064" s="72">
        <v>1319.0</v>
      </c>
      <c r="F2064" s="77">
        <v>39407.0</v>
      </c>
      <c r="G2064" s="76"/>
      <c r="H2064" s="76"/>
      <c r="I2064" s="73" t="s">
        <v>366</v>
      </c>
      <c r="J2064" s="76"/>
    </row>
    <row r="2065">
      <c r="A2065" s="74">
        <v>2061.0</v>
      </c>
      <c r="B2065" s="73" t="s">
        <v>1984</v>
      </c>
      <c r="C2065" s="74">
        <v>9.00137409E8</v>
      </c>
      <c r="D2065" s="73" t="s">
        <v>2535</v>
      </c>
      <c r="E2065" s="72">
        <v>1345.0</v>
      </c>
      <c r="F2065" s="77">
        <v>39414.0</v>
      </c>
      <c r="G2065" s="76"/>
      <c r="H2065" s="76"/>
      <c r="I2065" s="73" t="s">
        <v>366</v>
      </c>
      <c r="J2065" s="76"/>
    </row>
    <row r="2066">
      <c r="A2066" s="74">
        <v>2062.0</v>
      </c>
      <c r="B2066" s="73" t="s">
        <v>1984</v>
      </c>
      <c r="C2066" s="74">
        <v>9.00124221E8</v>
      </c>
      <c r="D2066" s="73" t="s">
        <v>2536</v>
      </c>
      <c r="E2066" s="72">
        <v>1368.0</v>
      </c>
      <c r="F2066" s="77">
        <v>39420.0</v>
      </c>
      <c r="G2066" s="76"/>
      <c r="H2066" s="76"/>
      <c r="I2066" s="73" t="s">
        <v>366</v>
      </c>
      <c r="J2066" s="76"/>
    </row>
    <row r="2067">
      <c r="A2067" s="74">
        <v>2063.0</v>
      </c>
      <c r="B2067" s="73" t="s">
        <v>1984</v>
      </c>
      <c r="C2067" s="74">
        <v>9.0016311E8</v>
      </c>
      <c r="D2067" s="73" t="s">
        <v>2537</v>
      </c>
      <c r="E2067" s="72">
        <v>1369.0</v>
      </c>
      <c r="F2067" s="77">
        <v>39420.0</v>
      </c>
      <c r="G2067" s="76"/>
      <c r="H2067" s="76"/>
      <c r="I2067" s="73" t="s">
        <v>366</v>
      </c>
      <c r="J2067" s="76"/>
    </row>
    <row r="2068">
      <c r="A2068" s="74">
        <v>2064.0</v>
      </c>
      <c r="B2068" s="73" t="s">
        <v>1984</v>
      </c>
      <c r="C2068" s="74">
        <v>9.00052123E8</v>
      </c>
      <c r="D2068" s="73" t="s">
        <v>2538</v>
      </c>
      <c r="E2068" s="72">
        <v>14672.0</v>
      </c>
      <c r="F2068" s="77">
        <v>39422.0</v>
      </c>
      <c r="G2068" s="76"/>
      <c r="H2068" s="76"/>
      <c r="I2068" s="73" t="s">
        <v>366</v>
      </c>
      <c r="J2068" s="76"/>
    </row>
    <row r="2069">
      <c r="A2069" s="74">
        <v>2065.0</v>
      </c>
      <c r="B2069" s="73" t="s">
        <v>1984</v>
      </c>
      <c r="C2069" s="74">
        <v>9.00169772E8</v>
      </c>
      <c r="D2069" s="73" t="s">
        <v>2539</v>
      </c>
      <c r="E2069" s="72">
        <v>1396.0</v>
      </c>
      <c r="F2069" s="77">
        <v>39428.0</v>
      </c>
      <c r="G2069" s="76"/>
      <c r="H2069" s="76"/>
      <c r="I2069" s="73" t="s">
        <v>366</v>
      </c>
      <c r="J2069" s="76"/>
    </row>
    <row r="2070">
      <c r="A2070" s="74">
        <v>2066.0</v>
      </c>
      <c r="B2070" s="73" t="s">
        <v>1984</v>
      </c>
      <c r="C2070" s="74">
        <v>9.00182822E8</v>
      </c>
      <c r="D2070" s="73" t="s">
        <v>2540</v>
      </c>
      <c r="E2070" s="72">
        <v>1436.0</v>
      </c>
      <c r="F2070" s="77">
        <v>39434.0</v>
      </c>
      <c r="G2070" s="76"/>
      <c r="H2070" s="76"/>
      <c r="I2070" s="73" t="s">
        <v>366</v>
      </c>
      <c r="J2070" s="76"/>
    </row>
    <row r="2071">
      <c r="A2071" s="74">
        <v>2067.0</v>
      </c>
      <c r="B2071" s="73" t="s">
        <v>1984</v>
      </c>
      <c r="C2071" s="74">
        <v>9.00113804E8</v>
      </c>
      <c r="D2071" s="73" t="s">
        <v>2541</v>
      </c>
      <c r="E2071" s="72">
        <v>1449.0</v>
      </c>
      <c r="F2071" s="77">
        <v>39436.0</v>
      </c>
      <c r="G2071" s="76"/>
      <c r="H2071" s="76"/>
      <c r="I2071" s="73" t="s">
        <v>366</v>
      </c>
      <c r="J2071" s="76"/>
    </row>
    <row r="2072">
      <c r="A2072" s="74">
        <v>2068.0</v>
      </c>
      <c r="B2072" s="73" t="s">
        <v>1984</v>
      </c>
      <c r="C2072" s="74">
        <v>8.30111718E8</v>
      </c>
      <c r="D2072" s="73" t="s">
        <v>2542</v>
      </c>
      <c r="E2072" s="72">
        <v>1461.0</v>
      </c>
      <c r="F2072" s="77">
        <v>39442.0</v>
      </c>
      <c r="G2072" s="76"/>
      <c r="H2072" s="76"/>
      <c r="I2072" s="73" t="s">
        <v>366</v>
      </c>
      <c r="J2072" s="76"/>
    </row>
    <row r="2073">
      <c r="A2073" s="74">
        <v>2069.0</v>
      </c>
      <c r="B2073" s="73" t="s">
        <v>1984</v>
      </c>
      <c r="C2073" s="74">
        <v>9.00069712E8</v>
      </c>
      <c r="D2073" s="73" t="s">
        <v>2543</v>
      </c>
      <c r="E2073" s="72">
        <v>1460.0</v>
      </c>
      <c r="F2073" s="77">
        <v>39442.0</v>
      </c>
      <c r="G2073" s="76"/>
      <c r="H2073" s="76"/>
      <c r="I2073" s="73" t="s">
        <v>366</v>
      </c>
      <c r="J2073" s="76"/>
    </row>
    <row r="2074">
      <c r="A2074" s="74">
        <v>2070.0</v>
      </c>
      <c r="B2074" s="73" t="s">
        <v>1984</v>
      </c>
      <c r="C2074" s="74">
        <v>9.00179151E8</v>
      </c>
      <c r="D2074" s="73" t="s">
        <v>2544</v>
      </c>
      <c r="E2074" s="72">
        <v>1457.0</v>
      </c>
      <c r="F2074" s="77">
        <v>39442.0</v>
      </c>
      <c r="G2074" s="76"/>
      <c r="H2074" s="76"/>
      <c r="I2074" s="73" t="s">
        <v>366</v>
      </c>
      <c r="J2074" s="76"/>
    </row>
    <row r="2075">
      <c r="A2075" s="74">
        <v>2071.0</v>
      </c>
      <c r="B2075" s="73" t="s">
        <v>1984</v>
      </c>
      <c r="C2075" s="74">
        <v>9.00189956E8</v>
      </c>
      <c r="D2075" s="73" t="s">
        <v>2545</v>
      </c>
      <c r="E2075" s="72">
        <v>1464.0</v>
      </c>
      <c r="F2075" s="77">
        <v>39442.0</v>
      </c>
      <c r="G2075" s="76"/>
      <c r="H2075" s="76"/>
      <c r="I2075" s="73" t="s">
        <v>366</v>
      </c>
      <c r="J2075" s="76"/>
    </row>
    <row r="2076">
      <c r="A2076" s="74">
        <v>2072.0</v>
      </c>
      <c r="B2076" s="73" t="s">
        <v>1984</v>
      </c>
      <c r="C2076" s="74">
        <v>9.00182621E8</v>
      </c>
      <c r="D2076" s="73" t="s">
        <v>2546</v>
      </c>
      <c r="E2076" s="72">
        <v>24.0</v>
      </c>
      <c r="F2076" s="75">
        <v>39469.0</v>
      </c>
      <c r="G2076" s="76"/>
      <c r="H2076" s="76"/>
      <c r="I2076" s="73" t="s">
        <v>366</v>
      </c>
      <c r="J2076" s="76"/>
    </row>
    <row r="2077">
      <c r="A2077" s="74">
        <v>2073.0</v>
      </c>
      <c r="B2077" s="73" t="s">
        <v>1984</v>
      </c>
      <c r="C2077" s="74">
        <v>9.00142448E8</v>
      </c>
      <c r="D2077" s="73" t="s">
        <v>2547</v>
      </c>
      <c r="E2077" s="72">
        <v>35.0</v>
      </c>
      <c r="F2077" s="75">
        <v>39470.0</v>
      </c>
      <c r="G2077" s="76"/>
      <c r="H2077" s="76"/>
      <c r="I2077" s="73" t="s">
        <v>366</v>
      </c>
      <c r="J2077" s="76"/>
    </row>
    <row r="2078">
      <c r="A2078" s="74">
        <v>2074.0</v>
      </c>
      <c r="B2078" s="73" t="s">
        <v>1984</v>
      </c>
      <c r="C2078" s="74">
        <v>8.30112817E8</v>
      </c>
      <c r="D2078" s="73" t="s">
        <v>2548</v>
      </c>
      <c r="E2078" s="72">
        <v>165.0</v>
      </c>
      <c r="F2078" s="75">
        <v>39490.0</v>
      </c>
      <c r="G2078" s="76"/>
      <c r="H2078" s="76"/>
      <c r="I2078" s="73" t="s">
        <v>366</v>
      </c>
      <c r="J2078" s="76"/>
    </row>
    <row r="2079">
      <c r="A2079" s="74">
        <v>2075.0</v>
      </c>
      <c r="B2079" s="73" t="s">
        <v>1984</v>
      </c>
      <c r="C2079" s="74">
        <v>8.60048954E8</v>
      </c>
      <c r="D2079" s="73" t="s">
        <v>2549</v>
      </c>
      <c r="E2079" s="72">
        <v>161.0</v>
      </c>
      <c r="F2079" s="75">
        <v>39490.0</v>
      </c>
      <c r="G2079" s="76"/>
      <c r="H2079" s="76"/>
      <c r="I2079" s="73" t="s">
        <v>366</v>
      </c>
      <c r="J2079" s="76"/>
    </row>
    <row r="2080">
      <c r="A2080" s="74">
        <v>2076.0</v>
      </c>
      <c r="B2080" s="73" t="s">
        <v>1984</v>
      </c>
      <c r="C2080" s="74">
        <v>9.00164128E8</v>
      </c>
      <c r="D2080" s="73" t="s">
        <v>2550</v>
      </c>
      <c r="E2080" s="72">
        <v>175.0</v>
      </c>
      <c r="F2080" s="75">
        <v>39493.0</v>
      </c>
      <c r="G2080" s="76"/>
      <c r="H2080" s="76"/>
      <c r="I2080" s="73" t="s">
        <v>366</v>
      </c>
      <c r="J2080" s="76"/>
    </row>
    <row r="2081">
      <c r="A2081" s="74">
        <v>2077.0</v>
      </c>
      <c r="B2081" s="73" t="s">
        <v>1984</v>
      </c>
      <c r="C2081" s="74">
        <v>9.00041998E8</v>
      </c>
      <c r="D2081" s="73" t="s">
        <v>2551</v>
      </c>
      <c r="E2081" s="72">
        <v>221.0</v>
      </c>
      <c r="F2081" s="75">
        <v>39500.0</v>
      </c>
      <c r="G2081" s="76"/>
      <c r="H2081" s="76"/>
      <c r="I2081" s="73" t="s">
        <v>366</v>
      </c>
      <c r="J2081" s="76"/>
    </row>
    <row r="2082">
      <c r="A2082" s="74">
        <v>2078.0</v>
      </c>
      <c r="B2082" s="73" t="s">
        <v>1984</v>
      </c>
      <c r="C2082" s="74">
        <v>8.00027662E8</v>
      </c>
      <c r="D2082" s="73" t="s">
        <v>2552</v>
      </c>
      <c r="E2082" s="72">
        <v>275.0</v>
      </c>
      <c r="F2082" s="75">
        <v>39514.0</v>
      </c>
      <c r="G2082" s="76"/>
      <c r="H2082" s="76"/>
      <c r="I2082" s="73" t="s">
        <v>366</v>
      </c>
      <c r="J2082" s="76"/>
    </row>
    <row r="2083">
      <c r="A2083" s="74">
        <v>2079.0</v>
      </c>
      <c r="B2083" s="73" t="s">
        <v>1984</v>
      </c>
      <c r="C2083" s="74">
        <v>9.00053373E8</v>
      </c>
      <c r="D2083" s="73" t="s">
        <v>2553</v>
      </c>
      <c r="E2083" s="72">
        <v>276.0</v>
      </c>
      <c r="F2083" s="75">
        <v>39514.0</v>
      </c>
      <c r="G2083" s="76"/>
      <c r="H2083" s="76"/>
      <c r="I2083" s="73" t="s">
        <v>366</v>
      </c>
      <c r="J2083" s="76"/>
    </row>
    <row r="2084">
      <c r="A2084" s="74">
        <v>2080.0</v>
      </c>
      <c r="B2084" s="73" t="s">
        <v>1984</v>
      </c>
      <c r="C2084" s="74">
        <v>9.00179911E8</v>
      </c>
      <c r="D2084" s="73" t="s">
        <v>2554</v>
      </c>
      <c r="E2084" s="72">
        <v>273.0</v>
      </c>
      <c r="F2084" s="75">
        <v>39514.0</v>
      </c>
      <c r="G2084" s="76"/>
      <c r="H2084" s="76"/>
      <c r="I2084" s="73" t="s">
        <v>366</v>
      </c>
      <c r="J2084" s="76"/>
    </row>
    <row r="2085">
      <c r="A2085" s="74">
        <v>2081.0</v>
      </c>
      <c r="B2085" s="73" t="s">
        <v>1984</v>
      </c>
      <c r="C2085" s="74">
        <v>9.00166922E8</v>
      </c>
      <c r="D2085" s="73" t="s">
        <v>2555</v>
      </c>
      <c r="E2085" s="72">
        <v>274.0</v>
      </c>
      <c r="F2085" s="75">
        <v>39514.0</v>
      </c>
      <c r="G2085" s="76"/>
      <c r="H2085" s="76"/>
      <c r="I2085" s="73" t="s">
        <v>366</v>
      </c>
      <c r="J2085" s="76"/>
    </row>
    <row r="2086">
      <c r="A2086" s="74">
        <v>2082.0</v>
      </c>
      <c r="B2086" s="73" t="s">
        <v>1984</v>
      </c>
      <c r="C2086" s="74">
        <v>9.00155985E8</v>
      </c>
      <c r="D2086" s="73" t="s">
        <v>2556</v>
      </c>
      <c r="E2086" s="72">
        <v>43.0</v>
      </c>
      <c r="F2086" s="75">
        <v>39541.0</v>
      </c>
      <c r="G2086" s="76"/>
      <c r="H2086" s="76"/>
      <c r="I2086" s="73" t="s">
        <v>366</v>
      </c>
      <c r="J2086" s="76"/>
    </row>
    <row r="2087">
      <c r="A2087" s="74">
        <v>2083.0</v>
      </c>
      <c r="B2087" s="73" t="s">
        <v>1984</v>
      </c>
      <c r="C2087" s="74">
        <v>9.00177793E8</v>
      </c>
      <c r="D2087" s="73" t="s">
        <v>2557</v>
      </c>
      <c r="E2087" s="72">
        <v>423.0</v>
      </c>
      <c r="F2087" s="75">
        <v>39561.0</v>
      </c>
      <c r="G2087" s="76"/>
      <c r="H2087" s="76"/>
      <c r="I2087" s="73" t="s">
        <v>366</v>
      </c>
      <c r="J2087" s="76"/>
    </row>
    <row r="2088">
      <c r="A2088" s="74">
        <v>2084.0</v>
      </c>
      <c r="B2088" s="73" t="s">
        <v>1984</v>
      </c>
      <c r="C2088" s="74">
        <v>9.00187376E8</v>
      </c>
      <c r="D2088" s="73" t="s">
        <v>2558</v>
      </c>
      <c r="E2088" s="72">
        <v>443.0</v>
      </c>
      <c r="F2088" s="75">
        <v>39566.0</v>
      </c>
      <c r="G2088" s="76"/>
      <c r="H2088" s="76"/>
      <c r="I2088" s="73" t="s">
        <v>366</v>
      </c>
      <c r="J2088" s="76"/>
    </row>
    <row r="2089">
      <c r="A2089" s="74">
        <v>2085.0</v>
      </c>
      <c r="B2089" s="73" t="s">
        <v>1984</v>
      </c>
      <c r="C2089" s="74">
        <v>8.60074389E8</v>
      </c>
      <c r="D2089" s="73" t="s">
        <v>2559</v>
      </c>
      <c r="E2089" s="72">
        <v>466.0</v>
      </c>
      <c r="F2089" s="75">
        <v>39568.0</v>
      </c>
      <c r="G2089" s="76"/>
      <c r="H2089" s="76"/>
      <c r="I2089" s="73" t="s">
        <v>366</v>
      </c>
      <c r="J2089" s="76"/>
    </row>
    <row r="2090">
      <c r="A2090" s="74">
        <v>2086.0</v>
      </c>
      <c r="B2090" s="73" t="s">
        <v>1984</v>
      </c>
      <c r="C2090" s="74">
        <v>9.00209748E8</v>
      </c>
      <c r="D2090" s="73" t="s">
        <v>2560</v>
      </c>
      <c r="E2090" s="72">
        <v>468.0</v>
      </c>
      <c r="F2090" s="75">
        <v>39568.0</v>
      </c>
      <c r="G2090" s="76"/>
      <c r="H2090" s="76"/>
      <c r="I2090" s="73" t="s">
        <v>366</v>
      </c>
      <c r="J2090" s="76"/>
    </row>
    <row r="2091">
      <c r="A2091" s="74">
        <v>2087.0</v>
      </c>
      <c r="B2091" s="73" t="s">
        <v>1984</v>
      </c>
      <c r="C2091" s="74">
        <v>9.00215389E8</v>
      </c>
      <c r="D2091" s="73" t="s">
        <v>2561</v>
      </c>
      <c r="E2091" s="72">
        <v>40.0</v>
      </c>
      <c r="F2091" s="75">
        <v>39580.0</v>
      </c>
      <c r="G2091" s="76"/>
      <c r="H2091" s="76"/>
      <c r="I2091" s="73" t="s">
        <v>366</v>
      </c>
      <c r="J2091" s="76"/>
    </row>
    <row r="2092">
      <c r="A2092" s="74">
        <v>2088.0</v>
      </c>
      <c r="B2092" s="73" t="s">
        <v>1984</v>
      </c>
      <c r="C2092" s="74">
        <v>9.00077532E8</v>
      </c>
      <c r="D2092" s="73" t="s">
        <v>2562</v>
      </c>
      <c r="E2092" s="72">
        <v>511.0</v>
      </c>
      <c r="F2092" s="75">
        <v>39583.0</v>
      </c>
      <c r="G2092" s="76"/>
      <c r="H2092" s="76"/>
      <c r="I2092" s="73" t="s">
        <v>366</v>
      </c>
      <c r="J2092" s="76"/>
    </row>
    <row r="2093">
      <c r="A2093" s="74">
        <v>2089.0</v>
      </c>
      <c r="B2093" s="73" t="s">
        <v>1984</v>
      </c>
      <c r="C2093" s="74">
        <v>9.00078165E8</v>
      </c>
      <c r="D2093" s="73" t="s">
        <v>2563</v>
      </c>
      <c r="E2093" s="72">
        <v>512.0</v>
      </c>
      <c r="F2093" s="75">
        <v>39583.0</v>
      </c>
      <c r="G2093" s="76"/>
      <c r="H2093" s="76"/>
      <c r="I2093" s="73" t="s">
        <v>366</v>
      </c>
      <c r="J2093" s="76"/>
    </row>
    <row r="2094">
      <c r="A2094" s="74">
        <v>2090.0</v>
      </c>
      <c r="B2094" s="73" t="s">
        <v>1984</v>
      </c>
      <c r="C2094" s="74">
        <v>8.60068486E8</v>
      </c>
      <c r="D2094" s="73" t="s">
        <v>2564</v>
      </c>
      <c r="E2094" s="72">
        <v>519.0</v>
      </c>
      <c r="F2094" s="75">
        <v>39587.0</v>
      </c>
      <c r="G2094" s="76"/>
      <c r="H2094" s="76"/>
      <c r="I2094" s="73" t="s">
        <v>366</v>
      </c>
      <c r="J2094" s="76"/>
    </row>
    <row r="2095">
      <c r="A2095" s="74">
        <v>2091.0</v>
      </c>
      <c r="B2095" s="73" t="s">
        <v>1984</v>
      </c>
      <c r="C2095" s="74">
        <v>9.0016276E8</v>
      </c>
      <c r="D2095" s="73" t="s">
        <v>2565</v>
      </c>
      <c r="E2095" s="72">
        <v>5181.0</v>
      </c>
      <c r="F2095" s="75">
        <v>39587.0</v>
      </c>
      <c r="G2095" s="76"/>
      <c r="H2095" s="76"/>
      <c r="I2095" s="73" t="s">
        <v>366</v>
      </c>
      <c r="J2095" s="76"/>
    </row>
    <row r="2096">
      <c r="A2096" s="74">
        <v>2092.0</v>
      </c>
      <c r="B2096" s="73" t="s">
        <v>1984</v>
      </c>
      <c r="C2096" s="74">
        <v>9.00177063E8</v>
      </c>
      <c r="D2096" s="73" t="s">
        <v>2566</v>
      </c>
      <c r="E2096" s="72">
        <v>550.0</v>
      </c>
      <c r="F2096" s="75">
        <v>39591.0</v>
      </c>
      <c r="G2096" s="76"/>
      <c r="H2096" s="76"/>
      <c r="I2096" s="73" t="s">
        <v>366</v>
      </c>
      <c r="J2096" s="76"/>
    </row>
    <row r="2097">
      <c r="A2097" s="74">
        <v>2093.0</v>
      </c>
      <c r="B2097" s="73" t="s">
        <v>1984</v>
      </c>
      <c r="C2097" s="74">
        <v>9.00172468E8</v>
      </c>
      <c r="D2097" s="73" t="s">
        <v>2567</v>
      </c>
      <c r="E2097" s="72">
        <v>622.0</v>
      </c>
      <c r="F2097" s="75">
        <v>39609.0</v>
      </c>
      <c r="G2097" s="76"/>
      <c r="H2097" s="76"/>
      <c r="I2097" s="73" t="s">
        <v>366</v>
      </c>
      <c r="J2097" s="76"/>
    </row>
    <row r="2098">
      <c r="A2098" s="74">
        <v>2094.0</v>
      </c>
      <c r="B2098" s="73" t="s">
        <v>1984</v>
      </c>
      <c r="C2098" s="74">
        <v>9.0020451E8</v>
      </c>
      <c r="D2098" s="73" t="s">
        <v>2568</v>
      </c>
      <c r="E2098" s="72">
        <v>623.0</v>
      </c>
      <c r="F2098" s="75">
        <v>39609.0</v>
      </c>
      <c r="G2098" s="76"/>
      <c r="H2098" s="76"/>
      <c r="I2098" s="73" t="s">
        <v>366</v>
      </c>
      <c r="J2098" s="76"/>
    </row>
    <row r="2099">
      <c r="A2099" s="74">
        <v>2095.0</v>
      </c>
      <c r="B2099" s="73" t="s">
        <v>1984</v>
      </c>
      <c r="C2099" s="74">
        <v>8.60451148E8</v>
      </c>
      <c r="D2099" s="73" t="s">
        <v>2569</v>
      </c>
      <c r="E2099" s="72">
        <v>662.0</v>
      </c>
      <c r="F2099" s="75">
        <v>39616.0</v>
      </c>
      <c r="G2099" s="76"/>
      <c r="H2099" s="76"/>
      <c r="I2099" s="73" t="s">
        <v>366</v>
      </c>
      <c r="J2099" s="76"/>
    </row>
    <row r="2100">
      <c r="A2100" s="74">
        <v>2096.0</v>
      </c>
      <c r="B2100" s="73" t="s">
        <v>1984</v>
      </c>
      <c r="C2100" s="74">
        <v>9.00070142E8</v>
      </c>
      <c r="D2100" s="73" t="s">
        <v>2570</v>
      </c>
      <c r="E2100" s="72">
        <v>671.0</v>
      </c>
      <c r="F2100" s="75">
        <v>39619.0</v>
      </c>
      <c r="G2100" s="76"/>
      <c r="H2100" s="76"/>
      <c r="I2100" s="73" t="s">
        <v>366</v>
      </c>
      <c r="J2100" s="76"/>
    </row>
    <row r="2101">
      <c r="A2101" s="74">
        <v>2097.0</v>
      </c>
      <c r="B2101" s="73" t="s">
        <v>1984</v>
      </c>
      <c r="C2101" s="74">
        <v>8.30107286E8</v>
      </c>
      <c r="D2101" s="73" t="s">
        <v>2571</v>
      </c>
      <c r="E2101" s="72">
        <v>726.0</v>
      </c>
      <c r="F2101" s="75">
        <v>39633.0</v>
      </c>
      <c r="G2101" s="76"/>
      <c r="H2101" s="76"/>
      <c r="I2101" s="73" t="s">
        <v>366</v>
      </c>
      <c r="J2101" s="76"/>
    </row>
    <row r="2102">
      <c r="A2102" s="74">
        <v>2098.0</v>
      </c>
      <c r="B2102" s="73" t="s">
        <v>1984</v>
      </c>
      <c r="C2102" s="74">
        <v>9.00148698E8</v>
      </c>
      <c r="D2102" s="73" t="s">
        <v>2572</v>
      </c>
      <c r="E2102" s="72">
        <v>748.0</v>
      </c>
      <c r="F2102" s="75">
        <v>39643.0</v>
      </c>
      <c r="G2102" s="76"/>
      <c r="H2102" s="76"/>
      <c r="I2102" s="73" t="s">
        <v>366</v>
      </c>
      <c r="J2102" s="76"/>
    </row>
    <row r="2103">
      <c r="A2103" s="74">
        <v>2099.0</v>
      </c>
      <c r="B2103" s="73" t="s">
        <v>1984</v>
      </c>
      <c r="C2103" s="74">
        <v>9.00213844E8</v>
      </c>
      <c r="D2103" s="73" t="s">
        <v>2573</v>
      </c>
      <c r="E2103" s="72">
        <v>428.0</v>
      </c>
      <c r="F2103" s="75">
        <v>39643.0</v>
      </c>
      <c r="G2103" s="76"/>
      <c r="H2103" s="76"/>
      <c r="I2103" s="73" t="s">
        <v>366</v>
      </c>
      <c r="J2103" s="76"/>
    </row>
    <row r="2104">
      <c r="A2104" s="74">
        <v>2100.0</v>
      </c>
      <c r="B2104" s="73" t="s">
        <v>1984</v>
      </c>
      <c r="C2104" s="74">
        <v>9.0010961E8</v>
      </c>
      <c r="D2104" s="73" t="s">
        <v>2574</v>
      </c>
      <c r="E2104" s="72">
        <v>824.0</v>
      </c>
      <c r="F2104" s="75">
        <v>39658.0</v>
      </c>
      <c r="G2104" s="76"/>
      <c r="H2104" s="76"/>
      <c r="I2104" s="73" t="s">
        <v>366</v>
      </c>
      <c r="J2104" s="76"/>
    </row>
    <row r="2105">
      <c r="A2105" s="74">
        <v>2101.0</v>
      </c>
      <c r="B2105" s="73" t="s">
        <v>1984</v>
      </c>
      <c r="C2105" s="74">
        <v>9.00162546E8</v>
      </c>
      <c r="D2105" s="73" t="s">
        <v>2575</v>
      </c>
      <c r="E2105" s="72">
        <v>849.0</v>
      </c>
      <c r="F2105" s="75">
        <v>39665.0</v>
      </c>
      <c r="G2105" s="76"/>
      <c r="H2105" s="76"/>
      <c r="I2105" s="73" t="s">
        <v>366</v>
      </c>
      <c r="J2105" s="76"/>
    </row>
    <row r="2106">
      <c r="A2106" s="85">
        <v>2102.0</v>
      </c>
      <c r="B2106" s="79" t="s">
        <v>1984</v>
      </c>
      <c r="C2106" s="80">
        <v>9.0019121E8</v>
      </c>
      <c r="D2106" s="79" t="s">
        <v>2576</v>
      </c>
      <c r="E2106" s="81">
        <v>850.0</v>
      </c>
      <c r="F2106" s="84">
        <v>39665.0</v>
      </c>
      <c r="G2106" s="83"/>
      <c r="H2106" s="83"/>
      <c r="I2106" s="73" t="s">
        <v>366</v>
      </c>
      <c r="J2106" s="76"/>
    </row>
    <row r="2107">
      <c r="A2107" s="74">
        <v>2103.0</v>
      </c>
      <c r="B2107" s="73" t="s">
        <v>1984</v>
      </c>
      <c r="C2107" s="74">
        <v>9.00217091E8</v>
      </c>
      <c r="D2107" s="73" t="s">
        <v>2577</v>
      </c>
      <c r="E2107" s="72">
        <v>70.0</v>
      </c>
      <c r="F2107" s="75">
        <v>39688.0</v>
      </c>
      <c r="G2107" s="76"/>
      <c r="H2107" s="76"/>
      <c r="I2107" s="73" t="s">
        <v>366</v>
      </c>
      <c r="J2107" s="76"/>
    </row>
    <row r="2108">
      <c r="A2108" s="74">
        <v>2104.0</v>
      </c>
      <c r="B2108" s="73" t="s">
        <v>1984</v>
      </c>
      <c r="C2108" s="74">
        <v>9.00219291E8</v>
      </c>
      <c r="D2108" s="73" t="s">
        <v>2578</v>
      </c>
      <c r="E2108" s="72">
        <v>69.0</v>
      </c>
      <c r="F2108" s="75">
        <v>39688.0</v>
      </c>
      <c r="G2108" s="76"/>
      <c r="H2108" s="76"/>
      <c r="I2108" s="73" t="s">
        <v>366</v>
      </c>
      <c r="J2108" s="76"/>
    </row>
    <row r="2109">
      <c r="A2109" s="74">
        <v>2105.0</v>
      </c>
      <c r="B2109" s="73" t="s">
        <v>1984</v>
      </c>
      <c r="C2109" s="74">
        <v>8.00109949E8</v>
      </c>
      <c r="D2109" s="73" t="s">
        <v>2579</v>
      </c>
      <c r="E2109" s="72">
        <v>920.0</v>
      </c>
      <c r="F2109" s="75">
        <v>39689.0</v>
      </c>
      <c r="G2109" s="76"/>
      <c r="H2109" s="76"/>
      <c r="I2109" s="73" t="s">
        <v>366</v>
      </c>
      <c r="J2109" s="76"/>
    </row>
    <row r="2110">
      <c r="A2110" s="74">
        <v>2106.0</v>
      </c>
      <c r="B2110" s="73" t="s">
        <v>1984</v>
      </c>
      <c r="C2110" s="74">
        <v>9.00210813E8</v>
      </c>
      <c r="D2110" s="73" t="s">
        <v>2580</v>
      </c>
      <c r="E2110" s="72">
        <v>981.0</v>
      </c>
      <c r="F2110" s="75">
        <v>39700.0</v>
      </c>
      <c r="G2110" s="76"/>
      <c r="H2110" s="76"/>
      <c r="I2110" s="73" t="s">
        <v>366</v>
      </c>
      <c r="J2110" s="76"/>
    </row>
    <row r="2111">
      <c r="A2111" s="74">
        <v>2107.0</v>
      </c>
      <c r="B2111" s="73" t="s">
        <v>1984</v>
      </c>
      <c r="C2111" s="74">
        <v>9.00194591E8</v>
      </c>
      <c r="D2111" s="73" t="s">
        <v>2581</v>
      </c>
      <c r="E2111" s="72">
        <v>558.0</v>
      </c>
      <c r="F2111" s="77">
        <v>39731.0</v>
      </c>
      <c r="G2111" s="76"/>
      <c r="H2111" s="76"/>
      <c r="I2111" s="73" t="s">
        <v>366</v>
      </c>
      <c r="J2111" s="76"/>
    </row>
    <row r="2112">
      <c r="A2112" s="74">
        <v>2108.0</v>
      </c>
      <c r="B2112" s="73" t="s">
        <v>1984</v>
      </c>
      <c r="C2112" s="74">
        <v>9.00145724E8</v>
      </c>
      <c r="D2112" s="73" t="s">
        <v>2582</v>
      </c>
      <c r="E2112" s="72">
        <v>287.0</v>
      </c>
      <c r="F2112" s="77">
        <v>39756.0</v>
      </c>
      <c r="G2112" s="76"/>
      <c r="H2112" s="76"/>
      <c r="I2112" s="73" t="s">
        <v>366</v>
      </c>
      <c r="J2112" s="76"/>
    </row>
    <row r="2113">
      <c r="A2113" s="74">
        <v>2109.0</v>
      </c>
      <c r="B2113" s="73" t="s">
        <v>1984</v>
      </c>
      <c r="C2113" s="74">
        <v>9.00253793E8</v>
      </c>
      <c r="D2113" s="73" t="s">
        <v>2583</v>
      </c>
      <c r="E2113" s="72">
        <v>95.0</v>
      </c>
      <c r="F2113" s="77">
        <v>39806.0</v>
      </c>
      <c r="G2113" s="76"/>
      <c r="H2113" s="76"/>
      <c r="I2113" s="73" t="s">
        <v>366</v>
      </c>
      <c r="J2113" s="76"/>
    </row>
    <row r="2114">
      <c r="A2114" s="74">
        <v>2110.0</v>
      </c>
      <c r="B2114" s="73" t="s">
        <v>1984</v>
      </c>
      <c r="C2114" s="74">
        <v>8.30137513E8</v>
      </c>
      <c r="D2114" s="73" t="s">
        <v>2584</v>
      </c>
      <c r="E2114" s="72">
        <v>1426.0</v>
      </c>
      <c r="F2114" s="77">
        <v>39808.0</v>
      </c>
      <c r="G2114" s="76"/>
      <c r="H2114" s="76"/>
      <c r="I2114" s="73" t="s">
        <v>366</v>
      </c>
      <c r="J2114" s="76"/>
    </row>
    <row r="2115">
      <c r="A2115" s="74">
        <v>2111.0</v>
      </c>
      <c r="B2115" s="73" t="s">
        <v>1984</v>
      </c>
      <c r="C2115" s="74">
        <v>9.00265858E8</v>
      </c>
      <c r="D2115" s="73" t="s">
        <v>2585</v>
      </c>
      <c r="E2115" s="72">
        <v>12.0</v>
      </c>
      <c r="F2115" s="75">
        <v>39861.0</v>
      </c>
      <c r="G2115" s="76"/>
      <c r="H2115" s="76"/>
      <c r="I2115" s="73" t="s">
        <v>366</v>
      </c>
      <c r="J2115" s="76"/>
    </row>
    <row r="2116">
      <c r="A2116" s="74">
        <v>2112.0</v>
      </c>
      <c r="B2116" s="73" t="s">
        <v>1984</v>
      </c>
      <c r="C2116" s="74">
        <v>9.00212391E8</v>
      </c>
      <c r="D2116" s="73" t="s">
        <v>2586</v>
      </c>
      <c r="E2116" s="72">
        <v>213.0</v>
      </c>
      <c r="F2116" s="75">
        <v>40002.0</v>
      </c>
      <c r="G2116" s="76"/>
      <c r="H2116" s="76"/>
      <c r="I2116" s="73" t="s">
        <v>366</v>
      </c>
      <c r="J2116" s="76"/>
    </row>
    <row r="2117">
      <c r="A2117" s="74">
        <v>2113.0</v>
      </c>
      <c r="B2117" s="73" t="s">
        <v>1984</v>
      </c>
      <c r="C2117" s="74">
        <v>9.00297903E8</v>
      </c>
      <c r="D2117" s="73" t="s">
        <v>2587</v>
      </c>
      <c r="E2117" s="72">
        <v>192.0</v>
      </c>
      <c r="F2117" s="75">
        <v>40031.0</v>
      </c>
      <c r="G2117" s="76"/>
      <c r="H2117" s="76"/>
      <c r="I2117" s="73" t="s">
        <v>366</v>
      </c>
      <c r="J2117" s="76"/>
    </row>
    <row r="2118">
      <c r="A2118" s="74">
        <v>2114.0</v>
      </c>
      <c r="B2118" s="73" t="s">
        <v>1984</v>
      </c>
      <c r="C2118" s="74">
        <v>9.00243606E8</v>
      </c>
      <c r="D2118" s="73" t="s">
        <v>2588</v>
      </c>
      <c r="E2118" s="72">
        <v>246.0</v>
      </c>
      <c r="F2118" s="75">
        <v>40037.0</v>
      </c>
      <c r="G2118" s="76"/>
      <c r="H2118" s="76"/>
      <c r="I2118" s="73" t="s">
        <v>366</v>
      </c>
      <c r="J2118" s="76"/>
    </row>
    <row r="2119">
      <c r="A2119" s="74">
        <v>2115.0</v>
      </c>
      <c r="B2119" s="73" t="s">
        <v>1984</v>
      </c>
      <c r="C2119" s="74">
        <v>8.60002997E8</v>
      </c>
      <c r="D2119" s="73" t="s">
        <v>2589</v>
      </c>
      <c r="E2119" s="72">
        <v>256.0</v>
      </c>
      <c r="F2119" s="75">
        <v>40038.0</v>
      </c>
      <c r="G2119" s="76"/>
      <c r="H2119" s="76"/>
      <c r="I2119" s="73" t="s">
        <v>366</v>
      </c>
      <c r="J2119" s="76"/>
    </row>
    <row r="2120">
      <c r="A2120" s="74">
        <v>2116.0</v>
      </c>
      <c r="B2120" s="73" t="s">
        <v>1984</v>
      </c>
      <c r="C2120" s="74">
        <v>9.00295606E8</v>
      </c>
      <c r="D2120" s="73" t="s">
        <v>2590</v>
      </c>
      <c r="E2120" s="72">
        <v>255.0</v>
      </c>
      <c r="F2120" s="75">
        <v>40038.0</v>
      </c>
      <c r="G2120" s="76"/>
      <c r="H2120" s="76"/>
      <c r="I2120" s="73" t="s">
        <v>366</v>
      </c>
      <c r="J2120" s="76"/>
    </row>
    <row r="2121">
      <c r="A2121" s="74">
        <v>2117.0</v>
      </c>
      <c r="B2121" s="73" t="s">
        <v>1984</v>
      </c>
      <c r="C2121" s="74">
        <v>9.0021792E8</v>
      </c>
      <c r="D2121" s="73" t="s">
        <v>2591</v>
      </c>
      <c r="E2121" s="72">
        <v>264.0</v>
      </c>
      <c r="F2121" s="75">
        <v>40044.0</v>
      </c>
      <c r="G2121" s="76"/>
      <c r="H2121" s="76"/>
      <c r="I2121" s="73" t="s">
        <v>366</v>
      </c>
      <c r="J2121" s="76"/>
    </row>
    <row r="2122">
      <c r="A2122" s="74">
        <v>2118.0</v>
      </c>
      <c r="B2122" s="73" t="s">
        <v>1984</v>
      </c>
      <c r="C2122" s="74">
        <v>9.00046728E8</v>
      </c>
      <c r="D2122" s="73" t="s">
        <v>2592</v>
      </c>
      <c r="E2122" s="72">
        <v>277.0</v>
      </c>
      <c r="F2122" s="75">
        <v>40053.0</v>
      </c>
      <c r="G2122" s="76"/>
      <c r="H2122" s="76"/>
      <c r="I2122" s="73" t="s">
        <v>366</v>
      </c>
      <c r="J2122" s="76"/>
    </row>
    <row r="2123">
      <c r="A2123" s="74">
        <v>2119.0</v>
      </c>
      <c r="B2123" s="73" t="s">
        <v>1984</v>
      </c>
      <c r="C2123" s="74">
        <v>9.00149203E8</v>
      </c>
      <c r="D2123" s="73" t="s">
        <v>2593</v>
      </c>
      <c r="E2123" s="72">
        <v>278.0</v>
      </c>
      <c r="F2123" s="75">
        <v>40053.0</v>
      </c>
      <c r="G2123" s="76"/>
      <c r="H2123" s="76"/>
      <c r="I2123" s="73" t="s">
        <v>366</v>
      </c>
      <c r="J2123" s="76"/>
    </row>
    <row r="2124">
      <c r="A2124" s="74">
        <v>2120.0</v>
      </c>
      <c r="B2124" s="73" t="s">
        <v>1984</v>
      </c>
      <c r="C2124" s="74">
        <v>9.00164673E8</v>
      </c>
      <c r="D2124" s="73" t="s">
        <v>2594</v>
      </c>
      <c r="E2124" s="72">
        <v>303.0</v>
      </c>
      <c r="F2124" s="75">
        <v>40071.0</v>
      </c>
      <c r="G2124" s="76"/>
      <c r="H2124" s="76"/>
      <c r="I2124" s="73" t="s">
        <v>366</v>
      </c>
      <c r="J2124" s="76"/>
    </row>
    <row r="2125">
      <c r="A2125" s="74">
        <v>2121.0</v>
      </c>
      <c r="B2125" s="73" t="s">
        <v>1984</v>
      </c>
      <c r="C2125" s="74">
        <v>8.30508834E8</v>
      </c>
      <c r="D2125" s="73" t="s">
        <v>2595</v>
      </c>
      <c r="E2125" s="72">
        <v>324.0</v>
      </c>
      <c r="F2125" s="77">
        <v>40091.0</v>
      </c>
      <c r="G2125" s="76"/>
      <c r="H2125" s="76"/>
      <c r="I2125" s="73" t="s">
        <v>366</v>
      </c>
      <c r="J2125" s="76"/>
    </row>
    <row r="2126">
      <c r="A2126" s="74">
        <v>2122.0</v>
      </c>
      <c r="B2126" s="73" t="s">
        <v>1984</v>
      </c>
      <c r="C2126" s="74">
        <v>9.00235931E8</v>
      </c>
      <c r="D2126" s="73" t="s">
        <v>2596</v>
      </c>
      <c r="E2126" s="72">
        <v>325.0</v>
      </c>
      <c r="F2126" s="77">
        <v>40091.0</v>
      </c>
      <c r="G2126" s="76"/>
      <c r="H2126" s="76"/>
      <c r="I2126" s="73" t="s">
        <v>366</v>
      </c>
      <c r="J2126" s="76"/>
    </row>
    <row r="2127">
      <c r="A2127" s="74">
        <v>2123.0</v>
      </c>
      <c r="B2127" s="73" t="s">
        <v>1984</v>
      </c>
      <c r="C2127" s="74">
        <v>8.30072415E8</v>
      </c>
      <c r="D2127" s="73" t="s">
        <v>2597</v>
      </c>
      <c r="E2127" s="72">
        <v>329.0</v>
      </c>
      <c r="F2127" s="77">
        <v>40093.0</v>
      </c>
      <c r="G2127" s="76"/>
      <c r="H2127" s="76"/>
      <c r="I2127" s="73" t="s">
        <v>366</v>
      </c>
      <c r="J2127" s="76"/>
    </row>
    <row r="2128">
      <c r="A2128" s="74">
        <v>2124.0</v>
      </c>
      <c r="B2128" s="73" t="s">
        <v>1984</v>
      </c>
      <c r="C2128" s="74">
        <v>8.30054805E8</v>
      </c>
      <c r="D2128" s="73" t="s">
        <v>2598</v>
      </c>
      <c r="E2128" s="72">
        <v>338.0</v>
      </c>
      <c r="F2128" s="77">
        <v>40113.0</v>
      </c>
      <c r="G2128" s="76"/>
      <c r="H2128" s="76"/>
      <c r="I2128" s="73" t="s">
        <v>366</v>
      </c>
      <c r="J2128" s="76"/>
    </row>
    <row r="2129">
      <c r="A2129" s="74">
        <v>2125.0</v>
      </c>
      <c r="B2129" s="73" t="s">
        <v>1984</v>
      </c>
      <c r="C2129" s="74">
        <v>9.00135484E8</v>
      </c>
      <c r="D2129" s="73" t="s">
        <v>2599</v>
      </c>
      <c r="E2129" s="72">
        <v>393.0</v>
      </c>
      <c r="F2129" s="77">
        <v>40121.0</v>
      </c>
      <c r="G2129" s="76"/>
      <c r="H2129" s="76"/>
      <c r="I2129" s="73" t="s">
        <v>366</v>
      </c>
      <c r="J2129" s="76"/>
    </row>
    <row r="2130">
      <c r="A2130" s="74">
        <v>2126.0</v>
      </c>
      <c r="B2130" s="73" t="s">
        <v>1984</v>
      </c>
      <c r="C2130" s="74">
        <v>8.30006838E8</v>
      </c>
      <c r="D2130" s="73" t="s">
        <v>2600</v>
      </c>
      <c r="E2130" s="72">
        <v>412.0</v>
      </c>
      <c r="F2130" s="77">
        <v>40140.0</v>
      </c>
      <c r="G2130" s="76"/>
      <c r="H2130" s="76"/>
      <c r="I2130" s="73" t="s">
        <v>366</v>
      </c>
      <c r="J2130" s="76"/>
    </row>
    <row r="2131">
      <c r="A2131" s="74">
        <v>2127.0</v>
      </c>
      <c r="B2131" s="73" t="s">
        <v>1984</v>
      </c>
      <c r="C2131" s="74">
        <v>9.00304673E8</v>
      </c>
      <c r="D2131" s="73" t="s">
        <v>2601</v>
      </c>
      <c r="E2131" s="72">
        <v>53.0</v>
      </c>
      <c r="F2131" s="77">
        <v>40156.0</v>
      </c>
      <c r="G2131" s="76"/>
      <c r="H2131" s="76"/>
      <c r="I2131" s="73" t="s">
        <v>366</v>
      </c>
      <c r="J2131" s="76"/>
    </row>
    <row r="2132">
      <c r="A2132" s="74">
        <v>2128.0</v>
      </c>
      <c r="B2132" s="73" t="s">
        <v>1984</v>
      </c>
      <c r="C2132" s="74">
        <v>9.0030819E8</v>
      </c>
      <c r="D2132" s="73" t="s">
        <v>2602</v>
      </c>
      <c r="E2132" s="72">
        <v>52.0</v>
      </c>
      <c r="F2132" s="77">
        <v>40156.0</v>
      </c>
      <c r="G2132" s="76"/>
      <c r="H2132" s="76"/>
      <c r="I2132" s="73" t="s">
        <v>366</v>
      </c>
      <c r="J2132" s="76"/>
    </row>
    <row r="2133">
      <c r="A2133" s="74">
        <v>2129.0</v>
      </c>
      <c r="B2133" s="73" t="s">
        <v>1984</v>
      </c>
      <c r="C2133" s="74">
        <v>8.30094294E8</v>
      </c>
      <c r="D2133" s="73" t="s">
        <v>2603</v>
      </c>
      <c r="E2133" s="72">
        <v>426.0</v>
      </c>
      <c r="F2133" s="77">
        <v>40161.0</v>
      </c>
      <c r="G2133" s="76"/>
      <c r="H2133" s="76"/>
      <c r="I2133" s="73" t="s">
        <v>366</v>
      </c>
      <c r="J2133" s="76"/>
    </row>
    <row r="2134">
      <c r="A2134" s="74">
        <v>2130.0</v>
      </c>
      <c r="B2134" s="73" t="s">
        <v>1984</v>
      </c>
      <c r="C2134" s="74">
        <v>9.00010716E8</v>
      </c>
      <c r="D2134" s="73" t="s">
        <v>2604</v>
      </c>
      <c r="E2134" s="72">
        <v>421.0</v>
      </c>
      <c r="F2134" s="77">
        <v>40161.0</v>
      </c>
      <c r="G2134" s="76"/>
      <c r="H2134" s="76"/>
      <c r="I2134" s="73" t="s">
        <v>366</v>
      </c>
      <c r="J2134" s="76"/>
    </row>
    <row r="2135">
      <c r="A2135" s="74">
        <v>2131.0</v>
      </c>
      <c r="B2135" s="73" t="s">
        <v>1984</v>
      </c>
      <c r="C2135" s="74">
        <v>9.00099925E8</v>
      </c>
      <c r="D2135" s="73" t="s">
        <v>2605</v>
      </c>
      <c r="E2135" s="72">
        <v>425.0</v>
      </c>
      <c r="F2135" s="77">
        <v>40161.0</v>
      </c>
      <c r="G2135" s="76"/>
      <c r="H2135" s="76"/>
      <c r="I2135" s="73" t="s">
        <v>366</v>
      </c>
      <c r="J2135" s="76"/>
    </row>
    <row r="2136">
      <c r="A2136" s="74">
        <v>2132.0</v>
      </c>
      <c r="B2136" s="73" t="s">
        <v>1984</v>
      </c>
      <c r="C2136" s="74">
        <v>9.0027252E8</v>
      </c>
      <c r="D2136" s="73" t="s">
        <v>2606</v>
      </c>
      <c r="E2136" s="72">
        <v>435.0</v>
      </c>
      <c r="F2136" s="77">
        <v>40163.0</v>
      </c>
      <c r="G2136" s="76"/>
      <c r="H2136" s="76"/>
      <c r="I2136" s="73" t="s">
        <v>366</v>
      </c>
      <c r="J2136" s="76"/>
    </row>
    <row r="2137">
      <c r="A2137" s="74">
        <v>2133.0</v>
      </c>
      <c r="B2137" s="73" t="s">
        <v>1984</v>
      </c>
      <c r="C2137" s="74">
        <v>9.00291612E8</v>
      </c>
      <c r="D2137" s="73" t="s">
        <v>2607</v>
      </c>
      <c r="E2137" s="72">
        <v>16.0</v>
      </c>
      <c r="F2137" s="75">
        <v>40205.0</v>
      </c>
      <c r="G2137" s="76"/>
      <c r="H2137" s="76"/>
      <c r="I2137" s="73" t="s">
        <v>366</v>
      </c>
      <c r="J2137" s="76"/>
    </row>
    <row r="2138">
      <c r="A2138" s="74">
        <v>2134.0</v>
      </c>
      <c r="B2138" s="73" t="s">
        <v>1984</v>
      </c>
      <c r="C2138" s="74">
        <v>9.00307145E8</v>
      </c>
      <c r="D2138" s="73" t="s">
        <v>2608</v>
      </c>
      <c r="E2138" s="72">
        <v>17.0</v>
      </c>
      <c r="F2138" s="75">
        <v>40205.0</v>
      </c>
      <c r="G2138" s="76"/>
      <c r="H2138" s="76"/>
      <c r="I2138" s="73" t="s">
        <v>366</v>
      </c>
      <c r="J2138" s="76"/>
    </row>
    <row r="2139">
      <c r="A2139" s="74">
        <v>2135.0</v>
      </c>
      <c r="B2139" s="73" t="s">
        <v>1984</v>
      </c>
      <c r="C2139" s="74">
        <v>8.00081095E8</v>
      </c>
      <c r="D2139" s="73" t="s">
        <v>2609</v>
      </c>
      <c r="E2139" s="72">
        <v>32.0</v>
      </c>
      <c r="F2139" s="75">
        <v>40219.0</v>
      </c>
      <c r="G2139" s="76"/>
      <c r="H2139" s="76"/>
      <c r="I2139" s="73" t="s">
        <v>366</v>
      </c>
      <c r="J2139" s="76"/>
    </row>
    <row r="2140">
      <c r="A2140" s="74">
        <v>2136.0</v>
      </c>
      <c r="B2140" s="73" t="s">
        <v>1984</v>
      </c>
      <c r="C2140" s="74">
        <v>9.00200479E8</v>
      </c>
      <c r="D2140" s="73" t="s">
        <v>2610</v>
      </c>
      <c r="E2140" s="72">
        <v>35.0</v>
      </c>
      <c r="F2140" s="75">
        <v>40221.0</v>
      </c>
      <c r="G2140" s="76"/>
      <c r="H2140" s="76"/>
      <c r="I2140" s="73" t="s">
        <v>366</v>
      </c>
      <c r="J2140" s="76"/>
    </row>
    <row r="2141">
      <c r="A2141" s="74">
        <v>2137.0</v>
      </c>
      <c r="B2141" s="73" t="s">
        <v>1984</v>
      </c>
      <c r="C2141" s="74">
        <v>9.00304221E8</v>
      </c>
      <c r="D2141" s="73" t="s">
        <v>2611</v>
      </c>
      <c r="E2141" s="72">
        <v>42.0</v>
      </c>
      <c r="F2141" s="75">
        <v>40232.0</v>
      </c>
      <c r="G2141" s="76"/>
      <c r="H2141" s="76"/>
      <c r="I2141" s="73" t="s">
        <v>366</v>
      </c>
      <c r="J2141" s="76"/>
    </row>
    <row r="2142">
      <c r="A2142" s="74">
        <v>2138.0</v>
      </c>
      <c r="B2142" s="73" t="s">
        <v>1984</v>
      </c>
      <c r="C2142" s="74">
        <v>9.00307877E8</v>
      </c>
      <c r="D2142" s="73" t="s">
        <v>2612</v>
      </c>
      <c r="E2142" s="72">
        <v>5.0</v>
      </c>
      <c r="F2142" s="75">
        <v>40232.0</v>
      </c>
      <c r="G2142" s="76"/>
      <c r="H2142" s="76"/>
      <c r="I2142" s="73" t="s">
        <v>366</v>
      </c>
      <c r="J2142" s="76"/>
    </row>
    <row r="2143">
      <c r="A2143" s="74">
        <v>2139.0</v>
      </c>
      <c r="B2143" s="73" t="s">
        <v>1984</v>
      </c>
      <c r="C2143" s="74">
        <v>8.30108355E8</v>
      </c>
      <c r="D2143" s="73" t="s">
        <v>2613</v>
      </c>
      <c r="E2143" s="72">
        <v>57.0</v>
      </c>
      <c r="F2143" s="75">
        <v>40239.0</v>
      </c>
      <c r="G2143" s="76"/>
      <c r="H2143" s="76"/>
      <c r="I2143" s="73" t="s">
        <v>366</v>
      </c>
      <c r="J2143" s="76"/>
    </row>
    <row r="2144">
      <c r="A2144" s="74">
        <v>2140.0</v>
      </c>
      <c r="B2144" s="73" t="s">
        <v>1984</v>
      </c>
      <c r="C2144" s="74">
        <v>9.00097921E8</v>
      </c>
      <c r="D2144" s="73" t="s">
        <v>2614</v>
      </c>
      <c r="E2144" s="72">
        <v>56.0</v>
      </c>
      <c r="F2144" s="75">
        <v>40239.0</v>
      </c>
      <c r="G2144" s="76"/>
      <c r="H2144" s="76"/>
      <c r="I2144" s="73" t="s">
        <v>366</v>
      </c>
      <c r="J2144" s="76"/>
    </row>
    <row r="2145">
      <c r="A2145" s="74">
        <v>2141.0</v>
      </c>
      <c r="B2145" s="73" t="s">
        <v>1984</v>
      </c>
      <c r="C2145" s="74">
        <v>9.00308992E8</v>
      </c>
      <c r="D2145" s="73" t="s">
        <v>2615</v>
      </c>
      <c r="E2145" s="72">
        <v>58.0</v>
      </c>
      <c r="F2145" s="75">
        <v>40239.0</v>
      </c>
      <c r="G2145" s="76"/>
      <c r="H2145" s="76"/>
      <c r="I2145" s="73" t="s">
        <v>366</v>
      </c>
      <c r="J2145" s="76"/>
    </row>
    <row r="2146">
      <c r="A2146" s="74">
        <v>2142.0</v>
      </c>
      <c r="B2146" s="73" t="s">
        <v>1984</v>
      </c>
      <c r="C2146" s="74">
        <v>9.0015064E8</v>
      </c>
      <c r="D2146" s="73" t="s">
        <v>2616</v>
      </c>
      <c r="E2146" s="72">
        <v>103.0</v>
      </c>
      <c r="F2146" s="75">
        <v>40283.0</v>
      </c>
      <c r="G2146" s="76"/>
      <c r="H2146" s="76"/>
      <c r="I2146" s="73" t="s">
        <v>366</v>
      </c>
      <c r="J2146" s="76"/>
    </row>
    <row r="2147">
      <c r="A2147" s="74">
        <v>2143.0</v>
      </c>
      <c r="B2147" s="73" t="s">
        <v>1984</v>
      </c>
      <c r="C2147" s="74">
        <v>9.002194E8</v>
      </c>
      <c r="D2147" s="73" t="s">
        <v>2617</v>
      </c>
      <c r="E2147" s="72">
        <v>102.0</v>
      </c>
      <c r="F2147" s="75">
        <v>40283.0</v>
      </c>
      <c r="G2147" s="76"/>
      <c r="H2147" s="76"/>
      <c r="I2147" s="73" t="s">
        <v>366</v>
      </c>
      <c r="J2147" s="76"/>
    </row>
    <row r="2148">
      <c r="A2148" s="74">
        <v>2144.0</v>
      </c>
      <c r="B2148" s="73" t="s">
        <v>1984</v>
      </c>
      <c r="C2148" s="74">
        <v>9.00206163E8</v>
      </c>
      <c r="D2148" s="73" t="s">
        <v>2618</v>
      </c>
      <c r="E2148" s="72">
        <v>150.0</v>
      </c>
      <c r="F2148" s="75">
        <v>40312.0</v>
      </c>
      <c r="G2148" s="76"/>
      <c r="H2148" s="76"/>
      <c r="I2148" s="73" t="s">
        <v>366</v>
      </c>
      <c r="J2148" s="76"/>
    </row>
    <row r="2149">
      <c r="A2149" s="74">
        <v>2145.0</v>
      </c>
      <c r="B2149" s="73" t="s">
        <v>1984</v>
      </c>
      <c r="C2149" s="74">
        <v>9.00145524E8</v>
      </c>
      <c r="D2149" s="73" t="s">
        <v>2619</v>
      </c>
      <c r="E2149" s="72">
        <v>206.0</v>
      </c>
      <c r="F2149" s="75">
        <v>40332.0</v>
      </c>
      <c r="G2149" s="76"/>
      <c r="H2149" s="76"/>
      <c r="I2149" s="73" t="s">
        <v>366</v>
      </c>
      <c r="J2149" s="76"/>
    </row>
    <row r="2150">
      <c r="A2150" s="74">
        <v>2146.0</v>
      </c>
      <c r="B2150" s="73" t="s">
        <v>1984</v>
      </c>
      <c r="C2150" s="74">
        <v>9.00294075E8</v>
      </c>
      <c r="D2150" s="73" t="s">
        <v>2620</v>
      </c>
      <c r="E2150" s="72">
        <v>296.0</v>
      </c>
      <c r="F2150" s="75">
        <v>40368.0</v>
      </c>
      <c r="G2150" s="76"/>
      <c r="H2150" s="76"/>
      <c r="I2150" s="73" t="s">
        <v>366</v>
      </c>
      <c r="J2150" s="76"/>
    </row>
    <row r="2151">
      <c r="A2151" s="74">
        <v>2147.0</v>
      </c>
      <c r="B2151" s="73" t="s">
        <v>1984</v>
      </c>
      <c r="C2151" s="74">
        <v>9.0014727E8</v>
      </c>
      <c r="D2151" s="73" t="s">
        <v>2621</v>
      </c>
      <c r="E2151" s="72">
        <v>424.0</v>
      </c>
      <c r="F2151" s="75">
        <v>40420.0</v>
      </c>
      <c r="G2151" s="76"/>
      <c r="H2151" s="76"/>
      <c r="I2151" s="73" t="s">
        <v>366</v>
      </c>
      <c r="J2151" s="76"/>
    </row>
    <row r="2152">
      <c r="A2152" s="74">
        <v>2148.0</v>
      </c>
      <c r="B2152" s="73" t="s">
        <v>1984</v>
      </c>
      <c r="C2152" s="74">
        <v>5.5813431E7</v>
      </c>
      <c r="D2152" s="73" t="s">
        <v>2622</v>
      </c>
      <c r="E2152" s="72">
        <v>440.0</v>
      </c>
      <c r="F2152" s="75">
        <v>40428.0</v>
      </c>
      <c r="G2152" s="76"/>
      <c r="H2152" s="76"/>
      <c r="I2152" s="73" t="s">
        <v>366</v>
      </c>
      <c r="J2152" s="76"/>
    </row>
    <row r="2153">
      <c r="A2153" s="74">
        <v>2149.0</v>
      </c>
      <c r="B2153" s="73" t="s">
        <v>1984</v>
      </c>
      <c r="C2153" s="74">
        <v>9.0039327E8</v>
      </c>
      <c r="D2153" s="73" t="s">
        <v>2623</v>
      </c>
      <c r="E2153" s="72">
        <v>58.0</v>
      </c>
      <c r="F2153" s="77">
        <v>40521.0</v>
      </c>
      <c r="G2153" s="76"/>
      <c r="H2153" s="76"/>
      <c r="I2153" s="73" t="s">
        <v>366</v>
      </c>
      <c r="J2153" s="76"/>
    </row>
    <row r="2154">
      <c r="A2154" s="74">
        <v>2150.0</v>
      </c>
      <c r="B2154" s="73" t="s">
        <v>1984</v>
      </c>
      <c r="C2154" s="74">
        <v>9.00393003E8</v>
      </c>
      <c r="D2154" s="73" t="s">
        <v>2624</v>
      </c>
      <c r="E2154" s="72">
        <v>62.0</v>
      </c>
      <c r="F2154" s="77">
        <v>40529.0</v>
      </c>
      <c r="G2154" s="76"/>
      <c r="H2154" s="76"/>
      <c r="I2154" s="73" t="s">
        <v>366</v>
      </c>
      <c r="J2154" s="76"/>
    </row>
    <row r="2155">
      <c r="A2155" s="74">
        <v>2151.0</v>
      </c>
      <c r="B2155" s="73" t="s">
        <v>1984</v>
      </c>
      <c r="C2155" s="74">
        <v>9.00332934E8</v>
      </c>
      <c r="D2155" s="73" t="s">
        <v>2625</v>
      </c>
      <c r="E2155" s="72">
        <v>9.0</v>
      </c>
      <c r="F2155" s="75">
        <v>40557.0</v>
      </c>
      <c r="G2155" s="76"/>
      <c r="H2155" s="76"/>
      <c r="I2155" s="73" t="s">
        <v>366</v>
      </c>
      <c r="J2155" s="76"/>
    </row>
    <row r="2156">
      <c r="A2156" s="74">
        <v>2152.0</v>
      </c>
      <c r="B2156" s="73" t="s">
        <v>1984</v>
      </c>
      <c r="C2156" s="74">
        <v>9.00366536E8</v>
      </c>
      <c r="D2156" s="73" t="s">
        <v>2626</v>
      </c>
      <c r="E2156" s="72">
        <v>10.0</v>
      </c>
      <c r="F2156" s="75">
        <v>40557.0</v>
      </c>
      <c r="G2156" s="76"/>
      <c r="H2156" s="76"/>
      <c r="I2156" s="73" t="s">
        <v>366</v>
      </c>
      <c r="J2156" s="76"/>
    </row>
    <row r="2157">
      <c r="A2157" s="74">
        <v>2153.0</v>
      </c>
      <c r="B2157" s="73" t="s">
        <v>1984</v>
      </c>
      <c r="C2157" s="74">
        <v>9.00128978E8</v>
      </c>
      <c r="D2157" s="73" t="s">
        <v>2627</v>
      </c>
      <c r="E2157" s="72">
        <v>17.0</v>
      </c>
      <c r="F2157" s="75">
        <v>40568.0</v>
      </c>
      <c r="G2157" s="76"/>
      <c r="H2157" s="76"/>
      <c r="I2157" s="73" t="s">
        <v>366</v>
      </c>
      <c r="J2157" s="76"/>
    </row>
    <row r="2158">
      <c r="A2158" s="74">
        <v>2154.0</v>
      </c>
      <c r="B2158" s="73" t="s">
        <v>1984</v>
      </c>
      <c r="C2158" s="74">
        <v>9.00387614E8</v>
      </c>
      <c r="D2158" s="73" t="s">
        <v>2628</v>
      </c>
      <c r="E2158" s="72">
        <v>5.0</v>
      </c>
      <c r="F2158" s="75">
        <v>40582.0</v>
      </c>
      <c r="G2158" s="76"/>
      <c r="H2158" s="76"/>
      <c r="I2158" s="73" t="s">
        <v>366</v>
      </c>
      <c r="J2158" s="76"/>
    </row>
    <row r="2159">
      <c r="A2159" s="85">
        <v>2155.0</v>
      </c>
      <c r="B2159" s="79" t="s">
        <v>1984</v>
      </c>
      <c r="C2159" s="80">
        <v>8.00192321E8</v>
      </c>
      <c r="D2159" s="79" t="s">
        <v>2629</v>
      </c>
      <c r="E2159" s="81">
        <v>53.0</v>
      </c>
      <c r="F2159" s="84">
        <v>40598.0</v>
      </c>
      <c r="G2159" s="83"/>
      <c r="H2159" s="83"/>
      <c r="I2159" s="73" t="s">
        <v>366</v>
      </c>
      <c r="J2159" s="76"/>
    </row>
    <row r="2160">
      <c r="A2160" s="74">
        <v>2156.0</v>
      </c>
      <c r="B2160" s="73" t="s">
        <v>1984</v>
      </c>
      <c r="C2160" s="74">
        <v>8.30135231E8</v>
      </c>
      <c r="D2160" s="73" t="s">
        <v>2630</v>
      </c>
      <c r="E2160" s="72">
        <v>54.0</v>
      </c>
      <c r="F2160" s="75">
        <v>40598.0</v>
      </c>
      <c r="G2160" s="76"/>
      <c r="H2160" s="76"/>
      <c r="I2160" s="73" t="s">
        <v>366</v>
      </c>
      <c r="J2160" s="76"/>
    </row>
    <row r="2161">
      <c r="A2161" s="74">
        <v>2157.0</v>
      </c>
      <c r="B2161" s="73" t="s">
        <v>1984</v>
      </c>
      <c r="C2161" s="74">
        <v>9.00023359E8</v>
      </c>
      <c r="D2161" s="73" t="s">
        <v>2631</v>
      </c>
      <c r="E2161" s="72">
        <v>55.0</v>
      </c>
      <c r="F2161" s="75">
        <v>40598.0</v>
      </c>
      <c r="G2161" s="76"/>
      <c r="H2161" s="76"/>
      <c r="I2161" s="73" t="s">
        <v>366</v>
      </c>
      <c r="J2161" s="76"/>
    </row>
    <row r="2162">
      <c r="A2162" s="74">
        <v>2158.0</v>
      </c>
      <c r="B2162" s="73" t="s">
        <v>1984</v>
      </c>
      <c r="C2162" s="74">
        <v>9.0036607E8</v>
      </c>
      <c r="D2162" s="73" t="s">
        <v>2632</v>
      </c>
      <c r="E2162" s="72">
        <v>50.0</v>
      </c>
      <c r="F2162" s="75">
        <v>40598.0</v>
      </c>
      <c r="G2162" s="76"/>
      <c r="H2162" s="76"/>
      <c r="I2162" s="73" t="s">
        <v>366</v>
      </c>
      <c r="J2162" s="76"/>
    </row>
    <row r="2163">
      <c r="A2163" s="74">
        <v>2159.0</v>
      </c>
      <c r="B2163" s="73" t="s">
        <v>1984</v>
      </c>
      <c r="C2163" s="74">
        <v>9.00380617E8</v>
      </c>
      <c r="D2163" s="73" t="s">
        <v>2633</v>
      </c>
      <c r="E2163" s="72">
        <v>56.0</v>
      </c>
      <c r="F2163" s="75">
        <v>40598.0</v>
      </c>
      <c r="G2163" s="76"/>
      <c r="H2163" s="76"/>
      <c r="I2163" s="73" t="s">
        <v>366</v>
      </c>
      <c r="J2163" s="76"/>
    </row>
    <row r="2164">
      <c r="A2164" s="74">
        <v>2160.0</v>
      </c>
      <c r="B2164" s="73" t="s">
        <v>1984</v>
      </c>
      <c r="C2164" s="74">
        <v>9.00383263E8</v>
      </c>
      <c r="D2164" s="73" t="s">
        <v>2634</v>
      </c>
      <c r="E2164" s="72">
        <v>52.0</v>
      </c>
      <c r="F2164" s="75">
        <v>40598.0</v>
      </c>
      <c r="G2164" s="76"/>
      <c r="H2164" s="76"/>
      <c r="I2164" s="73" t="s">
        <v>366</v>
      </c>
      <c r="J2164" s="76"/>
    </row>
    <row r="2165">
      <c r="A2165" s="74">
        <v>2161.0</v>
      </c>
      <c r="B2165" s="73" t="s">
        <v>1984</v>
      </c>
      <c r="C2165" s="74">
        <v>8.30067079E8</v>
      </c>
      <c r="D2165" s="73" t="s">
        <v>2635</v>
      </c>
      <c r="E2165" s="72">
        <v>102.0</v>
      </c>
      <c r="F2165" s="75">
        <v>40617.0</v>
      </c>
      <c r="G2165" s="76"/>
      <c r="H2165" s="76"/>
      <c r="I2165" s="73" t="s">
        <v>366</v>
      </c>
      <c r="J2165" s="76"/>
    </row>
    <row r="2166">
      <c r="A2166" s="74">
        <v>2162.0</v>
      </c>
      <c r="B2166" s="73" t="s">
        <v>1984</v>
      </c>
      <c r="C2166" s="74">
        <v>9.00296738E8</v>
      </c>
      <c r="D2166" s="73" t="s">
        <v>2636</v>
      </c>
      <c r="E2166" s="72">
        <v>103.0</v>
      </c>
      <c r="F2166" s="75">
        <v>40617.0</v>
      </c>
      <c r="G2166" s="76"/>
      <c r="H2166" s="76"/>
      <c r="I2166" s="73" t="s">
        <v>366</v>
      </c>
      <c r="J2166" s="76"/>
    </row>
    <row r="2167">
      <c r="A2167" s="74">
        <v>2163.0</v>
      </c>
      <c r="B2167" s="73" t="s">
        <v>1984</v>
      </c>
      <c r="C2167" s="74">
        <v>9.0016836E8</v>
      </c>
      <c r="D2167" s="73" t="s">
        <v>2637</v>
      </c>
      <c r="E2167" s="72">
        <v>133.0</v>
      </c>
      <c r="F2167" s="75">
        <v>40637.0</v>
      </c>
      <c r="G2167" s="76"/>
      <c r="H2167" s="76"/>
      <c r="I2167" s="73" t="s">
        <v>366</v>
      </c>
      <c r="J2167" s="76"/>
    </row>
    <row r="2168">
      <c r="A2168" s="74">
        <v>2164.0</v>
      </c>
      <c r="B2168" s="73" t="s">
        <v>1984</v>
      </c>
      <c r="C2168" s="74">
        <v>9.00144307E8</v>
      </c>
      <c r="D2168" s="73" t="s">
        <v>2638</v>
      </c>
      <c r="E2168" s="72">
        <v>122.0</v>
      </c>
      <c r="F2168" s="75">
        <v>40653.0</v>
      </c>
      <c r="G2168" s="76"/>
      <c r="H2168" s="76"/>
      <c r="I2168" s="73" t="s">
        <v>366</v>
      </c>
      <c r="J2168" s="76"/>
    </row>
    <row r="2169">
      <c r="A2169" s="74">
        <v>2165.0</v>
      </c>
      <c r="B2169" s="73" t="s">
        <v>1984</v>
      </c>
      <c r="C2169" s="74">
        <v>9.00419799E8</v>
      </c>
      <c r="D2169" s="73" t="s">
        <v>2639</v>
      </c>
      <c r="E2169" s="72">
        <v>29.0</v>
      </c>
      <c r="F2169" s="75">
        <v>40673.0</v>
      </c>
      <c r="G2169" s="76"/>
      <c r="H2169" s="76"/>
      <c r="I2169" s="73" t="s">
        <v>366</v>
      </c>
      <c r="J2169" s="76"/>
    </row>
    <row r="2170">
      <c r="A2170" s="74">
        <v>2166.0</v>
      </c>
      <c r="B2170" s="73" t="s">
        <v>1984</v>
      </c>
      <c r="C2170" s="74">
        <v>8.30017271E8</v>
      </c>
      <c r="D2170" s="73" t="s">
        <v>2640</v>
      </c>
      <c r="E2170" s="72">
        <v>193.0</v>
      </c>
      <c r="F2170" s="75">
        <v>40680.0</v>
      </c>
      <c r="G2170" s="76"/>
      <c r="H2170" s="76"/>
      <c r="I2170" s="73" t="s">
        <v>366</v>
      </c>
      <c r="J2170" s="76"/>
    </row>
    <row r="2171">
      <c r="A2171" s="74">
        <v>2167.0</v>
      </c>
      <c r="B2171" s="73" t="s">
        <v>1984</v>
      </c>
      <c r="C2171" s="74">
        <v>9.0042902E8</v>
      </c>
      <c r="D2171" s="73" t="s">
        <v>2641</v>
      </c>
      <c r="E2171" s="72">
        <v>31.0</v>
      </c>
      <c r="F2171" s="75">
        <v>40680.0</v>
      </c>
      <c r="G2171" s="76"/>
      <c r="H2171" s="76"/>
      <c r="I2171" s="73" t="s">
        <v>366</v>
      </c>
      <c r="J2171" s="76"/>
    </row>
    <row r="2172">
      <c r="A2172" s="74">
        <v>2168.0</v>
      </c>
      <c r="B2172" s="73" t="s">
        <v>1984</v>
      </c>
      <c r="C2172" s="74">
        <v>9.00062917E8</v>
      </c>
      <c r="D2172" s="73" t="s">
        <v>2642</v>
      </c>
      <c r="E2172" s="72">
        <v>200.0</v>
      </c>
      <c r="F2172" s="75">
        <v>40683.0</v>
      </c>
      <c r="G2172" s="76"/>
      <c r="H2172" s="76"/>
      <c r="I2172" s="73" t="s">
        <v>366</v>
      </c>
      <c r="J2172" s="76"/>
    </row>
    <row r="2173">
      <c r="A2173" s="74">
        <v>2169.0</v>
      </c>
      <c r="B2173" s="73" t="s">
        <v>1984</v>
      </c>
      <c r="C2173" s="74">
        <v>9.0015139E8</v>
      </c>
      <c r="D2173" s="73" t="s">
        <v>2643</v>
      </c>
      <c r="E2173" s="72">
        <v>201.0</v>
      </c>
      <c r="F2173" s="75">
        <v>40683.0</v>
      </c>
      <c r="G2173" s="76"/>
      <c r="H2173" s="76"/>
      <c r="I2173" s="73" t="s">
        <v>366</v>
      </c>
      <c r="J2173" s="76"/>
    </row>
    <row r="2174">
      <c r="A2174" s="74">
        <v>2170.0</v>
      </c>
      <c r="B2174" s="73" t="s">
        <v>1984</v>
      </c>
      <c r="C2174" s="74">
        <v>9.00395979E8</v>
      </c>
      <c r="D2174" s="73" t="s">
        <v>2644</v>
      </c>
      <c r="E2174" s="72">
        <v>199.0</v>
      </c>
      <c r="F2174" s="75">
        <v>40683.0</v>
      </c>
      <c r="G2174" s="76"/>
      <c r="H2174" s="76"/>
      <c r="I2174" s="73" t="s">
        <v>366</v>
      </c>
      <c r="J2174" s="76"/>
    </row>
    <row r="2175">
      <c r="A2175" s="74">
        <v>2171.0</v>
      </c>
      <c r="B2175" s="73" t="s">
        <v>1984</v>
      </c>
      <c r="C2175" s="74">
        <v>8.30138557E8</v>
      </c>
      <c r="D2175" s="73" t="s">
        <v>2645</v>
      </c>
      <c r="E2175" s="72">
        <v>205.0</v>
      </c>
      <c r="F2175" s="75">
        <v>40687.0</v>
      </c>
      <c r="G2175" s="76"/>
      <c r="H2175" s="76"/>
      <c r="I2175" s="73" t="s">
        <v>366</v>
      </c>
      <c r="J2175" s="76"/>
    </row>
    <row r="2176">
      <c r="A2176" s="74">
        <v>2172.0</v>
      </c>
      <c r="B2176" s="73" t="s">
        <v>1984</v>
      </c>
      <c r="C2176" s="74">
        <v>8.60045813E8</v>
      </c>
      <c r="D2176" s="73" t="s">
        <v>2646</v>
      </c>
      <c r="E2176" s="72">
        <v>211.0</v>
      </c>
      <c r="F2176" s="75">
        <v>40690.0</v>
      </c>
      <c r="G2176" s="76"/>
      <c r="H2176" s="76"/>
      <c r="I2176" s="73" t="s">
        <v>366</v>
      </c>
      <c r="J2176" s="76"/>
    </row>
    <row r="2177">
      <c r="A2177" s="74">
        <v>2173.0</v>
      </c>
      <c r="B2177" s="73" t="s">
        <v>1984</v>
      </c>
      <c r="C2177" s="74">
        <v>9.00391032E8</v>
      </c>
      <c r="D2177" s="73" t="s">
        <v>2647</v>
      </c>
      <c r="E2177" s="72">
        <v>210.0</v>
      </c>
      <c r="F2177" s="75">
        <v>40690.0</v>
      </c>
      <c r="G2177" s="76"/>
      <c r="H2177" s="76"/>
      <c r="I2177" s="73" t="s">
        <v>366</v>
      </c>
      <c r="J2177" s="76"/>
    </row>
    <row r="2178">
      <c r="A2178" s="74">
        <v>2174.0</v>
      </c>
      <c r="B2178" s="73" t="s">
        <v>1984</v>
      </c>
      <c r="C2178" s="74">
        <v>9.00393361E8</v>
      </c>
      <c r="D2178" s="73" t="s">
        <v>2648</v>
      </c>
      <c r="E2178" s="72">
        <v>212.0</v>
      </c>
      <c r="F2178" s="75">
        <v>40690.0</v>
      </c>
      <c r="G2178" s="76"/>
      <c r="H2178" s="76"/>
      <c r="I2178" s="73" t="s">
        <v>366</v>
      </c>
      <c r="J2178" s="76"/>
    </row>
    <row r="2179">
      <c r="A2179" s="74">
        <v>2175.0</v>
      </c>
      <c r="B2179" s="73" t="s">
        <v>1984</v>
      </c>
      <c r="C2179" s="74">
        <v>9.00313578E8</v>
      </c>
      <c r="D2179" s="73" t="s">
        <v>2649</v>
      </c>
      <c r="E2179" s="72">
        <v>229.0</v>
      </c>
      <c r="F2179" s="75">
        <v>40694.0</v>
      </c>
      <c r="G2179" s="76"/>
      <c r="H2179" s="76"/>
      <c r="I2179" s="73" t="s">
        <v>366</v>
      </c>
      <c r="J2179" s="76"/>
    </row>
    <row r="2180">
      <c r="A2180" s="74">
        <v>2176.0</v>
      </c>
      <c r="B2180" s="73" t="s">
        <v>1984</v>
      </c>
      <c r="C2180" s="74">
        <v>9.0043274E8</v>
      </c>
      <c r="D2180" s="73" t="s">
        <v>2650</v>
      </c>
      <c r="E2180" s="72">
        <v>41.0</v>
      </c>
      <c r="F2180" s="75">
        <v>40702.0</v>
      </c>
      <c r="G2180" s="76"/>
      <c r="H2180" s="76"/>
      <c r="I2180" s="73" t="s">
        <v>366</v>
      </c>
      <c r="J2180" s="76"/>
    </row>
    <row r="2181">
      <c r="A2181" s="74">
        <v>2177.0</v>
      </c>
      <c r="B2181" s="73" t="s">
        <v>1984</v>
      </c>
      <c r="C2181" s="74">
        <v>9.00403177E8</v>
      </c>
      <c r="D2181" s="73" t="s">
        <v>2651</v>
      </c>
      <c r="E2181" s="72">
        <v>234.0</v>
      </c>
      <c r="F2181" s="75">
        <v>40703.0</v>
      </c>
      <c r="G2181" s="76"/>
      <c r="H2181" s="76"/>
      <c r="I2181" s="73" t="s">
        <v>366</v>
      </c>
      <c r="J2181" s="76"/>
    </row>
    <row r="2182">
      <c r="A2182" s="74">
        <v>2178.0</v>
      </c>
      <c r="B2182" s="73" t="s">
        <v>1984</v>
      </c>
      <c r="C2182" s="74">
        <v>9.00429026E8</v>
      </c>
      <c r="D2182" s="73" t="s">
        <v>2652</v>
      </c>
      <c r="E2182" s="72">
        <v>45.0</v>
      </c>
      <c r="F2182" s="75">
        <v>40715.0</v>
      </c>
      <c r="G2182" s="76"/>
      <c r="H2182" s="76"/>
      <c r="I2182" s="73" t="s">
        <v>366</v>
      </c>
      <c r="J2182" s="76"/>
    </row>
    <row r="2183">
      <c r="A2183" s="74">
        <v>2179.0</v>
      </c>
      <c r="B2183" s="73" t="s">
        <v>1984</v>
      </c>
      <c r="C2183" s="74">
        <v>9.00432043E8</v>
      </c>
      <c r="D2183" s="73" t="s">
        <v>2653</v>
      </c>
      <c r="E2183" s="72">
        <v>44.0</v>
      </c>
      <c r="F2183" s="75">
        <v>40717.0</v>
      </c>
      <c r="G2183" s="76"/>
      <c r="H2183" s="76"/>
      <c r="I2183" s="73" t="s">
        <v>366</v>
      </c>
      <c r="J2183" s="76"/>
    </row>
    <row r="2184">
      <c r="A2184" s="74">
        <v>2180.0</v>
      </c>
      <c r="B2184" s="73" t="s">
        <v>1984</v>
      </c>
      <c r="C2184" s="74">
        <v>9.00436083E8</v>
      </c>
      <c r="D2184" s="73" t="s">
        <v>2654</v>
      </c>
      <c r="E2184" s="72">
        <v>45.0</v>
      </c>
      <c r="F2184" s="75">
        <v>40718.0</v>
      </c>
      <c r="G2184" s="76"/>
      <c r="H2184" s="76"/>
      <c r="I2184" s="73" t="s">
        <v>366</v>
      </c>
      <c r="J2184" s="76"/>
    </row>
    <row r="2185">
      <c r="A2185" s="74">
        <v>2181.0</v>
      </c>
      <c r="B2185" s="73" t="s">
        <v>1984</v>
      </c>
      <c r="C2185" s="74">
        <v>9.00421332E8</v>
      </c>
      <c r="D2185" s="73" t="s">
        <v>2655</v>
      </c>
      <c r="E2185" s="72">
        <v>109.0</v>
      </c>
      <c r="F2185" s="75">
        <v>40722.0</v>
      </c>
      <c r="G2185" s="76"/>
      <c r="H2185" s="76"/>
      <c r="I2185" s="73" t="s">
        <v>366</v>
      </c>
      <c r="J2185" s="76"/>
    </row>
    <row r="2186">
      <c r="A2186" s="74">
        <v>2182.0</v>
      </c>
      <c r="B2186" s="73" t="s">
        <v>1984</v>
      </c>
      <c r="C2186" s="74">
        <v>9.00382246E8</v>
      </c>
      <c r="D2186" s="73" t="s">
        <v>2656</v>
      </c>
      <c r="E2186" s="72">
        <v>242.0</v>
      </c>
      <c r="F2186" s="75">
        <v>40731.0</v>
      </c>
      <c r="G2186" s="76"/>
      <c r="H2186" s="76"/>
      <c r="I2186" s="73" t="s">
        <v>366</v>
      </c>
      <c r="J2186" s="76"/>
    </row>
    <row r="2187">
      <c r="A2187" s="74">
        <v>2183.0</v>
      </c>
      <c r="B2187" s="73" t="s">
        <v>1984</v>
      </c>
      <c r="C2187" s="74">
        <v>9.00394065E8</v>
      </c>
      <c r="D2187" s="73" t="s">
        <v>2657</v>
      </c>
      <c r="E2187" s="72">
        <v>249.0</v>
      </c>
      <c r="F2187" s="75">
        <v>40738.0</v>
      </c>
      <c r="G2187" s="76"/>
      <c r="H2187" s="76"/>
      <c r="I2187" s="73" t="s">
        <v>366</v>
      </c>
      <c r="J2187" s="76"/>
    </row>
    <row r="2188">
      <c r="A2188" s="74">
        <v>2184.0</v>
      </c>
      <c r="B2188" s="73" t="s">
        <v>1984</v>
      </c>
      <c r="C2188" s="74">
        <v>9.00298102E8</v>
      </c>
      <c r="D2188" s="73" t="s">
        <v>2658</v>
      </c>
      <c r="E2188" s="72">
        <v>259.0</v>
      </c>
      <c r="F2188" s="75">
        <v>40745.0</v>
      </c>
      <c r="G2188" s="76"/>
      <c r="H2188" s="76"/>
      <c r="I2188" s="73" t="s">
        <v>366</v>
      </c>
      <c r="J2188" s="76"/>
    </row>
    <row r="2189">
      <c r="A2189" s="74">
        <v>2185.0</v>
      </c>
      <c r="B2189" s="73" t="s">
        <v>1984</v>
      </c>
      <c r="C2189" s="74">
        <v>9.00310014E8</v>
      </c>
      <c r="D2189" s="73" t="s">
        <v>2659</v>
      </c>
      <c r="E2189" s="72">
        <v>277.0</v>
      </c>
      <c r="F2189" s="75">
        <v>40750.0</v>
      </c>
      <c r="G2189" s="76"/>
      <c r="H2189" s="76"/>
      <c r="I2189" s="73" t="s">
        <v>366</v>
      </c>
      <c r="J2189" s="76"/>
    </row>
    <row r="2190">
      <c r="A2190" s="74">
        <v>2186.0</v>
      </c>
      <c r="B2190" s="73" t="s">
        <v>1984</v>
      </c>
      <c r="C2190" s="74">
        <v>9.0040082E8</v>
      </c>
      <c r="D2190" s="73" t="s">
        <v>2660</v>
      </c>
      <c r="E2190" s="72">
        <v>272.0</v>
      </c>
      <c r="F2190" s="75">
        <v>40750.0</v>
      </c>
      <c r="G2190" s="76"/>
      <c r="H2190" s="76"/>
      <c r="I2190" s="73" t="s">
        <v>366</v>
      </c>
      <c r="J2190" s="76"/>
    </row>
    <row r="2191">
      <c r="A2191" s="74">
        <v>2187.0</v>
      </c>
      <c r="B2191" s="73" t="s">
        <v>1984</v>
      </c>
      <c r="C2191" s="74">
        <v>9.00324568E8</v>
      </c>
      <c r="D2191" s="73" t="s">
        <v>2661</v>
      </c>
      <c r="E2191" s="72">
        <v>284.0</v>
      </c>
      <c r="F2191" s="75">
        <v>40757.0</v>
      </c>
      <c r="G2191" s="76"/>
      <c r="H2191" s="76"/>
      <c r="I2191" s="73" t="s">
        <v>366</v>
      </c>
      <c r="J2191" s="76"/>
    </row>
    <row r="2192">
      <c r="A2192" s="74">
        <v>2188.0</v>
      </c>
      <c r="B2192" s="73" t="s">
        <v>1984</v>
      </c>
      <c r="C2192" s="74">
        <v>9.00399723E8</v>
      </c>
      <c r="D2192" s="73" t="s">
        <v>2662</v>
      </c>
      <c r="E2192" s="72">
        <v>290.0</v>
      </c>
      <c r="F2192" s="75">
        <v>40760.0</v>
      </c>
      <c r="G2192" s="76"/>
      <c r="H2192" s="76"/>
      <c r="I2192" s="73" t="s">
        <v>366</v>
      </c>
      <c r="J2192" s="76"/>
    </row>
    <row r="2193">
      <c r="A2193" s="74">
        <v>2189.0</v>
      </c>
      <c r="B2193" s="73" t="s">
        <v>1984</v>
      </c>
      <c r="C2193" s="74">
        <v>9.00420768E8</v>
      </c>
      <c r="D2193" s="73" t="s">
        <v>2663</v>
      </c>
      <c r="E2193" s="72">
        <v>304.0</v>
      </c>
      <c r="F2193" s="75">
        <v>40778.0</v>
      </c>
      <c r="G2193" s="76"/>
      <c r="H2193" s="76"/>
      <c r="I2193" s="73" t="s">
        <v>366</v>
      </c>
      <c r="J2193" s="76"/>
    </row>
    <row r="2194">
      <c r="A2194" s="74">
        <v>2190.0</v>
      </c>
      <c r="B2194" s="73" t="s">
        <v>1984</v>
      </c>
      <c r="C2194" s="74">
        <v>9.00454229E8</v>
      </c>
      <c r="D2194" s="73" t="s">
        <v>2664</v>
      </c>
      <c r="E2194" s="72">
        <v>65.0</v>
      </c>
      <c r="F2194" s="75">
        <v>40781.0</v>
      </c>
      <c r="G2194" s="76"/>
      <c r="H2194" s="76"/>
      <c r="I2194" s="73" t="s">
        <v>366</v>
      </c>
      <c r="J2194" s="76"/>
    </row>
    <row r="2195">
      <c r="A2195" s="74">
        <v>2191.0</v>
      </c>
      <c r="B2195" s="73" t="s">
        <v>1984</v>
      </c>
      <c r="C2195" s="74">
        <v>9.00223283E8</v>
      </c>
      <c r="D2195" s="73" t="s">
        <v>2665</v>
      </c>
      <c r="E2195" s="72">
        <v>320.0</v>
      </c>
      <c r="F2195" s="75">
        <v>40791.0</v>
      </c>
      <c r="G2195" s="76"/>
      <c r="H2195" s="76"/>
      <c r="I2195" s="73" t="s">
        <v>366</v>
      </c>
      <c r="J2195" s="76"/>
    </row>
    <row r="2196">
      <c r="A2196" s="74">
        <v>2192.0</v>
      </c>
      <c r="B2196" s="73" t="s">
        <v>1984</v>
      </c>
      <c r="C2196" s="74">
        <v>9.00414083E8</v>
      </c>
      <c r="D2196" s="73" t="s">
        <v>2666</v>
      </c>
      <c r="E2196" s="72">
        <v>328.0</v>
      </c>
      <c r="F2196" s="75">
        <v>40795.0</v>
      </c>
      <c r="G2196" s="76"/>
      <c r="H2196" s="76"/>
      <c r="I2196" s="73" t="s">
        <v>366</v>
      </c>
      <c r="J2196" s="76"/>
    </row>
    <row r="2197">
      <c r="A2197" s="74">
        <v>2193.0</v>
      </c>
      <c r="B2197" s="73" t="s">
        <v>1984</v>
      </c>
      <c r="C2197" s="74">
        <v>9.00272856E8</v>
      </c>
      <c r="D2197" s="73" t="s">
        <v>2667</v>
      </c>
      <c r="E2197" s="72">
        <v>3175.0</v>
      </c>
      <c r="F2197" s="75">
        <v>40801.0</v>
      </c>
      <c r="G2197" s="76"/>
      <c r="H2197" s="76"/>
      <c r="I2197" s="73" t="s">
        <v>366</v>
      </c>
      <c r="J2197" s="76"/>
    </row>
    <row r="2198">
      <c r="A2198" s="74">
        <v>2194.0</v>
      </c>
      <c r="B2198" s="73" t="s">
        <v>1984</v>
      </c>
      <c r="C2198" s="74">
        <v>8.00114437E8</v>
      </c>
      <c r="D2198" s="73" t="s">
        <v>2668</v>
      </c>
      <c r="E2198" s="72">
        <v>344.0</v>
      </c>
      <c r="F2198" s="75">
        <v>40808.0</v>
      </c>
      <c r="G2198" s="76"/>
      <c r="H2198" s="76"/>
      <c r="I2198" s="73" t="s">
        <v>366</v>
      </c>
      <c r="J2198" s="76"/>
    </row>
    <row r="2199">
      <c r="A2199" s="74">
        <v>2195.0</v>
      </c>
      <c r="B2199" s="73" t="s">
        <v>1984</v>
      </c>
      <c r="C2199" s="74">
        <v>8.30033581E8</v>
      </c>
      <c r="D2199" s="73" t="s">
        <v>2669</v>
      </c>
      <c r="E2199" s="72">
        <v>349.0</v>
      </c>
      <c r="F2199" s="75">
        <v>40808.0</v>
      </c>
      <c r="G2199" s="76"/>
      <c r="H2199" s="76"/>
      <c r="I2199" s="73" t="s">
        <v>366</v>
      </c>
      <c r="J2199" s="76"/>
    </row>
    <row r="2200">
      <c r="A2200" s="74">
        <v>2196.0</v>
      </c>
      <c r="B2200" s="73" t="s">
        <v>1984</v>
      </c>
      <c r="C2200" s="74">
        <v>9.00295058E8</v>
      </c>
      <c r="D2200" s="73" t="s">
        <v>2670</v>
      </c>
      <c r="E2200" s="72">
        <v>348.0</v>
      </c>
      <c r="F2200" s="75">
        <v>40808.0</v>
      </c>
      <c r="G2200" s="76"/>
      <c r="H2200" s="76"/>
      <c r="I2200" s="73" t="s">
        <v>366</v>
      </c>
      <c r="J2200" s="76"/>
    </row>
    <row r="2201">
      <c r="A2201" s="74">
        <v>2197.0</v>
      </c>
      <c r="B2201" s="73" t="s">
        <v>1984</v>
      </c>
      <c r="C2201" s="74">
        <v>9.00390876E8</v>
      </c>
      <c r="D2201" s="73" t="s">
        <v>2671</v>
      </c>
      <c r="E2201" s="72">
        <v>346.0</v>
      </c>
      <c r="F2201" s="75">
        <v>40808.0</v>
      </c>
      <c r="G2201" s="76"/>
      <c r="H2201" s="76"/>
      <c r="I2201" s="73" t="s">
        <v>366</v>
      </c>
      <c r="J2201" s="76"/>
    </row>
    <row r="2202">
      <c r="A2202" s="74">
        <v>2198.0</v>
      </c>
      <c r="B2202" s="73" t="s">
        <v>1984</v>
      </c>
      <c r="C2202" s="74">
        <v>9.00412679E8</v>
      </c>
      <c r="D2202" s="73" t="s">
        <v>2672</v>
      </c>
      <c r="E2202" s="72">
        <v>344.0</v>
      </c>
      <c r="F2202" s="75">
        <v>40808.0</v>
      </c>
      <c r="G2202" s="76"/>
      <c r="H2202" s="76"/>
      <c r="I2202" s="73" t="s">
        <v>366</v>
      </c>
      <c r="J2202" s="76"/>
    </row>
    <row r="2203">
      <c r="A2203" s="74">
        <v>2199.0</v>
      </c>
      <c r="B2203" s="73" t="s">
        <v>1984</v>
      </c>
      <c r="C2203" s="74">
        <v>9.00424599E8</v>
      </c>
      <c r="D2203" s="73" t="s">
        <v>2673</v>
      </c>
      <c r="E2203" s="72">
        <v>345.0</v>
      </c>
      <c r="F2203" s="75">
        <v>40808.0</v>
      </c>
      <c r="G2203" s="76"/>
      <c r="H2203" s="76"/>
      <c r="I2203" s="73" t="s">
        <v>366</v>
      </c>
      <c r="J2203" s="76"/>
    </row>
    <row r="2204">
      <c r="A2204" s="74">
        <v>2200.0</v>
      </c>
      <c r="B2204" s="73" t="s">
        <v>1984</v>
      </c>
      <c r="C2204" s="74">
        <v>9.00420792E8</v>
      </c>
      <c r="D2204" s="73" t="s">
        <v>2674</v>
      </c>
      <c r="E2204" s="72">
        <v>374.0</v>
      </c>
      <c r="F2204" s="77">
        <v>40821.0</v>
      </c>
      <c r="G2204" s="76"/>
      <c r="H2204" s="76"/>
      <c r="I2204" s="73" t="s">
        <v>366</v>
      </c>
      <c r="J2204" s="76"/>
    </row>
    <row r="2205">
      <c r="A2205" s="74">
        <v>2201.0</v>
      </c>
      <c r="B2205" s="73" t="s">
        <v>1984</v>
      </c>
      <c r="C2205" s="74">
        <v>9.00446909E8</v>
      </c>
      <c r="D2205" s="73" t="s">
        <v>2675</v>
      </c>
      <c r="E2205" s="72">
        <v>378.0</v>
      </c>
      <c r="F2205" s="77">
        <v>40821.0</v>
      </c>
      <c r="G2205" s="76"/>
      <c r="H2205" s="76"/>
      <c r="I2205" s="73" t="s">
        <v>366</v>
      </c>
      <c r="J2205" s="76"/>
    </row>
    <row r="2206">
      <c r="A2206" s="74">
        <v>2202.0</v>
      </c>
      <c r="B2206" s="73" t="s">
        <v>1984</v>
      </c>
      <c r="C2206" s="74">
        <v>9.00437095E8</v>
      </c>
      <c r="D2206" s="73" t="s">
        <v>2676</v>
      </c>
      <c r="E2206" s="72">
        <v>370.0</v>
      </c>
      <c r="F2206" s="77">
        <v>40821.0</v>
      </c>
      <c r="G2206" s="76"/>
      <c r="H2206" s="76"/>
      <c r="I2206" s="73" t="s">
        <v>366</v>
      </c>
      <c r="J2206" s="76"/>
    </row>
    <row r="2207">
      <c r="A2207" s="74">
        <v>2203.0</v>
      </c>
      <c r="B2207" s="73" t="s">
        <v>1984</v>
      </c>
      <c r="C2207" s="74">
        <v>8.30119746E8</v>
      </c>
      <c r="D2207" s="73" t="s">
        <v>2677</v>
      </c>
      <c r="E2207" s="72">
        <v>392.0</v>
      </c>
      <c r="F2207" s="77">
        <v>40830.0</v>
      </c>
      <c r="G2207" s="76"/>
      <c r="H2207" s="76"/>
      <c r="I2207" s="73" t="s">
        <v>366</v>
      </c>
      <c r="J2207" s="76"/>
    </row>
    <row r="2208">
      <c r="A2208" s="74">
        <v>2204.0</v>
      </c>
      <c r="B2208" s="73" t="s">
        <v>1984</v>
      </c>
      <c r="C2208" s="74">
        <v>9.00435775E8</v>
      </c>
      <c r="D2208" s="73" t="s">
        <v>2678</v>
      </c>
      <c r="E2208" s="72">
        <v>393.0</v>
      </c>
      <c r="F2208" s="77">
        <v>40830.0</v>
      </c>
      <c r="G2208" s="76"/>
      <c r="H2208" s="76"/>
      <c r="I2208" s="73" t="s">
        <v>366</v>
      </c>
      <c r="J2208" s="76"/>
    </row>
    <row r="2209">
      <c r="A2209" s="74">
        <v>2205.0</v>
      </c>
      <c r="B2209" s="73" t="s">
        <v>1984</v>
      </c>
      <c r="C2209" s="74">
        <v>9.00458647E8</v>
      </c>
      <c r="D2209" s="73" t="s">
        <v>2679</v>
      </c>
      <c r="E2209" s="72">
        <v>79.0</v>
      </c>
      <c r="F2209" s="77">
        <v>40837.0</v>
      </c>
      <c r="G2209" s="76"/>
      <c r="H2209" s="76"/>
      <c r="I2209" s="73" t="s">
        <v>366</v>
      </c>
      <c r="J2209" s="76"/>
    </row>
    <row r="2210">
      <c r="A2210" s="74">
        <v>2206.0</v>
      </c>
      <c r="B2210" s="73" t="s">
        <v>1984</v>
      </c>
      <c r="C2210" s="74">
        <v>9.00434202E8</v>
      </c>
      <c r="D2210" s="73" t="s">
        <v>2680</v>
      </c>
      <c r="E2210" s="72">
        <v>395.0</v>
      </c>
      <c r="F2210" s="77">
        <v>40840.0</v>
      </c>
      <c r="G2210" s="76"/>
      <c r="H2210" s="76"/>
      <c r="I2210" s="73" t="s">
        <v>366</v>
      </c>
      <c r="J2210" s="76"/>
    </row>
    <row r="2211">
      <c r="A2211" s="74">
        <v>2207.0</v>
      </c>
      <c r="B2211" s="73" t="s">
        <v>1984</v>
      </c>
      <c r="C2211" s="74">
        <v>9.00013464E8</v>
      </c>
      <c r="D2211" s="73" t="s">
        <v>2681</v>
      </c>
      <c r="E2211" s="72">
        <v>400.0</v>
      </c>
      <c r="F2211" s="77">
        <v>40841.0</v>
      </c>
      <c r="G2211" s="76"/>
      <c r="H2211" s="76"/>
      <c r="I2211" s="73" t="s">
        <v>366</v>
      </c>
      <c r="J2211" s="76"/>
    </row>
    <row r="2212">
      <c r="A2212" s="85">
        <v>2208.0</v>
      </c>
      <c r="B2212" s="79" t="s">
        <v>1984</v>
      </c>
      <c r="C2212" s="80">
        <v>9.00460689E8</v>
      </c>
      <c r="D2212" s="79" t="s">
        <v>2682</v>
      </c>
      <c r="E2212" s="81">
        <v>399.0</v>
      </c>
      <c r="F2212" s="82">
        <v>40841.0</v>
      </c>
      <c r="G2212" s="83"/>
      <c r="H2212" s="83"/>
      <c r="I2212" s="73" t="s">
        <v>366</v>
      </c>
      <c r="J2212" s="76"/>
    </row>
    <row r="2213">
      <c r="A2213" s="74">
        <v>2209.0</v>
      </c>
      <c r="B2213" s="73" t="s">
        <v>1984</v>
      </c>
      <c r="C2213" s="74">
        <v>9.00455075E8</v>
      </c>
      <c r="D2213" s="73" t="s">
        <v>2683</v>
      </c>
      <c r="E2213" s="72">
        <v>87.0</v>
      </c>
      <c r="F2213" s="77">
        <v>40851.0</v>
      </c>
      <c r="G2213" s="76"/>
      <c r="H2213" s="76"/>
      <c r="I2213" s="73" t="s">
        <v>366</v>
      </c>
      <c r="J2213" s="76"/>
    </row>
    <row r="2214">
      <c r="A2214" s="74">
        <v>2210.0</v>
      </c>
      <c r="B2214" s="73" t="s">
        <v>1984</v>
      </c>
      <c r="C2214" s="74">
        <v>8.32005534E8</v>
      </c>
      <c r="D2214" s="73" t="s">
        <v>2684</v>
      </c>
      <c r="E2214" s="72">
        <v>407.0</v>
      </c>
      <c r="F2214" s="77">
        <v>40856.0</v>
      </c>
      <c r="G2214" s="76"/>
      <c r="H2214" s="76"/>
      <c r="I2214" s="73" t="s">
        <v>366</v>
      </c>
      <c r="J2214" s="76"/>
    </row>
    <row r="2215">
      <c r="A2215" s="74">
        <v>2211.0</v>
      </c>
      <c r="B2215" s="73" t="s">
        <v>1984</v>
      </c>
      <c r="C2215" s="74">
        <v>9.00407467E8</v>
      </c>
      <c r="D2215" s="73" t="s">
        <v>2685</v>
      </c>
      <c r="E2215" s="72">
        <v>412.0</v>
      </c>
      <c r="F2215" s="77">
        <v>40856.0</v>
      </c>
      <c r="G2215" s="76"/>
      <c r="H2215" s="76"/>
      <c r="I2215" s="73" t="s">
        <v>366</v>
      </c>
      <c r="J2215" s="76"/>
    </row>
    <row r="2216">
      <c r="A2216" s="74">
        <v>2212.0</v>
      </c>
      <c r="B2216" s="73" t="s">
        <v>1984</v>
      </c>
      <c r="C2216" s="74">
        <v>9.00436142E8</v>
      </c>
      <c r="D2216" s="73" t="s">
        <v>2686</v>
      </c>
      <c r="E2216" s="72">
        <v>418.0</v>
      </c>
      <c r="F2216" s="77">
        <v>40862.0</v>
      </c>
      <c r="G2216" s="76"/>
      <c r="H2216" s="76"/>
      <c r="I2216" s="73" t="s">
        <v>366</v>
      </c>
      <c r="J2216" s="76"/>
    </row>
    <row r="2217">
      <c r="A2217" s="74">
        <v>2213.0</v>
      </c>
      <c r="B2217" s="73" t="s">
        <v>1984</v>
      </c>
      <c r="C2217" s="74">
        <v>9.00185165E8</v>
      </c>
      <c r="D2217" s="73" t="s">
        <v>2687</v>
      </c>
      <c r="E2217" s="72">
        <v>440.0</v>
      </c>
      <c r="F2217" s="77">
        <v>40875.0</v>
      </c>
      <c r="G2217" s="76"/>
      <c r="H2217" s="76"/>
      <c r="I2217" s="73" t="s">
        <v>366</v>
      </c>
      <c r="J2217" s="76"/>
    </row>
    <row r="2218">
      <c r="A2218" s="74">
        <v>2214.0</v>
      </c>
      <c r="B2218" s="73" t="s">
        <v>1984</v>
      </c>
      <c r="C2218" s="74">
        <v>9.00387641E8</v>
      </c>
      <c r="D2218" s="73" t="s">
        <v>2688</v>
      </c>
      <c r="E2218" s="72">
        <v>447.0</v>
      </c>
      <c r="F2218" s="77">
        <v>40875.0</v>
      </c>
      <c r="G2218" s="76"/>
      <c r="H2218" s="76"/>
      <c r="I2218" s="73" t="s">
        <v>366</v>
      </c>
      <c r="J2218" s="76"/>
    </row>
    <row r="2219">
      <c r="A2219" s="74">
        <v>2215.0</v>
      </c>
      <c r="B2219" s="73" t="s">
        <v>1984</v>
      </c>
      <c r="C2219" s="74">
        <v>9.00394217E8</v>
      </c>
      <c r="D2219" s="73" t="s">
        <v>2689</v>
      </c>
      <c r="E2219" s="72">
        <v>47.0</v>
      </c>
      <c r="F2219" s="77">
        <v>40875.0</v>
      </c>
      <c r="G2219" s="76"/>
      <c r="H2219" s="76"/>
      <c r="I2219" s="73" t="s">
        <v>366</v>
      </c>
      <c r="J2219" s="76"/>
    </row>
    <row r="2220">
      <c r="A2220" s="74">
        <v>2216.0</v>
      </c>
      <c r="B2220" s="73" t="s">
        <v>1984</v>
      </c>
      <c r="C2220" s="74">
        <v>9.00468757E8</v>
      </c>
      <c r="D2220" s="73" t="s">
        <v>2690</v>
      </c>
      <c r="E2220" s="72">
        <v>438.0</v>
      </c>
      <c r="F2220" s="77">
        <v>40875.0</v>
      </c>
      <c r="G2220" s="76"/>
      <c r="H2220" s="76"/>
      <c r="I2220" s="73" t="s">
        <v>366</v>
      </c>
      <c r="J2220" s="76"/>
    </row>
    <row r="2221">
      <c r="A2221" s="74">
        <v>2217.0</v>
      </c>
      <c r="B2221" s="73" t="s">
        <v>1984</v>
      </c>
      <c r="C2221" s="74">
        <v>9.00463199E8</v>
      </c>
      <c r="D2221" s="73" t="s">
        <v>2691</v>
      </c>
      <c r="E2221" s="72">
        <v>457.0</v>
      </c>
      <c r="F2221" s="77">
        <v>40884.0</v>
      </c>
      <c r="G2221" s="76"/>
      <c r="H2221" s="76"/>
      <c r="I2221" s="73" t="s">
        <v>366</v>
      </c>
      <c r="J2221" s="76"/>
    </row>
    <row r="2222">
      <c r="A2222" s="74">
        <v>2218.0</v>
      </c>
      <c r="B2222" s="73" t="s">
        <v>1984</v>
      </c>
      <c r="C2222" s="74">
        <v>9.004715E8</v>
      </c>
      <c r="D2222" s="73" t="s">
        <v>2692</v>
      </c>
      <c r="E2222" s="72">
        <v>455.0</v>
      </c>
      <c r="F2222" s="77">
        <v>40884.0</v>
      </c>
      <c r="G2222" s="76"/>
      <c r="H2222" s="76"/>
      <c r="I2222" s="73" t="s">
        <v>366</v>
      </c>
      <c r="J2222" s="76"/>
    </row>
    <row r="2223">
      <c r="A2223" s="74">
        <v>2219.0</v>
      </c>
      <c r="B2223" s="73" t="s">
        <v>1984</v>
      </c>
      <c r="C2223" s="74">
        <v>9.00108011E8</v>
      </c>
      <c r="D2223" s="73" t="s">
        <v>2693</v>
      </c>
      <c r="E2223" s="72">
        <v>460.0</v>
      </c>
      <c r="F2223" s="77">
        <v>40884.0</v>
      </c>
      <c r="G2223" s="76"/>
      <c r="H2223" s="76"/>
      <c r="I2223" s="73" t="s">
        <v>366</v>
      </c>
      <c r="J2223" s="76"/>
    </row>
    <row r="2224">
      <c r="A2224" s="74">
        <v>2220.0</v>
      </c>
      <c r="B2224" s="73" t="s">
        <v>1984</v>
      </c>
      <c r="C2224" s="74">
        <v>8.60504008E8</v>
      </c>
      <c r="D2224" s="73" t="s">
        <v>2694</v>
      </c>
      <c r="E2224" s="72">
        <v>464.0</v>
      </c>
      <c r="F2224" s="77">
        <v>40893.0</v>
      </c>
      <c r="G2224" s="76"/>
      <c r="H2224" s="76"/>
      <c r="I2224" s="73" t="s">
        <v>366</v>
      </c>
      <c r="J2224" s="76"/>
    </row>
    <row r="2225">
      <c r="A2225" s="74">
        <v>2221.0</v>
      </c>
      <c r="B2225" s="73" t="s">
        <v>1984</v>
      </c>
      <c r="C2225" s="74">
        <v>9.00100691E8</v>
      </c>
      <c r="D2225" s="73" t="s">
        <v>2695</v>
      </c>
      <c r="E2225" s="72">
        <v>467.0</v>
      </c>
      <c r="F2225" s="77">
        <v>40893.0</v>
      </c>
      <c r="G2225" s="76"/>
      <c r="H2225" s="76"/>
      <c r="I2225" s="73" t="s">
        <v>366</v>
      </c>
      <c r="J2225" s="76"/>
    </row>
    <row r="2226">
      <c r="A2226" s="74">
        <v>2222.0</v>
      </c>
      <c r="B2226" s="73" t="s">
        <v>1984</v>
      </c>
      <c r="C2226" s="74">
        <v>9.00396536E8</v>
      </c>
      <c r="D2226" s="73" t="s">
        <v>2696</v>
      </c>
      <c r="E2226" s="72">
        <v>473.0</v>
      </c>
      <c r="F2226" s="77">
        <v>40893.0</v>
      </c>
      <c r="G2226" s="76"/>
      <c r="H2226" s="76"/>
      <c r="I2226" s="73" t="s">
        <v>366</v>
      </c>
      <c r="J2226" s="76"/>
    </row>
    <row r="2227">
      <c r="A2227" s="74">
        <v>2223.0</v>
      </c>
      <c r="B2227" s="73" t="s">
        <v>1984</v>
      </c>
      <c r="C2227" s="74">
        <v>9.0047397E8</v>
      </c>
      <c r="D2227" s="73" t="s">
        <v>2697</v>
      </c>
      <c r="E2227" s="72">
        <v>101.0</v>
      </c>
      <c r="F2227" s="77">
        <v>40896.0</v>
      </c>
      <c r="G2227" s="76"/>
      <c r="H2227" s="76"/>
      <c r="I2227" s="73" t="s">
        <v>366</v>
      </c>
      <c r="J2227" s="76"/>
    </row>
    <row r="2228">
      <c r="A2228" s="74">
        <v>2224.0</v>
      </c>
      <c r="B2228" s="73" t="s">
        <v>1984</v>
      </c>
      <c r="C2228" s="74">
        <v>8.00126471E8</v>
      </c>
      <c r="D2228" s="73" t="s">
        <v>2698</v>
      </c>
      <c r="E2228" s="72">
        <v>475.0</v>
      </c>
      <c r="F2228" s="77">
        <v>40898.0</v>
      </c>
      <c r="G2228" s="76"/>
      <c r="H2228" s="76"/>
      <c r="I2228" s="73" t="s">
        <v>366</v>
      </c>
      <c r="J2228" s="76"/>
    </row>
    <row r="2229">
      <c r="A2229" s="74">
        <v>2225.0</v>
      </c>
      <c r="B2229" s="73" t="s">
        <v>1984</v>
      </c>
      <c r="C2229" s="74">
        <v>9.00436534E8</v>
      </c>
      <c r="D2229" s="73" t="s">
        <v>2699</v>
      </c>
      <c r="E2229" s="72">
        <v>476.0</v>
      </c>
      <c r="F2229" s="77">
        <v>40898.0</v>
      </c>
      <c r="G2229" s="76"/>
      <c r="H2229" s="76"/>
      <c r="I2229" s="73" t="s">
        <v>366</v>
      </c>
      <c r="J2229" s="76"/>
    </row>
    <row r="2230">
      <c r="A2230" s="74">
        <v>2226.0</v>
      </c>
      <c r="B2230" s="73" t="s">
        <v>1984</v>
      </c>
      <c r="C2230" s="74">
        <v>9.00437876E8</v>
      </c>
      <c r="D2230" s="73" t="s">
        <v>2700</v>
      </c>
      <c r="E2230" s="72">
        <v>486.0</v>
      </c>
      <c r="F2230" s="77">
        <v>40904.0</v>
      </c>
      <c r="G2230" s="76"/>
      <c r="H2230" s="76"/>
      <c r="I2230" s="73" t="s">
        <v>366</v>
      </c>
      <c r="J2230" s="76"/>
    </row>
    <row r="2231">
      <c r="A2231" s="74">
        <v>2227.0</v>
      </c>
      <c r="B2231" s="73" t="s">
        <v>1984</v>
      </c>
      <c r="C2231" s="74">
        <v>9.0045522E8</v>
      </c>
      <c r="D2231" s="73" t="s">
        <v>2701</v>
      </c>
      <c r="E2231" s="72">
        <v>487.0</v>
      </c>
      <c r="F2231" s="77">
        <v>40904.0</v>
      </c>
      <c r="G2231" s="76"/>
      <c r="H2231" s="76"/>
      <c r="I2231" s="73" t="s">
        <v>366</v>
      </c>
      <c r="J2231" s="76"/>
    </row>
    <row r="2232">
      <c r="A2232" s="74">
        <v>2228.0</v>
      </c>
      <c r="B2232" s="73" t="s">
        <v>1984</v>
      </c>
      <c r="C2232" s="74">
        <v>9.00458857E8</v>
      </c>
      <c r="D2232" s="73" t="s">
        <v>2702</v>
      </c>
      <c r="E2232" s="72">
        <v>492.0</v>
      </c>
      <c r="F2232" s="77">
        <v>40905.0</v>
      </c>
      <c r="G2232" s="76"/>
      <c r="H2232" s="76"/>
      <c r="I2232" s="73" t="s">
        <v>366</v>
      </c>
      <c r="J2232" s="76"/>
    </row>
    <row r="2233">
      <c r="A2233" s="74">
        <v>2229.0</v>
      </c>
      <c r="B2233" s="73" t="s">
        <v>1984</v>
      </c>
      <c r="C2233" s="74">
        <v>9.00463032E8</v>
      </c>
      <c r="D2233" s="73" t="s">
        <v>2703</v>
      </c>
      <c r="E2233" s="72">
        <v>43.0</v>
      </c>
      <c r="F2233" s="77">
        <v>40905.0</v>
      </c>
      <c r="G2233" s="76"/>
      <c r="H2233" s="76"/>
      <c r="I2233" s="73" t="s">
        <v>366</v>
      </c>
      <c r="J2233" s="76"/>
    </row>
    <row r="2234">
      <c r="A2234" s="74">
        <v>2230.0</v>
      </c>
      <c r="B2234" s="73" t="s">
        <v>1984</v>
      </c>
      <c r="C2234" s="74">
        <v>8.30117701E8</v>
      </c>
      <c r="D2234" s="73" t="s">
        <v>2704</v>
      </c>
      <c r="E2234" s="72">
        <v>502.0</v>
      </c>
      <c r="F2234" s="77">
        <v>40907.0</v>
      </c>
      <c r="G2234" s="76"/>
      <c r="H2234" s="76"/>
      <c r="I2234" s="73" t="s">
        <v>366</v>
      </c>
      <c r="J2234" s="76"/>
    </row>
    <row r="2235">
      <c r="A2235" s="74">
        <v>2231.0</v>
      </c>
      <c r="B2235" s="73" t="s">
        <v>1984</v>
      </c>
      <c r="C2235" s="74">
        <v>9.00326394E8</v>
      </c>
      <c r="D2235" s="73" t="s">
        <v>2705</v>
      </c>
      <c r="E2235" s="72">
        <v>508.0</v>
      </c>
      <c r="F2235" s="77">
        <v>40907.0</v>
      </c>
      <c r="G2235" s="76"/>
      <c r="H2235" s="76"/>
      <c r="I2235" s="73" t="s">
        <v>366</v>
      </c>
      <c r="J2235" s="76"/>
    </row>
    <row r="2236">
      <c r="A2236" s="74">
        <v>2232.0</v>
      </c>
      <c r="B2236" s="73" t="s">
        <v>1984</v>
      </c>
      <c r="C2236" s="74">
        <v>9.00396327E8</v>
      </c>
      <c r="D2236" s="73" t="s">
        <v>2706</v>
      </c>
      <c r="E2236" s="72">
        <v>10.0</v>
      </c>
      <c r="F2236" s="75">
        <v>40942.0</v>
      </c>
      <c r="G2236" s="76"/>
      <c r="H2236" s="76"/>
      <c r="I2236" s="73" t="s">
        <v>366</v>
      </c>
      <c r="J2236" s="76"/>
    </row>
    <row r="2237">
      <c r="A2237" s="74">
        <v>2233.0</v>
      </c>
      <c r="B2237" s="73" t="s">
        <v>1984</v>
      </c>
      <c r="C2237" s="74">
        <v>9.00163394E8</v>
      </c>
      <c r="D2237" s="73" t="s">
        <v>2707</v>
      </c>
      <c r="E2237" s="72">
        <v>19.0</v>
      </c>
      <c r="F2237" s="75">
        <v>40953.0</v>
      </c>
      <c r="G2237" s="76"/>
      <c r="H2237" s="76"/>
      <c r="I2237" s="73" t="s">
        <v>366</v>
      </c>
      <c r="J2237" s="76"/>
    </row>
    <row r="2238">
      <c r="A2238" s="74">
        <v>2234.0</v>
      </c>
      <c r="B2238" s="73" t="s">
        <v>1984</v>
      </c>
      <c r="C2238" s="74">
        <v>9.00164363E8</v>
      </c>
      <c r="D2238" s="73" t="s">
        <v>2708</v>
      </c>
      <c r="E2238" s="72">
        <v>22.0</v>
      </c>
      <c r="F2238" s="75">
        <v>40955.0</v>
      </c>
      <c r="G2238" s="76"/>
      <c r="H2238" s="76"/>
      <c r="I2238" s="73" t="s">
        <v>366</v>
      </c>
      <c r="J2238" s="76"/>
    </row>
    <row r="2239">
      <c r="A2239" s="74">
        <v>2235.0</v>
      </c>
      <c r="B2239" s="73" t="s">
        <v>1984</v>
      </c>
      <c r="C2239" s="74">
        <v>9.00474611E8</v>
      </c>
      <c r="D2239" s="73" t="s">
        <v>2709</v>
      </c>
      <c r="E2239" s="72">
        <v>25.0</v>
      </c>
      <c r="F2239" s="75">
        <v>40955.0</v>
      </c>
      <c r="G2239" s="76"/>
      <c r="H2239" s="76"/>
      <c r="I2239" s="73" t="s">
        <v>366</v>
      </c>
      <c r="J2239" s="76"/>
    </row>
    <row r="2240">
      <c r="A2240" s="74">
        <v>2236.0</v>
      </c>
      <c r="B2240" s="73" t="s">
        <v>1984</v>
      </c>
      <c r="C2240" s="74">
        <v>8.30124778E8</v>
      </c>
      <c r="D2240" s="73" t="s">
        <v>2710</v>
      </c>
      <c r="E2240" s="72">
        <v>31.0</v>
      </c>
      <c r="F2240" s="75">
        <v>40956.0</v>
      </c>
      <c r="G2240" s="76"/>
      <c r="H2240" s="76"/>
      <c r="I2240" s="73" t="s">
        <v>366</v>
      </c>
      <c r="J2240" s="76"/>
    </row>
    <row r="2241">
      <c r="A2241" s="74">
        <v>2237.0</v>
      </c>
      <c r="B2241" s="73" t="s">
        <v>1984</v>
      </c>
      <c r="C2241" s="74">
        <v>9.00455999E8</v>
      </c>
      <c r="D2241" s="73" t="s">
        <v>2711</v>
      </c>
      <c r="E2241" s="72">
        <v>41.0</v>
      </c>
      <c r="F2241" s="75">
        <v>40966.0</v>
      </c>
      <c r="G2241" s="76"/>
      <c r="H2241" s="76"/>
      <c r="I2241" s="73" t="s">
        <v>366</v>
      </c>
      <c r="J2241" s="76"/>
    </row>
    <row r="2242">
      <c r="A2242" s="74">
        <v>2238.0</v>
      </c>
      <c r="B2242" s="73" t="s">
        <v>1984</v>
      </c>
      <c r="C2242" s="74">
        <v>9.00482406E8</v>
      </c>
      <c r="D2242" s="73" t="s">
        <v>2712</v>
      </c>
      <c r="E2242" s="72">
        <v>61.0</v>
      </c>
      <c r="F2242" s="75">
        <v>40975.0</v>
      </c>
      <c r="G2242" s="76"/>
      <c r="H2242" s="76"/>
      <c r="I2242" s="73" t="s">
        <v>366</v>
      </c>
      <c r="J2242" s="76"/>
    </row>
    <row r="2243">
      <c r="A2243" s="74">
        <v>2239.0</v>
      </c>
      <c r="B2243" s="73" t="s">
        <v>1984</v>
      </c>
      <c r="C2243" s="74">
        <v>9.00382268E8</v>
      </c>
      <c r="D2243" s="73" t="s">
        <v>2713</v>
      </c>
      <c r="E2243" s="72">
        <v>74.0</v>
      </c>
      <c r="F2243" s="75">
        <v>40983.0</v>
      </c>
      <c r="G2243" s="76"/>
      <c r="H2243" s="76"/>
      <c r="I2243" s="73" t="s">
        <v>366</v>
      </c>
      <c r="J2243" s="76"/>
    </row>
    <row r="2244">
      <c r="A2244" s="74">
        <v>2240.0</v>
      </c>
      <c r="B2244" s="73" t="s">
        <v>1984</v>
      </c>
      <c r="C2244" s="74">
        <v>8.30028866E8</v>
      </c>
      <c r="D2244" s="73" t="s">
        <v>2714</v>
      </c>
      <c r="E2244" s="72">
        <v>109.0</v>
      </c>
      <c r="F2244" s="75">
        <v>41009.0</v>
      </c>
      <c r="G2244" s="76"/>
      <c r="H2244" s="76"/>
      <c r="I2244" s="73" t="s">
        <v>366</v>
      </c>
      <c r="J2244" s="76"/>
    </row>
    <row r="2245">
      <c r="A2245" s="74">
        <v>2241.0</v>
      </c>
      <c r="B2245" s="73" t="s">
        <v>1984</v>
      </c>
      <c r="C2245" s="74">
        <v>9.00294315E8</v>
      </c>
      <c r="D2245" s="73" t="s">
        <v>2715</v>
      </c>
      <c r="E2245" s="72">
        <v>352.0</v>
      </c>
      <c r="F2245" s="75">
        <v>41022.0</v>
      </c>
      <c r="G2245" s="76"/>
      <c r="H2245" s="76"/>
      <c r="I2245" s="73" t="s">
        <v>366</v>
      </c>
      <c r="J2245" s="76"/>
    </row>
    <row r="2246">
      <c r="A2246" s="74">
        <v>2242.0</v>
      </c>
      <c r="B2246" s="73" t="s">
        <v>1984</v>
      </c>
      <c r="C2246" s="74">
        <v>8.30008524E8</v>
      </c>
      <c r="D2246" s="73" t="s">
        <v>2716</v>
      </c>
      <c r="E2246" s="72">
        <v>148.0</v>
      </c>
      <c r="F2246" s="75">
        <v>41031.0</v>
      </c>
      <c r="G2246" s="76"/>
      <c r="H2246" s="76"/>
      <c r="I2246" s="73" t="s">
        <v>366</v>
      </c>
      <c r="J2246" s="76"/>
    </row>
    <row r="2247">
      <c r="A2247" s="74">
        <v>2243.0</v>
      </c>
      <c r="B2247" s="73" t="s">
        <v>1984</v>
      </c>
      <c r="C2247" s="74">
        <v>9.00305319E8</v>
      </c>
      <c r="D2247" s="73" t="s">
        <v>2717</v>
      </c>
      <c r="E2247" s="72">
        <v>144.0</v>
      </c>
      <c r="F2247" s="75">
        <v>41031.0</v>
      </c>
      <c r="G2247" s="76"/>
      <c r="H2247" s="76"/>
      <c r="I2247" s="73" t="s">
        <v>366</v>
      </c>
      <c r="J2247" s="76"/>
    </row>
    <row r="2248">
      <c r="A2248" s="74">
        <v>2244.0</v>
      </c>
      <c r="B2248" s="73" t="s">
        <v>1984</v>
      </c>
      <c r="C2248" s="74">
        <v>9.00465601E8</v>
      </c>
      <c r="D2248" s="73" t="s">
        <v>2718</v>
      </c>
      <c r="E2248" s="72">
        <v>163.0</v>
      </c>
      <c r="F2248" s="75">
        <v>41031.0</v>
      </c>
      <c r="G2248" s="76"/>
      <c r="H2248" s="76"/>
      <c r="I2248" s="73" t="s">
        <v>366</v>
      </c>
      <c r="J2248" s="76"/>
    </row>
    <row r="2249">
      <c r="A2249" s="74">
        <v>2245.0</v>
      </c>
      <c r="B2249" s="73" t="s">
        <v>1984</v>
      </c>
      <c r="C2249" s="74">
        <v>9.00457493E8</v>
      </c>
      <c r="D2249" s="73" t="s">
        <v>2719</v>
      </c>
      <c r="E2249" s="72">
        <v>37.0</v>
      </c>
      <c r="F2249" s="75">
        <v>41033.0</v>
      </c>
      <c r="G2249" s="76"/>
      <c r="H2249" s="76"/>
      <c r="I2249" s="73" t="s">
        <v>366</v>
      </c>
      <c r="J2249" s="76"/>
    </row>
    <row r="2250">
      <c r="A2250" s="74">
        <v>2246.0</v>
      </c>
      <c r="B2250" s="73" t="s">
        <v>1984</v>
      </c>
      <c r="C2250" s="74">
        <v>9.00273986E8</v>
      </c>
      <c r="D2250" s="73" t="s">
        <v>2720</v>
      </c>
      <c r="E2250" s="72">
        <v>175.0</v>
      </c>
      <c r="F2250" s="75">
        <v>41044.0</v>
      </c>
      <c r="G2250" s="76"/>
      <c r="H2250" s="76"/>
      <c r="I2250" s="73" t="s">
        <v>366</v>
      </c>
      <c r="J2250" s="76"/>
    </row>
    <row r="2251">
      <c r="A2251" s="74">
        <v>2247.0</v>
      </c>
      <c r="B2251" s="73" t="s">
        <v>1984</v>
      </c>
      <c r="C2251" s="74">
        <v>8.30115136E8</v>
      </c>
      <c r="D2251" s="73" t="s">
        <v>2721</v>
      </c>
      <c r="E2251" s="72">
        <v>188.0</v>
      </c>
      <c r="F2251" s="75">
        <v>41051.0</v>
      </c>
      <c r="G2251" s="76"/>
      <c r="H2251" s="76"/>
      <c r="I2251" s="73" t="s">
        <v>366</v>
      </c>
      <c r="J2251" s="76"/>
    </row>
    <row r="2252">
      <c r="A2252" s="74">
        <v>2248.0</v>
      </c>
      <c r="B2252" s="73" t="s">
        <v>1984</v>
      </c>
      <c r="C2252" s="74">
        <v>9.00234337E8</v>
      </c>
      <c r="D2252" s="73" t="s">
        <v>2722</v>
      </c>
      <c r="E2252" s="72">
        <v>190.0</v>
      </c>
      <c r="F2252" s="75">
        <v>41051.0</v>
      </c>
      <c r="G2252" s="76"/>
      <c r="H2252" s="76"/>
      <c r="I2252" s="73" t="s">
        <v>366</v>
      </c>
      <c r="J2252" s="76"/>
    </row>
    <row r="2253">
      <c r="A2253" s="74">
        <v>2249.0</v>
      </c>
      <c r="B2253" s="73" t="s">
        <v>1984</v>
      </c>
      <c r="C2253" s="74">
        <v>9.00208201E8</v>
      </c>
      <c r="D2253" s="73" t="s">
        <v>2723</v>
      </c>
      <c r="E2253" s="72">
        <v>198.0</v>
      </c>
      <c r="F2253" s="75">
        <v>41059.0</v>
      </c>
      <c r="G2253" s="76"/>
      <c r="H2253" s="76"/>
      <c r="I2253" s="73" t="s">
        <v>366</v>
      </c>
      <c r="J2253" s="76"/>
    </row>
    <row r="2254">
      <c r="A2254" s="74">
        <v>2250.0</v>
      </c>
      <c r="B2254" s="73" t="s">
        <v>1984</v>
      </c>
      <c r="C2254" s="74">
        <v>9.00466645E8</v>
      </c>
      <c r="D2254" s="73" t="s">
        <v>2724</v>
      </c>
      <c r="E2254" s="72">
        <v>197.0</v>
      </c>
      <c r="F2254" s="75">
        <v>41059.0</v>
      </c>
      <c r="G2254" s="76"/>
      <c r="H2254" s="76"/>
      <c r="I2254" s="73" t="s">
        <v>366</v>
      </c>
      <c r="J2254" s="76"/>
    </row>
    <row r="2255">
      <c r="A2255" s="74">
        <v>2251.0</v>
      </c>
      <c r="B2255" s="73" t="s">
        <v>1984</v>
      </c>
      <c r="C2255" s="74">
        <v>8.30046411E8</v>
      </c>
      <c r="D2255" s="73" t="s">
        <v>2725</v>
      </c>
      <c r="E2255" s="72">
        <v>212.0</v>
      </c>
      <c r="F2255" s="75">
        <v>41064.0</v>
      </c>
      <c r="G2255" s="76"/>
      <c r="H2255" s="76"/>
      <c r="I2255" s="73" t="s">
        <v>366</v>
      </c>
      <c r="J2255" s="76"/>
    </row>
    <row r="2256">
      <c r="A2256" s="74">
        <v>2252.0</v>
      </c>
      <c r="B2256" s="73" t="s">
        <v>1984</v>
      </c>
      <c r="C2256" s="74">
        <v>8.32000432E8</v>
      </c>
      <c r="D2256" s="73" t="s">
        <v>2726</v>
      </c>
      <c r="E2256" s="72">
        <v>213.0</v>
      </c>
      <c r="F2256" s="75">
        <v>41064.0</v>
      </c>
      <c r="G2256" s="76"/>
      <c r="H2256" s="76"/>
      <c r="I2256" s="73" t="s">
        <v>366</v>
      </c>
      <c r="J2256" s="76"/>
    </row>
    <row r="2257">
      <c r="A2257" s="74">
        <v>2253.0</v>
      </c>
      <c r="B2257" s="73" t="s">
        <v>1984</v>
      </c>
      <c r="C2257" s="74">
        <v>9.00475643E8</v>
      </c>
      <c r="D2257" s="73" t="s">
        <v>2727</v>
      </c>
      <c r="E2257" s="72">
        <v>216.0</v>
      </c>
      <c r="F2257" s="75">
        <v>41067.0</v>
      </c>
      <c r="G2257" s="76"/>
      <c r="H2257" s="76"/>
      <c r="I2257" s="73" t="s">
        <v>366</v>
      </c>
      <c r="J2257" s="76"/>
    </row>
    <row r="2258">
      <c r="A2258" s="74">
        <v>2254.0</v>
      </c>
      <c r="B2258" s="73" t="s">
        <v>1984</v>
      </c>
      <c r="C2258" s="74">
        <v>9.00483604E8</v>
      </c>
      <c r="D2258" s="73" t="s">
        <v>2728</v>
      </c>
      <c r="E2258" s="72">
        <v>43.0</v>
      </c>
      <c r="F2258" s="75">
        <v>41068.0</v>
      </c>
      <c r="G2258" s="76"/>
      <c r="H2258" s="76"/>
      <c r="I2258" s="73" t="s">
        <v>366</v>
      </c>
      <c r="J2258" s="76"/>
    </row>
    <row r="2259">
      <c r="A2259" s="74">
        <v>2255.0</v>
      </c>
      <c r="B2259" s="73" t="s">
        <v>1984</v>
      </c>
      <c r="C2259" s="74">
        <v>9.0047005E8</v>
      </c>
      <c r="D2259" s="73" t="s">
        <v>2729</v>
      </c>
      <c r="E2259" s="72">
        <v>233.0</v>
      </c>
      <c r="F2259" s="75">
        <v>41079.0</v>
      </c>
      <c r="G2259" s="76"/>
      <c r="H2259" s="76"/>
      <c r="I2259" s="73" t="s">
        <v>366</v>
      </c>
      <c r="J2259" s="76"/>
    </row>
    <row r="2260">
      <c r="A2260" s="74">
        <v>2256.0</v>
      </c>
      <c r="B2260" s="73" t="s">
        <v>1984</v>
      </c>
      <c r="C2260" s="74">
        <v>9.00505901E8</v>
      </c>
      <c r="D2260" s="73" t="s">
        <v>2730</v>
      </c>
      <c r="E2260" s="72">
        <v>223.0</v>
      </c>
      <c r="F2260" s="75">
        <v>41079.0</v>
      </c>
      <c r="G2260" s="76"/>
      <c r="H2260" s="76"/>
      <c r="I2260" s="73" t="s">
        <v>366</v>
      </c>
      <c r="J2260" s="76"/>
    </row>
    <row r="2261">
      <c r="A2261" s="74">
        <v>2257.0</v>
      </c>
      <c r="B2261" s="73" t="s">
        <v>1984</v>
      </c>
      <c r="C2261" s="74">
        <v>9.0048842E8</v>
      </c>
      <c r="D2261" s="73" t="s">
        <v>2731</v>
      </c>
      <c r="E2261" s="72">
        <v>237.0</v>
      </c>
      <c r="F2261" s="75">
        <v>41089.0</v>
      </c>
      <c r="G2261" s="76"/>
      <c r="H2261" s="76"/>
      <c r="I2261" s="73" t="s">
        <v>366</v>
      </c>
      <c r="J2261" s="76"/>
    </row>
    <row r="2262">
      <c r="A2262" s="74">
        <v>2258.0</v>
      </c>
      <c r="B2262" s="73" t="s">
        <v>1984</v>
      </c>
      <c r="C2262" s="74">
        <v>9.00439562E8</v>
      </c>
      <c r="D2262" s="73" t="s">
        <v>2732</v>
      </c>
      <c r="E2262" s="72">
        <v>243.0</v>
      </c>
      <c r="F2262" s="75">
        <v>41096.0</v>
      </c>
      <c r="G2262" s="76"/>
      <c r="H2262" s="76"/>
      <c r="I2262" s="73" t="s">
        <v>366</v>
      </c>
      <c r="J2262" s="76"/>
    </row>
    <row r="2263">
      <c r="A2263" s="74">
        <v>2259.0</v>
      </c>
      <c r="B2263" s="73" t="s">
        <v>1984</v>
      </c>
      <c r="C2263" s="74">
        <v>9.00429561E8</v>
      </c>
      <c r="D2263" s="73" t="s">
        <v>2733</v>
      </c>
      <c r="E2263" s="72">
        <v>41.0</v>
      </c>
      <c r="F2263" s="75">
        <v>41106.0</v>
      </c>
      <c r="G2263" s="76"/>
      <c r="H2263" s="76"/>
      <c r="I2263" s="73" t="s">
        <v>366</v>
      </c>
      <c r="J2263" s="76"/>
    </row>
    <row r="2264">
      <c r="A2264" s="74">
        <v>2260.0</v>
      </c>
      <c r="B2264" s="73" t="s">
        <v>1984</v>
      </c>
      <c r="C2264" s="74">
        <v>8.00110976E8</v>
      </c>
      <c r="D2264" s="73" t="s">
        <v>2734</v>
      </c>
      <c r="E2264" s="72">
        <v>255.0</v>
      </c>
      <c r="F2264" s="75">
        <v>41109.0</v>
      </c>
      <c r="G2264" s="76"/>
      <c r="H2264" s="76"/>
      <c r="I2264" s="73" t="s">
        <v>366</v>
      </c>
      <c r="J2264" s="76"/>
    </row>
    <row r="2265">
      <c r="A2265" s="85">
        <v>2261.0</v>
      </c>
      <c r="B2265" s="79" t="s">
        <v>1984</v>
      </c>
      <c r="C2265" s="80">
        <v>8.30040709E8</v>
      </c>
      <c r="D2265" s="79" t="s">
        <v>2735</v>
      </c>
      <c r="E2265" s="81">
        <v>257.0</v>
      </c>
      <c r="F2265" s="84">
        <v>41109.0</v>
      </c>
      <c r="G2265" s="83"/>
      <c r="H2265" s="83"/>
      <c r="I2265" s="73" t="s">
        <v>366</v>
      </c>
      <c r="J2265" s="76"/>
    </row>
    <row r="2266">
      <c r="A2266" s="74">
        <v>2262.0</v>
      </c>
      <c r="B2266" s="73" t="s">
        <v>1984</v>
      </c>
      <c r="C2266" s="74">
        <v>9.00436051E8</v>
      </c>
      <c r="D2266" s="73" t="s">
        <v>2736</v>
      </c>
      <c r="E2266" s="72">
        <v>254.0</v>
      </c>
      <c r="F2266" s="75">
        <v>41109.0</v>
      </c>
      <c r="G2266" s="76"/>
      <c r="H2266" s="76"/>
      <c r="I2266" s="73" t="s">
        <v>366</v>
      </c>
      <c r="J2266" s="76"/>
    </row>
    <row r="2267">
      <c r="A2267" s="74">
        <v>2263.0</v>
      </c>
      <c r="B2267" s="73" t="s">
        <v>1984</v>
      </c>
      <c r="C2267" s="74">
        <v>9.00511518E8</v>
      </c>
      <c r="D2267" s="73" t="s">
        <v>1046</v>
      </c>
      <c r="E2267" s="72">
        <v>54.0</v>
      </c>
      <c r="F2267" s="75">
        <v>41115.0</v>
      </c>
      <c r="G2267" s="76"/>
      <c r="H2267" s="76"/>
      <c r="I2267" s="73" t="s">
        <v>366</v>
      </c>
      <c r="J2267" s="76"/>
    </row>
    <row r="2268">
      <c r="A2268" s="74">
        <v>2264.0</v>
      </c>
      <c r="B2268" s="73" t="s">
        <v>1984</v>
      </c>
      <c r="C2268" s="74">
        <v>8.30127457E8</v>
      </c>
      <c r="D2268" s="73" t="s">
        <v>2737</v>
      </c>
      <c r="E2268" s="72">
        <v>268.0</v>
      </c>
      <c r="F2268" s="75">
        <v>41116.0</v>
      </c>
      <c r="G2268" s="76"/>
      <c r="H2268" s="76"/>
      <c r="I2268" s="73" t="s">
        <v>366</v>
      </c>
      <c r="J2268" s="76"/>
    </row>
    <row r="2269">
      <c r="A2269" s="74">
        <v>2265.0</v>
      </c>
      <c r="B2269" s="73" t="s">
        <v>1984</v>
      </c>
      <c r="C2269" s="74">
        <v>9.00314707E8</v>
      </c>
      <c r="D2269" s="73" t="s">
        <v>2738</v>
      </c>
      <c r="E2269" s="72">
        <v>287.0</v>
      </c>
      <c r="F2269" s="75">
        <v>41136.0</v>
      </c>
      <c r="G2269" s="76"/>
      <c r="H2269" s="76"/>
      <c r="I2269" s="73" t="s">
        <v>366</v>
      </c>
      <c r="J2269" s="76"/>
    </row>
    <row r="2270">
      <c r="A2270" s="74">
        <v>2266.0</v>
      </c>
      <c r="B2270" s="73" t="s">
        <v>1984</v>
      </c>
      <c r="C2270" s="74">
        <v>8.60069088E8</v>
      </c>
      <c r="D2270" s="73" t="s">
        <v>2739</v>
      </c>
      <c r="E2270" s="72">
        <v>288.0</v>
      </c>
      <c r="F2270" s="75">
        <v>41136.0</v>
      </c>
      <c r="G2270" s="76"/>
      <c r="H2270" s="76"/>
      <c r="I2270" s="73" t="s">
        <v>366</v>
      </c>
      <c r="J2270" s="76"/>
    </row>
    <row r="2271">
      <c r="A2271" s="74">
        <v>2267.0</v>
      </c>
      <c r="B2271" s="73" t="s">
        <v>1984</v>
      </c>
      <c r="C2271" s="74">
        <v>9.00496518E8</v>
      </c>
      <c r="D2271" s="73" t="s">
        <v>2740</v>
      </c>
      <c r="E2271" s="72">
        <v>293.0</v>
      </c>
      <c r="F2271" s="75">
        <v>41136.0</v>
      </c>
      <c r="G2271" s="76"/>
      <c r="H2271" s="76"/>
      <c r="I2271" s="73" t="s">
        <v>366</v>
      </c>
      <c r="J2271" s="76"/>
    </row>
    <row r="2272">
      <c r="A2272" s="74">
        <v>2268.0</v>
      </c>
      <c r="B2272" s="73" t="s">
        <v>1984</v>
      </c>
      <c r="C2272" s="74">
        <v>9.00506854E8</v>
      </c>
      <c r="D2272" s="73" t="s">
        <v>2741</v>
      </c>
      <c r="E2272" s="72">
        <v>305.0</v>
      </c>
      <c r="F2272" s="75">
        <v>41152.0</v>
      </c>
      <c r="G2272" s="76"/>
      <c r="H2272" s="76"/>
      <c r="I2272" s="73" t="s">
        <v>366</v>
      </c>
      <c r="J2272" s="76"/>
    </row>
    <row r="2273">
      <c r="A2273" s="74">
        <v>2269.0</v>
      </c>
      <c r="B2273" s="73" t="s">
        <v>1984</v>
      </c>
      <c r="C2273" s="74">
        <v>9.00468781E8</v>
      </c>
      <c r="D2273" s="73" t="s">
        <v>2742</v>
      </c>
      <c r="E2273" s="72">
        <v>319.0</v>
      </c>
      <c r="F2273" s="75">
        <v>41159.0</v>
      </c>
      <c r="G2273" s="76"/>
      <c r="H2273" s="76"/>
      <c r="I2273" s="73" t="s">
        <v>366</v>
      </c>
      <c r="J2273" s="76"/>
    </row>
    <row r="2274">
      <c r="A2274" s="74">
        <v>2270.0</v>
      </c>
      <c r="B2274" s="73" t="s">
        <v>1984</v>
      </c>
      <c r="C2274" s="74">
        <v>9.00513634E8</v>
      </c>
      <c r="D2274" s="73" t="s">
        <v>2743</v>
      </c>
      <c r="E2274" s="72">
        <v>336.0</v>
      </c>
      <c r="F2274" s="75">
        <v>41164.0</v>
      </c>
      <c r="G2274" s="76"/>
      <c r="H2274" s="76"/>
      <c r="I2274" s="73" t="s">
        <v>366</v>
      </c>
      <c r="J2274" s="76"/>
    </row>
    <row r="2275">
      <c r="A2275" s="74">
        <v>2271.0</v>
      </c>
      <c r="B2275" s="73" t="s">
        <v>1984</v>
      </c>
      <c r="C2275" s="74">
        <v>9.00518652E8</v>
      </c>
      <c r="D2275" s="73" t="s">
        <v>2744</v>
      </c>
      <c r="E2275" s="72">
        <v>85.0</v>
      </c>
      <c r="F2275" s="75">
        <v>41169.0</v>
      </c>
      <c r="G2275" s="76"/>
      <c r="H2275" s="76"/>
      <c r="I2275" s="73" t="s">
        <v>366</v>
      </c>
      <c r="J2275" s="76"/>
    </row>
    <row r="2276">
      <c r="A2276" s="74">
        <v>2272.0</v>
      </c>
      <c r="B2276" s="73" t="s">
        <v>1984</v>
      </c>
      <c r="C2276" s="74">
        <v>9.00436458E8</v>
      </c>
      <c r="D2276" s="73" t="s">
        <v>2745</v>
      </c>
      <c r="E2276" s="72">
        <v>339.0</v>
      </c>
      <c r="F2276" s="75">
        <v>41172.0</v>
      </c>
      <c r="G2276" s="76"/>
      <c r="H2276" s="76"/>
      <c r="I2276" s="73" t="s">
        <v>366</v>
      </c>
      <c r="J2276" s="76"/>
    </row>
    <row r="2277">
      <c r="A2277" s="74">
        <v>2273.0</v>
      </c>
      <c r="B2277" s="73" t="s">
        <v>1984</v>
      </c>
      <c r="C2277" s="74">
        <v>9.00529322E8</v>
      </c>
      <c r="D2277" s="73" t="s">
        <v>2746</v>
      </c>
      <c r="E2277" s="72">
        <v>346.0</v>
      </c>
      <c r="F2277" s="75">
        <v>41173.0</v>
      </c>
      <c r="G2277" s="76"/>
      <c r="H2277" s="76"/>
      <c r="I2277" s="73" t="s">
        <v>366</v>
      </c>
      <c r="J2277" s="76"/>
    </row>
    <row r="2278">
      <c r="A2278" s="74">
        <v>2274.0</v>
      </c>
      <c r="B2278" s="73" t="s">
        <v>1984</v>
      </c>
      <c r="C2278" s="74">
        <v>9.00394396E8</v>
      </c>
      <c r="D2278" s="73" t="s">
        <v>2747</v>
      </c>
      <c r="E2278" s="72">
        <v>360.0</v>
      </c>
      <c r="F2278" s="77">
        <v>41185.0</v>
      </c>
      <c r="G2278" s="76"/>
      <c r="H2278" s="76"/>
      <c r="I2278" s="73" t="s">
        <v>366</v>
      </c>
      <c r="J2278" s="76"/>
    </row>
    <row r="2279">
      <c r="A2279" s="74">
        <v>2275.0</v>
      </c>
      <c r="B2279" s="73" t="s">
        <v>1984</v>
      </c>
      <c r="C2279" s="74">
        <v>9.00465658E8</v>
      </c>
      <c r="D2279" s="73" t="s">
        <v>2748</v>
      </c>
      <c r="E2279" s="72">
        <v>357.0</v>
      </c>
      <c r="F2279" s="77">
        <v>41185.0</v>
      </c>
      <c r="G2279" s="76"/>
      <c r="H2279" s="76"/>
      <c r="I2279" s="73" t="s">
        <v>366</v>
      </c>
      <c r="J2279" s="76"/>
    </row>
    <row r="2280">
      <c r="A2280" s="74">
        <v>2276.0</v>
      </c>
      <c r="B2280" s="73" t="s">
        <v>1984</v>
      </c>
      <c r="C2280" s="74">
        <v>9.00540179E8</v>
      </c>
      <c r="D2280" s="73" t="s">
        <v>2749</v>
      </c>
      <c r="E2280" s="72">
        <v>48.0</v>
      </c>
      <c r="F2280" s="77">
        <v>41186.0</v>
      </c>
      <c r="G2280" s="76"/>
      <c r="H2280" s="76"/>
      <c r="I2280" s="73" t="s">
        <v>366</v>
      </c>
      <c r="J2280" s="76"/>
    </row>
    <row r="2281">
      <c r="A2281" s="74">
        <v>2277.0</v>
      </c>
      <c r="B2281" s="73" t="s">
        <v>1984</v>
      </c>
      <c r="C2281" s="74">
        <v>9.00268745E8</v>
      </c>
      <c r="D2281" s="73" t="s">
        <v>2750</v>
      </c>
      <c r="E2281" s="72">
        <v>369.0</v>
      </c>
      <c r="F2281" s="77">
        <v>41187.0</v>
      </c>
      <c r="G2281" s="76"/>
      <c r="H2281" s="76"/>
      <c r="I2281" s="73" t="s">
        <v>366</v>
      </c>
      <c r="J2281" s="76"/>
    </row>
    <row r="2282">
      <c r="A2282" s="74">
        <v>2278.0</v>
      </c>
      <c r="B2282" s="73" t="s">
        <v>1984</v>
      </c>
      <c r="C2282" s="74">
        <v>9.00511289E8</v>
      </c>
      <c r="D2282" s="73" t="s">
        <v>2751</v>
      </c>
      <c r="E2282" s="72">
        <v>372.0</v>
      </c>
      <c r="F2282" s="77">
        <v>41187.0</v>
      </c>
      <c r="G2282" s="76"/>
      <c r="H2282" s="76"/>
      <c r="I2282" s="73" t="s">
        <v>366</v>
      </c>
      <c r="J2282" s="76"/>
    </row>
    <row r="2283">
      <c r="A2283" s="74">
        <v>2279.0</v>
      </c>
      <c r="B2283" s="73" t="s">
        <v>1984</v>
      </c>
      <c r="C2283" s="74">
        <v>9.00255779E8</v>
      </c>
      <c r="D2283" s="73" t="s">
        <v>2752</v>
      </c>
      <c r="E2283" s="72">
        <v>373.0</v>
      </c>
      <c r="F2283" s="77">
        <v>41190.0</v>
      </c>
      <c r="G2283" s="76"/>
      <c r="H2283" s="76"/>
      <c r="I2283" s="73" t="s">
        <v>366</v>
      </c>
      <c r="J2283" s="76"/>
    </row>
    <row r="2284">
      <c r="A2284" s="74">
        <v>2280.0</v>
      </c>
      <c r="B2284" s="73" t="s">
        <v>1984</v>
      </c>
      <c r="C2284" s="74">
        <v>9.00531863E8</v>
      </c>
      <c r="D2284" s="73" t="s">
        <v>2753</v>
      </c>
      <c r="E2284" s="72">
        <v>391.0</v>
      </c>
      <c r="F2284" s="77">
        <v>41211.0</v>
      </c>
      <c r="G2284" s="76"/>
      <c r="H2284" s="76"/>
      <c r="I2284" s="73" t="s">
        <v>366</v>
      </c>
      <c r="J2284" s="76"/>
    </row>
    <row r="2285">
      <c r="A2285" s="74">
        <v>2281.0</v>
      </c>
      <c r="B2285" s="73" t="s">
        <v>1984</v>
      </c>
      <c r="C2285" s="74">
        <v>9.00532797E8</v>
      </c>
      <c r="D2285" s="73" t="s">
        <v>2754</v>
      </c>
      <c r="E2285" s="72">
        <v>394.0</v>
      </c>
      <c r="F2285" s="77">
        <v>41212.0</v>
      </c>
      <c r="G2285" s="76"/>
      <c r="H2285" s="76"/>
      <c r="I2285" s="73" t="s">
        <v>366</v>
      </c>
      <c r="J2285" s="76"/>
    </row>
    <row r="2286">
      <c r="A2286" s="74">
        <v>2282.0</v>
      </c>
      <c r="B2286" s="73" t="s">
        <v>1984</v>
      </c>
      <c r="C2286" s="74">
        <v>9.00490859E8</v>
      </c>
      <c r="D2286" s="73" t="s">
        <v>2755</v>
      </c>
      <c r="E2286" s="72">
        <v>411.0</v>
      </c>
      <c r="F2286" s="77">
        <v>41221.0</v>
      </c>
      <c r="G2286" s="76"/>
      <c r="H2286" s="76"/>
      <c r="I2286" s="73" t="s">
        <v>366</v>
      </c>
      <c r="J2286" s="76"/>
    </row>
    <row r="2287">
      <c r="A2287" s="74">
        <v>2283.0</v>
      </c>
      <c r="B2287" s="73" t="s">
        <v>1984</v>
      </c>
      <c r="C2287" s="74">
        <v>9.00533001E8</v>
      </c>
      <c r="D2287" s="73" t="s">
        <v>2756</v>
      </c>
      <c r="E2287" s="72">
        <v>433.0</v>
      </c>
      <c r="F2287" s="77">
        <v>41235.0</v>
      </c>
      <c r="G2287" s="76"/>
      <c r="H2287" s="76"/>
      <c r="I2287" s="73" t="s">
        <v>366</v>
      </c>
      <c r="J2287" s="76"/>
    </row>
    <row r="2288">
      <c r="A2288" s="74">
        <v>2284.0</v>
      </c>
      <c r="B2288" s="73" t="s">
        <v>1984</v>
      </c>
      <c r="C2288" s="74">
        <v>9.00277792E8</v>
      </c>
      <c r="D2288" s="73" t="s">
        <v>1050</v>
      </c>
      <c r="E2288" s="72">
        <v>85.0</v>
      </c>
      <c r="F2288" s="77">
        <v>41240.0</v>
      </c>
      <c r="G2288" s="76"/>
      <c r="H2288" s="76"/>
      <c r="I2288" s="73" t="s">
        <v>366</v>
      </c>
      <c r="J2288" s="76"/>
    </row>
    <row r="2289">
      <c r="A2289" s="74">
        <v>2285.0</v>
      </c>
      <c r="B2289" s="73" t="s">
        <v>1984</v>
      </c>
      <c r="C2289" s="74">
        <v>9.00566146E8</v>
      </c>
      <c r="D2289" s="73" t="s">
        <v>2757</v>
      </c>
      <c r="E2289" s="72">
        <v>88.0</v>
      </c>
      <c r="F2289" s="77">
        <v>41243.0</v>
      </c>
      <c r="G2289" s="76"/>
      <c r="H2289" s="76"/>
      <c r="I2289" s="73" t="s">
        <v>366</v>
      </c>
      <c r="J2289" s="76"/>
    </row>
    <row r="2290">
      <c r="A2290" s="74">
        <v>2286.0</v>
      </c>
      <c r="B2290" s="73" t="s">
        <v>1984</v>
      </c>
      <c r="C2290" s="74">
        <v>9.00457412E8</v>
      </c>
      <c r="D2290" s="73" t="s">
        <v>2758</v>
      </c>
      <c r="E2290" s="72">
        <v>443.0</v>
      </c>
      <c r="F2290" s="77">
        <v>41246.0</v>
      </c>
      <c r="G2290" s="76"/>
      <c r="H2290" s="76"/>
      <c r="I2290" s="73" t="s">
        <v>366</v>
      </c>
      <c r="J2290" s="76"/>
    </row>
    <row r="2291">
      <c r="A2291" s="74">
        <v>2287.0</v>
      </c>
      <c r="B2291" s="73" t="s">
        <v>1984</v>
      </c>
      <c r="C2291" s="74">
        <v>8.00045713E8</v>
      </c>
      <c r="D2291" s="73" t="s">
        <v>2759</v>
      </c>
      <c r="E2291" s="72">
        <v>103.0</v>
      </c>
      <c r="F2291" s="77">
        <v>41249.0</v>
      </c>
      <c r="G2291" s="76"/>
      <c r="H2291" s="76"/>
      <c r="I2291" s="73" t="s">
        <v>366</v>
      </c>
      <c r="J2291" s="76"/>
    </row>
    <row r="2292">
      <c r="A2292" s="74">
        <v>2288.0</v>
      </c>
      <c r="B2292" s="73" t="s">
        <v>1984</v>
      </c>
      <c r="C2292" s="74">
        <v>9.00373731E8</v>
      </c>
      <c r="D2292" s="73" t="s">
        <v>2760</v>
      </c>
      <c r="E2292" s="72">
        <v>463.0</v>
      </c>
      <c r="F2292" s="77">
        <v>41253.0</v>
      </c>
      <c r="G2292" s="76"/>
      <c r="H2292" s="76"/>
      <c r="I2292" s="73" t="s">
        <v>366</v>
      </c>
      <c r="J2292" s="76"/>
    </row>
    <row r="2293">
      <c r="A2293" s="74">
        <v>2289.0</v>
      </c>
      <c r="B2293" s="73" t="s">
        <v>1984</v>
      </c>
      <c r="C2293" s="74">
        <v>9.00451662E8</v>
      </c>
      <c r="D2293" s="73" t="s">
        <v>2761</v>
      </c>
      <c r="E2293" s="72">
        <v>462.0</v>
      </c>
      <c r="F2293" s="77">
        <v>41253.0</v>
      </c>
      <c r="G2293" s="76"/>
      <c r="H2293" s="76"/>
      <c r="I2293" s="73" t="s">
        <v>366</v>
      </c>
      <c r="J2293" s="76"/>
    </row>
    <row r="2294">
      <c r="A2294" s="74">
        <v>2290.0</v>
      </c>
      <c r="B2294" s="73" t="s">
        <v>1984</v>
      </c>
      <c r="C2294" s="74">
        <v>9.00485128E8</v>
      </c>
      <c r="D2294" s="73" t="s">
        <v>2762</v>
      </c>
      <c r="E2294" s="72">
        <v>472.0</v>
      </c>
      <c r="F2294" s="77">
        <v>41260.0</v>
      </c>
      <c r="G2294" s="76"/>
      <c r="H2294" s="76"/>
      <c r="I2294" s="73" t="s">
        <v>366</v>
      </c>
      <c r="J2294" s="76"/>
    </row>
    <row r="2295">
      <c r="A2295" s="74">
        <v>2291.0</v>
      </c>
      <c r="B2295" s="73" t="s">
        <v>1984</v>
      </c>
      <c r="C2295" s="74">
        <v>9.00528791E8</v>
      </c>
      <c r="D2295" s="73" t="s">
        <v>2763</v>
      </c>
      <c r="E2295" s="72">
        <v>113.0</v>
      </c>
      <c r="F2295" s="77">
        <v>41260.0</v>
      </c>
      <c r="G2295" s="76"/>
      <c r="H2295" s="76"/>
      <c r="I2295" s="73" t="s">
        <v>366</v>
      </c>
      <c r="J2295" s="76"/>
    </row>
    <row r="2296">
      <c r="A2296" s="74">
        <v>2292.0</v>
      </c>
      <c r="B2296" s="73" t="s">
        <v>1984</v>
      </c>
      <c r="C2296" s="74">
        <v>8.30112414E8</v>
      </c>
      <c r="D2296" s="73" t="s">
        <v>2764</v>
      </c>
      <c r="E2296" s="72">
        <v>482.0</v>
      </c>
      <c r="F2296" s="77">
        <v>41270.0</v>
      </c>
      <c r="G2296" s="76"/>
      <c r="H2296" s="76"/>
      <c r="I2296" s="73" t="s">
        <v>366</v>
      </c>
      <c r="J2296" s="76"/>
    </row>
    <row r="2297">
      <c r="A2297" s="74">
        <v>2293.0</v>
      </c>
      <c r="B2297" s="73" t="s">
        <v>1984</v>
      </c>
      <c r="C2297" s="74">
        <v>9.00440319E8</v>
      </c>
      <c r="D2297" s="73" t="s">
        <v>2765</v>
      </c>
      <c r="E2297" s="72">
        <v>151.0</v>
      </c>
      <c r="F2297" s="77">
        <v>41270.0</v>
      </c>
      <c r="G2297" s="76"/>
      <c r="H2297" s="76"/>
      <c r="I2297" s="73" t="s">
        <v>366</v>
      </c>
      <c r="J2297" s="76"/>
    </row>
    <row r="2298">
      <c r="A2298" s="74">
        <v>2294.0</v>
      </c>
      <c r="B2298" s="73" t="s">
        <v>1984</v>
      </c>
      <c r="C2298" s="74">
        <v>9.00496469E8</v>
      </c>
      <c r="D2298" s="73" t="s">
        <v>2766</v>
      </c>
      <c r="E2298" s="72">
        <v>485.0</v>
      </c>
      <c r="F2298" s="77">
        <v>41271.0</v>
      </c>
      <c r="G2298" s="76"/>
      <c r="H2298" s="76"/>
      <c r="I2298" s="73" t="s">
        <v>366</v>
      </c>
      <c r="J2298" s="76"/>
    </row>
    <row r="2299">
      <c r="A2299" s="74">
        <v>2295.0</v>
      </c>
      <c r="B2299" s="73" t="s">
        <v>1984</v>
      </c>
      <c r="C2299" s="74">
        <v>9.00531877E8</v>
      </c>
      <c r="D2299" s="73" t="s">
        <v>2767</v>
      </c>
      <c r="E2299" s="72">
        <v>486.0</v>
      </c>
      <c r="F2299" s="77">
        <v>41271.0</v>
      </c>
      <c r="G2299" s="76"/>
      <c r="H2299" s="76"/>
      <c r="I2299" s="73" t="s">
        <v>366</v>
      </c>
      <c r="J2299" s="76"/>
    </row>
    <row r="2300">
      <c r="A2300" s="74">
        <v>2296.0</v>
      </c>
      <c r="B2300" s="73" t="s">
        <v>1984</v>
      </c>
      <c r="C2300" s="74">
        <v>9.00549787E8</v>
      </c>
      <c r="D2300" s="73" t="s">
        <v>2768</v>
      </c>
      <c r="E2300" s="72">
        <v>484.0</v>
      </c>
      <c r="F2300" s="77">
        <v>41271.0</v>
      </c>
      <c r="G2300" s="76"/>
      <c r="H2300" s="76"/>
      <c r="I2300" s="73" t="s">
        <v>366</v>
      </c>
      <c r="J2300" s="76"/>
    </row>
    <row r="2301">
      <c r="A2301" s="74">
        <v>2297.0</v>
      </c>
      <c r="B2301" s="73" t="s">
        <v>1984</v>
      </c>
      <c r="C2301" s="74">
        <v>9.00253546E8</v>
      </c>
      <c r="D2301" s="73" t="s">
        <v>2769</v>
      </c>
      <c r="E2301" s="72">
        <v>5.0</v>
      </c>
      <c r="F2301" s="75">
        <v>41291.0</v>
      </c>
      <c r="G2301" s="76"/>
      <c r="H2301" s="76"/>
      <c r="I2301" s="73" t="s">
        <v>366</v>
      </c>
      <c r="J2301" s="76"/>
    </row>
    <row r="2302">
      <c r="A2302" s="74">
        <v>2298.0</v>
      </c>
      <c r="B2302" s="73" t="s">
        <v>1984</v>
      </c>
      <c r="C2302" s="74">
        <v>8.60515802E8</v>
      </c>
      <c r="D2302" s="73" t="s">
        <v>2770</v>
      </c>
      <c r="E2302" s="72">
        <v>6.0</v>
      </c>
      <c r="F2302" s="75">
        <v>41292.0</v>
      </c>
      <c r="G2302" s="76"/>
      <c r="H2302" s="76"/>
      <c r="I2302" s="73" t="s">
        <v>366</v>
      </c>
      <c r="J2302" s="76"/>
    </row>
    <row r="2303">
      <c r="A2303" s="74">
        <v>2299.0</v>
      </c>
      <c r="B2303" s="73" t="s">
        <v>1984</v>
      </c>
      <c r="C2303" s="74">
        <v>9.00569049E8</v>
      </c>
      <c r="D2303" s="73" t="s">
        <v>2771</v>
      </c>
      <c r="E2303" s="72">
        <v>1.0</v>
      </c>
      <c r="F2303" s="75">
        <v>41295.0</v>
      </c>
      <c r="G2303" s="76"/>
      <c r="H2303" s="76"/>
      <c r="I2303" s="73" t="s">
        <v>366</v>
      </c>
      <c r="J2303" s="76"/>
    </row>
    <row r="2304">
      <c r="A2304" s="74">
        <v>2300.0</v>
      </c>
      <c r="B2304" s="73" t="s">
        <v>1984</v>
      </c>
      <c r="C2304" s="74">
        <v>9.00558756E8</v>
      </c>
      <c r="D2304" s="73" t="s">
        <v>2772</v>
      </c>
      <c r="E2304" s="72">
        <v>4.0</v>
      </c>
      <c r="F2304" s="75">
        <v>41305.0</v>
      </c>
      <c r="G2304" s="76"/>
      <c r="H2304" s="76"/>
      <c r="I2304" s="73" t="s">
        <v>366</v>
      </c>
      <c r="J2304" s="76"/>
    </row>
    <row r="2305">
      <c r="A2305" s="74">
        <v>2301.0</v>
      </c>
      <c r="B2305" s="73" t="s">
        <v>1984</v>
      </c>
      <c r="C2305" s="74">
        <v>8.30122984E8</v>
      </c>
      <c r="D2305" s="73" t="s">
        <v>2773</v>
      </c>
      <c r="E2305" s="72">
        <v>58.0</v>
      </c>
      <c r="F2305" s="75">
        <v>41307.0</v>
      </c>
      <c r="G2305" s="76"/>
      <c r="H2305" s="76"/>
      <c r="I2305" s="73" t="s">
        <v>366</v>
      </c>
      <c r="J2305" s="76"/>
    </row>
    <row r="2306">
      <c r="A2306" s="74">
        <v>2302.0</v>
      </c>
      <c r="B2306" s="73" t="s">
        <v>1984</v>
      </c>
      <c r="C2306" s="74">
        <v>9.00372963E8</v>
      </c>
      <c r="D2306" s="73" t="s">
        <v>2774</v>
      </c>
      <c r="E2306" s="72">
        <v>25.0</v>
      </c>
      <c r="F2306" s="75">
        <v>41309.0</v>
      </c>
      <c r="G2306" s="76"/>
      <c r="H2306" s="76"/>
      <c r="I2306" s="73" t="s">
        <v>366</v>
      </c>
      <c r="J2306" s="76"/>
    </row>
    <row r="2307">
      <c r="A2307" s="74">
        <v>2303.0</v>
      </c>
      <c r="B2307" s="73" t="s">
        <v>1984</v>
      </c>
      <c r="C2307" s="74">
        <v>9.00442909E8</v>
      </c>
      <c r="D2307" s="73" t="s">
        <v>2775</v>
      </c>
      <c r="E2307" s="72">
        <v>43.0</v>
      </c>
      <c r="F2307" s="75">
        <v>41313.0</v>
      </c>
      <c r="G2307" s="76"/>
      <c r="H2307" s="76"/>
      <c r="I2307" s="73" t="s">
        <v>366</v>
      </c>
      <c r="J2307" s="76"/>
    </row>
    <row r="2308">
      <c r="A2308" s="74">
        <v>2304.0</v>
      </c>
      <c r="B2308" s="73" t="s">
        <v>1984</v>
      </c>
      <c r="C2308" s="74">
        <v>9.00528461E8</v>
      </c>
      <c r="D2308" s="73" t="s">
        <v>2776</v>
      </c>
      <c r="E2308" s="72">
        <v>53.0</v>
      </c>
      <c r="F2308" s="75">
        <v>41324.0</v>
      </c>
      <c r="G2308" s="76"/>
      <c r="H2308" s="76"/>
      <c r="I2308" s="73" t="s">
        <v>366</v>
      </c>
      <c r="J2308" s="76"/>
    </row>
    <row r="2309">
      <c r="A2309" s="74">
        <v>2305.0</v>
      </c>
      <c r="B2309" s="73" t="s">
        <v>1984</v>
      </c>
      <c r="C2309" s="74">
        <v>8.30050283E8</v>
      </c>
      <c r="D2309" s="73" t="s">
        <v>2777</v>
      </c>
      <c r="E2309" s="72">
        <v>69.0</v>
      </c>
      <c r="F2309" s="75">
        <v>41330.0</v>
      </c>
      <c r="G2309" s="76"/>
      <c r="H2309" s="76"/>
      <c r="I2309" s="73" t="s">
        <v>366</v>
      </c>
      <c r="J2309" s="76"/>
    </row>
    <row r="2310">
      <c r="A2310" s="74">
        <v>2306.0</v>
      </c>
      <c r="B2310" s="73" t="s">
        <v>1984</v>
      </c>
      <c r="C2310" s="74">
        <v>9.00567774E8</v>
      </c>
      <c r="D2310" s="73" t="s">
        <v>2778</v>
      </c>
      <c r="E2310" s="72">
        <v>74.0</v>
      </c>
      <c r="F2310" s="75">
        <v>41330.0</v>
      </c>
      <c r="G2310" s="76"/>
      <c r="H2310" s="76"/>
      <c r="I2310" s="73" t="s">
        <v>366</v>
      </c>
      <c r="J2310" s="76"/>
    </row>
    <row r="2311">
      <c r="A2311" s="74">
        <v>2307.0</v>
      </c>
      <c r="B2311" s="73" t="s">
        <v>1984</v>
      </c>
      <c r="C2311" s="74">
        <v>9.00428684E8</v>
      </c>
      <c r="D2311" s="73" t="s">
        <v>2779</v>
      </c>
      <c r="E2311" s="72">
        <v>26.0</v>
      </c>
      <c r="F2311" s="75">
        <v>41345.0</v>
      </c>
      <c r="G2311" s="76"/>
      <c r="H2311" s="76"/>
      <c r="I2311" s="73" t="s">
        <v>366</v>
      </c>
      <c r="J2311" s="76"/>
    </row>
    <row r="2312">
      <c r="A2312" s="74">
        <v>2308.0</v>
      </c>
      <c r="B2312" s="73" t="s">
        <v>1984</v>
      </c>
      <c r="C2312" s="74">
        <v>8.60052872E8</v>
      </c>
      <c r="D2312" s="73" t="s">
        <v>2780</v>
      </c>
      <c r="E2312" s="72">
        <v>116.0</v>
      </c>
      <c r="F2312" s="75">
        <v>41369.0</v>
      </c>
      <c r="G2312" s="76"/>
      <c r="H2312" s="76"/>
      <c r="I2312" s="73" t="s">
        <v>366</v>
      </c>
      <c r="J2312" s="76"/>
    </row>
    <row r="2313">
      <c r="A2313" s="74">
        <v>2309.0</v>
      </c>
      <c r="B2313" s="73" t="s">
        <v>1984</v>
      </c>
      <c r="C2313" s="74">
        <v>9.00425192E8</v>
      </c>
      <c r="D2313" s="73" t="s">
        <v>2781</v>
      </c>
      <c r="E2313" s="72">
        <v>123.0</v>
      </c>
      <c r="F2313" s="75">
        <v>41375.0</v>
      </c>
      <c r="G2313" s="76"/>
      <c r="H2313" s="76"/>
      <c r="I2313" s="73" t="s">
        <v>366</v>
      </c>
      <c r="J2313" s="76"/>
    </row>
    <row r="2314">
      <c r="A2314" s="74">
        <v>2310.0</v>
      </c>
      <c r="B2314" s="73" t="s">
        <v>1984</v>
      </c>
      <c r="C2314" s="74">
        <v>9.00471198E8</v>
      </c>
      <c r="D2314" s="73" t="s">
        <v>2782</v>
      </c>
      <c r="E2314" s="72">
        <v>122.0</v>
      </c>
      <c r="F2314" s="75">
        <v>41375.0</v>
      </c>
      <c r="G2314" s="76"/>
      <c r="H2314" s="76"/>
      <c r="I2314" s="73" t="s">
        <v>366</v>
      </c>
      <c r="J2314" s="76"/>
    </row>
    <row r="2315">
      <c r="A2315" s="74">
        <v>2311.0</v>
      </c>
      <c r="B2315" s="73" t="s">
        <v>1984</v>
      </c>
      <c r="C2315" s="74">
        <v>8.60529344E8</v>
      </c>
      <c r="D2315" s="73" t="s">
        <v>2783</v>
      </c>
      <c r="E2315" s="72">
        <v>135.0</v>
      </c>
      <c r="F2315" s="75">
        <v>41393.0</v>
      </c>
      <c r="G2315" s="76"/>
      <c r="H2315" s="76"/>
      <c r="I2315" s="73" t="s">
        <v>366</v>
      </c>
      <c r="J2315" s="76"/>
    </row>
    <row r="2316">
      <c r="A2316" s="74">
        <v>2312.0</v>
      </c>
      <c r="B2316" s="73" t="s">
        <v>1984</v>
      </c>
      <c r="C2316" s="74">
        <v>9.00374815E8</v>
      </c>
      <c r="D2316" s="73" t="s">
        <v>2784</v>
      </c>
      <c r="E2316" s="72">
        <v>134.0</v>
      </c>
      <c r="F2316" s="75">
        <v>41393.0</v>
      </c>
      <c r="G2316" s="76"/>
      <c r="H2316" s="76"/>
      <c r="I2316" s="73" t="s">
        <v>366</v>
      </c>
      <c r="J2316" s="76"/>
    </row>
    <row r="2317">
      <c r="A2317" s="74">
        <v>2313.0</v>
      </c>
      <c r="B2317" s="73" t="s">
        <v>1984</v>
      </c>
      <c r="C2317" s="74">
        <v>8.3009606E8</v>
      </c>
      <c r="D2317" s="73" t="s">
        <v>2785</v>
      </c>
      <c r="E2317" s="72">
        <v>14.0</v>
      </c>
      <c r="F2317" s="75">
        <v>41394.0</v>
      </c>
      <c r="G2317" s="76"/>
      <c r="H2317" s="76"/>
      <c r="I2317" s="73" t="s">
        <v>366</v>
      </c>
      <c r="J2317" s="76"/>
    </row>
    <row r="2318">
      <c r="A2318" s="85">
        <v>2314.0</v>
      </c>
      <c r="B2318" s="79" t="s">
        <v>1984</v>
      </c>
      <c r="C2318" s="80">
        <v>9.0060622E8</v>
      </c>
      <c r="D2318" s="79" t="s">
        <v>2786</v>
      </c>
      <c r="E2318" s="81">
        <v>14.0</v>
      </c>
      <c r="F2318" s="84">
        <v>41394.0</v>
      </c>
      <c r="G2318" s="83"/>
      <c r="H2318" s="83"/>
      <c r="I2318" s="73" t="s">
        <v>366</v>
      </c>
      <c r="J2318" s="76"/>
    </row>
    <row r="2319">
      <c r="A2319" s="74">
        <v>2315.0</v>
      </c>
      <c r="B2319" s="73" t="s">
        <v>1984</v>
      </c>
      <c r="C2319" s="74">
        <v>9.00105504E8</v>
      </c>
      <c r="D2319" s="73" t="s">
        <v>2787</v>
      </c>
      <c r="E2319" s="72">
        <v>146.0</v>
      </c>
      <c r="F2319" s="75">
        <v>41410.0</v>
      </c>
      <c r="G2319" s="76"/>
      <c r="H2319" s="76"/>
      <c r="I2319" s="73" t="s">
        <v>366</v>
      </c>
      <c r="J2319" s="76"/>
    </row>
    <row r="2320">
      <c r="A2320" s="74">
        <v>2316.0</v>
      </c>
      <c r="B2320" s="73" t="s">
        <v>1984</v>
      </c>
      <c r="C2320" s="74">
        <v>8.60027234E8</v>
      </c>
      <c r="D2320" s="73" t="s">
        <v>2788</v>
      </c>
      <c r="E2320" s="72">
        <v>156.0</v>
      </c>
      <c r="F2320" s="75">
        <v>41415.0</v>
      </c>
      <c r="G2320" s="76"/>
      <c r="H2320" s="76"/>
      <c r="I2320" s="73" t="s">
        <v>366</v>
      </c>
      <c r="J2320" s="76"/>
    </row>
    <row r="2321">
      <c r="A2321" s="74">
        <v>2317.0</v>
      </c>
      <c r="B2321" s="73" t="s">
        <v>1984</v>
      </c>
      <c r="C2321" s="74">
        <v>9.0018006E8</v>
      </c>
      <c r="D2321" s="73" t="s">
        <v>2789</v>
      </c>
      <c r="E2321" s="72">
        <v>151.0</v>
      </c>
      <c r="F2321" s="75">
        <v>41415.0</v>
      </c>
      <c r="G2321" s="76"/>
      <c r="H2321" s="76"/>
      <c r="I2321" s="73" t="s">
        <v>366</v>
      </c>
      <c r="J2321" s="76"/>
    </row>
    <row r="2322">
      <c r="A2322" s="74">
        <v>2318.0</v>
      </c>
      <c r="B2322" s="73" t="s">
        <v>1984</v>
      </c>
      <c r="C2322" s="74">
        <v>9.00522367E8</v>
      </c>
      <c r="D2322" s="73" t="s">
        <v>2790</v>
      </c>
      <c r="E2322" s="72">
        <v>154.0</v>
      </c>
      <c r="F2322" s="75">
        <v>41415.0</v>
      </c>
      <c r="G2322" s="76"/>
      <c r="H2322" s="76"/>
      <c r="I2322" s="73" t="s">
        <v>366</v>
      </c>
      <c r="J2322" s="76"/>
    </row>
    <row r="2323">
      <c r="A2323" s="74">
        <v>2319.0</v>
      </c>
      <c r="B2323" s="73" t="s">
        <v>1984</v>
      </c>
      <c r="C2323" s="74">
        <v>9.00524487E8</v>
      </c>
      <c r="D2323" s="73" t="s">
        <v>2791</v>
      </c>
      <c r="E2323" s="72">
        <v>152.0</v>
      </c>
      <c r="F2323" s="75">
        <v>41415.0</v>
      </c>
      <c r="G2323" s="76"/>
      <c r="H2323" s="76"/>
      <c r="I2323" s="73" t="s">
        <v>366</v>
      </c>
      <c r="J2323" s="76"/>
    </row>
    <row r="2324">
      <c r="A2324" s="74">
        <v>2320.0</v>
      </c>
      <c r="B2324" s="73" t="s">
        <v>1984</v>
      </c>
      <c r="C2324" s="74">
        <v>9.00542491E8</v>
      </c>
      <c r="D2324" s="73" t="s">
        <v>2792</v>
      </c>
      <c r="E2324" s="72">
        <v>155.0</v>
      </c>
      <c r="F2324" s="75">
        <v>41415.0</v>
      </c>
      <c r="G2324" s="76"/>
      <c r="H2324" s="76"/>
      <c r="I2324" s="73" t="s">
        <v>366</v>
      </c>
      <c r="J2324" s="76"/>
    </row>
    <row r="2325">
      <c r="A2325" s="74">
        <v>2321.0</v>
      </c>
      <c r="B2325" s="73" t="s">
        <v>1984</v>
      </c>
      <c r="C2325" s="74">
        <v>9.00557551E8</v>
      </c>
      <c r="D2325" s="73" t="s">
        <v>2793</v>
      </c>
      <c r="E2325" s="72">
        <v>153.0</v>
      </c>
      <c r="F2325" s="75">
        <v>41415.0</v>
      </c>
      <c r="G2325" s="76"/>
      <c r="H2325" s="76"/>
      <c r="I2325" s="73" t="s">
        <v>366</v>
      </c>
      <c r="J2325" s="76"/>
    </row>
    <row r="2326">
      <c r="A2326" s="74">
        <v>2322.0</v>
      </c>
      <c r="B2326" s="73" t="s">
        <v>1984</v>
      </c>
      <c r="C2326" s="74">
        <v>9.00571157E8</v>
      </c>
      <c r="D2326" s="73" t="s">
        <v>2794</v>
      </c>
      <c r="E2326" s="72">
        <v>180.0</v>
      </c>
      <c r="F2326" s="75">
        <v>41425.0</v>
      </c>
      <c r="G2326" s="76"/>
      <c r="H2326" s="76"/>
      <c r="I2326" s="73" t="s">
        <v>366</v>
      </c>
      <c r="J2326" s="76"/>
    </row>
    <row r="2327">
      <c r="A2327" s="74">
        <v>2323.0</v>
      </c>
      <c r="B2327" s="73" t="s">
        <v>1984</v>
      </c>
      <c r="C2327" s="74">
        <v>9.00599628E8</v>
      </c>
      <c r="D2327" s="73" t="s">
        <v>2795</v>
      </c>
      <c r="E2327" s="72">
        <v>195.0</v>
      </c>
      <c r="F2327" s="75">
        <v>41450.0</v>
      </c>
      <c r="G2327" s="76"/>
      <c r="H2327" s="76"/>
      <c r="I2327" s="73" t="s">
        <v>366</v>
      </c>
      <c r="J2327" s="76"/>
    </row>
    <row r="2328">
      <c r="A2328" s="74">
        <v>2324.0</v>
      </c>
      <c r="B2328" s="73" t="s">
        <v>1984</v>
      </c>
      <c r="C2328" s="74">
        <v>9.00496451E8</v>
      </c>
      <c r="D2328" s="73" t="s">
        <v>2796</v>
      </c>
      <c r="E2328" s="72">
        <v>200.0</v>
      </c>
      <c r="F2328" s="75">
        <v>41451.0</v>
      </c>
      <c r="G2328" s="76"/>
      <c r="H2328" s="76"/>
      <c r="I2328" s="73" t="s">
        <v>366</v>
      </c>
      <c r="J2328" s="76"/>
    </row>
    <row r="2329">
      <c r="A2329" s="74">
        <v>2325.0</v>
      </c>
      <c r="B2329" s="73" t="s">
        <v>1984</v>
      </c>
      <c r="C2329" s="74">
        <v>9.00615881E8</v>
      </c>
      <c r="D2329" s="73" t="s">
        <v>2797</v>
      </c>
      <c r="E2329" s="72">
        <v>209.0</v>
      </c>
      <c r="F2329" s="75">
        <v>41453.0</v>
      </c>
      <c r="G2329" s="76"/>
      <c r="H2329" s="76"/>
      <c r="I2329" s="73" t="s">
        <v>366</v>
      </c>
      <c r="J2329" s="76"/>
    </row>
    <row r="2330">
      <c r="A2330" s="74">
        <v>2326.0</v>
      </c>
      <c r="B2330" s="73" t="s">
        <v>1984</v>
      </c>
      <c r="C2330" s="74">
        <v>9.00304286E8</v>
      </c>
      <c r="D2330" s="73" t="s">
        <v>2798</v>
      </c>
      <c r="E2330" s="72">
        <v>225.0</v>
      </c>
      <c r="F2330" s="75">
        <v>41488.0</v>
      </c>
      <c r="G2330" s="76"/>
      <c r="H2330" s="76"/>
      <c r="I2330" s="73" t="s">
        <v>366</v>
      </c>
      <c r="J2330" s="76"/>
    </row>
    <row r="2331">
      <c r="A2331" s="74">
        <v>2327.0</v>
      </c>
      <c r="B2331" s="73" t="s">
        <v>1984</v>
      </c>
      <c r="C2331" s="74">
        <v>8.00153822E8</v>
      </c>
      <c r="D2331" s="73" t="s">
        <v>2799</v>
      </c>
      <c r="E2331" s="72">
        <v>44.0</v>
      </c>
      <c r="F2331" s="75">
        <v>41492.0</v>
      </c>
      <c r="G2331" s="76"/>
      <c r="H2331" s="76"/>
      <c r="I2331" s="73" t="s">
        <v>366</v>
      </c>
      <c r="J2331" s="76"/>
    </row>
    <row r="2332">
      <c r="A2332" s="74">
        <v>2328.0</v>
      </c>
      <c r="B2332" s="73" t="s">
        <v>1984</v>
      </c>
      <c r="C2332" s="74">
        <v>9.00582731E8</v>
      </c>
      <c r="D2332" s="73" t="s">
        <v>2800</v>
      </c>
      <c r="E2332" s="72">
        <v>54.0</v>
      </c>
      <c r="F2332" s="75">
        <v>41509.0</v>
      </c>
      <c r="G2332" s="76"/>
      <c r="H2332" s="76"/>
      <c r="I2332" s="73" t="s">
        <v>366</v>
      </c>
      <c r="J2332" s="76"/>
    </row>
    <row r="2333">
      <c r="A2333" s="74">
        <v>2329.0</v>
      </c>
      <c r="B2333" s="73" t="s">
        <v>1984</v>
      </c>
      <c r="C2333" s="74">
        <v>8.60020381E8</v>
      </c>
      <c r="D2333" s="73" t="s">
        <v>2801</v>
      </c>
      <c r="E2333" s="72">
        <v>302.0</v>
      </c>
      <c r="F2333" s="75">
        <v>41512.0</v>
      </c>
      <c r="G2333" s="76"/>
      <c r="H2333" s="76"/>
      <c r="I2333" s="73" t="s">
        <v>366</v>
      </c>
      <c r="J2333" s="76"/>
    </row>
    <row r="2334">
      <c r="A2334" s="74">
        <v>2330.0</v>
      </c>
      <c r="B2334" s="73" t="s">
        <v>1984</v>
      </c>
      <c r="C2334" s="74">
        <v>9.00466596E8</v>
      </c>
      <c r="D2334" s="73" t="s">
        <v>2802</v>
      </c>
      <c r="E2334" s="72">
        <v>301.0</v>
      </c>
      <c r="F2334" s="75">
        <v>41512.0</v>
      </c>
      <c r="G2334" s="76"/>
      <c r="H2334" s="76"/>
      <c r="I2334" s="73" t="s">
        <v>366</v>
      </c>
      <c r="J2334" s="76"/>
    </row>
    <row r="2335">
      <c r="A2335" s="74">
        <v>2331.0</v>
      </c>
      <c r="B2335" s="73" t="s">
        <v>1984</v>
      </c>
      <c r="C2335" s="74">
        <v>9.00274343E8</v>
      </c>
      <c r="D2335" s="73" t="s">
        <v>2803</v>
      </c>
      <c r="E2335" s="72">
        <v>337.0</v>
      </c>
      <c r="F2335" s="75">
        <v>41547.0</v>
      </c>
      <c r="G2335" s="76"/>
      <c r="H2335" s="76"/>
      <c r="I2335" s="73" t="s">
        <v>366</v>
      </c>
      <c r="J2335" s="76"/>
    </row>
    <row r="2336">
      <c r="A2336" s="74">
        <v>2332.0</v>
      </c>
      <c r="B2336" s="73" t="s">
        <v>1984</v>
      </c>
      <c r="C2336" s="74">
        <v>9.00309296E8</v>
      </c>
      <c r="D2336" s="73" t="s">
        <v>2804</v>
      </c>
      <c r="E2336" s="72">
        <v>334.0</v>
      </c>
      <c r="F2336" s="75">
        <v>41547.0</v>
      </c>
      <c r="G2336" s="76"/>
      <c r="H2336" s="76"/>
      <c r="I2336" s="73" t="s">
        <v>366</v>
      </c>
      <c r="J2336" s="76"/>
    </row>
    <row r="2337">
      <c r="A2337" s="74">
        <v>2333.0</v>
      </c>
      <c r="B2337" s="73" t="s">
        <v>1984</v>
      </c>
      <c r="C2337" s="74">
        <v>9.00313557E8</v>
      </c>
      <c r="D2337" s="73" t="s">
        <v>2805</v>
      </c>
      <c r="E2337" s="72">
        <v>335.0</v>
      </c>
      <c r="F2337" s="75">
        <v>41547.0</v>
      </c>
      <c r="G2337" s="76"/>
      <c r="H2337" s="76"/>
      <c r="I2337" s="73" t="s">
        <v>366</v>
      </c>
      <c r="J2337" s="76"/>
    </row>
    <row r="2338">
      <c r="A2338" s="74">
        <v>2334.0</v>
      </c>
      <c r="B2338" s="73" t="s">
        <v>1984</v>
      </c>
      <c r="C2338" s="74">
        <v>9.00442967E8</v>
      </c>
      <c r="D2338" s="73" t="s">
        <v>2806</v>
      </c>
      <c r="E2338" s="72">
        <v>336.0</v>
      </c>
      <c r="F2338" s="75">
        <v>41547.0</v>
      </c>
      <c r="G2338" s="76"/>
      <c r="H2338" s="76"/>
      <c r="I2338" s="73" t="s">
        <v>366</v>
      </c>
      <c r="J2338" s="76"/>
    </row>
    <row r="2339">
      <c r="A2339" s="74">
        <v>2335.0</v>
      </c>
      <c r="B2339" s="73" t="s">
        <v>1984</v>
      </c>
      <c r="C2339" s="74">
        <v>8.30104929E8</v>
      </c>
      <c r="D2339" s="73" t="s">
        <v>2807</v>
      </c>
      <c r="E2339" s="72">
        <v>339.0</v>
      </c>
      <c r="F2339" s="77">
        <v>41551.0</v>
      </c>
      <c r="G2339" s="76"/>
      <c r="H2339" s="76"/>
      <c r="I2339" s="73" t="s">
        <v>366</v>
      </c>
      <c r="J2339" s="76"/>
    </row>
    <row r="2340">
      <c r="A2340" s="74">
        <v>2336.0</v>
      </c>
      <c r="B2340" s="73" t="s">
        <v>1984</v>
      </c>
      <c r="C2340" s="74">
        <v>9.00145587E8</v>
      </c>
      <c r="D2340" s="73" t="s">
        <v>2808</v>
      </c>
      <c r="E2340" s="72">
        <v>356.0</v>
      </c>
      <c r="F2340" s="77">
        <v>41563.0</v>
      </c>
      <c r="G2340" s="76"/>
      <c r="H2340" s="76"/>
      <c r="I2340" s="73" t="s">
        <v>366</v>
      </c>
      <c r="J2340" s="76"/>
    </row>
    <row r="2341">
      <c r="A2341" s="74">
        <v>2337.0</v>
      </c>
      <c r="B2341" s="73" t="s">
        <v>1984</v>
      </c>
      <c r="C2341" s="74">
        <v>9.00632994E8</v>
      </c>
      <c r="D2341" s="73" t="s">
        <v>2809</v>
      </c>
      <c r="E2341" s="72">
        <v>357.0</v>
      </c>
      <c r="F2341" s="77">
        <v>41563.0</v>
      </c>
      <c r="G2341" s="76"/>
      <c r="H2341" s="76"/>
      <c r="I2341" s="73" t="s">
        <v>366</v>
      </c>
      <c r="J2341" s="76"/>
    </row>
    <row r="2342">
      <c r="A2342" s="74">
        <v>2338.0</v>
      </c>
      <c r="B2342" s="73" t="s">
        <v>1984</v>
      </c>
      <c r="C2342" s="74">
        <v>9.00643943E8</v>
      </c>
      <c r="D2342" s="73" t="s">
        <v>2810</v>
      </c>
      <c r="E2342" s="72">
        <v>361.0</v>
      </c>
      <c r="F2342" s="77">
        <v>41569.0</v>
      </c>
      <c r="G2342" s="76"/>
      <c r="H2342" s="76"/>
      <c r="I2342" s="73" t="s">
        <v>366</v>
      </c>
      <c r="J2342" s="76"/>
    </row>
    <row r="2343">
      <c r="A2343" s="74">
        <v>2339.0</v>
      </c>
      <c r="B2343" s="73" t="s">
        <v>1984</v>
      </c>
      <c r="C2343" s="74">
        <v>8.30124803E8</v>
      </c>
      <c r="D2343" s="73" t="s">
        <v>2811</v>
      </c>
      <c r="E2343" s="72">
        <v>2466.0</v>
      </c>
      <c r="F2343" s="77">
        <v>41576.0</v>
      </c>
      <c r="G2343" s="76"/>
      <c r="H2343" s="76"/>
      <c r="I2343" s="73" t="s">
        <v>366</v>
      </c>
      <c r="J2343" s="76"/>
    </row>
    <row r="2344">
      <c r="A2344" s="74">
        <v>2340.0</v>
      </c>
      <c r="B2344" s="73" t="s">
        <v>1984</v>
      </c>
      <c r="C2344" s="74">
        <v>8.30037696E8</v>
      </c>
      <c r="D2344" s="73" t="s">
        <v>2812</v>
      </c>
      <c r="E2344" s="72">
        <v>371.0</v>
      </c>
      <c r="F2344" s="77">
        <v>41577.0</v>
      </c>
      <c r="G2344" s="76"/>
      <c r="H2344" s="76"/>
      <c r="I2344" s="73" t="s">
        <v>366</v>
      </c>
      <c r="J2344" s="76"/>
    </row>
    <row r="2345">
      <c r="A2345" s="74">
        <v>2341.0</v>
      </c>
      <c r="B2345" s="73" t="s">
        <v>1984</v>
      </c>
      <c r="C2345" s="74">
        <v>9.00499502E8</v>
      </c>
      <c r="D2345" s="73" t="s">
        <v>2813</v>
      </c>
      <c r="E2345" s="72">
        <v>370.0</v>
      </c>
      <c r="F2345" s="77">
        <v>41577.0</v>
      </c>
      <c r="G2345" s="76"/>
      <c r="H2345" s="76"/>
      <c r="I2345" s="73" t="s">
        <v>366</v>
      </c>
      <c r="J2345" s="76"/>
    </row>
    <row r="2346">
      <c r="A2346" s="74">
        <v>2342.0</v>
      </c>
      <c r="B2346" s="73" t="s">
        <v>1984</v>
      </c>
      <c r="C2346" s="74">
        <v>9.00545525E8</v>
      </c>
      <c r="D2346" s="73" t="s">
        <v>2814</v>
      </c>
      <c r="E2346" s="72">
        <v>376.0</v>
      </c>
      <c r="F2346" s="77">
        <v>41591.0</v>
      </c>
      <c r="G2346" s="76"/>
      <c r="H2346" s="76"/>
      <c r="I2346" s="73" t="s">
        <v>366</v>
      </c>
      <c r="J2346" s="76"/>
    </row>
    <row r="2347">
      <c r="A2347" s="74">
        <v>2343.0</v>
      </c>
      <c r="B2347" s="73" t="s">
        <v>1984</v>
      </c>
      <c r="C2347" s="74">
        <v>8.13007077E8</v>
      </c>
      <c r="D2347" s="73" t="s">
        <v>2815</v>
      </c>
      <c r="E2347" s="72">
        <v>391.0</v>
      </c>
      <c r="F2347" s="77">
        <v>41599.0</v>
      </c>
      <c r="G2347" s="76"/>
      <c r="H2347" s="76"/>
      <c r="I2347" s="73" t="s">
        <v>366</v>
      </c>
      <c r="J2347" s="76"/>
    </row>
    <row r="2348">
      <c r="A2348" s="74">
        <v>2344.0</v>
      </c>
      <c r="B2348" s="73" t="s">
        <v>1984</v>
      </c>
      <c r="C2348" s="74">
        <v>9.0039286E8</v>
      </c>
      <c r="D2348" s="73" t="s">
        <v>2816</v>
      </c>
      <c r="E2348" s="72">
        <v>394.0</v>
      </c>
      <c r="F2348" s="77">
        <v>41599.0</v>
      </c>
      <c r="G2348" s="76"/>
      <c r="H2348" s="76"/>
      <c r="I2348" s="73" t="s">
        <v>366</v>
      </c>
      <c r="J2348" s="76"/>
    </row>
    <row r="2349">
      <c r="A2349" s="74">
        <v>2345.0</v>
      </c>
      <c r="B2349" s="73" t="s">
        <v>1984</v>
      </c>
      <c r="C2349" s="74">
        <v>9.00178231E8</v>
      </c>
      <c r="D2349" s="73" t="s">
        <v>2817</v>
      </c>
      <c r="E2349" s="72">
        <v>399.0</v>
      </c>
      <c r="F2349" s="77">
        <v>41600.0</v>
      </c>
      <c r="G2349" s="76"/>
      <c r="H2349" s="76"/>
      <c r="I2349" s="73" t="s">
        <v>366</v>
      </c>
      <c r="J2349" s="76"/>
    </row>
    <row r="2350">
      <c r="A2350" s="74">
        <v>2346.0</v>
      </c>
      <c r="B2350" s="73" t="s">
        <v>1984</v>
      </c>
      <c r="C2350" s="74">
        <v>8.30110689E8</v>
      </c>
      <c r="D2350" s="73" t="s">
        <v>2818</v>
      </c>
      <c r="E2350" s="72">
        <v>404.0</v>
      </c>
      <c r="F2350" s="77">
        <v>41604.0</v>
      </c>
      <c r="G2350" s="76"/>
      <c r="H2350" s="76"/>
      <c r="I2350" s="73" t="s">
        <v>366</v>
      </c>
      <c r="J2350" s="76"/>
    </row>
    <row r="2351">
      <c r="A2351" s="74">
        <v>2347.0</v>
      </c>
      <c r="B2351" s="73" t="s">
        <v>1984</v>
      </c>
      <c r="C2351" s="74">
        <v>9.00354922E8</v>
      </c>
      <c r="D2351" s="73" t="s">
        <v>2819</v>
      </c>
      <c r="E2351" s="72">
        <v>42.0</v>
      </c>
      <c r="F2351" s="77">
        <v>41605.0</v>
      </c>
      <c r="G2351" s="76"/>
      <c r="H2351" s="76"/>
      <c r="I2351" s="73" t="s">
        <v>366</v>
      </c>
      <c r="J2351" s="76"/>
    </row>
    <row r="2352">
      <c r="A2352" s="74">
        <v>2348.0</v>
      </c>
      <c r="B2352" s="73" t="s">
        <v>1984</v>
      </c>
      <c r="C2352" s="74">
        <v>8.30080328E8</v>
      </c>
      <c r="D2352" s="73" t="s">
        <v>2820</v>
      </c>
      <c r="E2352" s="72">
        <v>410.0</v>
      </c>
      <c r="F2352" s="77">
        <v>41610.0</v>
      </c>
      <c r="G2352" s="76"/>
      <c r="H2352" s="76"/>
      <c r="I2352" s="73" t="s">
        <v>366</v>
      </c>
      <c r="J2352" s="76"/>
    </row>
    <row r="2353">
      <c r="A2353" s="74">
        <v>2349.0</v>
      </c>
      <c r="B2353" s="73" t="s">
        <v>1984</v>
      </c>
      <c r="C2353" s="74">
        <v>9.00390291E8</v>
      </c>
      <c r="D2353" s="73" t="s">
        <v>2821</v>
      </c>
      <c r="E2353" s="72">
        <v>416.0</v>
      </c>
      <c r="F2353" s="77">
        <v>41618.0</v>
      </c>
      <c r="G2353" s="76"/>
      <c r="H2353" s="76"/>
      <c r="I2353" s="73" t="s">
        <v>366</v>
      </c>
      <c r="J2353" s="76"/>
    </row>
    <row r="2354">
      <c r="A2354" s="74">
        <v>2350.0</v>
      </c>
      <c r="B2354" s="73" t="s">
        <v>1984</v>
      </c>
      <c r="C2354" s="74">
        <v>8.00217497E8</v>
      </c>
      <c r="D2354" s="73" t="s">
        <v>2822</v>
      </c>
      <c r="E2354" s="72">
        <v>436.0</v>
      </c>
      <c r="F2354" s="77">
        <v>41628.0</v>
      </c>
      <c r="G2354" s="76"/>
      <c r="H2354" s="76"/>
      <c r="I2354" s="73" t="s">
        <v>366</v>
      </c>
      <c r="J2354" s="76"/>
    </row>
    <row r="2355">
      <c r="A2355" s="74">
        <v>2351.0</v>
      </c>
      <c r="B2355" s="73" t="s">
        <v>1984</v>
      </c>
      <c r="C2355" s="74">
        <v>9.00430265E8</v>
      </c>
      <c r="D2355" s="73" t="s">
        <v>2823</v>
      </c>
      <c r="E2355" s="72">
        <v>432.0</v>
      </c>
      <c r="F2355" s="77">
        <v>41628.0</v>
      </c>
      <c r="G2355" s="76"/>
      <c r="H2355" s="76"/>
      <c r="I2355" s="73" t="s">
        <v>366</v>
      </c>
      <c r="J2355" s="76"/>
    </row>
    <row r="2356">
      <c r="A2356" s="74">
        <v>2352.0</v>
      </c>
      <c r="B2356" s="73" t="s">
        <v>1984</v>
      </c>
      <c r="C2356" s="74">
        <v>9.00638237E8</v>
      </c>
      <c r="D2356" s="73" t="s">
        <v>2824</v>
      </c>
      <c r="E2356" s="72">
        <v>431.0</v>
      </c>
      <c r="F2356" s="77">
        <v>41628.0</v>
      </c>
      <c r="G2356" s="76"/>
      <c r="H2356" s="76"/>
      <c r="I2356" s="73" t="s">
        <v>366</v>
      </c>
      <c r="J2356" s="76"/>
    </row>
    <row r="2357">
      <c r="A2357" s="74">
        <v>2353.0</v>
      </c>
      <c r="B2357" s="73" t="s">
        <v>1984</v>
      </c>
      <c r="C2357" s="74">
        <v>9.00649941E8</v>
      </c>
      <c r="D2357" s="73" t="s">
        <v>2825</v>
      </c>
      <c r="E2357" s="72">
        <v>441.0</v>
      </c>
      <c r="F2357" s="77">
        <v>41631.0</v>
      </c>
      <c r="G2357" s="76"/>
      <c r="H2357" s="76"/>
      <c r="I2357" s="73" t="s">
        <v>366</v>
      </c>
      <c r="J2357" s="76"/>
    </row>
    <row r="2358">
      <c r="A2358" s="74">
        <v>2354.0</v>
      </c>
      <c r="B2358" s="73" t="s">
        <v>1984</v>
      </c>
      <c r="C2358" s="74">
        <v>9.00264961E8</v>
      </c>
      <c r="D2358" s="73" t="s">
        <v>2826</v>
      </c>
      <c r="E2358" s="72">
        <v>451.0</v>
      </c>
      <c r="F2358" s="77">
        <v>41639.0</v>
      </c>
      <c r="G2358" s="76"/>
      <c r="H2358" s="76"/>
      <c r="I2358" s="73" t="s">
        <v>366</v>
      </c>
      <c r="J2358" s="76"/>
    </row>
    <row r="2359">
      <c r="A2359" s="74">
        <v>2355.0</v>
      </c>
      <c r="B2359" s="73" t="s">
        <v>1984</v>
      </c>
      <c r="C2359" s="74">
        <v>9.00649605E8</v>
      </c>
      <c r="D2359" s="73" t="s">
        <v>2827</v>
      </c>
      <c r="E2359" s="72">
        <v>6.0</v>
      </c>
      <c r="F2359" s="75">
        <v>41649.0</v>
      </c>
      <c r="G2359" s="76"/>
      <c r="H2359" s="76"/>
      <c r="I2359" s="73" t="s">
        <v>366</v>
      </c>
      <c r="J2359" s="76"/>
    </row>
    <row r="2360">
      <c r="A2360" s="74">
        <v>2356.0</v>
      </c>
      <c r="B2360" s="73" t="s">
        <v>1984</v>
      </c>
      <c r="C2360" s="74">
        <v>9.00609978E8</v>
      </c>
      <c r="D2360" s="73" t="s">
        <v>2828</v>
      </c>
      <c r="E2360" s="72">
        <v>48.0</v>
      </c>
      <c r="F2360" s="75">
        <v>41660.0</v>
      </c>
      <c r="G2360" s="76"/>
      <c r="H2360" s="76"/>
      <c r="I2360" s="73" t="s">
        <v>366</v>
      </c>
      <c r="J2360" s="76"/>
    </row>
    <row r="2361">
      <c r="A2361" s="74">
        <v>2357.0</v>
      </c>
      <c r="B2361" s="73" t="s">
        <v>1984</v>
      </c>
      <c r="C2361" s="74">
        <v>9.00671341E8</v>
      </c>
      <c r="D2361" s="73" t="s">
        <v>2829</v>
      </c>
      <c r="E2361" s="72">
        <v>61.0</v>
      </c>
      <c r="F2361" s="75">
        <v>41674.0</v>
      </c>
      <c r="G2361" s="76"/>
      <c r="H2361" s="76"/>
      <c r="I2361" s="73" t="s">
        <v>366</v>
      </c>
      <c r="J2361" s="76"/>
    </row>
    <row r="2362">
      <c r="A2362" s="74">
        <v>2358.0</v>
      </c>
      <c r="B2362" s="73" t="s">
        <v>1984</v>
      </c>
      <c r="C2362" s="74">
        <v>9.00604195E8</v>
      </c>
      <c r="D2362" s="73" t="s">
        <v>2830</v>
      </c>
      <c r="E2362" s="72">
        <v>79.0</v>
      </c>
      <c r="F2362" s="75">
        <v>41687.0</v>
      </c>
      <c r="G2362" s="76"/>
      <c r="H2362" s="76"/>
      <c r="I2362" s="73" t="s">
        <v>366</v>
      </c>
      <c r="J2362" s="76"/>
    </row>
    <row r="2363">
      <c r="A2363" s="74">
        <v>2359.0</v>
      </c>
      <c r="B2363" s="73" t="s">
        <v>1984</v>
      </c>
      <c r="C2363" s="74">
        <v>9.00509105E8</v>
      </c>
      <c r="D2363" s="73" t="s">
        <v>2831</v>
      </c>
      <c r="E2363" s="72">
        <v>17.0</v>
      </c>
      <c r="F2363" s="75">
        <v>41695.0</v>
      </c>
      <c r="G2363" s="76"/>
      <c r="H2363" s="76"/>
      <c r="I2363" s="73" t="s">
        <v>366</v>
      </c>
      <c r="J2363" s="76"/>
    </row>
    <row r="2364">
      <c r="A2364" s="74">
        <v>2360.0</v>
      </c>
      <c r="B2364" s="73" t="s">
        <v>1984</v>
      </c>
      <c r="C2364" s="74">
        <v>9.00595944E8</v>
      </c>
      <c r="D2364" s="73" t="s">
        <v>2832</v>
      </c>
      <c r="E2364" s="72">
        <v>87.0</v>
      </c>
      <c r="F2364" s="75">
        <v>41698.0</v>
      </c>
      <c r="G2364" s="76"/>
      <c r="H2364" s="76"/>
      <c r="I2364" s="73" t="s">
        <v>366</v>
      </c>
      <c r="J2364" s="76"/>
    </row>
    <row r="2365">
      <c r="A2365" s="74">
        <v>2361.0</v>
      </c>
      <c r="B2365" s="73" t="s">
        <v>1984</v>
      </c>
      <c r="C2365" s="74">
        <v>9.00656973E8</v>
      </c>
      <c r="D2365" s="73" t="s">
        <v>2833</v>
      </c>
      <c r="E2365" s="72">
        <v>88.0</v>
      </c>
      <c r="F2365" s="75">
        <v>41698.0</v>
      </c>
      <c r="G2365" s="76"/>
      <c r="H2365" s="76"/>
      <c r="I2365" s="73" t="s">
        <v>366</v>
      </c>
      <c r="J2365" s="76"/>
    </row>
    <row r="2366">
      <c r="A2366" s="74">
        <v>2362.0</v>
      </c>
      <c r="B2366" s="73" t="s">
        <v>1984</v>
      </c>
      <c r="C2366" s="74">
        <v>9.00679803E8</v>
      </c>
      <c r="D2366" s="73" t="s">
        <v>2834</v>
      </c>
      <c r="E2366" s="72">
        <v>12.0</v>
      </c>
      <c r="F2366" s="75">
        <v>41698.0</v>
      </c>
      <c r="G2366" s="76"/>
      <c r="H2366" s="76"/>
      <c r="I2366" s="73" t="s">
        <v>366</v>
      </c>
      <c r="J2366" s="76"/>
    </row>
    <row r="2367">
      <c r="A2367" s="74">
        <v>2363.0</v>
      </c>
      <c r="B2367" s="73" t="s">
        <v>1984</v>
      </c>
      <c r="C2367" s="74">
        <v>9.00436346E8</v>
      </c>
      <c r="D2367" s="73" t="s">
        <v>2835</v>
      </c>
      <c r="E2367" s="72">
        <v>98.0</v>
      </c>
      <c r="F2367" s="75">
        <v>41710.0</v>
      </c>
      <c r="G2367" s="76"/>
      <c r="H2367" s="76"/>
      <c r="I2367" s="73" t="s">
        <v>366</v>
      </c>
      <c r="J2367" s="76"/>
    </row>
    <row r="2368">
      <c r="A2368" s="74">
        <v>2364.0</v>
      </c>
      <c r="B2368" s="73" t="s">
        <v>1984</v>
      </c>
      <c r="C2368" s="74">
        <v>9.00535176E8</v>
      </c>
      <c r="D2368" s="73" t="s">
        <v>2836</v>
      </c>
      <c r="E2368" s="72">
        <v>102.0</v>
      </c>
      <c r="F2368" s="75">
        <v>41710.0</v>
      </c>
      <c r="G2368" s="76"/>
      <c r="H2368" s="76"/>
      <c r="I2368" s="73" t="s">
        <v>366</v>
      </c>
      <c r="J2368" s="76"/>
    </row>
    <row r="2369">
      <c r="A2369" s="74">
        <v>2365.0</v>
      </c>
      <c r="B2369" s="73" t="s">
        <v>1984</v>
      </c>
      <c r="C2369" s="74">
        <v>9.00536047E8</v>
      </c>
      <c r="D2369" s="73" t="s">
        <v>2837</v>
      </c>
      <c r="E2369" s="72">
        <v>103.0</v>
      </c>
      <c r="F2369" s="75">
        <v>41715.0</v>
      </c>
      <c r="G2369" s="76"/>
      <c r="H2369" s="76"/>
      <c r="I2369" s="73" t="s">
        <v>366</v>
      </c>
      <c r="J2369" s="76"/>
    </row>
    <row r="2370">
      <c r="A2370" s="74">
        <v>2366.0</v>
      </c>
      <c r="B2370" s="73" t="s">
        <v>1984</v>
      </c>
      <c r="C2370" s="74">
        <v>8.30120485E8</v>
      </c>
      <c r="D2370" s="73" t="s">
        <v>2838</v>
      </c>
      <c r="E2370" s="72">
        <v>120.0</v>
      </c>
      <c r="F2370" s="75">
        <v>41731.0</v>
      </c>
      <c r="G2370" s="76"/>
      <c r="H2370" s="76"/>
      <c r="I2370" s="73" t="s">
        <v>366</v>
      </c>
      <c r="J2370" s="76"/>
    </row>
    <row r="2371">
      <c r="A2371" s="85">
        <v>2367.0</v>
      </c>
      <c r="B2371" s="79" t="s">
        <v>1984</v>
      </c>
      <c r="C2371" s="80">
        <v>9.00500916E8</v>
      </c>
      <c r="D2371" s="79" t="s">
        <v>2839</v>
      </c>
      <c r="E2371" s="81">
        <v>122.0</v>
      </c>
      <c r="F2371" s="84">
        <v>41737.0</v>
      </c>
      <c r="G2371" s="83"/>
      <c r="H2371" s="83"/>
      <c r="I2371" s="73" t="s">
        <v>366</v>
      </c>
      <c r="J2371" s="76"/>
    </row>
    <row r="2372">
      <c r="A2372" s="74">
        <v>2368.0</v>
      </c>
      <c r="B2372" s="73" t="s">
        <v>1984</v>
      </c>
      <c r="C2372" s="74">
        <v>9.0059793E8</v>
      </c>
      <c r="D2372" s="73" t="s">
        <v>2840</v>
      </c>
      <c r="E2372" s="72">
        <v>12.0</v>
      </c>
      <c r="F2372" s="75">
        <v>41747.0</v>
      </c>
      <c r="G2372" s="76"/>
      <c r="H2372" s="76"/>
      <c r="I2372" s="73" t="s">
        <v>366</v>
      </c>
      <c r="J2372" s="76"/>
    </row>
    <row r="2373">
      <c r="A2373" s="74">
        <v>2369.0</v>
      </c>
      <c r="B2373" s="73" t="s">
        <v>1984</v>
      </c>
      <c r="C2373" s="74">
        <v>9.00698413E8</v>
      </c>
      <c r="D2373" s="73" t="s">
        <v>2841</v>
      </c>
      <c r="E2373" s="72">
        <v>158.0</v>
      </c>
      <c r="F2373" s="75">
        <v>41773.0</v>
      </c>
      <c r="G2373" s="76"/>
      <c r="H2373" s="76"/>
      <c r="I2373" s="73" t="s">
        <v>366</v>
      </c>
      <c r="J2373" s="76"/>
    </row>
    <row r="2374">
      <c r="A2374" s="74">
        <v>2370.0</v>
      </c>
      <c r="B2374" s="73" t="s">
        <v>1984</v>
      </c>
      <c r="C2374" s="74">
        <v>9.00249016E8</v>
      </c>
      <c r="D2374" s="73" t="s">
        <v>2842</v>
      </c>
      <c r="E2374" s="72">
        <v>166.0</v>
      </c>
      <c r="F2374" s="75">
        <v>41785.0</v>
      </c>
      <c r="G2374" s="76"/>
      <c r="H2374" s="76"/>
      <c r="I2374" s="73" t="s">
        <v>366</v>
      </c>
      <c r="J2374" s="76"/>
    </row>
    <row r="2375">
      <c r="A2375" s="74">
        <v>2371.0</v>
      </c>
      <c r="B2375" s="73" t="s">
        <v>1984</v>
      </c>
      <c r="C2375" s="74">
        <v>9.0031987E8</v>
      </c>
      <c r="D2375" s="73" t="s">
        <v>2843</v>
      </c>
      <c r="E2375" s="72">
        <v>171.0</v>
      </c>
      <c r="F2375" s="75">
        <v>41787.0</v>
      </c>
      <c r="G2375" s="76"/>
      <c r="H2375" s="76"/>
      <c r="I2375" s="73" t="s">
        <v>366</v>
      </c>
      <c r="J2375" s="76"/>
    </row>
    <row r="2376">
      <c r="A2376" s="74">
        <v>2372.0</v>
      </c>
      <c r="B2376" s="73" t="s">
        <v>1984</v>
      </c>
      <c r="C2376" s="74">
        <v>9.00552155E8</v>
      </c>
      <c r="D2376" s="73" t="s">
        <v>2844</v>
      </c>
      <c r="E2376" s="72">
        <v>174.0</v>
      </c>
      <c r="F2376" s="75">
        <v>41789.0</v>
      </c>
      <c r="G2376" s="76"/>
      <c r="H2376" s="76"/>
      <c r="I2376" s="73" t="s">
        <v>366</v>
      </c>
      <c r="J2376" s="76"/>
    </row>
    <row r="2377">
      <c r="A2377" s="74">
        <v>2373.0</v>
      </c>
      <c r="B2377" s="73" t="s">
        <v>1984</v>
      </c>
      <c r="C2377" s="74">
        <v>9.00422723E8</v>
      </c>
      <c r="D2377" s="73" t="s">
        <v>2845</v>
      </c>
      <c r="E2377" s="72">
        <v>182.0</v>
      </c>
      <c r="F2377" s="75">
        <v>41795.0</v>
      </c>
      <c r="G2377" s="76"/>
      <c r="H2377" s="76"/>
      <c r="I2377" s="73" t="s">
        <v>366</v>
      </c>
      <c r="J2377" s="76"/>
    </row>
    <row r="2378">
      <c r="A2378" s="74">
        <v>2374.0</v>
      </c>
      <c r="B2378" s="73" t="s">
        <v>1984</v>
      </c>
      <c r="C2378" s="74">
        <v>9.00569226E8</v>
      </c>
      <c r="D2378" s="73" t="s">
        <v>2846</v>
      </c>
      <c r="E2378" s="72">
        <v>183.0</v>
      </c>
      <c r="F2378" s="75">
        <v>41795.0</v>
      </c>
      <c r="G2378" s="76"/>
      <c r="H2378" s="76"/>
      <c r="I2378" s="73" t="s">
        <v>366</v>
      </c>
      <c r="J2378" s="76"/>
    </row>
    <row r="2379">
      <c r="A2379" s="74">
        <v>2375.0</v>
      </c>
      <c r="B2379" s="73" t="s">
        <v>1984</v>
      </c>
      <c r="C2379" s="74">
        <v>9.00265359E8</v>
      </c>
      <c r="D2379" s="73" t="s">
        <v>2847</v>
      </c>
      <c r="E2379" s="72">
        <v>184.0</v>
      </c>
      <c r="F2379" s="75">
        <v>41795.0</v>
      </c>
      <c r="G2379" s="76"/>
      <c r="H2379" s="76"/>
      <c r="I2379" s="73" t="s">
        <v>366</v>
      </c>
      <c r="J2379" s="76"/>
    </row>
    <row r="2380">
      <c r="A2380" s="74">
        <v>2376.0</v>
      </c>
      <c r="B2380" s="73" t="s">
        <v>1984</v>
      </c>
      <c r="C2380" s="74">
        <v>9.00361276E8</v>
      </c>
      <c r="D2380" s="73" t="s">
        <v>2848</v>
      </c>
      <c r="E2380" s="72">
        <v>181.0</v>
      </c>
      <c r="F2380" s="75">
        <v>41795.0</v>
      </c>
      <c r="G2380" s="76"/>
      <c r="H2380" s="76"/>
      <c r="I2380" s="73" t="s">
        <v>366</v>
      </c>
      <c r="J2380" s="76"/>
    </row>
    <row r="2381">
      <c r="A2381" s="74">
        <v>2377.0</v>
      </c>
      <c r="B2381" s="73" t="s">
        <v>1984</v>
      </c>
      <c r="C2381" s="74">
        <v>8.3009464E8</v>
      </c>
      <c r="D2381" s="73" t="s">
        <v>2849</v>
      </c>
      <c r="E2381" s="72">
        <v>191.0</v>
      </c>
      <c r="F2381" s="75">
        <v>41799.0</v>
      </c>
      <c r="G2381" s="76"/>
      <c r="H2381" s="76"/>
      <c r="I2381" s="73" t="s">
        <v>366</v>
      </c>
      <c r="J2381" s="76"/>
    </row>
    <row r="2382">
      <c r="A2382" s="74">
        <v>2378.0</v>
      </c>
      <c r="B2382" s="73" t="s">
        <v>1984</v>
      </c>
      <c r="C2382" s="74">
        <v>9.00511129E8</v>
      </c>
      <c r="D2382" s="73" t="s">
        <v>2850</v>
      </c>
      <c r="E2382" s="72">
        <v>190.0</v>
      </c>
      <c r="F2382" s="75">
        <v>41799.0</v>
      </c>
      <c r="G2382" s="76"/>
      <c r="H2382" s="76"/>
      <c r="I2382" s="73" t="s">
        <v>366</v>
      </c>
      <c r="J2382" s="76"/>
    </row>
    <row r="2383">
      <c r="A2383" s="74">
        <v>2379.0</v>
      </c>
      <c r="B2383" s="73" t="s">
        <v>1984</v>
      </c>
      <c r="C2383" s="74">
        <v>8.30061945E8</v>
      </c>
      <c r="D2383" s="73" t="s">
        <v>1075</v>
      </c>
      <c r="E2383" s="72">
        <v>193.0</v>
      </c>
      <c r="F2383" s="75">
        <v>41802.0</v>
      </c>
      <c r="G2383" s="76"/>
      <c r="H2383" s="76"/>
      <c r="I2383" s="73" t="s">
        <v>366</v>
      </c>
      <c r="J2383" s="76"/>
    </row>
    <row r="2384">
      <c r="A2384" s="74">
        <v>2380.0</v>
      </c>
      <c r="B2384" s="73" t="s">
        <v>1984</v>
      </c>
      <c r="C2384" s="74">
        <v>9.00392471E8</v>
      </c>
      <c r="D2384" s="73" t="s">
        <v>2851</v>
      </c>
      <c r="E2384" s="72">
        <v>195.0</v>
      </c>
      <c r="F2384" s="75">
        <v>41802.0</v>
      </c>
      <c r="G2384" s="76"/>
      <c r="H2384" s="76"/>
      <c r="I2384" s="73" t="s">
        <v>366</v>
      </c>
      <c r="J2384" s="76"/>
    </row>
    <row r="2385">
      <c r="A2385" s="74">
        <v>2381.0</v>
      </c>
      <c r="B2385" s="73" t="s">
        <v>1984</v>
      </c>
      <c r="C2385" s="74">
        <v>9.00491237E8</v>
      </c>
      <c r="D2385" s="73" t="s">
        <v>2852</v>
      </c>
      <c r="E2385" s="72">
        <v>196.0</v>
      </c>
      <c r="F2385" s="75">
        <v>41802.0</v>
      </c>
      <c r="G2385" s="76"/>
      <c r="H2385" s="76"/>
      <c r="I2385" s="73" t="s">
        <v>366</v>
      </c>
      <c r="J2385" s="76"/>
    </row>
    <row r="2386">
      <c r="A2386" s="74">
        <v>2382.0</v>
      </c>
      <c r="B2386" s="73" t="s">
        <v>1984</v>
      </c>
      <c r="C2386" s="74">
        <v>9.00266813E8</v>
      </c>
      <c r="D2386" s="73" t="s">
        <v>2853</v>
      </c>
      <c r="E2386" s="72">
        <v>32.0</v>
      </c>
      <c r="F2386" s="75">
        <v>41827.0</v>
      </c>
      <c r="G2386" s="76"/>
      <c r="H2386" s="76"/>
      <c r="I2386" s="73" t="s">
        <v>366</v>
      </c>
      <c r="J2386" s="76"/>
    </row>
    <row r="2387">
      <c r="A2387" s="74">
        <v>2383.0</v>
      </c>
      <c r="B2387" s="73" t="s">
        <v>1984</v>
      </c>
      <c r="C2387" s="74">
        <v>9.00459311E8</v>
      </c>
      <c r="D2387" s="73" t="s">
        <v>2854</v>
      </c>
      <c r="E2387" s="72">
        <v>229.0</v>
      </c>
      <c r="F2387" s="75">
        <v>41848.0</v>
      </c>
      <c r="G2387" s="76"/>
      <c r="H2387" s="76"/>
      <c r="I2387" s="73" t="s">
        <v>366</v>
      </c>
      <c r="J2387" s="76"/>
    </row>
    <row r="2388">
      <c r="A2388" s="74">
        <v>2384.0</v>
      </c>
      <c r="B2388" s="73" t="s">
        <v>1984</v>
      </c>
      <c r="C2388" s="74">
        <v>9.00620805E8</v>
      </c>
      <c r="D2388" s="73" t="s">
        <v>2855</v>
      </c>
      <c r="E2388" s="72">
        <v>233.0</v>
      </c>
      <c r="F2388" s="75">
        <v>41848.0</v>
      </c>
      <c r="G2388" s="76"/>
      <c r="H2388" s="76"/>
      <c r="I2388" s="73" t="s">
        <v>366</v>
      </c>
      <c r="J2388" s="76"/>
    </row>
    <row r="2389">
      <c r="A2389" s="74">
        <v>2385.0</v>
      </c>
      <c r="B2389" s="73" t="s">
        <v>1984</v>
      </c>
      <c r="C2389" s="74">
        <v>9.00276079E8</v>
      </c>
      <c r="D2389" s="73" t="s">
        <v>2856</v>
      </c>
      <c r="E2389" s="72">
        <v>240.0</v>
      </c>
      <c r="F2389" s="75">
        <v>41852.0</v>
      </c>
      <c r="G2389" s="76"/>
      <c r="H2389" s="76"/>
      <c r="I2389" s="73" t="s">
        <v>366</v>
      </c>
      <c r="J2389" s="76"/>
    </row>
    <row r="2390">
      <c r="A2390" s="74">
        <v>2386.0</v>
      </c>
      <c r="B2390" s="73" t="s">
        <v>1984</v>
      </c>
      <c r="C2390" s="74">
        <v>9.00730221E8</v>
      </c>
      <c r="D2390" s="73" t="s">
        <v>2857</v>
      </c>
      <c r="E2390" s="72">
        <v>239.0</v>
      </c>
      <c r="F2390" s="75">
        <v>41852.0</v>
      </c>
      <c r="G2390" s="76"/>
      <c r="H2390" s="76"/>
      <c r="I2390" s="73" t="s">
        <v>366</v>
      </c>
      <c r="J2390" s="76"/>
    </row>
    <row r="2391">
      <c r="A2391" s="74">
        <v>2387.0</v>
      </c>
      <c r="B2391" s="73" t="s">
        <v>1984</v>
      </c>
      <c r="C2391" s="74">
        <v>9.00073066E8</v>
      </c>
      <c r="D2391" s="73" t="s">
        <v>2858</v>
      </c>
      <c r="E2391" s="72">
        <v>244.0</v>
      </c>
      <c r="F2391" s="75">
        <v>41859.0</v>
      </c>
      <c r="G2391" s="76"/>
      <c r="H2391" s="76"/>
      <c r="I2391" s="73" t="s">
        <v>366</v>
      </c>
      <c r="J2391" s="76"/>
    </row>
    <row r="2392">
      <c r="A2392" s="74">
        <v>2388.0</v>
      </c>
      <c r="B2392" s="73" t="s">
        <v>1984</v>
      </c>
      <c r="C2392" s="74">
        <v>9.00751813E8</v>
      </c>
      <c r="D2392" s="73" t="s">
        <v>2859</v>
      </c>
      <c r="E2392" s="72">
        <v>69.0</v>
      </c>
      <c r="F2392" s="75">
        <v>41865.0</v>
      </c>
      <c r="G2392" s="76"/>
      <c r="H2392" s="76"/>
      <c r="I2392" s="73" t="s">
        <v>366</v>
      </c>
      <c r="J2392" s="76"/>
    </row>
    <row r="2393">
      <c r="A2393" s="74">
        <v>2389.0</v>
      </c>
      <c r="B2393" s="73" t="s">
        <v>1984</v>
      </c>
      <c r="C2393" s="74">
        <v>8.32010656E8</v>
      </c>
      <c r="D2393" s="73" t="s">
        <v>2860</v>
      </c>
      <c r="E2393" s="72">
        <v>260.0</v>
      </c>
      <c r="F2393" s="75">
        <v>41878.0</v>
      </c>
      <c r="G2393" s="76"/>
      <c r="H2393" s="76"/>
      <c r="I2393" s="73" t="s">
        <v>366</v>
      </c>
      <c r="J2393" s="76"/>
    </row>
    <row r="2394">
      <c r="A2394" s="74">
        <v>2390.0</v>
      </c>
      <c r="B2394" s="73" t="s">
        <v>1984</v>
      </c>
      <c r="C2394" s="74">
        <v>9.00291811E8</v>
      </c>
      <c r="D2394" s="73" t="s">
        <v>2861</v>
      </c>
      <c r="E2394" s="72">
        <v>263.0</v>
      </c>
      <c r="F2394" s="75">
        <v>41878.0</v>
      </c>
      <c r="G2394" s="76"/>
      <c r="H2394" s="76"/>
      <c r="I2394" s="73" t="s">
        <v>366</v>
      </c>
      <c r="J2394" s="76"/>
    </row>
    <row r="2395">
      <c r="A2395" s="74">
        <v>2391.0</v>
      </c>
      <c r="B2395" s="73" t="s">
        <v>1984</v>
      </c>
      <c r="C2395" s="74">
        <v>9.00344766E8</v>
      </c>
      <c r="D2395" s="73" t="s">
        <v>2862</v>
      </c>
      <c r="E2395" s="72">
        <v>262.0</v>
      </c>
      <c r="F2395" s="75">
        <v>41878.0</v>
      </c>
      <c r="G2395" s="76"/>
      <c r="H2395" s="76"/>
      <c r="I2395" s="73" t="s">
        <v>366</v>
      </c>
      <c r="J2395" s="76"/>
    </row>
    <row r="2396">
      <c r="A2396" s="74">
        <v>2392.0</v>
      </c>
      <c r="B2396" s="73" t="s">
        <v>1984</v>
      </c>
      <c r="C2396" s="74">
        <v>9.00714469E8</v>
      </c>
      <c r="D2396" s="73" t="s">
        <v>2863</v>
      </c>
      <c r="E2396" s="72">
        <v>291.0</v>
      </c>
      <c r="F2396" s="75">
        <v>41897.0</v>
      </c>
      <c r="G2396" s="76"/>
      <c r="H2396" s="76"/>
      <c r="I2396" s="73" t="s">
        <v>366</v>
      </c>
      <c r="J2396" s="76"/>
    </row>
    <row r="2397">
      <c r="A2397" s="74">
        <v>2393.0</v>
      </c>
      <c r="B2397" s="73" t="s">
        <v>1984</v>
      </c>
      <c r="C2397" s="74">
        <v>9.00747411E8</v>
      </c>
      <c r="D2397" s="73" t="s">
        <v>2864</v>
      </c>
      <c r="E2397" s="72">
        <v>80.0</v>
      </c>
      <c r="F2397" s="75">
        <v>41906.0</v>
      </c>
      <c r="G2397" s="76"/>
      <c r="H2397" s="76"/>
      <c r="I2397" s="73" t="s">
        <v>366</v>
      </c>
      <c r="J2397" s="76"/>
    </row>
    <row r="2398">
      <c r="A2398" s="74">
        <v>2394.0</v>
      </c>
      <c r="B2398" s="73" t="s">
        <v>1984</v>
      </c>
      <c r="C2398" s="74">
        <v>9.00668487E8</v>
      </c>
      <c r="D2398" s="73" t="s">
        <v>2865</v>
      </c>
      <c r="E2398" s="72">
        <v>113.0</v>
      </c>
      <c r="F2398" s="75">
        <v>41908.0</v>
      </c>
      <c r="G2398" s="76"/>
      <c r="H2398" s="76"/>
      <c r="I2398" s="73" t="s">
        <v>366</v>
      </c>
      <c r="J2398" s="76"/>
    </row>
    <row r="2399">
      <c r="A2399" s="74">
        <v>2395.0</v>
      </c>
      <c r="B2399" s="73" t="s">
        <v>1984</v>
      </c>
      <c r="C2399" s="74">
        <v>9.0020273E8</v>
      </c>
      <c r="D2399" s="73" t="s">
        <v>2866</v>
      </c>
      <c r="E2399" s="72">
        <v>299.0</v>
      </c>
      <c r="F2399" s="77">
        <v>41920.0</v>
      </c>
      <c r="G2399" s="76"/>
      <c r="H2399" s="76"/>
      <c r="I2399" s="73" t="s">
        <v>366</v>
      </c>
      <c r="J2399" s="76"/>
    </row>
    <row r="2400">
      <c r="A2400" s="74">
        <v>2396.0</v>
      </c>
      <c r="B2400" s="73" t="s">
        <v>1984</v>
      </c>
      <c r="C2400" s="74">
        <v>9.00737905E8</v>
      </c>
      <c r="D2400" s="73" t="s">
        <v>2867</v>
      </c>
      <c r="E2400" s="72">
        <v>307.0</v>
      </c>
      <c r="F2400" s="77">
        <v>41928.0</v>
      </c>
      <c r="G2400" s="76"/>
      <c r="H2400" s="76"/>
      <c r="I2400" s="73" t="s">
        <v>366</v>
      </c>
      <c r="J2400" s="76"/>
    </row>
    <row r="2401">
      <c r="A2401" s="74">
        <v>2397.0</v>
      </c>
      <c r="B2401" s="73" t="s">
        <v>1984</v>
      </c>
      <c r="C2401" s="74">
        <v>8.00219371E8</v>
      </c>
      <c r="D2401" s="73" t="s">
        <v>2868</v>
      </c>
      <c r="E2401" s="72">
        <v>316.0</v>
      </c>
      <c r="F2401" s="77">
        <v>41942.0</v>
      </c>
      <c r="G2401" s="76"/>
      <c r="H2401" s="76"/>
      <c r="I2401" s="73" t="s">
        <v>366</v>
      </c>
      <c r="J2401" s="76"/>
    </row>
    <row r="2402">
      <c r="A2402" s="74">
        <v>2398.0</v>
      </c>
      <c r="B2402" s="73" t="s">
        <v>1984</v>
      </c>
      <c r="C2402" s="74">
        <v>8.30513769E8</v>
      </c>
      <c r="D2402" s="73" t="s">
        <v>2869</v>
      </c>
      <c r="E2402" s="72">
        <v>318.0</v>
      </c>
      <c r="F2402" s="77">
        <v>41942.0</v>
      </c>
      <c r="G2402" s="76"/>
      <c r="H2402" s="76"/>
      <c r="I2402" s="73" t="s">
        <v>366</v>
      </c>
      <c r="J2402" s="76"/>
    </row>
    <row r="2403">
      <c r="A2403" s="74">
        <v>2399.0</v>
      </c>
      <c r="B2403" s="73" t="s">
        <v>1984</v>
      </c>
      <c r="C2403" s="74">
        <v>9.00582053E8</v>
      </c>
      <c r="D2403" s="73" t="s">
        <v>2870</v>
      </c>
      <c r="E2403" s="72">
        <v>319.0</v>
      </c>
      <c r="F2403" s="77">
        <v>41942.0</v>
      </c>
      <c r="G2403" s="76"/>
      <c r="H2403" s="76"/>
      <c r="I2403" s="73" t="s">
        <v>366</v>
      </c>
      <c r="J2403" s="76"/>
    </row>
    <row r="2404">
      <c r="A2404" s="74">
        <v>2400.0</v>
      </c>
      <c r="B2404" s="73" t="s">
        <v>1984</v>
      </c>
      <c r="C2404" s="74">
        <v>9.00413522E8</v>
      </c>
      <c r="D2404" s="73" t="s">
        <v>2871</v>
      </c>
      <c r="E2404" s="72">
        <v>321.0</v>
      </c>
      <c r="F2404" s="77">
        <v>41947.0</v>
      </c>
      <c r="G2404" s="76"/>
      <c r="H2404" s="76"/>
      <c r="I2404" s="73" t="s">
        <v>366</v>
      </c>
      <c r="J2404" s="76"/>
    </row>
    <row r="2405">
      <c r="A2405" s="74">
        <v>2401.0</v>
      </c>
      <c r="B2405" s="73" t="s">
        <v>1984</v>
      </c>
      <c r="C2405" s="74">
        <v>9.00461068E8</v>
      </c>
      <c r="D2405" s="73" t="s">
        <v>2872</v>
      </c>
      <c r="E2405" s="72">
        <v>322.0</v>
      </c>
      <c r="F2405" s="77">
        <v>41947.0</v>
      </c>
      <c r="G2405" s="76"/>
      <c r="H2405" s="76"/>
      <c r="I2405" s="73" t="s">
        <v>366</v>
      </c>
      <c r="J2405" s="76"/>
    </row>
    <row r="2406">
      <c r="A2406" s="74">
        <v>2402.0</v>
      </c>
      <c r="B2406" s="73" t="s">
        <v>1984</v>
      </c>
      <c r="C2406" s="74">
        <v>9.00697249E8</v>
      </c>
      <c r="D2406" s="73" t="s">
        <v>2873</v>
      </c>
      <c r="E2406" s="72">
        <v>336.0</v>
      </c>
      <c r="F2406" s="77">
        <v>41963.0</v>
      </c>
      <c r="G2406" s="76"/>
      <c r="H2406" s="76"/>
      <c r="I2406" s="73" t="s">
        <v>366</v>
      </c>
      <c r="J2406" s="76"/>
    </row>
    <row r="2407">
      <c r="A2407" s="74">
        <v>2403.0</v>
      </c>
      <c r="B2407" s="73" t="s">
        <v>1984</v>
      </c>
      <c r="C2407" s="74">
        <v>9.00602199E8</v>
      </c>
      <c r="D2407" s="73" t="s">
        <v>2874</v>
      </c>
      <c r="E2407" s="72">
        <v>345.0</v>
      </c>
      <c r="F2407" s="77">
        <v>41971.0</v>
      </c>
      <c r="G2407" s="76"/>
      <c r="H2407" s="76"/>
      <c r="I2407" s="73" t="s">
        <v>366</v>
      </c>
      <c r="J2407" s="76"/>
    </row>
    <row r="2408">
      <c r="A2408" s="74">
        <v>2404.0</v>
      </c>
      <c r="B2408" s="73" t="s">
        <v>1984</v>
      </c>
      <c r="C2408" s="74">
        <v>8.00214037E8</v>
      </c>
      <c r="D2408" s="73" t="s">
        <v>2875</v>
      </c>
      <c r="E2408" s="72">
        <v>364.0</v>
      </c>
      <c r="F2408" s="77">
        <v>41984.0</v>
      </c>
      <c r="G2408" s="76"/>
      <c r="H2408" s="76"/>
      <c r="I2408" s="73" t="s">
        <v>366</v>
      </c>
      <c r="J2408" s="76"/>
    </row>
    <row r="2409">
      <c r="A2409" s="74">
        <v>2405.0</v>
      </c>
      <c r="B2409" s="73" t="s">
        <v>1984</v>
      </c>
      <c r="C2409" s="74">
        <v>9.00299805E8</v>
      </c>
      <c r="D2409" s="73" t="s">
        <v>2876</v>
      </c>
      <c r="E2409" s="72">
        <v>360.0</v>
      </c>
      <c r="F2409" s="77">
        <v>41984.0</v>
      </c>
      <c r="G2409" s="76"/>
      <c r="H2409" s="76"/>
      <c r="I2409" s="73" t="s">
        <v>366</v>
      </c>
      <c r="J2409" s="76"/>
    </row>
    <row r="2410">
      <c r="A2410" s="74">
        <v>2406.0</v>
      </c>
      <c r="B2410" s="73" t="s">
        <v>1984</v>
      </c>
      <c r="C2410" s="74">
        <v>9.00349394E8</v>
      </c>
      <c r="D2410" s="73" t="s">
        <v>2877</v>
      </c>
      <c r="E2410" s="72">
        <v>365.0</v>
      </c>
      <c r="F2410" s="77">
        <v>41984.0</v>
      </c>
      <c r="G2410" s="76"/>
      <c r="H2410" s="76"/>
      <c r="I2410" s="73" t="s">
        <v>366</v>
      </c>
      <c r="J2410" s="76"/>
    </row>
    <row r="2411">
      <c r="A2411" s="74">
        <v>2407.0</v>
      </c>
      <c r="B2411" s="73" t="s">
        <v>1984</v>
      </c>
      <c r="C2411" s="74">
        <v>9.00664236E8</v>
      </c>
      <c r="D2411" s="73" t="s">
        <v>2878</v>
      </c>
      <c r="E2411" s="72">
        <v>361.0</v>
      </c>
      <c r="F2411" s="77">
        <v>41984.0</v>
      </c>
      <c r="G2411" s="76"/>
      <c r="H2411" s="76"/>
      <c r="I2411" s="73" t="s">
        <v>366</v>
      </c>
      <c r="J2411" s="76"/>
    </row>
    <row r="2412">
      <c r="A2412" s="74">
        <v>2408.0</v>
      </c>
      <c r="B2412" s="73" t="s">
        <v>1984</v>
      </c>
      <c r="C2412" s="74">
        <v>9.00769604E8</v>
      </c>
      <c r="D2412" s="73" t="s">
        <v>2879</v>
      </c>
      <c r="E2412" s="72">
        <v>362.0</v>
      </c>
      <c r="F2412" s="77">
        <v>41984.0</v>
      </c>
      <c r="G2412" s="76"/>
      <c r="H2412" s="76"/>
      <c r="I2412" s="73" t="s">
        <v>366</v>
      </c>
      <c r="J2412" s="76"/>
    </row>
    <row r="2413">
      <c r="A2413" s="74">
        <v>2409.0</v>
      </c>
      <c r="B2413" s="73" t="s">
        <v>1984</v>
      </c>
      <c r="C2413" s="74">
        <v>9.00732377E8</v>
      </c>
      <c r="D2413" s="73" t="s">
        <v>2880</v>
      </c>
      <c r="E2413" s="72">
        <v>369.0</v>
      </c>
      <c r="F2413" s="77">
        <v>41990.0</v>
      </c>
      <c r="G2413" s="76"/>
      <c r="H2413" s="76"/>
      <c r="I2413" s="73" t="s">
        <v>366</v>
      </c>
      <c r="J2413" s="76"/>
    </row>
    <row r="2414">
      <c r="A2414" s="74">
        <v>2410.0</v>
      </c>
      <c r="B2414" s="73" t="s">
        <v>1984</v>
      </c>
      <c r="C2414" s="74">
        <v>8.3051328E8</v>
      </c>
      <c r="D2414" s="73" t="s">
        <v>2881</v>
      </c>
      <c r="E2414" s="72">
        <v>387.0</v>
      </c>
      <c r="F2414" s="77">
        <v>41996.0</v>
      </c>
      <c r="G2414" s="76"/>
      <c r="H2414" s="76"/>
      <c r="I2414" s="73" t="s">
        <v>366</v>
      </c>
      <c r="J2414" s="76"/>
    </row>
    <row r="2415">
      <c r="A2415" s="74">
        <v>2411.0</v>
      </c>
      <c r="B2415" s="73" t="s">
        <v>1984</v>
      </c>
      <c r="C2415" s="74">
        <v>9.0044218E8</v>
      </c>
      <c r="D2415" s="73" t="s">
        <v>2882</v>
      </c>
      <c r="E2415" s="72">
        <v>389.0</v>
      </c>
      <c r="F2415" s="77">
        <v>41996.0</v>
      </c>
      <c r="G2415" s="76"/>
      <c r="H2415" s="76"/>
      <c r="I2415" s="73" t="s">
        <v>366</v>
      </c>
      <c r="J2415" s="76"/>
    </row>
    <row r="2416">
      <c r="A2416" s="74">
        <v>2412.0</v>
      </c>
      <c r="B2416" s="73" t="s">
        <v>1984</v>
      </c>
      <c r="C2416" s="74">
        <v>9.00746988E8</v>
      </c>
      <c r="D2416" s="73" t="s">
        <v>2883</v>
      </c>
      <c r="E2416" s="72">
        <v>388.0</v>
      </c>
      <c r="F2416" s="77">
        <v>41996.0</v>
      </c>
      <c r="G2416" s="76"/>
      <c r="H2416" s="76"/>
      <c r="I2416" s="73" t="s">
        <v>366</v>
      </c>
      <c r="J2416" s="76"/>
    </row>
    <row r="2417">
      <c r="A2417" s="74">
        <v>2413.0</v>
      </c>
      <c r="B2417" s="73" t="s">
        <v>1984</v>
      </c>
      <c r="C2417" s="74">
        <v>9.00496332E8</v>
      </c>
      <c r="D2417" s="73" t="s">
        <v>2884</v>
      </c>
      <c r="E2417" s="72">
        <v>397.0</v>
      </c>
      <c r="F2417" s="77">
        <v>41999.0</v>
      </c>
      <c r="G2417" s="76"/>
      <c r="H2417" s="76"/>
      <c r="I2417" s="73" t="s">
        <v>366</v>
      </c>
      <c r="J2417" s="76"/>
    </row>
    <row r="2418">
      <c r="A2418" s="74">
        <v>2414.0</v>
      </c>
      <c r="B2418" s="73" t="s">
        <v>1984</v>
      </c>
      <c r="C2418" s="74">
        <v>9.00578311E8</v>
      </c>
      <c r="D2418" s="73" t="s">
        <v>2885</v>
      </c>
      <c r="E2418" s="72">
        <v>395.0</v>
      </c>
      <c r="F2418" s="77">
        <v>41999.0</v>
      </c>
      <c r="G2418" s="76"/>
      <c r="H2418" s="76"/>
      <c r="I2418" s="73" t="s">
        <v>366</v>
      </c>
      <c r="J2418" s="76"/>
    </row>
    <row r="2419">
      <c r="A2419" s="74">
        <v>2415.0</v>
      </c>
      <c r="B2419" s="73" t="s">
        <v>1984</v>
      </c>
      <c r="C2419" s="74">
        <v>9.00758383E8</v>
      </c>
      <c r="D2419" s="73" t="s">
        <v>2886</v>
      </c>
      <c r="E2419" s="72">
        <v>392.0</v>
      </c>
      <c r="F2419" s="77">
        <v>41999.0</v>
      </c>
      <c r="G2419" s="76"/>
      <c r="H2419" s="76"/>
      <c r="I2419" s="73" t="s">
        <v>366</v>
      </c>
      <c r="J2419" s="76"/>
    </row>
    <row r="2420">
      <c r="A2420" s="74">
        <v>2416.0</v>
      </c>
      <c r="B2420" s="73" t="s">
        <v>1984</v>
      </c>
      <c r="C2420" s="74">
        <v>9.0077474E8</v>
      </c>
      <c r="D2420" s="73" t="s">
        <v>2887</v>
      </c>
      <c r="E2420" s="72">
        <v>399.0</v>
      </c>
      <c r="F2420" s="77">
        <v>41999.0</v>
      </c>
      <c r="G2420" s="76"/>
      <c r="H2420" s="76"/>
      <c r="I2420" s="73" t="s">
        <v>366</v>
      </c>
      <c r="J2420" s="76"/>
    </row>
    <row r="2421">
      <c r="A2421" s="74">
        <v>2417.0</v>
      </c>
      <c r="B2421" s="73" t="s">
        <v>1984</v>
      </c>
      <c r="C2421" s="74">
        <v>9.00781417E8</v>
      </c>
      <c r="D2421" s="73" t="s">
        <v>2888</v>
      </c>
      <c r="E2421" s="72">
        <v>396.0</v>
      </c>
      <c r="F2421" s="77">
        <v>41999.0</v>
      </c>
      <c r="G2421" s="76"/>
      <c r="H2421" s="76"/>
      <c r="I2421" s="73" t="s">
        <v>366</v>
      </c>
      <c r="J2421" s="76"/>
    </row>
    <row r="2422">
      <c r="A2422" s="74">
        <v>2418.0</v>
      </c>
      <c r="B2422" s="73" t="s">
        <v>1984</v>
      </c>
      <c r="C2422" s="74">
        <v>9.00576769E8</v>
      </c>
      <c r="D2422" s="73" t="s">
        <v>2889</v>
      </c>
      <c r="E2422" s="72">
        <v>6.0</v>
      </c>
      <c r="F2422" s="75">
        <v>42030.0</v>
      </c>
      <c r="G2422" s="76"/>
      <c r="H2422" s="76"/>
      <c r="I2422" s="73" t="s">
        <v>366</v>
      </c>
      <c r="J2422" s="76"/>
    </row>
    <row r="2423">
      <c r="A2423" s="74">
        <v>2419.0</v>
      </c>
      <c r="B2423" s="73" t="s">
        <v>1984</v>
      </c>
      <c r="C2423" s="74">
        <v>9.0069158E8</v>
      </c>
      <c r="D2423" s="73" t="s">
        <v>2890</v>
      </c>
      <c r="E2423" s="72">
        <v>7.0</v>
      </c>
      <c r="F2423" s="75">
        <v>42030.0</v>
      </c>
      <c r="G2423" s="76"/>
      <c r="H2423" s="76"/>
      <c r="I2423" s="73" t="s">
        <v>366</v>
      </c>
      <c r="J2423" s="76"/>
    </row>
    <row r="2424">
      <c r="A2424" s="85">
        <v>2420.0</v>
      </c>
      <c r="B2424" s="79" t="s">
        <v>1984</v>
      </c>
      <c r="C2424" s="80">
        <v>8.00564725E8</v>
      </c>
      <c r="D2424" s="79" t="s">
        <v>2891</v>
      </c>
      <c r="E2424" s="81">
        <v>25.0</v>
      </c>
      <c r="F2424" s="84">
        <v>42039.0</v>
      </c>
      <c r="G2424" s="83"/>
      <c r="H2424" s="83"/>
      <c r="I2424" s="73" t="s">
        <v>366</v>
      </c>
      <c r="J2424" s="76"/>
    </row>
    <row r="2425">
      <c r="A2425" s="74">
        <v>2421.0</v>
      </c>
      <c r="B2425" s="73" t="s">
        <v>1984</v>
      </c>
      <c r="C2425" s="74">
        <v>9.00748185E8</v>
      </c>
      <c r="D2425" s="73" t="s">
        <v>2892</v>
      </c>
      <c r="E2425" s="72">
        <v>33.0</v>
      </c>
      <c r="F2425" s="75">
        <v>42039.0</v>
      </c>
      <c r="G2425" s="76"/>
      <c r="H2425" s="76"/>
      <c r="I2425" s="73" t="s">
        <v>366</v>
      </c>
      <c r="J2425" s="76"/>
    </row>
    <row r="2426">
      <c r="A2426" s="74">
        <v>2422.0</v>
      </c>
      <c r="B2426" s="73" t="s">
        <v>1984</v>
      </c>
      <c r="C2426" s="74">
        <v>9.00762801E8</v>
      </c>
      <c r="D2426" s="73" t="s">
        <v>2893</v>
      </c>
      <c r="E2426" s="72">
        <v>23.0</v>
      </c>
      <c r="F2426" s="75">
        <v>42039.0</v>
      </c>
      <c r="G2426" s="76"/>
      <c r="H2426" s="76"/>
      <c r="I2426" s="73" t="s">
        <v>366</v>
      </c>
      <c r="J2426" s="76"/>
    </row>
    <row r="2427">
      <c r="A2427" s="74">
        <v>2423.0</v>
      </c>
      <c r="B2427" s="73" t="s">
        <v>1984</v>
      </c>
      <c r="C2427" s="74">
        <v>9.0034177E8</v>
      </c>
      <c r="D2427" s="73" t="s">
        <v>2894</v>
      </c>
      <c r="E2427" s="72">
        <v>34.0</v>
      </c>
      <c r="F2427" s="75">
        <v>42039.0</v>
      </c>
      <c r="G2427" s="76"/>
      <c r="H2427" s="76"/>
      <c r="I2427" s="73" t="s">
        <v>366</v>
      </c>
      <c r="J2427" s="76"/>
    </row>
    <row r="2428">
      <c r="A2428" s="74">
        <v>2424.0</v>
      </c>
      <c r="B2428" s="73" t="s">
        <v>1984</v>
      </c>
      <c r="C2428" s="74">
        <v>9.00587608E8</v>
      </c>
      <c r="D2428" s="73" t="s">
        <v>2895</v>
      </c>
      <c r="E2428" s="72">
        <v>32.0</v>
      </c>
      <c r="F2428" s="75">
        <v>42039.0</v>
      </c>
      <c r="G2428" s="76"/>
      <c r="H2428" s="76"/>
      <c r="I2428" s="73" t="s">
        <v>366</v>
      </c>
      <c r="J2428" s="76"/>
    </row>
    <row r="2429">
      <c r="A2429" s="74">
        <v>2425.0</v>
      </c>
      <c r="B2429" s="73" t="s">
        <v>1984</v>
      </c>
      <c r="C2429" s="74">
        <v>9.00726265E8</v>
      </c>
      <c r="D2429" s="73" t="s">
        <v>2896</v>
      </c>
      <c r="E2429" s="72">
        <v>40.0</v>
      </c>
      <c r="F2429" s="75">
        <v>42048.0</v>
      </c>
      <c r="G2429" s="76"/>
      <c r="H2429" s="76"/>
      <c r="I2429" s="73" t="s">
        <v>366</v>
      </c>
      <c r="J2429" s="76"/>
    </row>
    <row r="2430">
      <c r="A2430" s="74">
        <v>2426.0</v>
      </c>
      <c r="B2430" s="73" t="s">
        <v>1984</v>
      </c>
      <c r="C2430" s="74">
        <v>9.00698289E8</v>
      </c>
      <c r="D2430" s="73" t="s">
        <v>2897</v>
      </c>
      <c r="E2430" s="72">
        <v>23.0</v>
      </c>
      <c r="F2430" s="75">
        <v>42062.0</v>
      </c>
      <c r="G2430" s="76"/>
      <c r="H2430" s="76"/>
      <c r="I2430" s="73" t="s">
        <v>366</v>
      </c>
      <c r="J2430" s="76"/>
    </row>
    <row r="2431">
      <c r="A2431" s="74">
        <v>2427.0</v>
      </c>
      <c r="B2431" s="73" t="s">
        <v>1984</v>
      </c>
      <c r="C2431" s="74">
        <v>9.00814195E8</v>
      </c>
      <c r="D2431" s="73" t="s">
        <v>2898</v>
      </c>
      <c r="E2431" s="72">
        <v>12.0</v>
      </c>
      <c r="F2431" s="75">
        <v>42074.0</v>
      </c>
      <c r="G2431" s="76"/>
      <c r="H2431" s="76"/>
      <c r="I2431" s="73" t="s">
        <v>366</v>
      </c>
      <c r="J2431" s="76"/>
    </row>
    <row r="2432">
      <c r="A2432" s="74">
        <v>2428.0</v>
      </c>
      <c r="B2432" s="73" t="s">
        <v>1984</v>
      </c>
      <c r="C2432" s="74">
        <v>9.00764658E8</v>
      </c>
      <c r="D2432" s="73" t="s">
        <v>2899</v>
      </c>
      <c r="E2432" s="72">
        <v>21.0</v>
      </c>
      <c r="F2432" s="75">
        <v>42079.0</v>
      </c>
      <c r="G2432" s="76"/>
      <c r="H2432" s="76"/>
      <c r="I2432" s="73" t="s">
        <v>366</v>
      </c>
      <c r="J2432" s="76"/>
    </row>
    <row r="2433">
      <c r="A2433" s="74">
        <v>2429.0</v>
      </c>
      <c r="B2433" s="73" t="s">
        <v>1984</v>
      </c>
      <c r="C2433" s="74">
        <v>9.00421393E8</v>
      </c>
      <c r="D2433" s="73" t="s">
        <v>2900</v>
      </c>
      <c r="E2433" s="72">
        <v>108.0</v>
      </c>
      <c r="F2433" s="75">
        <v>42158.0</v>
      </c>
      <c r="G2433" s="76"/>
      <c r="H2433" s="76"/>
      <c r="I2433" s="73" t="s">
        <v>366</v>
      </c>
      <c r="J2433" s="76"/>
    </row>
    <row r="2434">
      <c r="A2434" s="74">
        <v>2430.0</v>
      </c>
      <c r="B2434" s="73" t="s">
        <v>1984</v>
      </c>
      <c r="C2434" s="74">
        <v>8.00106536E8</v>
      </c>
      <c r="D2434" s="73" t="s">
        <v>2901</v>
      </c>
      <c r="E2434" s="72">
        <v>111.0</v>
      </c>
      <c r="F2434" s="75">
        <v>42171.0</v>
      </c>
      <c r="G2434" s="76"/>
      <c r="H2434" s="76"/>
      <c r="I2434" s="73" t="s">
        <v>366</v>
      </c>
      <c r="J2434" s="76"/>
    </row>
    <row r="2435">
      <c r="A2435" s="74">
        <v>2431.0</v>
      </c>
      <c r="B2435" s="73" t="s">
        <v>1984</v>
      </c>
      <c r="C2435" s="74">
        <v>9.00479195E8</v>
      </c>
      <c r="D2435" s="73" t="s">
        <v>2902</v>
      </c>
      <c r="E2435" s="72">
        <v>122.0</v>
      </c>
      <c r="F2435" s="75">
        <v>42186.0</v>
      </c>
      <c r="G2435" s="76"/>
      <c r="H2435" s="76"/>
      <c r="I2435" s="73" t="s">
        <v>366</v>
      </c>
      <c r="J2435" s="76"/>
    </row>
    <row r="2436">
      <c r="A2436" s="74">
        <v>2432.0</v>
      </c>
      <c r="B2436" s="73" t="s">
        <v>1984</v>
      </c>
      <c r="C2436" s="74">
        <v>9.00504241E8</v>
      </c>
      <c r="D2436" s="73" t="s">
        <v>2903</v>
      </c>
      <c r="E2436" s="72">
        <v>124.0</v>
      </c>
      <c r="F2436" s="75">
        <v>42186.0</v>
      </c>
      <c r="G2436" s="76"/>
      <c r="H2436" s="76"/>
      <c r="I2436" s="73" t="s">
        <v>366</v>
      </c>
      <c r="J2436" s="76"/>
    </row>
    <row r="2437">
      <c r="A2437" s="74">
        <v>2433.0</v>
      </c>
      <c r="B2437" s="73" t="s">
        <v>1984</v>
      </c>
      <c r="C2437" s="74">
        <v>9.00796767E8</v>
      </c>
      <c r="D2437" s="73" t="s">
        <v>2904</v>
      </c>
      <c r="E2437" s="72">
        <v>123.0</v>
      </c>
      <c r="F2437" s="75">
        <v>42186.0</v>
      </c>
      <c r="G2437" s="76"/>
      <c r="H2437" s="76"/>
      <c r="I2437" s="73" t="s">
        <v>366</v>
      </c>
      <c r="J2437" s="76"/>
    </row>
    <row r="2438">
      <c r="A2438" s="74">
        <v>2434.0</v>
      </c>
      <c r="B2438" s="73" t="s">
        <v>1984</v>
      </c>
      <c r="C2438" s="74">
        <v>8.30092628E8</v>
      </c>
      <c r="D2438" s="73" t="s">
        <v>2905</v>
      </c>
      <c r="E2438" s="72">
        <v>126.0</v>
      </c>
      <c r="F2438" s="75">
        <v>42198.0</v>
      </c>
      <c r="G2438" s="76"/>
      <c r="H2438" s="76"/>
      <c r="I2438" s="73" t="s">
        <v>366</v>
      </c>
      <c r="J2438" s="76"/>
    </row>
    <row r="2439">
      <c r="A2439" s="74">
        <v>2435.0</v>
      </c>
      <c r="B2439" s="73" t="s">
        <v>1984</v>
      </c>
      <c r="C2439" s="74">
        <v>8.30514557E8</v>
      </c>
      <c r="D2439" s="73" t="s">
        <v>2906</v>
      </c>
      <c r="E2439" s="72">
        <v>131.0</v>
      </c>
      <c r="F2439" s="75">
        <v>42201.0</v>
      </c>
      <c r="G2439" s="76"/>
      <c r="H2439" s="76"/>
      <c r="I2439" s="73" t="s">
        <v>366</v>
      </c>
      <c r="J2439" s="76"/>
    </row>
    <row r="2440">
      <c r="A2440" s="74">
        <v>2436.0</v>
      </c>
      <c r="B2440" s="73" t="s">
        <v>1984</v>
      </c>
      <c r="C2440" s="74">
        <v>9.00651776E8</v>
      </c>
      <c r="D2440" s="73" t="s">
        <v>2907</v>
      </c>
      <c r="E2440" s="72">
        <v>130.0</v>
      </c>
      <c r="F2440" s="75">
        <v>42201.0</v>
      </c>
      <c r="G2440" s="76"/>
      <c r="H2440" s="76"/>
      <c r="I2440" s="73" t="s">
        <v>366</v>
      </c>
      <c r="J2440" s="76"/>
    </row>
    <row r="2441">
      <c r="A2441" s="74">
        <v>2437.0</v>
      </c>
      <c r="B2441" s="73" t="s">
        <v>1984</v>
      </c>
      <c r="C2441" s="74">
        <v>9.00829412E8</v>
      </c>
      <c r="D2441" s="73" t="s">
        <v>2908</v>
      </c>
      <c r="E2441" s="72">
        <v>132.0</v>
      </c>
      <c r="F2441" s="75">
        <v>42202.0</v>
      </c>
      <c r="G2441" s="76"/>
      <c r="H2441" s="76"/>
      <c r="I2441" s="73" t="s">
        <v>366</v>
      </c>
      <c r="J2441" s="76"/>
    </row>
    <row r="2442">
      <c r="A2442" s="74">
        <v>2438.0</v>
      </c>
      <c r="B2442" s="73" t="s">
        <v>1984</v>
      </c>
      <c r="C2442" s="74">
        <v>9.00240741E8</v>
      </c>
      <c r="D2442" s="73" t="s">
        <v>2909</v>
      </c>
      <c r="E2442" s="72">
        <v>25.0</v>
      </c>
      <c r="F2442" s="75">
        <v>42241.0</v>
      </c>
      <c r="G2442" s="76"/>
      <c r="H2442" s="76"/>
      <c r="I2442" s="73" t="s">
        <v>366</v>
      </c>
      <c r="J2442" s="76"/>
    </row>
    <row r="2443">
      <c r="A2443" s="74">
        <v>2439.0</v>
      </c>
      <c r="B2443" s="73" t="s">
        <v>1984</v>
      </c>
      <c r="C2443" s="74">
        <v>9.00558535E8</v>
      </c>
      <c r="D2443" s="73" t="s">
        <v>2910</v>
      </c>
      <c r="E2443" s="72">
        <v>159.0</v>
      </c>
      <c r="F2443" s="75">
        <v>42268.0</v>
      </c>
      <c r="G2443" s="76"/>
      <c r="H2443" s="76"/>
      <c r="I2443" s="73" t="s">
        <v>366</v>
      </c>
      <c r="J2443" s="76"/>
    </row>
    <row r="2444">
      <c r="A2444" s="74">
        <v>2440.0</v>
      </c>
      <c r="B2444" s="73" t="s">
        <v>1984</v>
      </c>
      <c r="C2444" s="74">
        <v>9.0081253E8</v>
      </c>
      <c r="D2444" s="73" t="s">
        <v>2911</v>
      </c>
      <c r="E2444" s="72">
        <v>160.0</v>
      </c>
      <c r="F2444" s="75">
        <v>42269.0</v>
      </c>
      <c r="G2444" s="76"/>
      <c r="H2444" s="76"/>
      <c r="I2444" s="73" t="s">
        <v>366</v>
      </c>
      <c r="J2444" s="76"/>
    </row>
    <row r="2445">
      <c r="A2445" s="74">
        <v>2441.0</v>
      </c>
      <c r="B2445" s="73" t="s">
        <v>1984</v>
      </c>
      <c r="C2445" s="74">
        <v>9.00588576E8</v>
      </c>
      <c r="D2445" s="73" t="s">
        <v>2912</v>
      </c>
      <c r="E2445" s="72">
        <v>164.0</v>
      </c>
      <c r="F2445" s="75">
        <v>42271.0</v>
      </c>
      <c r="G2445" s="76"/>
      <c r="H2445" s="76"/>
      <c r="I2445" s="73" t="s">
        <v>366</v>
      </c>
      <c r="J2445" s="76"/>
    </row>
    <row r="2446">
      <c r="A2446" s="74">
        <v>2442.0</v>
      </c>
      <c r="B2446" s="73" t="s">
        <v>1984</v>
      </c>
      <c r="C2446" s="74">
        <v>8.6003038E8</v>
      </c>
      <c r="D2446" s="73" t="s">
        <v>2913</v>
      </c>
      <c r="E2446" s="72">
        <v>167.0</v>
      </c>
      <c r="F2446" s="75">
        <v>42275.0</v>
      </c>
      <c r="G2446" s="76"/>
      <c r="H2446" s="76"/>
      <c r="I2446" s="73" t="s">
        <v>366</v>
      </c>
      <c r="J2446" s="76"/>
    </row>
    <row r="2447">
      <c r="A2447" s="74">
        <v>2443.0</v>
      </c>
      <c r="B2447" s="73" t="s">
        <v>1984</v>
      </c>
      <c r="C2447" s="74">
        <v>9.00791304E8</v>
      </c>
      <c r="D2447" s="73" t="s">
        <v>2914</v>
      </c>
      <c r="E2447" s="72">
        <v>169.0</v>
      </c>
      <c r="F2447" s="75">
        <v>42275.0</v>
      </c>
      <c r="G2447" s="76"/>
      <c r="H2447" s="76"/>
      <c r="I2447" s="73" t="s">
        <v>366</v>
      </c>
      <c r="J2447" s="76"/>
    </row>
    <row r="2448">
      <c r="A2448" s="74">
        <v>2444.0</v>
      </c>
      <c r="B2448" s="73" t="s">
        <v>1984</v>
      </c>
      <c r="C2448" s="74">
        <v>9.00648257E8</v>
      </c>
      <c r="D2448" s="73" t="s">
        <v>2915</v>
      </c>
      <c r="E2448" s="72">
        <v>183.0</v>
      </c>
      <c r="F2448" s="77">
        <v>42286.0</v>
      </c>
      <c r="G2448" s="76"/>
      <c r="H2448" s="76"/>
      <c r="I2448" s="73" t="s">
        <v>366</v>
      </c>
      <c r="J2448" s="76"/>
    </row>
    <row r="2449">
      <c r="A2449" s="74">
        <v>2445.0</v>
      </c>
      <c r="B2449" s="73" t="s">
        <v>1984</v>
      </c>
      <c r="C2449" s="74">
        <v>9.00728538E8</v>
      </c>
      <c r="D2449" s="73" t="s">
        <v>2916</v>
      </c>
      <c r="E2449" s="72">
        <v>184.0</v>
      </c>
      <c r="F2449" s="77">
        <v>42286.0</v>
      </c>
      <c r="G2449" s="76"/>
      <c r="H2449" s="76"/>
      <c r="I2449" s="73" t="s">
        <v>366</v>
      </c>
      <c r="J2449" s="76"/>
    </row>
    <row r="2450">
      <c r="A2450" s="74">
        <v>2446.0</v>
      </c>
      <c r="B2450" s="73" t="s">
        <v>1984</v>
      </c>
      <c r="C2450" s="74">
        <v>9.00154704E8</v>
      </c>
      <c r="D2450" s="73" t="s">
        <v>2917</v>
      </c>
      <c r="E2450" s="72">
        <v>193.0</v>
      </c>
      <c r="F2450" s="77">
        <v>42294.0</v>
      </c>
      <c r="G2450" s="76"/>
      <c r="H2450" s="76"/>
      <c r="I2450" s="73" t="s">
        <v>366</v>
      </c>
      <c r="J2450" s="76"/>
    </row>
    <row r="2451">
      <c r="A2451" s="74">
        <v>2447.0</v>
      </c>
      <c r="B2451" s="73" t="s">
        <v>1984</v>
      </c>
      <c r="C2451" s="74">
        <v>9.00509802E8</v>
      </c>
      <c r="D2451" s="73" t="s">
        <v>2918</v>
      </c>
      <c r="E2451" s="72">
        <v>192.0</v>
      </c>
      <c r="F2451" s="77">
        <v>42294.0</v>
      </c>
      <c r="G2451" s="76"/>
      <c r="H2451" s="76"/>
      <c r="I2451" s="73" t="s">
        <v>366</v>
      </c>
      <c r="J2451" s="76"/>
    </row>
    <row r="2452">
      <c r="A2452" s="74">
        <v>2448.0</v>
      </c>
      <c r="B2452" s="73" t="s">
        <v>1984</v>
      </c>
      <c r="C2452" s="74">
        <v>9.00444852E8</v>
      </c>
      <c r="D2452" s="73" t="s">
        <v>2919</v>
      </c>
      <c r="E2452" s="72">
        <v>202.0</v>
      </c>
      <c r="F2452" s="77">
        <v>42307.0</v>
      </c>
      <c r="G2452" s="76"/>
      <c r="H2452" s="76"/>
      <c r="I2452" s="73" t="s">
        <v>366</v>
      </c>
      <c r="J2452" s="76"/>
    </row>
    <row r="2453">
      <c r="A2453" s="74">
        <v>2449.0</v>
      </c>
      <c r="B2453" s="73" t="s">
        <v>1984</v>
      </c>
      <c r="C2453" s="74">
        <v>9.00605721E8</v>
      </c>
      <c r="D2453" s="73" t="s">
        <v>2920</v>
      </c>
      <c r="E2453" s="72">
        <v>207.0</v>
      </c>
      <c r="F2453" s="77">
        <v>42314.0</v>
      </c>
      <c r="G2453" s="76"/>
      <c r="H2453" s="76"/>
      <c r="I2453" s="73" t="s">
        <v>366</v>
      </c>
      <c r="J2453" s="76"/>
    </row>
    <row r="2454">
      <c r="A2454" s="74">
        <v>2450.0</v>
      </c>
      <c r="B2454" s="73" t="s">
        <v>1984</v>
      </c>
      <c r="C2454" s="74">
        <v>9.00756575E8</v>
      </c>
      <c r="D2454" s="73" t="s">
        <v>2921</v>
      </c>
      <c r="E2454" s="72">
        <v>210.0</v>
      </c>
      <c r="F2454" s="77">
        <v>42318.0</v>
      </c>
      <c r="G2454" s="76"/>
      <c r="H2454" s="76"/>
      <c r="I2454" s="73" t="s">
        <v>366</v>
      </c>
      <c r="J2454" s="76"/>
    </row>
    <row r="2455">
      <c r="A2455" s="74">
        <v>2451.0</v>
      </c>
      <c r="B2455" s="73" t="s">
        <v>1984</v>
      </c>
      <c r="C2455" s="74">
        <v>9.00737777E8</v>
      </c>
      <c r="D2455" s="73" t="s">
        <v>2922</v>
      </c>
      <c r="E2455" s="72">
        <v>212.0</v>
      </c>
      <c r="F2455" s="77">
        <v>42325.0</v>
      </c>
      <c r="G2455" s="76"/>
      <c r="H2455" s="76"/>
      <c r="I2455" s="73" t="s">
        <v>366</v>
      </c>
      <c r="J2455" s="76"/>
    </row>
    <row r="2456">
      <c r="A2456" s="74">
        <v>2452.0</v>
      </c>
      <c r="B2456" s="73" t="s">
        <v>1984</v>
      </c>
      <c r="C2456" s="74">
        <v>9.00278633E8</v>
      </c>
      <c r="D2456" s="73" t="s">
        <v>2923</v>
      </c>
      <c r="E2456" s="72">
        <v>29.0</v>
      </c>
      <c r="F2456" s="77">
        <v>42326.0</v>
      </c>
      <c r="G2456" s="76"/>
      <c r="H2456" s="76"/>
      <c r="I2456" s="73" t="s">
        <v>366</v>
      </c>
      <c r="J2456" s="76"/>
    </row>
    <row r="2457">
      <c r="A2457" s="74">
        <v>2453.0</v>
      </c>
      <c r="B2457" s="73" t="s">
        <v>1984</v>
      </c>
      <c r="C2457" s="74">
        <v>9.00795727E8</v>
      </c>
      <c r="D2457" s="73" t="s">
        <v>2924</v>
      </c>
      <c r="E2457" s="72">
        <v>220.0</v>
      </c>
      <c r="F2457" s="77">
        <v>42334.0</v>
      </c>
      <c r="G2457" s="76"/>
      <c r="H2457" s="76"/>
      <c r="I2457" s="73" t="s">
        <v>366</v>
      </c>
      <c r="J2457" s="76"/>
    </row>
    <row r="2458">
      <c r="A2458" s="74">
        <v>2454.0</v>
      </c>
      <c r="B2458" s="73" t="s">
        <v>1984</v>
      </c>
      <c r="C2458" s="74">
        <v>9.00561761E8</v>
      </c>
      <c r="D2458" s="73" t="s">
        <v>2925</v>
      </c>
      <c r="E2458" s="72">
        <v>224.0</v>
      </c>
      <c r="F2458" s="77">
        <v>42339.0</v>
      </c>
      <c r="G2458" s="76"/>
      <c r="H2458" s="76"/>
      <c r="I2458" s="73" t="s">
        <v>366</v>
      </c>
      <c r="J2458" s="76"/>
    </row>
    <row r="2459">
      <c r="A2459" s="74">
        <v>2455.0</v>
      </c>
      <c r="B2459" s="73" t="s">
        <v>1984</v>
      </c>
      <c r="C2459" s="74">
        <v>9.00873782E8</v>
      </c>
      <c r="D2459" s="73" t="s">
        <v>2926</v>
      </c>
      <c r="E2459" s="72">
        <v>113.0</v>
      </c>
      <c r="F2459" s="77">
        <v>42342.0</v>
      </c>
      <c r="G2459" s="76"/>
      <c r="H2459" s="76"/>
      <c r="I2459" s="73" t="s">
        <v>366</v>
      </c>
      <c r="J2459" s="76"/>
    </row>
    <row r="2460">
      <c r="A2460" s="74">
        <v>2456.0</v>
      </c>
      <c r="B2460" s="73" t="s">
        <v>1984</v>
      </c>
      <c r="C2460" s="74">
        <v>9.00886301E8</v>
      </c>
      <c r="D2460" s="73" t="s">
        <v>2927</v>
      </c>
      <c r="E2460" s="72">
        <v>241.0</v>
      </c>
      <c r="F2460" s="77">
        <v>42359.0</v>
      </c>
      <c r="G2460" s="76"/>
      <c r="H2460" s="76"/>
      <c r="I2460" s="73" t="s">
        <v>366</v>
      </c>
      <c r="J2460" s="76"/>
    </row>
    <row r="2461">
      <c r="A2461" s="74">
        <v>2457.0</v>
      </c>
      <c r="B2461" s="73" t="s">
        <v>1984</v>
      </c>
      <c r="C2461" s="74">
        <v>9.00890843E8</v>
      </c>
      <c r="D2461" s="73" t="s">
        <v>2928</v>
      </c>
      <c r="E2461" s="72">
        <v>261.0</v>
      </c>
      <c r="F2461" s="77">
        <v>42368.0</v>
      </c>
      <c r="G2461" s="76"/>
      <c r="H2461" s="76"/>
      <c r="I2461" s="73" t="s">
        <v>366</v>
      </c>
      <c r="J2461" s="76"/>
    </row>
    <row r="2462">
      <c r="A2462" s="74">
        <v>2458.0</v>
      </c>
      <c r="B2462" s="73" t="s">
        <v>1984</v>
      </c>
      <c r="C2462" s="74">
        <v>9.00894268E8</v>
      </c>
      <c r="D2462" s="73" t="s">
        <v>2929</v>
      </c>
      <c r="E2462" s="72">
        <v>3.0</v>
      </c>
      <c r="F2462" s="75">
        <v>42381.0</v>
      </c>
      <c r="G2462" s="76"/>
      <c r="H2462" s="76"/>
      <c r="I2462" s="73" t="s">
        <v>366</v>
      </c>
      <c r="J2462" s="76"/>
    </row>
    <row r="2463">
      <c r="A2463" s="74">
        <v>2459.0</v>
      </c>
      <c r="B2463" s="73" t="s">
        <v>1984</v>
      </c>
      <c r="C2463" s="74">
        <v>9.00818075E8</v>
      </c>
      <c r="D2463" s="73" t="s">
        <v>2930</v>
      </c>
      <c r="E2463" s="72">
        <v>62.0</v>
      </c>
      <c r="F2463" s="75">
        <v>42408.0</v>
      </c>
      <c r="G2463" s="76"/>
      <c r="H2463" s="76"/>
      <c r="I2463" s="73" t="s">
        <v>366</v>
      </c>
      <c r="J2463" s="76"/>
    </row>
    <row r="2464">
      <c r="A2464" s="74">
        <v>2460.0</v>
      </c>
      <c r="B2464" s="73" t="s">
        <v>1984</v>
      </c>
      <c r="C2464" s="74">
        <v>9.00665582E8</v>
      </c>
      <c r="D2464" s="73" t="s">
        <v>2931</v>
      </c>
      <c r="E2464" s="72">
        <v>3.0</v>
      </c>
      <c r="F2464" s="75">
        <v>42415.0</v>
      </c>
      <c r="G2464" s="76"/>
      <c r="H2464" s="76"/>
      <c r="I2464" s="73" t="s">
        <v>366</v>
      </c>
      <c r="J2464" s="76"/>
    </row>
    <row r="2465">
      <c r="A2465" s="74">
        <v>2461.0</v>
      </c>
      <c r="B2465" s="73" t="s">
        <v>1984</v>
      </c>
      <c r="C2465" s="74">
        <v>9.00918102E8</v>
      </c>
      <c r="D2465" s="73" t="s">
        <v>2932</v>
      </c>
      <c r="E2465" s="72">
        <v>15.0</v>
      </c>
      <c r="F2465" s="75">
        <v>42415.0</v>
      </c>
      <c r="G2465" s="76"/>
      <c r="H2465" s="76"/>
      <c r="I2465" s="73" t="s">
        <v>366</v>
      </c>
      <c r="J2465" s="76"/>
    </row>
    <row r="2466">
      <c r="A2466" s="74">
        <v>2462.0</v>
      </c>
      <c r="B2466" s="73" t="s">
        <v>1984</v>
      </c>
      <c r="C2466" s="74">
        <v>9.00504813E8</v>
      </c>
      <c r="D2466" s="73" t="s">
        <v>2933</v>
      </c>
      <c r="E2466" s="72">
        <v>3.0</v>
      </c>
      <c r="F2466" s="75">
        <v>42416.0</v>
      </c>
      <c r="G2466" s="76"/>
      <c r="H2466" s="76"/>
      <c r="I2466" s="73" t="s">
        <v>366</v>
      </c>
      <c r="J2466" s="76"/>
    </row>
    <row r="2467">
      <c r="A2467" s="74">
        <v>2463.0</v>
      </c>
      <c r="B2467" s="73" t="s">
        <v>1984</v>
      </c>
      <c r="C2467" s="74">
        <v>9.0046806E8</v>
      </c>
      <c r="D2467" s="73" t="s">
        <v>2934</v>
      </c>
      <c r="E2467" s="72">
        <v>153.0</v>
      </c>
      <c r="F2467" s="75">
        <v>42426.0</v>
      </c>
      <c r="G2467" s="76"/>
      <c r="H2467" s="76"/>
      <c r="I2467" s="73" t="s">
        <v>366</v>
      </c>
      <c r="J2467" s="76"/>
    </row>
    <row r="2468">
      <c r="A2468" s="74">
        <v>2464.0</v>
      </c>
      <c r="B2468" s="73" t="s">
        <v>1984</v>
      </c>
      <c r="C2468" s="74">
        <v>9.00333586E8</v>
      </c>
      <c r="D2468" s="73" t="s">
        <v>2935</v>
      </c>
      <c r="E2468" s="72">
        <v>209.0</v>
      </c>
      <c r="F2468" s="75">
        <v>42438.0</v>
      </c>
      <c r="G2468" s="76"/>
      <c r="H2468" s="76"/>
      <c r="I2468" s="73" t="s">
        <v>366</v>
      </c>
      <c r="J2468" s="76"/>
    </row>
    <row r="2469">
      <c r="A2469" s="74">
        <v>2465.0</v>
      </c>
      <c r="B2469" s="73" t="s">
        <v>1984</v>
      </c>
      <c r="C2469" s="74">
        <v>9.00569175E8</v>
      </c>
      <c r="D2469" s="73" t="s">
        <v>2936</v>
      </c>
      <c r="E2469" s="72">
        <v>212.0</v>
      </c>
      <c r="F2469" s="75">
        <v>42439.0</v>
      </c>
      <c r="G2469" s="76"/>
      <c r="H2469" s="76"/>
      <c r="I2469" s="73" t="s">
        <v>366</v>
      </c>
      <c r="J2469" s="76"/>
    </row>
    <row r="2470">
      <c r="A2470" s="74">
        <v>2466.0</v>
      </c>
      <c r="B2470" s="73" t="s">
        <v>1984</v>
      </c>
      <c r="C2470" s="74">
        <v>9.00958055E8</v>
      </c>
      <c r="D2470" s="73" t="s">
        <v>2937</v>
      </c>
      <c r="E2470" s="72">
        <v>71.0</v>
      </c>
      <c r="F2470" s="75">
        <v>42482.0</v>
      </c>
      <c r="G2470" s="76"/>
      <c r="H2470" s="76"/>
      <c r="I2470" s="73" t="s">
        <v>366</v>
      </c>
      <c r="J2470" s="76"/>
    </row>
    <row r="2471">
      <c r="A2471" s="74">
        <v>2467.0</v>
      </c>
      <c r="B2471" s="73" t="s">
        <v>1984</v>
      </c>
      <c r="C2471" s="74">
        <v>9.00918141E8</v>
      </c>
      <c r="D2471" s="73" t="s">
        <v>2938</v>
      </c>
      <c r="E2471" s="72">
        <v>285.0</v>
      </c>
      <c r="F2471" s="75">
        <v>42492.0</v>
      </c>
      <c r="G2471" s="76"/>
      <c r="H2471" s="76"/>
      <c r="I2471" s="73" t="s">
        <v>366</v>
      </c>
      <c r="J2471" s="76"/>
    </row>
    <row r="2472">
      <c r="A2472" s="74">
        <v>2468.0</v>
      </c>
      <c r="B2472" s="73" t="s">
        <v>1984</v>
      </c>
      <c r="C2472" s="74">
        <v>9.00838818E8</v>
      </c>
      <c r="D2472" s="73" t="s">
        <v>2939</v>
      </c>
      <c r="E2472" s="72">
        <v>296.0</v>
      </c>
      <c r="F2472" s="75">
        <v>42495.0</v>
      </c>
      <c r="G2472" s="76"/>
      <c r="H2472" s="76"/>
      <c r="I2472" s="73" t="s">
        <v>366</v>
      </c>
      <c r="J2472" s="76"/>
    </row>
    <row r="2473">
      <c r="A2473" s="74">
        <v>2469.0</v>
      </c>
      <c r="B2473" s="73" t="s">
        <v>1984</v>
      </c>
      <c r="C2473" s="74">
        <v>9.00906497E8</v>
      </c>
      <c r="D2473" s="73" t="s">
        <v>2940</v>
      </c>
      <c r="E2473" s="72">
        <v>295.0</v>
      </c>
      <c r="F2473" s="75">
        <v>42495.0</v>
      </c>
      <c r="G2473" s="76"/>
      <c r="H2473" s="76"/>
      <c r="I2473" s="73" t="s">
        <v>366</v>
      </c>
      <c r="J2473" s="76"/>
    </row>
    <row r="2474">
      <c r="A2474" s="74">
        <v>2470.0</v>
      </c>
      <c r="B2474" s="73" t="s">
        <v>1984</v>
      </c>
      <c r="C2474" s="74">
        <v>9.00940494E8</v>
      </c>
      <c r="D2474" s="73" t="s">
        <v>2941</v>
      </c>
      <c r="E2474" s="72">
        <v>398.0</v>
      </c>
      <c r="F2474" s="75">
        <v>42552.0</v>
      </c>
      <c r="G2474" s="76"/>
      <c r="H2474" s="76"/>
      <c r="I2474" s="73" t="s">
        <v>366</v>
      </c>
      <c r="J2474" s="76"/>
    </row>
    <row r="2475">
      <c r="A2475" s="74">
        <v>2471.0</v>
      </c>
      <c r="B2475" s="73" t="s">
        <v>1984</v>
      </c>
      <c r="C2475" s="74">
        <v>9.00836827E8</v>
      </c>
      <c r="D2475" s="73" t="s">
        <v>2942</v>
      </c>
      <c r="E2475" s="72">
        <v>3217.0</v>
      </c>
      <c r="F2475" s="75">
        <v>42586.0</v>
      </c>
      <c r="G2475" s="76"/>
      <c r="H2475" s="76"/>
      <c r="I2475" s="73" t="s">
        <v>366</v>
      </c>
      <c r="J2475" s="76"/>
    </row>
    <row r="2476">
      <c r="A2476" s="74">
        <v>2472.0</v>
      </c>
      <c r="B2476" s="73" t="s">
        <v>1984</v>
      </c>
      <c r="C2476" s="74">
        <v>9.00844985E8</v>
      </c>
      <c r="D2476" s="73" t="s">
        <v>2943</v>
      </c>
      <c r="E2476" s="72">
        <v>497.0</v>
      </c>
      <c r="F2476" s="75">
        <v>42605.0</v>
      </c>
      <c r="G2476" s="76"/>
      <c r="H2476" s="76"/>
      <c r="I2476" s="73" t="s">
        <v>366</v>
      </c>
      <c r="J2476" s="76"/>
    </row>
    <row r="2477">
      <c r="A2477" s="85">
        <v>2473.0</v>
      </c>
      <c r="B2477" s="79" t="s">
        <v>1984</v>
      </c>
      <c r="C2477" s="80">
        <v>9.00885699E8</v>
      </c>
      <c r="D2477" s="79" t="s">
        <v>2944</v>
      </c>
      <c r="E2477" s="81">
        <v>498.0</v>
      </c>
      <c r="F2477" s="84">
        <v>42605.0</v>
      </c>
      <c r="G2477" s="83"/>
      <c r="H2477" s="83"/>
      <c r="I2477" s="73" t="s">
        <v>366</v>
      </c>
      <c r="J2477" s="76"/>
    </row>
    <row r="2478">
      <c r="A2478" s="74">
        <v>2474.0</v>
      </c>
      <c r="B2478" s="73" t="s">
        <v>1984</v>
      </c>
      <c r="C2478" s="74">
        <v>9.00634325E8</v>
      </c>
      <c r="D2478" s="73" t="s">
        <v>2945</v>
      </c>
      <c r="E2478" s="72">
        <v>564.0</v>
      </c>
      <c r="F2478" s="75">
        <v>42634.0</v>
      </c>
      <c r="G2478" s="76"/>
      <c r="H2478" s="76"/>
      <c r="I2478" s="73" t="s">
        <v>366</v>
      </c>
      <c r="J2478" s="76"/>
    </row>
    <row r="2479">
      <c r="A2479" s="74">
        <v>2475.0</v>
      </c>
      <c r="B2479" s="73" t="s">
        <v>1984</v>
      </c>
      <c r="C2479" s="74">
        <v>9.0057097E8</v>
      </c>
      <c r="D2479" s="73" t="s">
        <v>2946</v>
      </c>
      <c r="E2479" s="72">
        <v>623.0</v>
      </c>
      <c r="F2479" s="77">
        <v>42663.0</v>
      </c>
      <c r="G2479" s="76"/>
      <c r="H2479" s="76"/>
      <c r="I2479" s="73" t="s">
        <v>366</v>
      </c>
      <c r="J2479" s="76"/>
    </row>
    <row r="2480">
      <c r="A2480" s="74">
        <v>2476.0</v>
      </c>
      <c r="B2480" s="73" t="s">
        <v>1984</v>
      </c>
      <c r="C2480" s="74">
        <v>9.00788547E8</v>
      </c>
      <c r="D2480" s="73" t="s">
        <v>2947</v>
      </c>
      <c r="E2480" s="72">
        <v>628.0</v>
      </c>
      <c r="F2480" s="77">
        <v>42674.0</v>
      </c>
      <c r="G2480" s="76"/>
      <c r="H2480" s="76"/>
      <c r="I2480" s="73" t="s">
        <v>366</v>
      </c>
      <c r="J2480" s="76"/>
    </row>
    <row r="2481">
      <c r="A2481" s="74">
        <v>2477.0</v>
      </c>
      <c r="B2481" s="73" t="s">
        <v>1984</v>
      </c>
      <c r="C2481" s="74">
        <v>9.0025106E8</v>
      </c>
      <c r="D2481" s="73" t="s">
        <v>2948</v>
      </c>
      <c r="E2481" s="72">
        <v>637.0</v>
      </c>
      <c r="F2481" s="77">
        <v>42682.0</v>
      </c>
      <c r="G2481" s="76"/>
      <c r="H2481" s="76"/>
      <c r="I2481" s="73" t="s">
        <v>366</v>
      </c>
      <c r="J2481" s="76"/>
    </row>
    <row r="2482">
      <c r="A2482" s="74">
        <v>2478.0</v>
      </c>
      <c r="B2482" s="73" t="s">
        <v>1984</v>
      </c>
      <c r="C2482" s="74">
        <v>9.00845624E8</v>
      </c>
      <c r="D2482" s="73" t="s">
        <v>2949</v>
      </c>
      <c r="E2482" s="72">
        <v>638.0</v>
      </c>
      <c r="F2482" s="77">
        <v>42683.0</v>
      </c>
      <c r="G2482" s="76"/>
      <c r="H2482" s="76"/>
      <c r="I2482" s="73" t="s">
        <v>366</v>
      </c>
      <c r="J2482" s="76"/>
    </row>
    <row r="2483">
      <c r="A2483" s="74">
        <v>2479.0</v>
      </c>
      <c r="B2483" s="73" t="s">
        <v>1984</v>
      </c>
      <c r="C2483" s="74">
        <v>9.0088245E8</v>
      </c>
      <c r="D2483" s="73" t="s">
        <v>2950</v>
      </c>
      <c r="E2483" s="72">
        <v>640.0</v>
      </c>
      <c r="F2483" s="77">
        <v>42690.0</v>
      </c>
      <c r="G2483" s="76"/>
      <c r="H2483" s="76"/>
      <c r="I2483" s="73" t="s">
        <v>366</v>
      </c>
      <c r="J2483" s="76"/>
    </row>
    <row r="2484">
      <c r="A2484" s="74">
        <v>2480.0</v>
      </c>
      <c r="B2484" s="73" t="s">
        <v>1984</v>
      </c>
      <c r="C2484" s="74">
        <v>9.00913877E8</v>
      </c>
      <c r="D2484" s="73" t="s">
        <v>2951</v>
      </c>
      <c r="E2484" s="72">
        <v>675.0</v>
      </c>
      <c r="F2484" s="77">
        <v>42704.0</v>
      </c>
      <c r="G2484" s="76"/>
      <c r="H2484" s="76"/>
      <c r="I2484" s="73" t="s">
        <v>366</v>
      </c>
      <c r="J2484" s="76"/>
    </row>
    <row r="2485">
      <c r="A2485" s="74">
        <v>2481.0</v>
      </c>
      <c r="B2485" s="73" t="s">
        <v>1984</v>
      </c>
      <c r="C2485" s="74">
        <v>9.01001085E8</v>
      </c>
      <c r="D2485" s="73" t="s">
        <v>2952</v>
      </c>
      <c r="E2485" s="72">
        <v>740.0</v>
      </c>
      <c r="F2485" s="77">
        <v>42711.0</v>
      </c>
      <c r="G2485" s="76"/>
      <c r="H2485" s="76"/>
      <c r="I2485" s="73" t="s">
        <v>366</v>
      </c>
      <c r="J2485" s="76"/>
    </row>
    <row r="2486">
      <c r="A2486" s="74">
        <v>2482.0</v>
      </c>
      <c r="B2486" s="73" t="s">
        <v>1984</v>
      </c>
      <c r="C2486" s="74">
        <v>8.00167185E8</v>
      </c>
      <c r="D2486" s="73" t="s">
        <v>2953</v>
      </c>
      <c r="E2486" s="72">
        <v>748.0</v>
      </c>
      <c r="F2486" s="77">
        <v>42724.0</v>
      </c>
      <c r="G2486" s="76"/>
      <c r="H2486" s="76"/>
      <c r="I2486" s="73" t="s">
        <v>366</v>
      </c>
      <c r="J2486" s="76"/>
    </row>
    <row r="2487">
      <c r="A2487" s="74">
        <v>2483.0</v>
      </c>
      <c r="B2487" s="73" t="s">
        <v>1984</v>
      </c>
      <c r="C2487" s="74">
        <v>9.0021314E8</v>
      </c>
      <c r="D2487" s="73" t="s">
        <v>2954</v>
      </c>
      <c r="E2487" s="72">
        <v>758.0</v>
      </c>
      <c r="F2487" s="77">
        <v>42726.0</v>
      </c>
      <c r="G2487" s="76"/>
      <c r="H2487" s="76"/>
      <c r="I2487" s="73" t="s">
        <v>366</v>
      </c>
      <c r="J2487" s="76"/>
    </row>
    <row r="2488">
      <c r="A2488" s="74">
        <v>2484.0</v>
      </c>
      <c r="B2488" s="73" t="s">
        <v>1984</v>
      </c>
      <c r="C2488" s="74">
        <v>9.01026421E8</v>
      </c>
      <c r="D2488" s="73" t="s">
        <v>2955</v>
      </c>
      <c r="E2488" s="72">
        <v>778.0</v>
      </c>
      <c r="F2488" s="77">
        <v>42731.0</v>
      </c>
      <c r="G2488" s="76"/>
      <c r="H2488" s="76"/>
      <c r="I2488" s="73" t="s">
        <v>366</v>
      </c>
      <c r="J2488" s="76"/>
    </row>
    <row r="2489">
      <c r="A2489" s="74">
        <v>2485.0</v>
      </c>
      <c r="B2489" s="73" t="s">
        <v>1984</v>
      </c>
      <c r="C2489" s="74">
        <v>9.00850482E8</v>
      </c>
      <c r="D2489" s="73" t="s">
        <v>2956</v>
      </c>
      <c r="E2489" s="72">
        <v>115.0</v>
      </c>
      <c r="F2489" s="77">
        <v>42732.0</v>
      </c>
      <c r="G2489" s="76"/>
      <c r="H2489" s="76"/>
      <c r="I2489" s="73" t="s">
        <v>366</v>
      </c>
      <c r="J2489" s="76"/>
    </row>
    <row r="2490">
      <c r="A2490" s="74">
        <v>2486.0</v>
      </c>
      <c r="B2490" s="73" t="s">
        <v>1984</v>
      </c>
      <c r="C2490" s="74">
        <v>9.00687495E8</v>
      </c>
      <c r="D2490" s="73" t="s">
        <v>2957</v>
      </c>
      <c r="E2490" s="72">
        <v>10.0</v>
      </c>
      <c r="F2490" s="75">
        <v>42748.0</v>
      </c>
      <c r="G2490" s="76"/>
      <c r="H2490" s="76"/>
      <c r="I2490" s="73" t="s">
        <v>366</v>
      </c>
      <c r="J2490" s="76"/>
    </row>
    <row r="2491">
      <c r="A2491" s="74">
        <v>2487.0</v>
      </c>
      <c r="B2491" s="73" t="s">
        <v>1984</v>
      </c>
      <c r="C2491" s="74">
        <v>9.00608828E8</v>
      </c>
      <c r="D2491" s="73" t="s">
        <v>2958</v>
      </c>
      <c r="E2491" s="72">
        <v>24.0</v>
      </c>
      <c r="F2491" s="75">
        <v>42758.0</v>
      </c>
      <c r="G2491" s="76"/>
      <c r="H2491" s="76"/>
      <c r="I2491" s="73" t="s">
        <v>366</v>
      </c>
      <c r="J2491" s="76"/>
    </row>
    <row r="2492">
      <c r="A2492" s="74">
        <v>2488.0</v>
      </c>
      <c r="B2492" s="73" t="s">
        <v>1984</v>
      </c>
      <c r="C2492" s="74">
        <v>9.00853748E8</v>
      </c>
      <c r="D2492" s="73" t="s">
        <v>2959</v>
      </c>
      <c r="E2492" s="72">
        <v>51.0</v>
      </c>
      <c r="F2492" s="75">
        <v>42774.0</v>
      </c>
      <c r="G2492" s="76"/>
      <c r="H2492" s="76"/>
      <c r="I2492" s="73" t="s">
        <v>366</v>
      </c>
      <c r="J2492" s="76"/>
    </row>
    <row r="2493">
      <c r="A2493" s="74">
        <v>2489.0</v>
      </c>
      <c r="B2493" s="73" t="s">
        <v>1984</v>
      </c>
      <c r="C2493" s="74">
        <v>9.01051109E8</v>
      </c>
      <c r="D2493" s="73" t="s">
        <v>2960</v>
      </c>
      <c r="E2493" s="72">
        <v>9.0</v>
      </c>
      <c r="F2493" s="75">
        <v>42789.0</v>
      </c>
      <c r="G2493" s="76"/>
      <c r="H2493" s="76"/>
      <c r="I2493" s="73" t="s">
        <v>366</v>
      </c>
      <c r="J2493" s="76"/>
    </row>
    <row r="2494">
      <c r="A2494" s="74">
        <v>2490.0</v>
      </c>
      <c r="B2494" s="73" t="s">
        <v>1984</v>
      </c>
      <c r="C2494" s="74">
        <v>8.30029582E8</v>
      </c>
      <c r="D2494" s="73" t="s">
        <v>2961</v>
      </c>
      <c r="E2494" s="72">
        <v>218.0</v>
      </c>
      <c r="F2494" s="75">
        <v>42821.0</v>
      </c>
      <c r="G2494" s="76"/>
      <c r="H2494" s="76"/>
      <c r="I2494" s="73" t="s">
        <v>366</v>
      </c>
      <c r="J2494" s="76"/>
    </row>
    <row r="2495">
      <c r="A2495" s="74">
        <v>2491.0</v>
      </c>
      <c r="B2495" s="73" t="s">
        <v>1984</v>
      </c>
      <c r="C2495" s="74">
        <v>9.00542265E8</v>
      </c>
      <c r="D2495" s="73" t="s">
        <v>2962</v>
      </c>
      <c r="E2495" s="72">
        <v>216.0</v>
      </c>
      <c r="F2495" s="75">
        <v>42821.0</v>
      </c>
      <c r="G2495" s="76"/>
      <c r="H2495" s="76"/>
      <c r="I2495" s="73" t="s">
        <v>366</v>
      </c>
      <c r="J2495" s="76"/>
    </row>
    <row r="2496">
      <c r="A2496" s="74">
        <v>2492.0</v>
      </c>
      <c r="B2496" s="73" t="s">
        <v>1984</v>
      </c>
      <c r="C2496" s="74">
        <v>9.01044217E8</v>
      </c>
      <c r="D2496" s="73" t="s">
        <v>2963</v>
      </c>
      <c r="E2496" s="72">
        <v>215.0</v>
      </c>
      <c r="F2496" s="75">
        <v>42821.0</v>
      </c>
      <c r="G2496" s="76"/>
      <c r="H2496" s="76"/>
      <c r="I2496" s="73" t="s">
        <v>366</v>
      </c>
      <c r="J2496" s="76"/>
    </row>
    <row r="2497">
      <c r="A2497" s="74">
        <v>2493.0</v>
      </c>
      <c r="B2497" s="73" t="s">
        <v>1984</v>
      </c>
      <c r="C2497" s="74">
        <v>9.00315006E8</v>
      </c>
      <c r="D2497" s="73" t="s">
        <v>2964</v>
      </c>
      <c r="E2497" s="72">
        <v>234.0</v>
      </c>
      <c r="F2497" s="75">
        <v>42831.0</v>
      </c>
      <c r="G2497" s="76"/>
      <c r="H2497" s="76"/>
      <c r="I2497" s="73" t="s">
        <v>366</v>
      </c>
      <c r="J2497" s="76"/>
    </row>
    <row r="2498">
      <c r="A2498" s="74">
        <v>2494.0</v>
      </c>
      <c r="B2498" s="73" t="s">
        <v>1984</v>
      </c>
      <c r="C2498" s="74">
        <v>9.00352742E8</v>
      </c>
      <c r="D2498" s="73" t="s">
        <v>2965</v>
      </c>
      <c r="E2498" s="72">
        <v>250.0</v>
      </c>
      <c r="F2498" s="75">
        <v>42846.0</v>
      </c>
      <c r="G2498" s="76"/>
      <c r="H2498" s="76"/>
      <c r="I2498" s="73" t="s">
        <v>366</v>
      </c>
      <c r="J2498" s="76"/>
    </row>
    <row r="2499">
      <c r="A2499" s="74">
        <v>2495.0</v>
      </c>
      <c r="B2499" s="73" t="s">
        <v>1984</v>
      </c>
      <c r="C2499" s="74">
        <v>9.00470772E8</v>
      </c>
      <c r="D2499" s="73" t="s">
        <v>2966</v>
      </c>
      <c r="E2499" s="72">
        <v>249.0</v>
      </c>
      <c r="F2499" s="75">
        <v>42846.0</v>
      </c>
      <c r="G2499" s="76"/>
      <c r="H2499" s="76"/>
      <c r="I2499" s="73" t="s">
        <v>366</v>
      </c>
      <c r="J2499" s="76"/>
    </row>
    <row r="2500">
      <c r="A2500" s="74">
        <v>2496.0</v>
      </c>
      <c r="B2500" s="73" t="s">
        <v>1984</v>
      </c>
      <c r="C2500" s="74">
        <v>9.00709502E8</v>
      </c>
      <c r="D2500" s="73" t="s">
        <v>2967</v>
      </c>
      <c r="E2500" s="72">
        <v>260.0</v>
      </c>
      <c r="F2500" s="75">
        <v>42858.0</v>
      </c>
      <c r="G2500" s="76"/>
      <c r="H2500" s="76"/>
      <c r="I2500" s="73" t="s">
        <v>366</v>
      </c>
      <c r="J2500" s="76"/>
    </row>
    <row r="2501">
      <c r="A2501" s="74">
        <v>2497.0</v>
      </c>
      <c r="B2501" s="73" t="s">
        <v>1984</v>
      </c>
      <c r="C2501" s="74">
        <v>8.30099803E8</v>
      </c>
      <c r="D2501" s="73" t="s">
        <v>2968</v>
      </c>
      <c r="E2501" s="72">
        <v>266.0</v>
      </c>
      <c r="F2501" s="75">
        <v>42863.0</v>
      </c>
      <c r="G2501" s="76"/>
      <c r="H2501" s="76"/>
      <c r="I2501" s="73" t="s">
        <v>366</v>
      </c>
      <c r="J2501" s="76"/>
    </row>
    <row r="2502">
      <c r="A2502" s="74">
        <v>2498.0</v>
      </c>
      <c r="B2502" s="73" t="s">
        <v>1984</v>
      </c>
      <c r="C2502" s="74">
        <v>9.00970439E8</v>
      </c>
      <c r="D2502" s="73" t="s">
        <v>2969</v>
      </c>
      <c r="E2502" s="72">
        <v>265.0</v>
      </c>
      <c r="F2502" s="75">
        <v>42863.0</v>
      </c>
      <c r="G2502" s="76"/>
      <c r="H2502" s="76"/>
      <c r="I2502" s="73" t="s">
        <v>366</v>
      </c>
      <c r="J2502" s="76"/>
    </row>
    <row r="2503">
      <c r="A2503" s="74">
        <v>2499.0</v>
      </c>
      <c r="B2503" s="73" t="s">
        <v>1984</v>
      </c>
      <c r="C2503" s="74">
        <v>9.01083265E8</v>
      </c>
      <c r="D2503" s="73" t="s">
        <v>2970</v>
      </c>
      <c r="E2503" s="72">
        <v>70.0</v>
      </c>
      <c r="F2503" s="75">
        <v>42895.0</v>
      </c>
      <c r="G2503" s="76"/>
      <c r="H2503" s="76"/>
      <c r="I2503" s="73" t="s">
        <v>366</v>
      </c>
      <c r="J2503" s="76"/>
    </row>
    <row r="2504">
      <c r="A2504" s="74">
        <v>2500.0</v>
      </c>
      <c r="B2504" s="73" t="s">
        <v>1984</v>
      </c>
      <c r="C2504" s="74">
        <v>8.30026187E8</v>
      </c>
      <c r="D2504" s="73" t="s">
        <v>2971</v>
      </c>
      <c r="E2504" s="72">
        <v>337.0</v>
      </c>
      <c r="F2504" s="75">
        <v>42899.0</v>
      </c>
      <c r="G2504" s="76"/>
      <c r="H2504" s="76"/>
      <c r="I2504" s="73" t="s">
        <v>366</v>
      </c>
      <c r="J2504" s="76"/>
    </row>
    <row r="2505">
      <c r="A2505" s="74">
        <v>2501.0</v>
      </c>
      <c r="B2505" s="73" t="s">
        <v>1984</v>
      </c>
      <c r="C2505" s="74">
        <v>8.30026187E8</v>
      </c>
      <c r="D2505" s="73" t="s">
        <v>2972</v>
      </c>
      <c r="E2505" s="72">
        <v>337.0</v>
      </c>
      <c r="F2505" s="75">
        <v>42899.0</v>
      </c>
      <c r="G2505" s="76"/>
      <c r="H2505" s="76"/>
      <c r="I2505" s="73" t="s">
        <v>366</v>
      </c>
      <c r="J2505" s="76"/>
    </row>
    <row r="2506">
      <c r="A2506" s="74">
        <v>2502.0</v>
      </c>
      <c r="B2506" s="73" t="s">
        <v>1984</v>
      </c>
      <c r="C2506" s="74">
        <v>9.00906181E8</v>
      </c>
      <c r="D2506" s="73" t="s">
        <v>2973</v>
      </c>
      <c r="E2506" s="72">
        <v>111.0</v>
      </c>
      <c r="F2506" s="75">
        <v>42914.0</v>
      </c>
      <c r="G2506" s="76"/>
      <c r="H2506" s="76"/>
      <c r="I2506" s="73" t="s">
        <v>366</v>
      </c>
      <c r="J2506" s="76"/>
    </row>
    <row r="2507">
      <c r="A2507" s="74">
        <v>2503.0</v>
      </c>
      <c r="B2507" s="73" t="s">
        <v>1984</v>
      </c>
      <c r="C2507" s="74">
        <v>9.00517405E8</v>
      </c>
      <c r="D2507" s="73" t="s">
        <v>2974</v>
      </c>
      <c r="E2507" s="72">
        <v>365.0</v>
      </c>
      <c r="F2507" s="75">
        <v>42916.0</v>
      </c>
      <c r="G2507" s="76"/>
      <c r="H2507" s="76"/>
      <c r="I2507" s="73" t="s">
        <v>366</v>
      </c>
      <c r="J2507" s="76"/>
    </row>
    <row r="2508">
      <c r="A2508" s="74">
        <v>2504.0</v>
      </c>
      <c r="B2508" s="73" t="s">
        <v>1984</v>
      </c>
      <c r="C2508" s="74">
        <v>9.00702986E8</v>
      </c>
      <c r="D2508" s="73" t="s">
        <v>2975</v>
      </c>
      <c r="E2508" s="72">
        <v>364.0</v>
      </c>
      <c r="F2508" s="75">
        <v>42916.0</v>
      </c>
      <c r="G2508" s="76"/>
      <c r="H2508" s="76"/>
      <c r="I2508" s="73" t="s">
        <v>366</v>
      </c>
      <c r="J2508" s="76"/>
    </row>
    <row r="2509">
      <c r="A2509" s="74">
        <v>2505.0</v>
      </c>
      <c r="B2509" s="73" t="s">
        <v>1984</v>
      </c>
      <c r="C2509" s="74">
        <v>9.00405622E8</v>
      </c>
      <c r="D2509" s="73" t="s">
        <v>2976</v>
      </c>
      <c r="E2509" s="72">
        <v>129.0</v>
      </c>
      <c r="F2509" s="75">
        <v>42931.0</v>
      </c>
      <c r="G2509" s="76"/>
      <c r="H2509" s="76"/>
      <c r="I2509" s="73" t="s">
        <v>366</v>
      </c>
      <c r="J2509" s="76"/>
    </row>
    <row r="2510">
      <c r="A2510" s="74">
        <v>2506.0</v>
      </c>
      <c r="B2510" s="73" t="s">
        <v>1984</v>
      </c>
      <c r="C2510" s="74">
        <v>8.600259E8</v>
      </c>
      <c r="D2510" s="73" t="s">
        <v>2977</v>
      </c>
      <c r="E2510" s="72">
        <v>472.0</v>
      </c>
      <c r="F2510" s="75">
        <v>42964.0</v>
      </c>
      <c r="G2510" s="76"/>
      <c r="H2510" s="76"/>
      <c r="I2510" s="73" t="s">
        <v>366</v>
      </c>
      <c r="J2510" s="76"/>
    </row>
    <row r="2511">
      <c r="A2511" s="74">
        <v>2507.0</v>
      </c>
      <c r="B2511" s="73" t="s">
        <v>1984</v>
      </c>
      <c r="C2511" s="74">
        <v>9.00840885E8</v>
      </c>
      <c r="D2511" s="73" t="s">
        <v>2978</v>
      </c>
      <c r="E2511" s="72">
        <v>487.0</v>
      </c>
      <c r="F2511" s="75">
        <v>42975.0</v>
      </c>
      <c r="G2511" s="76"/>
      <c r="H2511" s="76"/>
      <c r="I2511" s="73" t="s">
        <v>366</v>
      </c>
      <c r="J2511" s="76"/>
    </row>
    <row r="2512">
      <c r="A2512" s="74">
        <v>2508.0</v>
      </c>
      <c r="B2512" s="73" t="s">
        <v>1984</v>
      </c>
      <c r="C2512" s="74">
        <v>9.0092803E8</v>
      </c>
      <c r="D2512" s="73" t="s">
        <v>2979</v>
      </c>
      <c r="E2512" s="72">
        <v>485.0</v>
      </c>
      <c r="F2512" s="75">
        <v>42975.0</v>
      </c>
      <c r="G2512" s="76"/>
      <c r="H2512" s="76"/>
      <c r="I2512" s="73" t="s">
        <v>366</v>
      </c>
      <c r="J2512" s="76"/>
    </row>
    <row r="2513">
      <c r="A2513" s="74">
        <v>2509.0</v>
      </c>
      <c r="B2513" s="73" t="s">
        <v>1984</v>
      </c>
      <c r="C2513" s="74">
        <v>9.00751327E8</v>
      </c>
      <c r="D2513" s="73" t="s">
        <v>2980</v>
      </c>
      <c r="E2513" s="72">
        <v>503.0</v>
      </c>
      <c r="F2513" s="75">
        <v>42986.0</v>
      </c>
      <c r="G2513" s="76"/>
      <c r="H2513" s="76"/>
      <c r="I2513" s="73" t="s">
        <v>366</v>
      </c>
      <c r="J2513" s="76"/>
    </row>
    <row r="2514">
      <c r="A2514" s="74">
        <v>2510.0</v>
      </c>
      <c r="B2514" s="73" t="s">
        <v>1984</v>
      </c>
      <c r="C2514" s="74">
        <v>9.01028772E8</v>
      </c>
      <c r="D2514" s="73" t="s">
        <v>2981</v>
      </c>
      <c r="E2514" s="72">
        <v>582.0</v>
      </c>
      <c r="F2514" s="77">
        <v>43014.0</v>
      </c>
      <c r="G2514" s="76"/>
      <c r="H2514" s="76"/>
      <c r="I2514" s="73" t="s">
        <v>366</v>
      </c>
      <c r="J2514" s="76"/>
    </row>
    <row r="2515">
      <c r="A2515" s="74">
        <v>2511.0</v>
      </c>
      <c r="B2515" s="73" t="s">
        <v>1984</v>
      </c>
      <c r="C2515" s="74">
        <v>9.00539196E8</v>
      </c>
      <c r="D2515" s="73" t="s">
        <v>2982</v>
      </c>
      <c r="E2515" s="72">
        <v>627.0</v>
      </c>
      <c r="F2515" s="77">
        <v>43047.0</v>
      </c>
      <c r="G2515" s="76"/>
      <c r="H2515" s="76"/>
      <c r="I2515" s="73" t="s">
        <v>366</v>
      </c>
      <c r="J2515" s="76"/>
    </row>
    <row r="2516">
      <c r="A2516" s="74">
        <v>2512.0</v>
      </c>
      <c r="B2516" s="73" t="s">
        <v>1984</v>
      </c>
      <c r="C2516" s="74">
        <v>9.01002573E8</v>
      </c>
      <c r="D2516" s="73" t="s">
        <v>2983</v>
      </c>
      <c r="E2516" s="72">
        <v>631.0</v>
      </c>
      <c r="F2516" s="77">
        <v>43048.0</v>
      </c>
      <c r="G2516" s="76"/>
      <c r="H2516" s="76"/>
      <c r="I2516" s="73" t="s">
        <v>366</v>
      </c>
      <c r="J2516" s="76"/>
    </row>
    <row r="2517">
      <c r="A2517" s="74">
        <v>2513.0</v>
      </c>
      <c r="B2517" s="73" t="s">
        <v>1984</v>
      </c>
      <c r="C2517" s="74">
        <v>9.00992583E8</v>
      </c>
      <c r="D2517" s="73" t="s">
        <v>2984</v>
      </c>
      <c r="E2517" s="72">
        <v>643.0</v>
      </c>
      <c r="F2517" s="77">
        <v>43055.0</v>
      </c>
      <c r="G2517" s="76"/>
      <c r="H2517" s="76"/>
      <c r="I2517" s="73" t="s">
        <v>366</v>
      </c>
      <c r="J2517" s="76"/>
    </row>
    <row r="2518">
      <c r="A2518" s="74">
        <v>2514.0</v>
      </c>
      <c r="B2518" s="73" t="s">
        <v>1984</v>
      </c>
      <c r="C2518" s="74">
        <v>8.30012843E8</v>
      </c>
      <c r="D2518" s="73" t="s">
        <v>2985</v>
      </c>
      <c r="E2518" s="72">
        <v>644.0</v>
      </c>
      <c r="F2518" s="77">
        <v>43056.0</v>
      </c>
      <c r="G2518" s="76"/>
      <c r="H2518" s="76"/>
      <c r="I2518" s="73" t="s">
        <v>366</v>
      </c>
      <c r="J2518" s="76"/>
    </row>
    <row r="2519">
      <c r="A2519" s="74">
        <v>2515.0</v>
      </c>
      <c r="B2519" s="73" t="s">
        <v>1984</v>
      </c>
      <c r="C2519" s="74">
        <v>9.00462224E8</v>
      </c>
      <c r="D2519" s="73" t="s">
        <v>2986</v>
      </c>
      <c r="E2519" s="72">
        <v>666.0</v>
      </c>
      <c r="F2519" s="77">
        <v>43067.0</v>
      </c>
      <c r="G2519" s="76"/>
      <c r="H2519" s="76"/>
      <c r="I2519" s="73" t="s">
        <v>366</v>
      </c>
      <c r="J2519" s="76"/>
    </row>
    <row r="2520">
      <c r="A2520" s="74">
        <v>2516.0</v>
      </c>
      <c r="B2520" s="73" t="s">
        <v>1984</v>
      </c>
      <c r="C2520" s="74">
        <v>9.00128917E8</v>
      </c>
      <c r="D2520" s="73" t="s">
        <v>2987</v>
      </c>
      <c r="E2520" s="72">
        <v>670.0</v>
      </c>
      <c r="F2520" s="77">
        <v>43070.0</v>
      </c>
      <c r="G2520" s="76"/>
      <c r="H2520" s="76"/>
      <c r="I2520" s="73" t="s">
        <v>366</v>
      </c>
      <c r="J2520" s="76"/>
    </row>
    <row r="2521">
      <c r="A2521" s="74">
        <v>2517.0</v>
      </c>
      <c r="B2521" s="73" t="s">
        <v>1984</v>
      </c>
      <c r="C2521" s="74">
        <v>9.00348324E8</v>
      </c>
      <c r="D2521" s="73" t="s">
        <v>2988</v>
      </c>
      <c r="E2521" s="72">
        <v>690.0</v>
      </c>
      <c r="F2521" s="77">
        <v>43082.0</v>
      </c>
      <c r="G2521" s="76"/>
      <c r="H2521" s="76"/>
      <c r="I2521" s="73" t="s">
        <v>366</v>
      </c>
      <c r="J2521" s="76"/>
    </row>
    <row r="2522">
      <c r="A2522" s="74">
        <v>2518.0</v>
      </c>
      <c r="B2522" s="73" t="s">
        <v>1984</v>
      </c>
      <c r="C2522" s="74">
        <v>8.30014567E8</v>
      </c>
      <c r="D2522" s="73" t="s">
        <v>2989</v>
      </c>
      <c r="E2522" s="72">
        <v>695.0</v>
      </c>
      <c r="F2522" s="77">
        <v>43084.0</v>
      </c>
      <c r="G2522" s="76"/>
      <c r="H2522" s="76"/>
      <c r="I2522" s="73" t="s">
        <v>366</v>
      </c>
      <c r="J2522" s="76"/>
    </row>
    <row r="2523">
      <c r="A2523" s="74">
        <v>2519.0</v>
      </c>
      <c r="B2523" s="73" t="s">
        <v>1984</v>
      </c>
      <c r="C2523" s="74">
        <v>9.00836835E8</v>
      </c>
      <c r="D2523" s="73" t="s">
        <v>2990</v>
      </c>
      <c r="E2523" s="72">
        <v>713.0</v>
      </c>
      <c r="F2523" s="77">
        <v>43091.0</v>
      </c>
      <c r="G2523" s="76"/>
      <c r="H2523" s="76"/>
      <c r="I2523" s="73" t="s">
        <v>366</v>
      </c>
      <c r="J2523" s="76"/>
    </row>
    <row r="2524">
      <c r="A2524" s="74">
        <v>2520.0</v>
      </c>
      <c r="B2524" s="73" t="s">
        <v>1984</v>
      </c>
      <c r="C2524" s="74">
        <v>9.01056044E8</v>
      </c>
      <c r="D2524" s="73" t="s">
        <v>2991</v>
      </c>
      <c r="E2524" s="72">
        <v>712.0</v>
      </c>
      <c r="F2524" s="77">
        <v>43091.0</v>
      </c>
      <c r="G2524" s="76"/>
      <c r="H2524" s="76"/>
      <c r="I2524" s="73" t="s">
        <v>366</v>
      </c>
      <c r="J2524" s="76"/>
    </row>
    <row r="2525">
      <c r="A2525" s="74">
        <v>2521.0</v>
      </c>
      <c r="B2525" s="73" t="s">
        <v>1984</v>
      </c>
      <c r="C2525" s="74">
        <v>9.01033259E8</v>
      </c>
      <c r="D2525" s="73" t="s">
        <v>2992</v>
      </c>
      <c r="E2525" s="72">
        <v>38.0</v>
      </c>
      <c r="F2525" s="75">
        <v>43119.0</v>
      </c>
      <c r="G2525" s="76"/>
      <c r="H2525" s="76"/>
      <c r="I2525" s="73" t="s">
        <v>366</v>
      </c>
      <c r="J2525" s="76"/>
    </row>
    <row r="2526">
      <c r="A2526" s="74">
        <v>2522.0</v>
      </c>
      <c r="B2526" s="73" t="s">
        <v>1984</v>
      </c>
      <c r="C2526" s="74">
        <v>9.01129424E8</v>
      </c>
      <c r="D2526" s="73" t="s">
        <v>2993</v>
      </c>
      <c r="E2526" s="72">
        <v>61.0</v>
      </c>
      <c r="F2526" s="75">
        <v>43132.0</v>
      </c>
      <c r="G2526" s="76"/>
      <c r="H2526" s="76"/>
      <c r="I2526" s="73" t="s">
        <v>366</v>
      </c>
      <c r="J2526" s="76"/>
    </row>
    <row r="2527">
      <c r="A2527" s="74">
        <v>2523.0</v>
      </c>
      <c r="B2527" s="73" t="s">
        <v>1984</v>
      </c>
      <c r="C2527" s="74">
        <v>9.01134692E8</v>
      </c>
      <c r="D2527" s="73" t="s">
        <v>2994</v>
      </c>
      <c r="E2527" s="72">
        <v>9.0</v>
      </c>
      <c r="F2527" s="75">
        <v>43136.0</v>
      </c>
      <c r="G2527" s="76"/>
      <c r="H2527" s="76"/>
      <c r="I2527" s="73" t="s">
        <v>366</v>
      </c>
      <c r="J2527" s="76"/>
    </row>
    <row r="2528">
      <c r="A2528" s="74">
        <v>2524.0</v>
      </c>
      <c r="B2528" s="73" t="s">
        <v>1984</v>
      </c>
      <c r="C2528" s="74">
        <v>9.00011317E8</v>
      </c>
      <c r="D2528" s="73" t="s">
        <v>2995</v>
      </c>
      <c r="E2528" s="72">
        <v>75.0</v>
      </c>
      <c r="F2528" s="75">
        <v>43137.0</v>
      </c>
      <c r="G2528" s="76"/>
      <c r="H2528" s="76"/>
      <c r="I2528" s="73" t="s">
        <v>366</v>
      </c>
      <c r="J2528" s="76"/>
    </row>
    <row r="2529">
      <c r="A2529" s="74">
        <v>2525.0</v>
      </c>
      <c r="B2529" s="73" t="s">
        <v>1984</v>
      </c>
      <c r="C2529" s="74">
        <v>9.00389855E8</v>
      </c>
      <c r="D2529" s="73" t="s">
        <v>2996</v>
      </c>
      <c r="E2529" s="72">
        <v>89.0</v>
      </c>
      <c r="F2529" s="75">
        <v>43140.0</v>
      </c>
      <c r="G2529" s="76"/>
      <c r="H2529" s="76"/>
      <c r="I2529" s="73" t="s">
        <v>366</v>
      </c>
      <c r="J2529" s="76"/>
    </row>
    <row r="2530">
      <c r="A2530" s="85">
        <v>2526.0</v>
      </c>
      <c r="B2530" s="79" t="s">
        <v>1984</v>
      </c>
      <c r="C2530" s="80">
        <v>8.9060002E8</v>
      </c>
      <c r="D2530" s="79" t="s">
        <v>2997</v>
      </c>
      <c r="E2530" s="81">
        <v>134.0</v>
      </c>
      <c r="F2530" s="84">
        <v>43151.0</v>
      </c>
      <c r="G2530" s="83"/>
      <c r="H2530" s="83"/>
      <c r="I2530" s="73" t="s">
        <v>366</v>
      </c>
      <c r="J2530" s="76"/>
    </row>
    <row r="2531">
      <c r="A2531" s="74">
        <v>2527.0</v>
      </c>
      <c r="B2531" s="73" t="s">
        <v>1984</v>
      </c>
      <c r="C2531" s="74">
        <v>9.00507853E8</v>
      </c>
      <c r="D2531" s="73" t="s">
        <v>2998</v>
      </c>
      <c r="E2531" s="72">
        <v>145.0</v>
      </c>
      <c r="F2531" s="75">
        <v>43153.0</v>
      </c>
      <c r="G2531" s="76"/>
      <c r="H2531" s="76"/>
      <c r="I2531" s="73" t="s">
        <v>366</v>
      </c>
      <c r="J2531" s="76"/>
    </row>
    <row r="2532">
      <c r="A2532" s="74">
        <v>2528.0</v>
      </c>
      <c r="B2532" s="73" t="s">
        <v>1984</v>
      </c>
      <c r="C2532" s="74">
        <v>9.010295E8</v>
      </c>
      <c r="D2532" s="73" t="s">
        <v>2999</v>
      </c>
      <c r="E2532" s="72">
        <v>206.0</v>
      </c>
      <c r="F2532" s="75">
        <v>43172.0</v>
      </c>
      <c r="G2532" s="76"/>
      <c r="H2532" s="76"/>
      <c r="I2532" s="73" t="s">
        <v>366</v>
      </c>
      <c r="J2532" s="76"/>
    </row>
    <row r="2533">
      <c r="A2533" s="74">
        <v>2529.0</v>
      </c>
      <c r="B2533" s="73" t="s">
        <v>1984</v>
      </c>
      <c r="C2533" s="74">
        <v>9.01116347E8</v>
      </c>
      <c r="D2533" s="73" t="s">
        <v>3000</v>
      </c>
      <c r="E2533" s="72">
        <v>240.0</v>
      </c>
      <c r="F2533" s="75">
        <v>43175.0</v>
      </c>
      <c r="G2533" s="76"/>
      <c r="H2533" s="76"/>
      <c r="I2533" s="73" t="s">
        <v>366</v>
      </c>
      <c r="J2533" s="76"/>
    </row>
    <row r="2534">
      <c r="A2534" s="74">
        <v>2530.0</v>
      </c>
      <c r="B2534" s="73" t="s">
        <v>1984</v>
      </c>
      <c r="C2534" s="74">
        <v>9.01163622E8</v>
      </c>
      <c r="D2534" s="73" t="s">
        <v>3001</v>
      </c>
      <c r="E2534" s="72">
        <v>25.0</v>
      </c>
      <c r="F2534" s="75">
        <v>43182.0</v>
      </c>
      <c r="G2534" s="76"/>
      <c r="H2534" s="76"/>
      <c r="I2534" s="73" t="s">
        <v>366</v>
      </c>
      <c r="J2534" s="76"/>
    </row>
    <row r="2535">
      <c r="A2535" s="74">
        <v>2531.0</v>
      </c>
      <c r="B2535" s="73" t="s">
        <v>1984</v>
      </c>
      <c r="C2535" s="74">
        <v>9.01116686E8</v>
      </c>
      <c r="D2535" s="73" t="s">
        <v>3002</v>
      </c>
      <c r="E2535" s="72">
        <v>410.0</v>
      </c>
      <c r="F2535" s="75">
        <v>43209.0</v>
      </c>
      <c r="G2535" s="76"/>
      <c r="H2535" s="76"/>
      <c r="I2535" s="73" t="s">
        <v>366</v>
      </c>
      <c r="J2535" s="76"/>
    </row>
    <row r="2536">
      <c r="A2536" s="74">
        <v>2532.0</v>
      </c>
      <c r="B2536" s="73" t="s">
        <v>1984</v>
      </c>
      <c r="C2536" s="74">
        <v>9.01144165E8</v>
      </c>
      <c r="D2536" s="73" t="s">
        <v>3003</v>
      </c>
      <c r="E2536" s="72">
        <v>423.0</v>
      </c>
      <c r="F2536" s="75">
        <v>43213.0</v>
      </c>
      <c r="G2536" s="76"/>
      <c r="H2536" s="76"/>
      <c r="I2536" s="73" t="s">
        <v>366</v>
      </c>
      <c r="J2536" s="76"/>
    </row>
    <row r="2537">
      <c r="A2537" s="74">
        <v>2533.0</v>
      </c>
      <c r="B2537" s="73" t="s">
        <v>1984</v>
      </c>
      <c r="C2537" s="74">
        <v>9.00204148E8</v>
      </c>
      <c r="D2537" s="73" t="s">
        <v>3004</v>
      </c>
      <c r="E2537" s="72">
        <v>441.0</v>
      </c>
      <c r="F2537" s="75">
        <v>43215.0</v>
      </c>
      <c r="G2537" s="76"/>
      <c r="H2537" s="76"/>
      <c r="I2537" s="73" t="s">
        <v>366</v>
      </c>
      <c r="J2537" s="76"/>
    </row>
    <row r="2538">
      <c r="A2538" s="74">
        <v>2534.0</v>
      </c>
      <c r="B2538" s="73" t="s">
        <v>1984</v>
      </c>
      <c r="C2538" s="74">
        <v>9.00942304E8</v>
      </c>
      <c r="D2538" s="73" t="s">
        <v>3005</v>
      </c>
      <c r="E2538" s="72">
        <v>442.0</v>
      </c>
      <c r="F2538" s="75">
        <v>43215.0</v>
      </c>
      <c r="G2538" s="76"/>
      <c r="H2538" s="76"/>
      <c r="I2538" s="73" t="s">
        <v>366</v>
      </c>
      <c r="J2538" s="76"/>
    </row>
    <row r="2539">
      <c r="A2539" s="74">
        <v>2535.0</v>
      </c>
      <c r="B2539" s="73" t="s">
        <v>1984</v>
      </c>
      <c r="C2539" s="74">
        <v>9.01004104E8</v>
      </c>
      <c r="D2539" s="73" t="s">
        <v>3006</v>
      </c>
      <c r="E2539" s="72">
        <v>443.0</v>
      </c>
      <c r="F2539" s="75">
        <v>43215.0</v>
      </c>
      <c r="G2539" s="76"/>
      <c r="H2539" s="76"/>
      <c r="I2539" s="73" t="s">
        <v>366</v>
      </c>
      <c r="J2539" s="76"/>
    </row>
    <row r="2540">
      <c r="A2540" s="74">
        <v>2536.0</v>
      </c>
      <c r="B2540" s="73" t="s">
        <v>1984</v>
      </c>
      <c r="C2540" s="74">
        <v>9.00110271E8</v>
      </c>
      <c r="D2540" s="73" t="s">
        <v>3007</v>
      </c>
      <c r="E2540" s="72">
        <v>516.0</v>
      </c>
      <c r="F2540" s="75">
        <v>43228.0</v>
      </c>
      <c r="G2540" s="76"/>
      <c r="H2540" s="76"/>
      <c r="I2540" s="73" t="s">
        <v>366</v>
      </c>
      <c r="J2540" s="76"/>
    </row>
    <row r="2541">
      <c r="A2541" s="74">
        <v>2537.0</v>
      </c>
      <c r="B2541" s="73" t="s">
        <v>1984</v>
      </c>
      <c r="C2541" s="74">
        <v>9.00488394E8</v>
      </c>
      <c r="D2541" s="73" t="s">
        <v>3008</v>
      </c>
      <c r="E2541" s="72">
        <v>538.0</v>
      </c>
      <c r="F2541" s="75">
        <v>43237.0</v>
      </c>
      <c r="G2541" s="76"/>
      <c r="H2541" s="76"/>
      <c r="I2541" s="73" t="s">
        <v>366</v>
      </c>
      <c r="J2541" s="76"/>
    </row>
    <row r="2542">
      <c r="A2542" s="74">
        <v>2538.0</v>
      </c>
      <c r="B2542" s="73" t="s">
        <v>1984</v>
      </c>
      <c r="C2542" s="74">
        <v>8.32006795E8</v>
      </c>
      <c r="D2542" s="73" t="s">
        <v>3009</v>
      </c>
      <c r="E2542" s="72">
        <v>37.0</v>
      </c>
      <c r="F2542" s="75">
        <v>43243.0</v>
      </c>
      <c r="G2542" s="76"/>
      <c r="H2542" s="76"/>
      <c r="I2542" s="73" t="s">
        <v>366</v>
      </c>
      <c r="J2542" s="76"/>
    </row>
    <row r="2543">
      <c r="A2543" s="74">
        <v>2539.0</v>
      </c>
      <c r="B2543" s="73" t="s">
        <v>1984</v>
      </c>
      <c r="C2543" s="74">
        <v>8.00058554E8</v>
      </c>
      <c r="D2543" s="73" t="s">
        <v>3010</v>
      </c>
      <c r="E2543" s="72">
        <v>568.0</v>
      </c>
      <c r="F2543" s="75">
        <v>43249.0</v>
      </c>
      <c r="G2543" s="76"/>
      <c r="H2543" s="76"/>
      <c r="I2543" s="73" t="s">
        <v>366</v>
      </c>
      <c r="J2543" s="76"/>
    </row>
    <row r="2544">
      <c r="A2544" s="74">
        <v>2540.0</v>
      </c>
      <c r="B2544" s="73" t="s">
        <v>1984</v>
      </c>
      <c r="C2544" s="74">
        <v>9.00984688E8</v>
      </c>
      <c r="D2544" s="73" t="s">
        <v>3011</v>
      </c>
      <c r="E2544" s="72">
        <v>614.0</v>
      </c>
      <c r="F2544" s="75">
        <v>43257.0</v>
      </c>
      <c r="G2544" s="76"/>
      <c r="H2544" s="76"/>
      <c r="I2544" s="73" t="s">
        <v>366</v>
      </c>
      <c r="J2544" s="76"/>
    </row>
    <row r="2545">
      <c r="A2545" s="74">
        <v>2541.0</v>
      </c>
      <c r="B2545" s="73" t="s">
        <v>1984</v>
      </c>
      <c r="C2545" s="74">
        <v>9.0003977E8</v>
      </c>
      <c r="D2545" s="73" t="s">
        <v>3012</v>
      </c>
      <c r="E2545" s="72">
        <v>649.0</v>
      </c>
      <c r="F2545" s="75">
        <v>43273.0</v>
      </c>
      <c r="G2545" s="76"/>
      <c r="H2545" s="76"/>
      <c r="I2545" s="73" t="s">
        <v>366</v>
      </c>
      <c r="J2545" s="76"/>
    </row>
    <row r="2546">
      <c r="A2546" s="74">
        <v>2542.0</v>
      </c>
      <c r="B2546" s="73" t="s">
        <v>1984</v>
      </c>
      <c r="C2546" s="74">
        <v>9.01140841E8</v>
      </c>
      <c r="D2546" s="73" t="s">
        <v>3013</v>
      </c>
      <c r="E2546" s="72">
        <v>650.0</v>
      </c>
      <c r="F2546" s="75">
        <v>43276.0</v>
      </c>
      <c r="G2546" s="76"/>
      <c r="H2546" s="76"/>
      <c r="I2546" s="73" t="s">
        <v>366</v>
      </c>
      <c r="J2546" s="76"/>
    </row>
    <row r="2547">
      <c r="A2547" s="74">
        <v>2543.0</v>
      </c>
      <c r="B2547" s="73" t="s">
        <v>1984</v>
      </c>
      <c r="C2547" s="74">
        <v>9.00807748E8</v>
      </c>
      <c r="D2547" s="73" t="s">
        <v>3014</v>
      </c>
      <c r="E2547" s="72">
        <v>710.0</v>
      </c>
      <c r="F2547" s="75">
        <v>43299.0</v>
      </c>
      <c r="G2547" s="76"/>
      <c r="H2547" s="76"/>
      <c r="I2547" s="73" t="s">
        <v>366</v>
      </c>
      <c r="J2547" s="76"/>
    </row>
    <row r="2548">
      <c r="A2548" s="74">
        <v>2544.0</v>
      </c>
      <c r="B2548" s="73" t="s">
        <v>1984</v>
      </c>
      <c r="C2548" s="74">
        <v>9.01127006E8</v>
      </c>
      <c r="D2548" s="73" t="s">
        <v>3015</v>
      </c>
      <c r="E2548" s="72">
        <v>709.0</v>
      </c>
      <c r="F2548" s="75">
        <v>43299.0</v>
      </c>
      <c r="G2548" s="76"/>
      <c r="H2548" s="76"/>
      <c r="I2548" s="73" t="s">
        <v>366</v>
      </c>
      <c r="J2548" s="76"/>
    </row>
    <row r="2549">
      <c r="A2549" s="74">
        <v>2545.0</v>
      </c>
      <c r="B2549" s="73" t="s">
        <v>1984</v>
      </c>
      <c r="C2549" s="74">
        <v>9.00386708E8</v>
      </c>
      <c r="D2549" s="73" t="s">
        <v>3016</v>
      </c>
      <c r="E2549" s="72">
        <v>760.0</v>
      </c>
      <c r="F2549" s="75">
        <v>43320.0</v>
      </c>
      <c r="G2549" s="76"/>
      <c r="H2549" s="76"/>
      <c r="I2549" s="73" t="s">
        <v>366</v>
      </c>
      <c r="J2549" s="76"/>
    </row>
    <row r="2550">
      <c r="A2550" s="74">
        <v>2546.0</v>
      </c>
      <c r="B2550" s="73" t="s">
        <v>1984</v>
      </c>
      <c r="C2550" s="74">
        <v>8.30138071E8</v>
      </c>
      <c r="D2550" s="73" t="s">
        <v>3017</v>
      </c>
      <c r="E2550" s="72">
        <v>786.0</v>
      </c>
      <c r="F2550" s="75">
        <v>43328.0</v>
      </c>
      <c r="G2550" s="76"/>
      <c r="H2550" s="76"/>
      <c r="I2550" s="73" t="s">
        <v>366</v>
      </c>
      <c r="J2550" s="76"/>
    </row>
    <row r="2551">
      <c r="A2551" s="74">
        <v>2547.0</v>
      </c>
      <c r="B2551" s="73" t="s">
        <v>1984</v>
      </c>
      <c r="C2551" s="74">
        <v>9.00871324E8</v>
      </c>
      <c r="D2551" s="73" t="s">
        <v>3018</v>
      </c>
      <c r="E2551" s="72">
        <v>826.0</v>
      </c>
      <c r="F2551" s="75">
        <v>43343.0</v>
      </c>
      <c r="G2551" s="76"/>
      <c r="H2551" s="76"/>
      <c r="I2551" s="73" t="s">
        <v>366</v>
      </c>
      <c r="J2551" s="76"/>
    </row>
    <row r="2552">
      <c r="A2552" s="74">
        <v>2548.0</v>
      </c>
      <c r="B2552" s="73" t="s">
        <v>1984</v>
      </c>
      <c r="C2552" s="74">
        <v>9.01217005E8</v>
      </c>
      <c r="D2552" s="73" t="s">
        <v>3019</v>
      </c>
      <c r="E2552" s="72">
        <v>232.0</v>
      </c>
      <c r="F2552" s="77">
        <v>43377.0</v>
      </c>
      <c r="G2552" s="76"/>
      <c r="H2552" s="76"/>
      <c r="I2552" s="73" t="s">
        <v>366</v>
      </c>
      <c r="J2552" s="76"/>
    </row>
    <row r="2553">
      <c r="A2553" s="74">
        <v>2549.0</v>
      </c>
      <c r="B2553" s="73" t="s">
        <v>1984</v>
      </c>
      <c r="C2553" s="74">
        <v>9.00192325E8</v>
      </c>
      <c r="D2553" s="73" t="s">
        <v>3020</v>
      </c>
      <c r="E2553" s="72">
        <v>915.0</v>
      </c>
      <c r="F2553" s="77">
        <v>43381.0</v>
      </c>
      <c r="G2553" s="76"/>
      <c r="H2553" s="76"/>
      <c r="I2553" s="73" t="s">
        <v>366</v>
      </c>
      <c r="J2553" s="76"/>
    </row>
    <row r="2554">
      <c r="A2554" s="74">
        <v>2550.0</v>
      </c>
      <c r="B2554" s="73" t="s">
        <v>1984</v>
      </c>
      <c r="C2554" s="74">
        <v>9.00065938E8</v>
      </c>
      <c r="D2554" s="73" t="s">
        <v>3021</v>
      </c>
      <c r="E2554" s="72">
        <v>919.0</v>
      </c>
      <c r="F2554" s="77">
        <v>43383.0</v>
      </c>
      <c r="G2554" s="76"/>
      <c r="H2554" s="76"/>
      <c r="I2554" s="73" t="s">
        <v>366</v>
      </c>
      <c r="J2554" s="76"/>
    </row>
    <row r="2555">
      <c r="A2555" s="74">
        <v>2551.0</v>
      </c>
      <c r="B2555" s="73" t="s">
        <v>1984</v>
      </c>
      <c r="C2555" s="74">
        <v>9.01024992E8</v>
      </c>
      <c r="D2555" s="73" t="s">
        <v>3022</v>
      </c>
      <c r="E2555" s="72">
        <v>920.0</v>
      </c>
      <c r="F2555" s="77">
        <v>43383.0</v>
      </c>
      <c r="G2555" s="76"/>
      <c r="H2555" s="76"/>
      <c r="I2555" s="73" t="s">
        <v>366</v>
      </c>
      <c r="J2555" s="76"/>
    </row>
    <row r="2556">
      <c r="A2556" s="74">
        <v>2552.0</v>
      </c>
      <c r="B2556" s="73" t="s">
        <v>1984</v>
      </c>
      <c r="C2556" s="74">
        <v>9.00146342E8</v>
      </c>
      <c r="D2556" s="73" t="s">
        <v>3023</v>
      </c>
      <c r="E2556" s="72">
        <v>971.0</v>
      </c>
      <c r="F2556" s="77">
        <v>43404.0</v>
      </c>
      <c r="G2556" s="76"/>
      <c r="H2556" s="76"/>
      <c r="I2556" s="73" t="s">
        <v>366</v>
      </c>
      <c r="J2556" s="76"/>
    </row>
    <row r="2557">
      <c r="A2557" s="74">
        <v>2553.0</v>
      </c>
      <c r="B2557" s="73" t="s">
        <v>1984</v>
      </c>
      <c r="C2557" s="74">
        <v>9.00614022E8</v>
      </c>
      <c r="D2557" s="73" t="s">
        <v>3024</v>
      </c>
      <c r="E2557" s="72">
        <v>975.0</v>
      </c>
      <c r="F2557" s="77">
        <v>43406.0</v>
      </c>
      <c r="G2557" s="76"/>
      <c r="H2557" s="76"/>
      <c r="I2557" s="73" t="s">
        <v>366</v>
      </c>
      <c r="J2557" s="76"/>
    </row>
    <row r="2558">
      <c r="A2558" s="74">
        <v>2554.0</v>
      </c>
      <c r="B2558" s="73" t="s">
        <v>1984</v>
      </c>
      <c r="C2558" s="74">
        <v>9.01122446E8</v>
      </c>
      <c r="D2558" s="73" t="s">
        <v>3025</v>
      </c>
      <c r="E2558" s="72">
        <v>993.0</v>
      </c>
      <c r="F2558" s="77">
        <v>43411.0</v>
      </c>
      <c r="G2558" s="76"/>
      <c r="H2558" s="76"/>
      <c r="I2558" s="73" t="s">
        <v>366</v>
      </c>
      <c r="J2558" s="76"/>
    </row>
    <row r="2559">
      <c r="A2559" s="74">
        <v>2555.0</v>
      </c>
      <c r="B2559" s="73" t="s">
        <v>1984</v>
      </c>
      <c r="C2559" s="74">
        <v>9.0121229E8</v>
      </c>
      <c r="D2559" s="73" t="s">
        <v>3026</v>
      </c>
      <c r="E2559" s="72">
        <v>994.0</v>
      </c>
      <c r="F2559" s="77">
        <v>43412.0</v>
      </c>
      <c r="G2559" s="76"/>
      <c r="H2559" s="76"/>
      <c r="I2559" s="73" t="s">
        <v>366</v>
      </c>
      <c r="J2559" s="76"/>
    </row>
    <row r="2560">
      <c r="A2560" s="74">
        <v>2556.0</v>
      </c>
      <c r="B2560" s="73" t="s">
        <v>1984</v>
      </c>
      <c r="C2560" s="74">
        <v>8.30034702E8</v>
      </c>
      <c r="D2560" s="73" t="s">
        <v>3027</v>
      </c>
      <c r="E2560" s="72">
        <v>1001.0</v>
      </c>
      <c r="F2560" s="77">
        <v>43417.0</v>
      </c>
      <c r="G2560" s="76"/>
      <c r="H2560" s="76"/>
      <c r="I2560" s="73" t="s">
        <v>366</v>
      </c>
      <c r="J2560" s="76"/>
    </row>
    <row r="2561">
      <c r="A2561" s="74">
        <v>2557.0</v>
      </c>
      <c r="B2561" s="73" t="s">
        <v>1984</v>
      </c>
      <c r="C2561" s="74">
        <v>9.01060647E8</v>
      </c>
      <c r="D2561" s="73" t="s">
        <v>3028</v>
      </c>
      <c r="E2561" s="72">
        <v>1002.0</v>
      </c>
      <c r="F2561" s="77">
        <v>43417.0</v>
      </c>
      <c r="G2561" s="76"/>
      <c r="H2561" s="76"/>
      <c r="I2561" s="73" t="s">
        <v>366</v>
      </c>
      <c r="J2561" s="76"/>
    </row>
    <row r="2562">
      <c r="A2562" s="74">
        <v>2558.0</v>
      </c>
      <c r="B2562" s="73" t="s">
        <v>1984</v>
      </c>
      <c r="C2562" s="74">
        <v>9.00917563E8</v>
      </c>
      <c r="D2562" s="73" t="s">
        <v>3029</v>
      </c>
      <c r="E2562" s="72">
        <v>1056.0</v>
      </c>
      <c r="F2562" s="77">
        <v>43425.0</v>
      </c>
      <c r="G2562" s="76"/>
      <c r="H2562" s="76"/>
      <c r="I2562" s="73" t="s">
        <v>366</v>
      </c>
      <c r="J2562" s="76"/>
    </row>
    <row r="2563">
      <c r="A2563" s="74">
        <v>2559.0</v>
      </c>
      <c r="B2563" s="73" t="s">
        <v>1984</v>
      </c>
      <c r="C2563" s="74">
        <v>9.01209889E8</v>
      </c>
      <c r="D2563" s="73" t="s">
        <v>3030</v>
      </c>
      <c r="E2563" s="72">
        <v>1055.0</v>
      </c>
      <c r="F2563" s="77">
        <v>43425.0</v>
      </c>
      <c r="G2563" s="76"/>
      <c r="H2563" s="76"/>
      <c r="I2563" s="73" t="s">
        <v>366</v>
      </c>
      <c r="J2563" s="76"/>
    </row>
    <row r="2564">
      <c r="A2564" s="74">
        <v>2560.0</v>
      </c>
      <c r="B2564" s="73" t="s">
        <v>1984</v>
      </c>
      <c r="C2564" s="74">
        <v>8.60002566E8</v>
      </c>
      <c r="D2564" s="73" t="s">
        <v>3031</v>
      </c>
      <c r="E2564" s="72">
        <v>1061.0</v>
      </c>
      <c r="F2564" s="77">
        <v>43427.0</v>
      </c>
      <c r="G2564" s="76"/>
      <c r="H2564" s="76"/>
      <c r="I2564" s="73" t="s">
        <v>366</v>
      </c>
      <c r="J2564" s="76"/>
    </row>
    <row r="2565">
      <c r="A2565" s="74">
        <v>2561.0</v>
      </c>
      <c r="B2565" s="73" t="s">
        <v>1984</v>
      </c>
      <c r="C2565" s="74">
        <v>9.00518056E8</v>
      </c>
      <c r="D2565" s="73" t="s">
        <v>3032</v>
      </c>
      <c r="E2565" s="72">
        <v>1114.0</v>
      </c>
      <c r="F2565" s="77">
        <v>43441.0</v>
      </c>
      <c r="G2565" s="76"/>
      <c r="H2565" s="76"/>
      <c r="I2565" s="73" t="s">
        <v>366</v>
      </c>
      <c r="J2565" s="76"/>
    </row>
    <row r="2566">
      <c r="A2566" s="74">
        <v>2562.0</v>
      </c>
      <c r="B2566" s="73" t="s">
        <v>1984</v>
      </c>
      <c r="C2566" s="74">
        <v>9.01196694E8</v>
      </c>
      <c r="D2566" s="73" t="s">
        <v>3033</v>
      </c>
      <c r="E2566" s="72">
        <v>1141.0</v>
      </c>
      <c r="F2566" s="77">
        <v>43452.0</v>
      </c>
      <c r="G2566" s="76"/>
      <c r="H2566" s="76"/>
      <c r="I2566" s="73" t="s">
        <v>366</v>
      </c>
      <c r="J2566" s="76"/>
    </row>
    <row r="2567">
      <c r="A2567" s="74">
        <v>2563.0</v>
      </c>
      <c r="B2567" s="73" t="s">
        <v>1984</v>
      </c>
      <c r="C2567" s="74">
        <v>9.01217859E8</v>
      </c>
      <c r="D2567" s="73" t="s">
        <v>3034</v>
      </c>
      <c r="E2567" s="72">
        <v>1142.0</v>
      </c>
      <c r="F2567" s="77">
        <v>43452.0</v>
      </c>
      <c r="G2567" s="76"/>
      <c r="H2567" s="76"/>
      <c r="I2567" s="73" t="s">
        <v>366</v>
      </c>
      <c r="J2567" s="76"/>
    </row>
    <row r="2568">
      <c r="A2568" s="74">
        <v>2564.0</v>
      </c>
      <c r="B2568" s="73" t="s">
        <v>1984</v>
      </c>
      <c r="C2568" s="74">
        <v>8.30025582E8</v>
      </c>
      <c r="D2568" s="73" t="s">
        <v>3035</v>
      </c>
      <c r="E2568" s="72">
        <v>1150.0</v>
      </c>
      <c r="F2568" s="77">
        <v>43453.0</v>
      </c>
      <c r="G2568" s="76"/>
      <c r="H2568" s="76"/>
      <c r="I2568" s="73" t="s">
        <v>366</v>
      </c>
      <c r="J2568" s="76"/>
    </row>
    <row r="2569">
      <c r="A2569" s="74">
        <v>2565.0</v>
      </c>
      <c r="B2569" s="73" t="s">
        <v>1984</v>
      </c>
      <c r="C2569" s="74">
        <v>9.00260083E8</v>
      </c>
      <c r="D2569" s="73" t="s">
        <v>3036</v>
      </c>
      <c r="E2569" s="72">
        <v>1149.0</v>
      </c>
      <c r="F2569" s="77">
        <v>43453.0</v>
      </c>
      <c r="G2569" s="76"/>
      <c r="H2569" s="76"/>
      <c r="I2569" s="73" t="s">
        <v>366</v>
      </c>
      <c r="J2569" s="76"/>
    </row>
    <row r="2570">
      <c r="A2570" s="74">
        <v>2566.0</v>
      </c>
      <c r="B2570" s="73" t="s">
        <v>1984</v>
      </c>
      <c r="C2570" s="74">
        <v>9.01181365E8</v>
      </c>
      <c r="D2570" s="73" t="s">
        <v>3037</v>
      </c>
      <c r="E2570" s="72">
        <v>1148.0</v>
      </c>
      <c r="F2570" s="77">
        <v>43453.0</v>
      </c>
      <c r="G2570" s="76"/>
      <c r="H2570" s="76"/>
      <c r="I2570" s="73" t="s">
        <v>366</v>
      </c>
      <c r="J2570" s="76"/>
    </row>
    <row r="2571">
      <c r="A2571" s="74">
        <v>2567.0</v>
      </c>
      <c r="B2571" s="73" t="s">
        <v>1984</v>
      </c>
      <c r="C2571" s="74">
        <v>8.30146543E8</v>
      </c>
      <c r="D2571" s="73" t="s">
        <v>3038</v>
      </c>
      <c r="E2571" s="72">
        <v>19.0</v>
      </c>
      <c r="F2571" s="75">
        <v>43486.0</v>
      </c>
      <c r="G2571" s="76"/>
      <c r="H2571" s="76"/>
      <c r="I2571" s="73" t="s">
        <v>366</v>
      </c>
      <c r="J2571" s="76"/>
    </row>
    <row r="2572">
      <c r="A2572" s="74">
        <v>2568.0</v>
      </c>
      <c r="B2572" s="73" t="s">
        <v>1984</v>
      </c>
      <c r="C2572" s="74">
        <v>9.01229454E8</v>
      </c>
      <c r="D2572" s="73" t="s">
        <v>3039</v>
      </c>
      <c r="E2572" s="72">
        <v>31.0</v>
      </c>
      <c r="F2572" s="75">
        <v>43489.0</v>
      </c>
      <c r="G2572" s="76"/>
      <c r="H2572" s="76"/>
      <c r="I2572" s="73" t="s">
        <v>366</v>
      </c>
      <c r="J2572" s="76"/>
    </row>
    <row r="2573">
      <c r="A2573" s="74">
        <v>2569.0</v>
      </c>
      <c r="B2573" s="73" t="s">
        <v>1984</v>
      </c>
      <c r="C2573" s="74">
        <v>9.00805064E8</v>
      </c>
      <c r="D2573" s="73" t="s">
        <v>3040</v>
      </c>
      <c r="E2573" s="72">
        <v>71.0</v>
      </c>
      <c r="F2573" s="75">
        <v>43502.0</v>
      </c>
      <c r="G2573" s="76"/>
      <c r="H2573" s="76"/>
      <c r="I2573" s="73" t="s">
        <v>366</v>
      </c>
      <c r="J2573" s="76"/>
    </row>
    <row r="2574">
      <c r="A2574" s="74">
        <v>2570.0</v>
      </c>
      <c r="B2574" s="73" t="s">
        <v>1984</v>
      </c>
      <c r="C2574" s="74">
        <v>9.01168213E8</v>
      </c>
      <c r="D2574" s="73" t="s">
        <v>3041</v>
      </c>
      <c r="E2574" s="72">
        <v>72.0</v>
      </c>
      <c r="F2574" s="75">
        <v>43502.0</v>
      </c>
      <c r="G2574" s="76"/>
      <c r="H2574" s="76"/>
      <c r="I2574" s="73" t="s">
        <v>366</v>
      </c>
      <c r="J2574" s="76"/>
    </row>
    <row r="2575">
      <c r="A2575" s="74">
        <v>2571.0</v>
      </c>
      <c r="B2575" s="73" t="s">
        <v>1984</v>
      </c>
      <c r="C2575" s="74">
        <v>9.00799571E8</v>
      </c>
      <c r="D2575" s="73" t="s">
        <v>3042</v>
      </c>
      <c r="E2575" s="72">
        <v>74.0</v>
      </c>
      <c r="F2575" s="75">
        <v>43502.0</v>
      </c>
      <c r="G2575" s="76"/>
      <c r="H2575" s="76"/>
      <c r="I2575" s="73" t="s">
        <v>366</v>
      </c>
      <c r="J2575" s="76"/>
    </row>
    <row r="2576">
      <c r="A2576" s="74">
        <v>2572.0</v>
      </c>
      <c r="B2576" s="73" t="s">
        <v>1984</v>
      </c>
      <c r="C2576" s="74">
        <v>9.01169144E8</v>
      </c>
      <c r="D2576" s="73" t="s">
        <v>3043</v>
      </c>
      <c r="E2576" s="72">
        <v>108.0</v>
      </c>
      <c r="F2576" s="75">
        <v>43517.0</v>
      </c>
      <c r="G2576" s="76"/>
      <c r="H2576" s="76"/>
      <c r="I2576" s="73" t="s">
        <v>366</v>
      </c>
      <c r="J2576" s="76"/>
    </row>
    <row r="2577">
      <c r="A2577" s="74">
        <v>2573.0</v>
      </c>
      <c r="B2577" s="73" t="s">
        <v>1984</v>
      </c>
      <c r="C2577" s="74">
        <v>9.00667486E8</v>
      </c>
      <c r="D2577" s="73" t="s">
        <v>3044</v>
      </c>
      <c r="E2577" s="72">
        <v>113.0</v>
      </c>
      <c r="F2577" s="75">
        <v>43522.0</v>
      </c>
      <c r="G2577" s="76"/>
      <c r="H2577" s="76"/>
      <c r="I2577" s="73" t="s">
        <v>366</v>
      </c>
      <c r="J2577" s="76"/>
    </row>
    <row r="2578">
      <c r="A2578" s="74">
        <v>2574.0</v>
      </c>
      <c r="B2578" s="73" t="s">
        <v>1984</v>
      </c>
      <c r="C2578" s="74">
        <v>9.00023785E8</v>
      </c>
      <c r="D2578" s="73" t="s">
        <v>3045</v>
      </c>
      <c r="E2578" s="72">
        <v>117.0</v>
      </c>
      <c r="F2578" s="75">
        <v>43524.0</v>
      </c>
      <c r="G2578" s="76"/>
      <c r="H2578" s="76"/>
      <c r="I2578" s="73" t="s">
        <v>366</v>
      </c>
      <c r="J2578" s="76"/>
    </row>
    <row r="2579">
      <c r="A2579" s="74">
        <v>2575.0</v>
      </c>
      <c r="B2579" s="73" t="s">
        <v>1984</v>
      </c>
      <c r="C2579" s="74">
        <v>9.00527348E8</v>
      </c>
      <c r="D2579" s="73" t="s">
        <v>3046</v>
      </c>
      <c r="E2579" s="72">
        <v>123.0</v>
      </c>
      <c r="F2579" s="75">
        <v>43528.0</v>
      </c>
      <c r="G2579" s="76"/>
      <c r="H2579" s="76"/>
      <c r="I2579" s="73" t="s">
        <v>366</v>
      </c>
      <c r="J2579" s="76"/>
    </row>
    <row r="2580">
      <c r="A2580" s="74">
        <v>2576.0</v>
      </c>
      <c r="B2580" s="73" t="s">
        <v>1984</v>
      </c>
      <c r="C2580" s="74">
        <v>8.30146732E8</v>
      </c>
      <c r="D2580" s="73" t="s">
        <v>3047</v>
      </c>
      <c r="E2580" s="72">
        <v>165.0</v>
      </c>
      <c r="F2580" s="75">
        <v>43546.0</v>
      </c>
      <c r="G2580" s="76"/>
      <c r="H2580" s="76"/>
      <c r="I2580" s="73" t="s">
        <v>366</v>
      </c>
      <c r="J2580" s="76"/>
    </row>
    <row r="2581">
      <c r="A2581" s="74">
        <v>2577.0</v>
      </c>
      <c r="B2581" s="73" t="s">
        <v>1984</v>
      </c>
      <c r="C2581" s="74">
        <v>9.00123515E8</v>
      </c>
      <c r="D2581" s="73" t="s">
        <v>3048</v>
      </c>
      <c r="E2581" s="72">
        <v>176.0</v>
      </c>
      <c r="F2581" s="75">
        <v>43551.0</v>
      </c>
      <c r="G2581" s="76"/>
      <c r="H2581" s="76"/>
      <c r="I2581" s="73" t="s">
        <v>366</v>
      </c>
      <c r="J2581" s="76"/>
    </row>
    <row r="2582">
      <c r="A2582" s="74">
        <v>2578.0</v>
      </c>
      <c r="B2582" s="73" t="s">
        <v>1984</v>
      </c>
      <c r="C2582" s="74">
        <v>9.00496357E8</v>
      </c>
      <c r="D2582" s="73" t="s">
        <v>3049</v>
      </c>
      <c r="E2582" s="72">
        <v>197.0</v>
      </c>
      <c r="F2582" s="75">
        <v>43557.0</v>
      </c>
      <c r="G2582" s="76"/>
      <c r="H2582" s="76"/>
      <c r="I2582" s="73" t="s">
        <v>366</v>
      </c>
      <c r="J2582" s="76"/>
    </row>
    <row r="2583">
      <c r="A2583" s="85">
        <v>2579.0</v>
      </c>
      <c r="B2583" s="79" t="s">
        <v>1984</v>
      </c>
      <c r="C2583" s="80">
        <v>9.01261813E8</v>
      </c>
      <c r="D2583" s="79" t="s">
        <v>3050</v>
      </c>
      <c r="E2583" s="81">
        <v>202.0</v>
      </c>
      <c r="F2583" s="84">
        <v>43559.0</v>
      </c>
      <c r="G2583" s="83"/>
      <c r="H2583" s="83"/>
      <c r="I2583" s="73" t="s">
        <v>366</v>
      </c>
      <c r="J2583" s="76"/>
    </row>
    <row r="2584">
      <c r="A2584" s="74">
        <v>2580.0</v>
      </c>
      <c r="B2584" s="73" t="s">
        <v>1984</v>
      </c>
      <c r="C2584" s="74">
        <v>9.00778735E8</v>
      </c>
      <c r="D2584" s="73" t="s">
        <v>3051</v>
      </c>
      <c r="E2584" s="72">
        <v>258.0</v>
      </c>
      <c r="F2584" s="75">
        <v>43581.0</v>
      </c>
      <c r="G2584" s="76"/>
      <c r="H2584" s="76"/>
      <c r="I2584" s="73" t="s">
        <v>366</v>
      </c>
      <c r="J2584" s="76"/>
    </row>
    <row r="2585">
      <c r="A2585" s="74">
        <v>2581.0</v>
      </c>
      <c r="B2585" s="73" t="s">
        <v>1984</v>
      </c>
      <c r="C2585" s="74">
        <v>9.0123394E8</v>
      </c>
      <c r="D2585" s="73" t="s">
        <v>3052</v>
      </c>
      <c r="E2585" s="72">
        <v>257.0</v>
      </c>
      <c r="F2585" s="75">
        <v>43581.0</v>
      </c>
      <c r="G2585" s="76"/>
      <c r="H2585" s="76"/>
      <c r="I2585" s="73" t="s">
        <v>366</v>
      </c>
      <c r="J2585" s="76"/>
    </row>
    <row r="2586">
      <c r="A2586" s="74">
        <v>2582.0</v>
      </c>
      <c r="B2586" s="73" t="s">
        <v>1984</v>
      </c>
      <c r="C2586" s="74">
        <v>9.00667047E8</v>
      </c>
      <c r="D2586" s="73" t="s">
        <v>3053</v>
      </c>
      <c r="E2586" s="72">
        <v>290.0</v>
      </c>
      <c r="F2586" s="75">
        <v>43593.0</v>
      </c>
      <c r="G2586" s="76"/>
      <c r="H2586" s="76"/>
      <c r="I2586" s="73" t="s">
        <v>366</v>
      </c>
      <c r="J2586" s="76"/>
    </row>
    <row r="2587">
      <c r="A2587" s="74">
        <v>2583.0</v>
      </c>
      <c r="B2587" s="73" t="s">
        <v>1984</v>
      </c>
      <c r="C2587" s="74">
        <v>9.00568476E8</v>
      </c>
      <c r="D2587" s="73" t="s">
        <v>3054</v>
      </c>
      <c r="E2587" s="72">
        <v>289.0</v>
      </c>
      <c r="F2587" s="75">
        <v>43593.0</v>
      </c>
      <c r="G2587" s="76"/>
      <c r="H2587" s="76"/>
      <c r="I2587" s="73" t="s">
        <v>366</v>
      </c>
      <c r="J2587" s="76"/>
    </row>
    <row r="2588">
      <c r="A2588" s="74">
        <v>2584.0</v>
      </c>
      <c r="B2588" s="73" t="s">
        <v>1984</v>
      </c>
      <c r="C2588" s="74">
        <v>9.01259996E8</v>
      </c>
      <c r="D2588" s="73" t="s">
        <v>3055</v>
      </c>
      <c r="E2588" s="72">
        <v>318.0</v>
      </c>
      <c r="F2588" s="75">
        <v>43601.0</v>
      </c>
      <c r="G2588" s="76"/>
      <c r="H2588" s="76"/>
      <c r="I2588" s="73" t="s">
        <v>366</v>
      </c>
      <c r="J2588" s="76"/>
    </row>
    <row r="2589">
      <c r="A2589" s="74">
        <v>2585.0</v>
      </c>
      <c r="B2589" s="73" t="s">
        <v>1984</v>
      </c>
      <c r="C2589" s="74">
        <v>9.00560086E8</v>
      </c>
      <c r="D2589" s="73" t="s">
        <v>3056</v>
      </c>
      <c r="E2589" s="72">
        <v>29.0</v>
      </c>
      <c r="F2589" s="75">
        <v>43603.0</v>
      </c>
      <c r="G2589" s="76"/>
      <c r="H2589" s="76"/>
      <c r="I2589" s="73" t="s">
        <v>366</v>
      </c>
      <c r="J2589" s="76"/>
    </row>
    <row r="2590">
      <c r="A2590" s="74">
        <v>2586.0</v>
      </c>
      <c r="B2590" s="73" t="s">
        <v>1984</v>
      </c>
      <c r="C2590" s="74">
        <v>9.01264611E8</v>
      </c>
      <c r="D2590" s="73" t="s">
        <v>3057</v>
      </c>
      <c r="E2590" s="72">
        <v>329.0</v>
      </c>
      <c r="F2590" s="75">
        <v>43605.0</v>
      </c>
      <c r="G2590" s="76"/>
      <c r="H2590" s="76"/>
      <c r="I2590" s="73" t="s">
        <v>366</v>
      </c>
      <c r="J2590" s="76"/>
    </row>
    <row r="2591">
      <c r="A2591" s="74">
        <v>2587.0</v>
      </c>
      <c r="B2591" s="73" t="s">
        <v>1984</v>
      </c>
      <c r="C2591" s="74">
        <v>9.01188335E8</v>
      </c>
      <c r="D2591" s="73" t="s">
        <v>3058</v>
      </c>
      <c r="E2591" s="72">
        <v>343.0</v>
      </c>
      <c r="F2591" s="75">
        <v>43612.0</v>
      </c>
      <c r="G2591" s="76"/>
      <c r="H2591" s="76"/>
      <c r="I2591" s="73" t="s">
        <v>366</v>
      </c>
      <c r="J2591" s="76"/>
    </row>
    <row r="2592">
      <c r="A2592" s="74">
        <v>2588.0</v>
      </c>
      <c r="B2592" s="73" t="s">
        <v>1984</v>
      </c>
      <c r="C2592" s="74">
        <v>9.00538019E8</v>
      </c>
      <c r="D2592" s="73" t="s">
        <v>3059</v>
      </c>
      <c r="E2592" s="72">
        <v>368.0</v>
      </c>
      <c r="F2592" s="75">
        <v>43616.0</v>
      </c>
      <c r="G2592" s="76"/>
      <c r="H2592" s="76"/>
      <c r="I2592" s="73" t="s">
        <v>366</v>
      </c>
      <c r="J2592" s="76"/>
    </row>
    <row r="2593">
      <c r="A2593" s="74">
        <v>2589.0</v>
      </c>
      <c r="B2593" s="73" t="s">
        <v>1984</v>
      </c>
      <c r="C2593" s="74">
        <v>9.00482053E8</v>
      </c>
      <c r="D2593" s="73" t="s">
        <v>3060</v>
      </c>
      <c r="E2593" s="72">
        <v>370.0</v>
      </c>
      <c r="F2593" s="75">
        <v>43623.0</v>
      </c>
      <c r="G2593" s="76"/>
      <c r="H2593" s="76"/>
      <c r="I2593" s="73" t="s">
        <v>366</v>
      </c>
      <c r="J2593" s="76"/>
    </row>
    <row r="2594">
      <c r="A2594" s="74">
        <v>2590.0</v>
      </c>
      <c r="B2594" s="73" t="s">
        <v>1984</v>
      </c>
      <c r="C2594" s="74">
        <v>9.01270845E8</v>
      </c>
      <c r="D2594" s="73" t="s">
        <v>3061</v>
      </c>
      <c r="E2594" s="72">
        <v>387.0</v>
      </c>
      <c r="F2594" s="75">
        <v>43628.0</v>
      </c>
      <c r="G2594" s="76"/>
      <c r="H2594" s="76"/>
      <c r="I2594" s="73" t="s">
        <v>366</v>
      </c>
      <c r="J2594" s="76"/>
    </row>
    <row r="2595">
      <c r="A2595" s="74">
        <v>2591.0</v>
      </c>
      <c r="B2595" s="73" t="s">
        <v>1984</v>
      </c>
      <c r="C2595" s="74">
        <v>9.00179974E8</v>
      </c>
      <c r="D2595" s="73" t="s">
        <v>3062</v>
      </c>
      <c r="E2595" s="72">
        <v>37.0</v>
      </c>
      <c r="F2595" s="75">
        <v>43633.0</v>
      </c>
      <c r="G2595" s="76"/>
      <c r="H2595" s="76"/>
      <c r="I2595" s="73" t="s">
        <v>366</v>
      </c>
      <c r="J2595" s="76"/>
    </row>
    <row r="2596">
      <c r="A2596" s="74">
        <v>2592.0</v>
      </c>
      <c r="B2596" s="73" t="s">
        <v>1984</v>
      </c>
      <c r="C2596" s="74">
        <v>9.01289506E8</v>
      </c>
      <c r="D2596" s="73" t="s">
        <v>3063</v>
      </c>
      <c r="E2596" s="72">
        <v>395.0</v>
      </c>
      <c r="F2596" s="75">
        <v>43633.0</v>
      </c>
      <c r="G2596" s="76"/>
      <c r="H2596" s="76"/>
      <c r="I2596" s="73" t="s">
        <v>366</v>
      </c>
      <c r="J2596" s="76"/>
    </row>
    <row r="2597">
      <c r="A2597" s="74">
        <v>2593.0</v>
      </c>
      <c r="B2597" s="73" t="s">
        <v>1984</v>
      </c>
      <c r="C2597" s="74">
        <v>9.01246273E8</v>
      </c>
      <c r="D2597" s="73" t="s">
        <v>3064</v>
      </c>
      <c r="E2597" s="72">
        <v>408.0</v>
      </c>
      <c r="F2597" s="75">
        <v>43634.0</v>
      </c>
      <c r="G2597" s="76"/>
      <c r="H2597" s="76"/>
      <c r="I2597" s="73" t="s">
        <v>366</v>
      </c>
      <c r="J2597" s="76"/>
    </row>
    <row r="2598">
      <c r="A2598" s="74">
        <v>2594.0</v>
      </c>
      <c r="B2598" s="73" t="s">
        <v>1984</v>
      </c>
      <c r="C2598" s="74">
        <v>8.60005108E8</v>
      </c>
      <c r="D2598" s="73" t="s">
        <v>3065</v>
      </c>
      <c r="E2598" s="72">
        <v>414.0</v>
      </c>
      <c r="F2598" s="75">
        <v>43635.0</v>
      </c>
      <c r="G2598" s="76"/>
      <c r="H2598" s="76"/>
      <c r="I2598" s="73" t="s">
        <v>366</v>
      </c>
      <c r="J2598" s="76"/>
    </row>
    <row r="2599">
      <c r="A2599" s="74">
        <v>2595.0</v>
      </c>
      <c r="B2599" s="73" t="s">
        <v>1984</v>
      </c>
      <c r="C2599" s="74">
        <v>9.00490538E8</v>
      </c>
      <c r="D2599" s="73" t="s">
        <v>3066</v>
      </c>
      <c r="E2599" s="72">
        <v>420.0</v>
      </c>
      <c r="F2599" s="75">
        <v>43636.0</v>
      </c>
      <c r="G2599" s="76"/>
      <c r="H2599" s="76"/>
      <c r="I2599" s="73" t="s">
        <v>366</v>
      </c>
      <c r="J2599" s="76"/>
    </row>
    <row r="2600">
      <c r="A2600" s="74">
        <v>2596.0</v>
      </c>
      <c r="B2600" s="73" t="s">
        <v>1984</v>
      </c>
      <c r="C2600" s="74">
        <v>9.00792448E8</v>
      </c>
      <c r="D2600" s="73" t="s">
        <v>3067</v>
      </c>
      <c r="E2600" s="72">
        <v>421.0</v>
      </c>
      <c r="F2600" s="75">
        <v>43636.0</v>
      </c>
      <c r="G2600" s="76"/>
      <c r="H2600" s="76"/>
      <c r="I2600" s="73" t="s">
        <v>366</v>
      </c>
      <c r="J2600" s="76"/>
    </row>
    <row r="2601">
      <c r="A2601" s="74">
        <v>2597.0</v>
      </c>
      <c r="B2601" s="73" t="s">
        <v>1984</v>
      </c>
      <c r="C2601" s="74">
        <v>9.01290327E8</v>
      </c>
      <c r="D2601" s="73" t="s">
        <v>3068</v>
      </c>
      <c r="E2601" s="72">
        <v>428.0</v>
      </c>
      <c r="F2601" s="75">
        <v>43637.0</v>
      </c>
      <c r="G2601" s="76"/>
      <c r="H2601" s="76"/>
      <c r="I2601" s="73" t="s">
        <v>366</v>
      </c>
      <c r="J2601" s="76"/>
    </row>
    <row r="2602">
      <c r="A2602" s="74">
        <v>2598.0</v>
      </c>
      <c r="B2602" s="73" t="s">
        <v>1984</v>
      </c>
      <c r="C2602" s="74">
        <v>9.01296283E8</v>
      </c>
      <c r="D2602" s="73" t="s">
        <v>3069</v>
      </c>
      <c r="E2602" s="72">
        <v>463.0</v>
      </c>
      <c r="F2602" s="75">
        <v>43658.0</v>
      </c>
      <c r="G2602" s="76"/>
      <c r="H2602" s="76"/>
      <c r="I2602" s="73" t="s">
        <v>366</v>
      </c>
      <c r="J2602" s="76"/>
    </row>
    <row r="2603">
      <c r="A2603" s="74">
        <v>2599.0</v>
      </c>
      <c r="B2603" s="73" t="s">
        <v>1984</v>
      </c>
      <c r="C2603" s="74">
        <v>9.01228039E8</v>
      </c>
      <c r="D2603" s="73" t="s">
        <v>3070</v>
      </c>
      <c r="E2603" s="72">
        <v>466.0</v>
      </c>
      <c r="F2603" s="75">
        <v>43661.0</v>
      </c>
      <c r="G2603" s="76"/>
      <c r="H2603" s="76"/>
      <c r="I2603" s="73" t="s">
        <v>366</v>
      </c>
      <c r="J2603" s="76"/>
    </row>
    <row r="2604">
      <c r="A2604" s="74">
        <v>2600.0</v>
      </c>
      <c r="B2604" s="73" t="s">
        <v>1984</v>
      </c>
      <c r="C2604" s="74">
        <v>9.00032685E8</v>
      </c>
      <c r="D2604" s="73" t="s">
        <v>3071</v>
      </c>
      <c r="E2604" s="72">
        <v>472.0</v>
      </c>
      <c r="F2604" s="75">
        <v>43665.0</v>
      </c>
      <c r="G2604" s="76"/>
      <c r="H2604" s="76"/>
      <c r="I2604" s="73" t="s">
        <v>366</v>
      </c>
      <c r="J2604" s="76"/>
    </row>
    <row r="2605">
      <c r="A2605" s="74">
        <v>2601.0</v>
      </c>
      <c r="B2605" s="73" t="s">
        <v>1984</v>
      </c>
      <c r="C2605" s="74">
        <v>9.001627E8</v>
      </c>
      <c r="D2605" s="73" t="s">
        <v>3072</v>
      </c>
      <c r="E2605" s="72">
        <v>471.0</v>
      </c>
      <c r="F2605" s="75">
        <v>43665.0</v>
      </c>
      <c r="G2605" s="76"/>
      <c r="H2605" s="76"/>
      <c r="I2605" s="73" t="s">
        <v>366</v>
      </c>
      <c r="J2605" s="76"/>
    </row>
    <row r="2606">
      <c r="A2606" s="74">
        <v>2602.0</v>
      </c>
      <c r="B2606" s="73" t="s">
        <v>1984</v>
      </c>
      <c r="C2606" s="74">
        <v>9.0129751E8</v>
      </c>
      <c r="D2606" s="73" t="s">
        <v>3073</v>
      </c>
      <c r="E2606" s="72">
        <v>473.0</v>
      </c>
      <c r="F2606" s="75">
        <v>43665.0</v>
      </c>
      <c r="G2606" s="76"/>
      <c r="H2606" s="76"/>
      <c r="I2606" s="73" t="s">
        <v>366</v>
      </c>
      <c r="J2606" s="76"/>
    </row>
    <row r="2607">
      <c r="A2607" s="74">
        <v>2603.0</v>
      </c>
      <c r="B2607" s="73" t="s">
        <v>1984</v>
      </c>
      <c r="C2607" s="74">
        <v>9.01298796E8</v>
      </c>
      <c r="D2607" s="73" t="s">
        <v>768</v>
      </c>
      <c r="E2607" s="72">
        <v>509.0</v>
      </c>
      <c r="F2607" s="75">
        <v>43677.0</v>
      </c>
      <c r="G2607" s="76"/>
      <c r="H2607" s="76"/>
      <c r="I2607" s="73" t="s">
        <v>366</v>
      </c>
      <c r="J2607" s="76"/>
    </row>
    <row r="2608">
      <c r="A2608" s="74">
        <v>2604.0</v>
      </c>
      <c r="B2608" s="73" t="s">
        <v>1984</v>
      </c>
      <c r="C2608" s="74">
        <v>9.00207554E8</v>
      </c>
      <c r="D2608" s="73" t="s">
        <v>3074</v>
      </c>
      <c r="E2608" s="72">
        <v>521.0</v>
      </c>
      <c r="F2608" s="75">
        <v>43685.0</v>
      </c>
      <c r="G2608" s="76"/>
      <c r="H2608" s="76"/>
      <c r="I2608" s="73" t="s">
        <v>366</v>
      </c>
      <c r="J2608" s="76"/>
    </row>
    <row r="2609">
      <c r="A2609" s="74">
        <v>2605.0</v>
      </c>
      <c r="B2609" s="73" t="s">
        <v>1984</v>
      </c>
      <c r="C2609" s="74">
        <v>9.01030412E8</v>
      </c>
      <c r="D2609" s="73" t="s">
        <v>3075</v>
      </c>
      <c r="E2609" s="72">
        <v>524.0</v>
      </c>
      <c r="F2609" s="75">
        <v>43689.0</v>
      </c>
      <c r="G2609" s="76"/>
      <c r="H2609" s="76"/>
      <c r="I2609" s="73" t="s">
        <v>366</v>
      </c>
      <c r="J2609" s="76"/>
    </row>
    <row r="2610">
      <c r="A2610" s="74">
        <v>2606.0</v>
      </c>
      <c r="B2610" s="73" t="s">
        <v>1984</v>
      </c>
      <c r="C2610" s="74">
        <v>8.32009796E8</v>
      </c>
      <c r="D2610" s="73" t="s">
        <v>3076</v>
      </c>
      <c r="E2610" s="72">
        <v>538.0</v>
      </c>
      <c r="F2610" s="75">
        <v>43698.0</v>
      </c>
      <c r="G2610" s="76"/>
      <c r="H2610" s="76"/>
      <c r="I2610" s="73" t="s">
        <v>366</v>
      </c>
      <c r="J2610" s="76"/>
    </row>
    <row r="2611">
      <c r="A2611" s="74">
        <v>2607.0</v>
      </c>
      <c r="B2611" s="73" t="s">
        <v>1984</v>
      </c>
      <c r="C2611" s="74">
        <v>9.00950495E8</v>
      </c>
      <c r="D2611" s="73" t="s">
        <v>3077</v>
      </c>
      <c r="E2611" s="72">
        <v>547.0</v>
      </c>
      <c r="F2611" s="75">
        <v>43703.0</v>
      </c>
      <c r="G2611" s="76"/>
      <c r="H2611" s="76"/>
      <c r="I2611" s="73" t="s">
        <v>366</v>
      </c>
      <c r="J2611" s="76"/>
    </row>
    <row r="2612">
      <c r="A2612" s="74">
        <v>2608.0</v>
      </c>
      <c r="B2612" s="73" t="s">
        <v>1984</v>
      </c>
      <c r="C2612" s="74">
        <v>9.01161169E8</v>
      </c>
      <c r="D2612" s="73" t="s">
        <v>3078</v>
      </c>
      <c r="E2612" s="72">
        <v>546.0</v>
      </c>
      <c r="F2612" s="75">
        <v>43703.0</v>
      </c>
      <c r="G2612" s="76"/>
      <c r="H2612" s="76"/>
      <c r="I2612" s="73" t="s">
        <v>366</v>
      </c>
      <c r="J2612" s="76"/>
    </row>
    <row r="2613">
      <c r="A2613" s="74">
        <v>2609.0</v>
      </c>
      <c r="B2613" s="73" t="s">
        <v>1984</v>
      </c>
      <c r="C2613" s="74">
        <v>9.01306121E8</v>
      </c>
      <c r="D2613" s="73" t="s">
        <v>3079</v>
      </c>
      <c r="E2613" s="72">
        <v>558.0</v>
      </c>
      <c r="F2613" s="75">
        <v>43707.0</v>
      </c>
      <c r="G2613" s="76"/>
      <c r="H2613" s="76"/>
      <c r="I2613" s="73" t="s">
        <v>366</v>
      </c>
      <c r="J2613" s="76"/>
    </row>
    <row r="2614">
      <c r="A2614" s="74">
        <v>2610.0</v>
      </c>
      <c r="B2614" s="73" t="s">
        <v>1984</v>
      </c>
      <c r="C2614" s="74">
        <v>9.01223603E8</v>
      </c>
      <c r="D2614" s="73" t="s">
        <v>3080</v>
      </c>
      <c r="E2614" s="72">
        <v>559.0</v>
      </c>
      <c r="F2614" s="75">
        <v>43711.0</v>
      </c>
      <c r="G2614" s="76"/>
      <c r="H2614" s="76"/>
      <c r="I2614" s="73" t="s">
        <v>366</v>
      </c>
      <c r="J2614" s="76"/>
    </row>
    <row r="2615">
      <c r="A2615" s="74">
        <v>2611.0</v>
      </c>
      <c r="B2615" s="73" t="s">
        <v>1984</v>
      </c>
      <c r="C2615" s="74">
        <v>9.00658046E8</v>
      </c>
      <c r="D2615" s="73" t="s">
        <v>3081</v>
      </c>
      <c r="E2615" s="72">
        <v>632.0</v>
      </c>
      <c r="F2615" s="77">
        <v>43746.0</v>
      </c>
      <c r="G2615" s="76"/>
      <c r="H2615" s="76"/>
      <c r="I2615" s="73" t="s">
        <v>366</v>
      </c>
      <c r="J2615" s="76"/>
    </row>
    <row r="2616">
      <c r="A2616" s="74">
        <v>2612.0</v>
      </c>
      <c r="B2616" s="73" t="s">
        <v>1984</v>
      </c>
      <c r="C2616" s="74">
        <v>9.01136459E8</v>
      </c>
      <c r="D2616" s="73" t="s">
        <v>3082</v>
      </c>
      <c r="E2616" s="72">
        <v>629.0</v>
      </c>
      <c r="F2616" s="77">
        <v>43746.0</v>
      </c>
      <c r="G2616" s="76"/>
      <c r="H2616" s="76"/>
      <c r="I2616" s="73" t="s">
        <v>366</v>
      </c>
      <c r="J2616" s="76"/>
    </row>
    <row r="2617">
      <c r="A2617" s="74">
        <v>2613.0</v>
      </c>
      <c r="B2617" s="73" t="s">
        <v>1984</v>
      </c>
      <c r="C2617" s="74">
        <v>9.01205494E8</v>
      </c>
      <c r="D2617" s="73" t="s">
        <v>3083</v>
      </c>
      <c r="E2617" s="72">
        <v>628.0</v>
      </c>
      <c r="F2617" s="77">
        <v>43746.0</v>
      </c>
      <c r="G2617" s="76"/>
      <c r="H2617" s="76"/>
      <c r="I2617" s="73" t="s">
        <v>366</v>
      </c>
      <c r="J2617" s="76"/>
    </row>
    <row r="2618">
      <c r="A2618" s="74">
        <v>2614.0</v>
      </c>
      <c r="B2618" s="73" t="s">
        <v>1984</v>
      </c>
      <c r="C2618" s="74">
        <v>9.01305456E8</v>
      </c>
      <c r="D2618" s="73" t="s">
        <v>3084</v>
      </c>
      <c r="E2618" s="72">
        <v>630.0</v>
      </c>
      <c r="F2618" s="77">
        <v>43746.0</v>
      </c>
      <c r="G2618" s="76"/>
      <c r="H2618" s="76"/>
      <c r="I2618" s="73" t="s">
        <v>366</v>
      </c>
      <c r="J2618" s="76"/>
    </row>
    <row r="2619">
      <c r="A2619" s="74">
        <v>2615.0</v>
      </c>
      <c r="B2619" s="73" t="s">
        <v>1984</v>
      </c>
      <c r="C2619" s="74">
        <v>9.0131679E8</v>
      </c>
      <c r="D2619" s="73" t="s">
        <v>3085</v>
      </c>
      <c r="E2619" s="72">
        <v>631.0</v>
      </c>
      <c r="F2619" s="77">
        <v>43746.0</v>
      </c>
      <c r="G2619" s="76"/>
      <c r="H2619" s="76"/>
      <c r="I2619" s="73" t="s">
        <v>366</v>
      </c>
      <c r="J2619" s="76"/>
    </row>
    <row r="2620">
      <c r="A2620" s="74">
        <v>2616.0</v>
      </c>
      <c r="B2620" s="73" t="s">
        <v>1984</v>
      </c>
      <c r="C2620" s="74">
        <v>9.0115427E8</v>
      </c>
      <c r="D2620" s="73" t="s">
        <v>3086</v>
      </c>
      <c r="E2620" s="72">
        <v>661.0</v>
      </c>
      <c r="F2620" s="77">
        <v>43761.0</v>
      </c>
      <c r="G2620" s="76"/>
      <c r="H2620" s="76"/>
      <c r="I2620" s="73" t="s">
        <v>366</v>
      </c>
      <c r="J2620" s="76"/>
    </row>
    <row r="2621">
      <c r="A2621" s="74">
        <v>2617.0</v>
      </c>
      <c r="B2621" s="73" t="s">
        <v>1984</v>
      </c>
      <c r="C2621" s="74">
        <v>9.0115465E8</v>
      </c>
      <c r="D2621" s="73" t="s">
        <v>3087</v>
      </c>
      <c r="E2621" s="72">
        <v>660.0</v>
      </c>
      <c r="F2621" s="77">
        <v>43761.0</v>
      </c>
      <c r="G2621" s="76"/>
      <c r="H2621" s="76"/>
      <c r="I2621" s="73" t="s">
        <v>366</v>
      </c>
      <c r="J2621" s="76"/>
    </row>
    <row r="2622">
      <c r="A2622" s="74">
        <v>2618.0</v>
      </c>
      <c r="B2622" s="73" t="s">
        <v>1984</v>
      </c>
      <c r="C2622" s="74">
        <v>9.00460873E8</v>
      </c>
      <c r="D2622" s="73" t="s">
        <v>3088</v>
      </c>
      <c r="E2622" s="72">
        <v>667.0</v>
      </c>
      <c r="F2622" s="77">
        <v>43767.0</v>
      </c>
      <c r="G2622" s="76"/>
      <c r="H2622" s="76"/>
      <c r="I2622" s="73" t="s">
        <v>366</v>
      </c>
      <c r="J2622" s="76"/>
    </row>
    <row r="2623">
      <c r="A2623" s="74">
        <v>2619.0</v>
      </c>
      <c r="B2623" s="73" t="s">
        <v>1984</v>
      </c>
      <c r="C2623" s="74">
        <v>9.00634341E8</v>
      </c>
      <c r="D2623" s="73" t="s">
        <v>3089</v>
      </c>
      <c r="E2623" s="72">
        <v>668.0</v>
      </c>
      <c r="F2623" s="77">
        <v>43767.0</v>
      </c>
      <c r="G2623" s="76"/>
      <c r="H2623" s="76"/>
      <c r="I2623" s="73" t="s">
        <v>366</v>
      </c>
      <c r="J2623" s="76"/>
    </row>
    <row r="2624">
      <c r="A2624" s="74">
        <v>2620.0</v>
      </c>
      <c r="B2624" s="73" t="s">
        <v>1984</v>
      </c>
      <c r="C2624" s="74">
        <v>9.00929066E8</v>
      </c>
      <c r="D2624" s="73" t="s">
        <v>1759</v>
      </c>
      <c r="E2624" s="72">
        <v>666.0</v>
      </c>
      <c r="F2624" s="77">
        <v>43767.0</v>
      </c>
      <c r="G2624" s="76"/>
      <c r="H2624" s="76"/>
      <c r="I2624" s="73" t="s">
        <v>366</v>
      </c>
      <c r="J2624" s="76"/>
    </row>
    <row r="2625">
      <c r="A2625" s="74">
        <v>2621.0</v>
      </c>
      <c r="B2625" s="73" t="s">
        <v>1984</v>
      </c>
      <c r="C2625" s="74">
        <v>9.01120484E8</v>
      </c>
      <c r="D2625" s="73" t="s">
        <v>3090</v>
      </c>
      <c r="E2625" s="72">
        <v>681.0</v>
      </c>
      <c r="F2625" s="77">
        <v>43777.0</v>
      </c>
      <c r="G2625" s="76"/>
      <c r="H2625" s="76"/>
      <c r="I2625" s="73" t="s">
        <v>366</v>
      </c>
      <c r="J2625" s="76"/>
    </row>
    <row r="2626">
      <c r="A2626" s="74">
        <v>2622.0</v>
      </c>
      <c r="B2626" s="73" t="s">
        <v>1984</v>
      </c>
      <c r="C2626" s="74">
        <v>9.01334412E8</v>
      </c>
      <c r="D2626" s="73" t="s">
        <v>3091</v>
      </c>
      <c r="E2626" s="72">
        <v>746.0</v>
      </c>
      <c r="F2626" s="77">
        <v>43804.0</v>
      </c>
      <c r="G2626" s="76"/>
      <c r="H2626" s="76"/>
      <c r="I2626" s="73" t="s">
        <v>366</v>
      </c>
      <c r="J2626" s="76"/>
    </row>
    <row r="2627">
      <c r="A2627" s="74">
        <v>2623.0</v>
      </c>
      <c r="B2627" s="73" t="s">
        <v>1984</v>
      </c>
      <c r="C2627" s="74">
        <v>9.01342819E8</v>
      </c>
      <c r="D2627" s="73" t="s">
        <v>3092</v>
      </c>
      <c r="E2627" s="72">
        <v>264.0</v>
      </c>
      <c r="F2627" s="77">
        <v>43810.0</v>
      </c>
      <c r="G2627" s="76"/>
      <c r="H2627" s="76"/>
      <c r="I2627" s="73" t="s">
        <v>366</v>
      </c>
      <c r="J2627" s="76"/>
    </row>
    <row r="2628">
      <c r="A2628" s="74">
        <v>2624.0</v>
      </c>
      <c r="B2628" s="73" t="s">
        <v>1984</v>
      </c>
      <c r="C2628" s="74">
        <v>9.01112185E8</v>
      </c>
      <c r="D2628" s="73" t="s">
        <v>3093</v>
      </c>
      <c r="E2628" s="72">
        <v>812.0</v>
      </c>
      <c r="F2628" s="77">
        <v>43825.0</v>
      </c>
      <c r="G2628" s="76"/>
      <c r="H2628" s="76"/>
      <c r="I2628" s="73" t="s">
        <v>366</v>
      </c>
      <c r="J2628" s="76"/>
    </row>
    <row r="2629">
      <c r="A2629" s="74">
        <v>2625.0</v>
      </c>
      <c r="B2629" s="73" t="s">
        <v>1984</v>
      </c>
      <c r="C2629" s="74">
        <v>9.0133796E8</v>
      </c>
      <c r="D2629" s="73" t="s">
        <v>3094</v>
      </c>
      <c r="E2629" s="72">
        <v>809.0</v>
      </c>
      <c r="F2629" s="77">
        <v>43825.0</v>
      </c>
      <c r="G2629" s="76"/>
      <c r="H2629" s="76"/>
      <c r="I2629" s="73" t="s">
        <v>366</v>
      </c>
      <c r="J2629" s="76"/>
    </row>
    <row r="2630">
      <c r="A2630" s="74">
        <v>2626.0</v>
      </c>
      <c r="B2630" s="73" t="s">
        <v>1984</v>
      </c>
      <c r="C2630" s="74">
        <v>9.00008702E8</v>
      </c>
      <c r="D2630" s="73" t="s">
        <v>3095</v>
      </c>
      <c r="E2630" s="72">
        <v>1.0</v>
      </c>
      <c r="F2630" s="75">
        <v>43837.0</v>
      </c>
      <c r="G2630" s="76"/>
      <c r="H2630" s="76"/>
      <c r="I2630" s="73" t="s">
        <v>366</v>
      </c>
      <c r="J2630" s="76"/>
    </row>
    <row r="2631">
      <c r="A2631" s="74">
        <v>2627.0</v>
      </c>
      <c r="B2631" s="73" t="s">
        <v>1984</v>
      </c>
      <c r="C2631" s="74">
        <v>8.30136305E8</v>
      </c>
      <c r="D2631" s="73" t="s">
        <v>3096</v>
      </c>
      <c r="E2631" s="72">
        <v>31.0</v>
      </c>
      <c r="F2631" s="75">
        <v>43851.0</v>
      </c>
      <c r="G2631" s="76"/>
      <c r="H2631" s="76"/>
      <c r="I2631" s="73" t="s">
        <v>366</v>
      </c>
      <c r="J2631" s="76"/>
    </row>
    <row r="2632">
      <c r="A2632" s="74">
        <v>2628.0</v>
      </c>
      <c r="B2632" s="73" t="s">
        <v>1984</v>
      </c>
      <c r="C2632" s="74">
        <v>9.00868685E8</v>
      </c>
      <c r="D2632" s="73" t="s">
        <v>3097</v>
      </c>
      <c r="E2632" s="72">
        <v>23.0</v>
      </c>
      <c r="F2632" s="75">
        <v>43860.0</v>
      </c>
      <c r="G2632" s="76"/>
      <c r="H2632" s="76"/>
      <c r="I2632" s="73" t="s">
        <v>366</v>
      </c>
      <c r="J2632" s="76"/>
    </row>
    <row r="2633">
      <c r="A2633" s="74">
        <v>2629.0</v>
      </c>
      <c r="B2633" s="73" t="s">
        <v>1984</v>
      </c>
      <c r="C2633" s="74">
        <v>9.00542835E8</v>
      </c>
      <c r="D2633" s="73" t="s">
        <v>3098</v>
      </c>
      <c r="E2633" s="72">
        <v>53.0</v>
      </c>
      <c r="F2633" s="75">
        <v>43864.0</v>
      </c>
      <c r="G2633" s="76"/>
      <c r="H2633" s="76"/>
      <c r="I2633" s="73" t="s">
        <v>366</v>
      </c>
      <c r="J2633" s="76"/>
    </row>
    <row r="2634">
      <c r="A2634" s="74">
        <v>2630.0</v>
      </c>
      <c r="B2634" s="73" t="s">
        <v>1984</v>
      </c>
      <c r="C2634" s="74">
        <v>8.00206345E8</v>
      </c>
      <c r="D2634" s="73" t="s">
        <v>3099</v>
      </c>
      <c r="E2634" s="72">
        <v>107.0</v>
      </c>
      <c r="F2634" s="75">
        <v>43885.0</v>
      </c>
      <c r="G2634" s="76"/>
      <c r="H2634" s="76"/>
      <c r="I2634" s="73" t="s">
        <v>366</v>
      </c>
      <c r="J2634" s="76"/>
    </row>
    <row r="2635">
      <c r="A2635" s="74">
        <v>2631.0</v>
      </c>
      <c r="B2635" s="73" t="s">
        <v>1984</v>
      </c>
      <c r="C2635" s="74">
        <v>9.01334861E8</v>
      </c>
      <c r="D2635" s="73" t="s">
        <v>3100</v>
      </c>
      <c r="E2635" s="72">
        <v>108.0</v>
      </c>
      <c r="F2635" s="75">
        <v>43885.0</v>
      </c>
      <c r="G2635" s="76"/>
      <c r="H2635" s="76"/>
      <c r="I2635" s="73" t="s">
        <v>366</v>
      </c>
      <c r="J2635" s="76"/>
    </row>
    <row r="2636">
      <c r="A2636" s="85">
        <v>2632.0</v>
      </c>
      <c r="B2636" s="79" t="s">
        <v>1984</v>
      </c>
      <c r="C2636" s="80">
        <v>9.00350903E8</v>
      </c>
      <c r="D2636" s="79" t="s">
        <v>3101</v>
      </c>
      <c r="E2636" s="81">
        <v>126.0</v>
      </c>
      <c r="F2636" s="84">
        <v>43888.0</v>
      </c>
      <c r="G2636" s="83"/>
      <c r="H2636" s="83"/>
      <c r="I2636" s="73" t="s">
        <v>366</v>
      </c>
      <c r="J2636" s="76"/>
    </row>
    <row r="2637">
      <c r="A2637" s="74">
        <v>2633.0</v>
      </c>
      <c r="B2637" s="73" t="s">
        <v>1984</v>
      </c>
      <c r="C2637" s="74">
        <v>9.01362124E8</v>
      </c>
      <c r="D2637" s="73" t="s">
        <v>3102</v>
      </c>
      <c r="E2637" s="72">
        <v>128.0</v>
      </c>
      <c r="F2637" s="75">
        <v>43892.0</v>
      </c>
      <c r="G2637" s="76"/>
      <c r="H2637" s="76"/>
      <c r="I2637" s="73" t="s">
        <v>366</v>
      </c>
      <c r="J2637" s="76"/>
    </row>
    <row r="2638">
      <c r="A2638" s="74">
        <v>2634.0</v>
      </c>
      <c r="B2638" s="73" t="s">
        <v>1984</v>
      </c>
      <c r="C2638" s="74">
        <v>9.01286404E8</v>
      </c>
      <c r="D2638" s="73" t="s">
        <v>3103</v>
      </c>
      <c r="E2638" s="72">
        <v>142.0</v>
      </c>
      <c r="F2638" s="75">
        <v>43899.0</v>
      </c>
      <c r="G2638" s="76"/>
      <c r="H2638" s="76"/>
      <c r="I2638" s="73" t="s">
        <v>366</v>
      </c>
      <c r="J2638" s="76"/>
    </row>
    <row r="2639">
      <c r="A2639" s="74">
        <v>2635.0</v>
      </c>
      <c r="B2639" s="73" t="s">
        <v>1984</v>
      </c>
      <c r="C2639" s="74">
        <v>9.01364269E8</v>
      </c>
      <c r="D2639" s="73" t="s">
        <v>3104</v>
      </c>
      <c r="E2639" s="72">
        <v>185.0</v>
      </c>
      <c r="F2639" s="75">
        <v>43914.0</v>
      </c>
      <c r="G2639" s="76"/>
      <c r="H2639" s="76"/>
      <c r="I2639" s="73" t="s">
        <v>366</v>
      </c>
      <c r="J2639" s="76"/>
    </row>
    <row r="2640">
      <c r="A2640" s="74">
        <v>2636.0</v>
      </c>
      <c r="B2640" s="73" t="s">
        <v>1984</v>
      </c>
      <c r="C2640" s="74">
        <v>9.01372892E8</v>
      </c>
      <c r="D2640" s="73" t="s">
        <v>3105</v>
      </c>
      <c r="E2640" s="72">
        <v>184.0</v>
      </c>
      <c r="F2640" s="75">
        <v>43914.0</v>
      </c>
      <c r="G2640" s="76"/>
      <c r="H2640" s="76"/>
      <c r="I2640" s="73" t="s">
        <v>366</v>
      </c>
      <c r="J2640" s="76"/>
    </row>
    <row r="2641">
      <c r="A2641" s="74">
        <v>2637.0</v>
      </c>
      <c r="B2641" s="73" t="s">
        <v>1984</v>
      </c>
      <c r="C2641" s="74">
        <v>9.00196382E8</v>
      </c>
      <c r="D2641" s="73" t="s">
        <v>3106</v>
      </c>
      <c r="E2641" s="72">
        <v>2.0203040010135E13</v>
      </c>
      <c r="F2641" s="75">
        <v>43929.0</v>
      </c>
      <c r="G2641" s="76"/>
      <c r="H2641" s="76"/>
      <c r="I2641" s="73" t="s">
        <v>366</v>
      </c>
      <c r="J2641" s="76"/>
    </row>
    <row r="2642">
      <c r="A2642" s="74">
        <v>2638.0</v>
      </c>
      <c r="B2642" s="73" t="s">
        <v>1984</v>
      </c>
      <c r="C2642" s="74">
        <v>9.01359137E8</v>
      </c>
      <c r="D2642" s="73" t="s">
        <v>3107</v>
      </c>
      <c r="E2642" s="72">
        <v>2.0203040002165E13</v>
      </c>
      <c r="F2642" s="75">
        <v>43956.0</v>
      </c>
      <c r="G2642" s="76"/>
      <c r="H2642" s="76"/>
      <c r="I2642" s="73" t="s">
        <v>366</v>
      </c>
      <c r="J2642" s="76"/>
    </row>
    <row r="2643">
      <c r="A2643" s="74">
        <v>2639.0</v>
      </c>
      <c r="B2643" s="73" t="s">
        <v>1984</v>
      </c>
      <c r="C2643" s="74">
        <v>9.00607351E8</v>
      </c>
      <c r="D2643" s="73" t="s">
        <v>3108</v>
      </c>
      <c r="E2643" s="72">
        <v>2.0203040003095E13</v>
      </c>
      <c r="F2643" s="75">
        <v>43966.0</v>
      </c>
      <c r="G2643" s="76"/>
      <c r="H2643" s="76"/>
      <c r="I2643" s="73" t="s">
        <v>366</v>
      </c>
      <c r="J2643" s="76"/>
    </row>
    <row r="2644">
      <c r="A2644" s="74">
        <v>2640.0</v>
      </c>
      <c r="B2644" s="73" t="s">
        <v>1984</v>
      </c>
      <c r="C2644" s="74">
        <v>9.01139549E8</v>
      </c>
      <c r="D2644" s="73" t="s">
        <v>3109</v>
      </c>
      <c r="E2644" s="72">
        <v>2.0203040003085E13</v>
      </c>
      <c r="F2644" s="75">
        <v>43966.0</v>
      </c>
      <c r="G2644" s="76"/>
      <c r="H2644" s="76"/>
      <c r="I2644" s="73" t="s">
        <v>366</v>
      </c>
      <c r="J2644" s="76"/>
    </row>
    <row r="2645">
      <c r="A2645" s="74">
        <v>2641.0</v>
      </c>
      <c r="B2645" s="73" t="s">
        <v>1984</v>
      </c>
      <c r="C2645" s="74">
        <v>8.30050317E8</v>
      </c>
      <c r="D2645" s="73" t="s">
        <v>3110</v>
      </c>
      <c r="E2645" s="72">
        <v>2.0203040005235E13</v>
      </c>
      <c r="F2645" s="75">
        <v>43986.0</v>
      </c>
      <c r="G2645" s="76"/>
      <c r="H2645" s="76"/>
      <c r="I2645" s="73" t="s">
        <v>366</v>
      </c>
      <c r="J2645" s="76"/>
    </row>
    <row r="2646">
      <c r="A2646" s="74">
        <v>2642.0</v>
      </c>
      <c r="B2646" s="73" t="s">
        <v>1984</v>
      </c>
      <c r="C2646" s="74">
        <v>9.01237466E8</v>
      </c>
      <c r="D2646" s="73" t="s">
        <v>3111</v>
      </c>
      <c r="E2646" s="72">
        <v>2.0203040005245E13</v>
      </c>
      <c r="F2646" s="75">
        <v>43986.0</v>
      </c>
      <c r="G2646" s="76"/>
      <c r="H2646" s="76"/>
      <c r="I2646" s="73" t="s">
        <v>366</v>
      </c>
      <c r="J2646" s="76"/>
    </row>
    <row r="2647">
      <c r="A2647" s="74">
        <v>2643.0</v>
      </c>
      <c r="B2647" s="73" t="s">
        <v>1984</v>
      </c>
      <c r="C2647" s="74">
        <v>9.00435228E8</v>
      </c>
      <c r="D2647" s="73" t="s">
        <v>3112</v>
      </c>
      <c r="E2647" s="72">
        <v>2.0203040006615E13</v>
      </c>
      <c r="F2647" s="75">
        <v>44001.0</v>
      </c>
      <c r="G2647" s="76"/>
      <c r="H2647" s="76"/>
      <c r="I2647" s="73" t="s">
        <v>366</v>
      </c>
      <c r="J2647" s="76"/>
    </row>
    <row r="2648">
      <c r="A2648" s="74">
        <v>2644.0</v>
      </c>
      <c r="B2648" s="73" t="s">
        <v>1984</v>
      </c>
      <c r="C2648" s="74">
        <v>9.00512082E8</v>
      </c>
      <c r="D2648" s="73" t="s">
        <v>3113</v>
      </c>
      <c r="E2648" s="72">
        <v>2.0203040006535E13</v>
      </c>
      <c r="F2648" s="75">
        <v>44001.0</v>
      </c>
      <c r="G2648" s="76"/>
      <c r="H2648" s="76"/>
      <c r="I2648" s="73" t="s">
        <v>366</v>
      </c>
      <c r="J2648" s="76"/>
    </row>
    <row r="2649">
      <c r="A2649" s="74">
        <v>2645.0</v>
      </c>
      <c r="B2649" s="73" t="s">
        <v>1984</v>
      </c>
      <c r="C2649" s="74">
        <v>9.01323496E8</v>
      </c>
      <c r="D2649" s="73" t="s">
        <v>3114</v>
      </c>
      <c r="E2649" s="72">
        <v>2.0203040006575E13</v>
      </c>
      <c r="F2649" s="75">
        <v>44001.0</v>
      </c>
      <c r="G2649" s="76"/>
      <c r="H2649" s="76"/>
      <c r="I2649" s="73" t="s">
        <v>366</v>
      </c>
      <c r="J2649" s="76"/>
    </row>
    <row r="2650">
      <c r="A2650" s="74">
        <v>2646.0</v>
      </c>
      <c r="B2650" s="73" t="s">
        <v>1984</v>
      </c>
      <c r="C2650" s="74">
        <v>9.0138327E8</v>
      </c>
      <c r="D2650" s="73" t="s">
        <v>3115</v>
      </c>
      <c r="E2650" s="72">
        <v>2.0203040006545E13</v>
      </c>
      <c r="F2650" s="75">
        <v>44001.0</v>
      </c>
      <c r="G2650" s="76"/>
      <c r="H2650" s="76"/>
      <c r="I2650" s="73" t="s">
        <v>366</v>
      </c>
      <c r="J2650" s="76"/>
    </row>
    <row r="2651">
      <c r="A2651" s="74">
        <v>2647.0</v>
      </c>
      <c r="B2651" s="73" t="s">
        <v>1984</v>
      </c>
      <c r="C2651" s="74">
        <v>9.00956201E8</v>
      </c>
      <c r="D2651" s="73" t="s">
        <v>3116</v>
      </c>
      <c r="E2651" s="72">
        <v>2.0203040007935E13</v>
      </c>
      <c r="F2651" s="75">
        <v>44020.0</v>
      </c>
      <c r="G2651" s="76"/>
      <c r="H2651" s="76"/>
      <c r="I2651" s="73" t="s">
        <v>366</v>
      </c>
      <c r="J2651" s="76"/>
    </row>
    <row r="2652">
      <c r="A2652" s="74">
        <v>2648.0</v>
      </c>
      <c r="B2652" s="73" t="s">
        <v>1984</v>
      </c>
      <c r="C2652" s="74">
        <v>9.01386396E8</v>
      </c>
      <c r="D2652" s="73" t="s">
        <v>3117</v>
      </c>
      <c r="E2652" s="72">
        <v>2.0203040007925E13</v>
      </c>
      <c r="F2652" s="75">
        <v>44020.0</v>
      </c>
      <c r="G2652" s="76"/>
      <c r="H2652" s="76"/>
      <c r="I2652" s="73" t="s">
        <v>366</v>
      </c>
      <c r="J2652" s="76"/>
    </row>
    <row r="2653">
      <c r="A2653" s="74">
        <v>2649.0</v>
      </c>
      <c r="B2653" s="73" t="s">
        <v>1984</v>
      </c>
      <c r="C2653" s="74">
        <v>9.00052755E8</v>
      </c>
      <c r="D2653" s="73" t="s">
        <v>3118</v>
      </c>
      <c r="E2653" s="72">
        <v>2.0203040010115E13</v>
      </c>
      <c r="F2653" s="75">
        <v>44047.0</v>
      </c>
      <c r="G2653" s="76"/>
      <c r="H2653" s="76"/>
      <c r="I2653" s="73" t="s">
        <v>366</v>
      </c>
      <c r="J2653" s="76"/>
    </row>
    <row r="2654">
      <c r="A2654" s="74">
        <v>2650.0</v>
      </c>
      <c r="B2654" s="73" t="s">
        <v>1984</v>
      </c>
      <c r="C2654" s="74">
        <v>9.01386643E8</v>
      </c>
      <c r="D2654" s="73" t="s">
        <v>3119</v>
      </c>
      <c r="E2654" s="72">
        <v>2.0203040010075E13</v>
      </c>
      <c r="F2654" s="75">
        <v>44047.0</v>
      </c>
      <c r="G2654" s="76"/>
      <c r="H2654" s="76"/>
      <c r="I2654" s="73" t="s">
        <v>366</v>
      </c>
      <c r="J2654" s="76"/>
    </row>
    <row r="2655">
      <c r="A2655" s="74">
        <v>2651.0</v>
      </c>
      <c r="B2655" s="73" t="s">
        <v>1984</v>
      </c>
      <c r="C2655" s="74">
        <v>9.01395835E8</v>
      </c>
      <c r="D2655" s="73" t="s">
        <v>3120</v>
      </c>
      <c r="E2655" s="72">
        <v>2.0203040010895E13</v>
      </c>
      <c r="F2655" s="75">
        <v>44056.0</v>
      </c>
      <c r="G2655" s="76"/>
      <c r="H2655" s="76"/>
      <c r="I2655" s="73" t="s">
        <v>366</v>
      </c>
      <c r="J2655" s="76"/>
    </row>
    <row r="2656">
      <c r="A2656" s="74">
        <v>2652.0</v>
      </c>
      <c r="B2656" s="73" t="s">
        <v>1984</v>
      </c>
      <c r="C2656" s="74">
        <v>8.00177674E8</v>
      </c>
      <c r="D2656" s="73" t="s">
        <v>3121</v>
      </c>
      <c r="E2656" s="72">
        <v>2.0203040011935E13</v>
      </c>
      <c r="F2656" s="75">
        <v>44071.0</v>
      </c>
      <c r="G2656" s="76"/>
      <c r="H2656" s="76"/>
      <c r="I2656" s="73" t="s">
        <v>366</v>
      </c>
      <c r="J2656" s="76"/>
    </row>
    <row r="2657">
      <c r="A2657" s="74">
        <v>2653.0</v>
      </c>
      <c r="B2657" s="73" t="s">
        <v>1984</v>
      </c>
      <c r="C2657" s="74">
        <v>8.00146314E8</v>
      </c>
      <c r="D2657" s="73" t="s">
        <v>3122</v>
      </c>
      <c r="E2657" s="72">
        <v>2.0203040013005E13</v>
      </c>
      <c r="F2657" s="75">
        <v>44096.0</v>
      </c>
      <c r="G2657" s="76"/>
      <c r="H2657" s="76"/>
      <c r="I2657" s="73" t="s">
        <v>366</v>
      </c>
      <c r="J2657" s="76"/>
    </row>
    <row r="2658">
      <c r="A2658" s="74">
        <v>2654.0</v>
      </c>
      <c r="B2658" s="73" t="s">
        <v>1984</v>
      </c>
      <c r="C2658" s="74">
        <v>9.01397566E8</v>
      </c>
      <c r="D2658" s="73" t="s">
        <v>3123</v>
      </c>
      <c r="E2658" s="72">
        <v>2.0203040012895E13</v>
      </c>
      <c r="F2658" s="75">
        <v>44096.0</v>
      </c>
      <c r="G2658" s="76"/>
      <c r="H2658" s="76"/>
      <c r="I2658" s="73" t="s">
        <v>366</v>
      </c>
      <c r="J2658" s="76"/>
    </row>
    <row r="2659">
      <c r="A2659" s="74">
        <v>2655.0</v>
      </c>
      <c r="B2659" s="73" t="s">
        <v>1984</v>
      </c>
      <c r="C2659" s="74">
        <v>9.00861729E8</v>
      </c>
      <c r="D2659" s="73" t="s">
        <v>3124</v>
      </c>
      <c r="E2659" s="72">
        <v>2.0203040013165E13</v>
      </c>
      <c r="F2659" s="75">
        <v>44097.0</v>
      </c>
      <c r="G2659" s="76"/>
      <c r="H2659" s="76"/>
      <c r="I2659" s="73" t="s">
        <v>366</v>
      </c>
      <c r="J2659" s="76"/>
    </row>
    <row r="2660">
      <c r="A2660" s="74">
        <v>2656.0</v>
      </c>
      <c r="B2660" s="73" t="s">
        <v>1984</v>
      </c>
      <c r="C2660" s="74">
        <v>9.01394213E8</v>
      </c>
      <c r="D2660" s="73" t="s">
        <v>3125</v>
      </c>
      <c r="E2660" s="72">
        <v>2.0203040013155E13</v>
      </c>
      <c r="F2660" s="75">
        <v>44097.0</v>
      </c>
      <c r="G2660" s="76"/>
      <c r="H2660" s="76"/>
      <c r="I2660" s="73" t="s">
        <v>366</v>
      </c>
      <c r="J2660" s="76"/>
    </row>
    <row r="2661">
      <c r="A2661" s="74">
        <v>2657.0</v>
      </c>
      <c r="B2661" s="73" t="s">
        <v>1984</v>
      </c>
      <c r="C2661" s="74">
        <v>9.00297857E8</v>
      </c>
      <c r="D2661" s="73" t="s">
        <v>3126</v>
      </c>
      <c r="E2661" s="72">
        <v>2.0203040014655E13</v>
      </c>
      <c r="F2661" s="77">
        <v>44111.0</v>
      </c>
      <c r="G2661" s="76"/>
      <c r="H2661" s="76"/>
      <c r="I2661" s="73" t="s">
        <v>366</v>
      </c>
      <c r="J2661" s="76"/>
    </row>
    <row r="2662">
      <c r="A2662" s="74">
        <v>2658.0</v>
      </c>
      <c r="B2662" s="73" t="s">
        <v>1984</v>
      </c>
      <c r="C2662" s="74">
        <v>9.00496132E8</v>
      </c>
      <c r="D2662" s="73" t="s">
        <v>3127</v>
      </c>
      <c r="E2662" s="72">
        <v>2.0203040014635E13</v>
      </c>
      <c r="F2662" s="77">
        <v>44111.0</v>
      </c>
      <c r="G2662" s="76"/>
      <c r="H2662" s="76"/>
      <c r="I2662" s="73" t="s">
        <v>366</v>
      </c>
      <c r="J2662" s="76"/>
    </row>
    <row r="2663">
      <c r="A2663" s="74">
        <v>2659.0</v>
      </c>
      <c r="B2663" s="73" t="s">
        <v>1984</v>
      </c>
      <c r="C2663" s="74">
        <v>9.01282493E8</v>
      </c>
      <c r="D2663" s="73" t="s">
        <v>3128</v>
      </c>
      <c r="E2663" s="72">
        <v>2.0203040015855E13</v>
      </c>
      <c r="F2663" s="77">
        <v>44119.0</v>
      </c>
      <c r="G2663" s="76"/>
      <c r="H2663" s="76"/>
      <c r="I2663" s="73" t="s">
        <v>366</v>
      </c>
      <c r="J2663" s="76"/>
    </row>
    <row r="2664">
      <c r="A2664" s="74">
        <v>2660.0</v>
      </c>
      <c r="B2664" s="73" t="s">
        <v>1984</v>
      </c>
      <c r="C2664" s="74">
        <v>9.01377954E8</v>
      </c>
      <c r="D2664" s="73" t="s">
        <v>3129</v>
      </c>
      <c r="E2664" s="72">
        <v>2.0203040015845E13</v>
      </c>
      <c r="F2664" s="77">
        <v>44119.0</v>
      </c>
      <c r="G2664" s="76"/>
      <c r="H2664" s="76"/>
      <c r="I2664" s="73" t="s">
        <v>366</v>
      </c>
      <c r="J2664" s="76"/>
    </row>
    <row r="2665">
      <c r="A2665" s="74">
        <v>2661.0</v>
      </c>
      <c r="B2665" s="73" t="s">
        <v>1984</v>
      </c>
      <c r="C2665" s="74">
        <v>8.00201166E8</v>
      </c>
      <c r="D2665" s="73" t="s">
        <v>3130</v>
      </c>
      <c r="E2665" s="72">
        <v>2.0203040020065E13</v>
      </c>
      <c r="F2665" s="77">
        <v>44144.0</v>
      </c>
      <c r="G2665" s="76"/>
      <c r="H2665" s="76"/>
      <c r="I2665" s="73" t="s">
        <v>366</v>
      </c>
      <c r="J2665" s="76"/>
    </row>
    <row r="2666">
      <c r="A2666" s="74">
        <v>2662.0</v>
      </c>
      <c r="B2666" s="73" t="s">
        <v>1984</v>
      </c>
      <c r="C2666" s="74">
        <v>9.00778787E8</v>
      </c>
      <c r="D2666" s="73" t="s">
        <v>3131</v>
      </c>
      <c r="E2666" s="72">
        <v>2.0203040019915E13</v>
      </c>
      <c r="F2666" s="77">
        <v>44144.0</v>
      </c>
      <c r="G2666" s="76"/>
      <c r="H2666" s="76"/>
      <c r="I2666" s="73" t="s">
        <v>366</v>
      </c>
      <c r="J2666" s="76"/>
    </row>
    <row r="2667">
      <c r="A2667" s="74">
        <v>2663.0</v>
      </c>
      <c r="B2667" s="73" t="s">
        <v>1984</v>
      </c>
      <c r="C2667" s="74">
        <v>9.01353771E8</v>
      </c>
      <c r="D2667" s="73" t="s">
        <v>3132</v>
      </c>
      <c r="E2667" s="72">
        <v>2.0203040020105E13</v>
      </c>
      <c r="F2667" s="77">
        <v>44144.0</v>
      </c>
      <c r="G2667" s="76"/>
      <c r="H2667" s="76"/>
      <c r="I2667" s="73" t="s">
        <v>366</v>
      </c>
      <c r="J2667" s="76"/>
    </row>
    <row r="2668">
      <c r="A2668" s="74">
        <v>2664.0</v>
      </c>
      <c r="B2668" s="73" t="s">
        <v>1984</v>
      </c>
      <c r="C2668" s="74">
        <v>9.01277625E8</v>
      </c>
      <c r="D2668" s="73" t="s">
        <v>3133</v>
      </c>
      <c r="E2668" s="72">
        <v>2.0203040020195E13</v>
      </c>
      <c r="F2668" s="77">
        <v>44144.0</v>
      </c>
      <c r="G2668" s="76"/>
      <c r="H2668" s="76"/>
      <c r="I2668" s="73" t="s">
        <v>366</v>
      </c>
      <c r="J2668" s="76"/>
    </row>
    <row r="2669">
      <c r="A2669" s="74">
        <v>2665.0</v>
      </c>
      <c r="B2669" s="73" t="s">
        <v>1984</v>
      </c>
      <c r="C2669" s="74">
        <v>9.01368931E8</v>
      </c>
      <c r="D2669" s="73" t="s">
        <v>3134</v>
      </c>
      <c r="E2669" s="72">
        <v>2.0203040020175E13</v>
      </c>
      <c r="F2669" s="77">
        <v>44144.0</v>
      </c>
      <c r="G2669" s="76"/>
      <c r="H2669" s="76"/>
      <c r="I2669" s="73" t="s">
        <v>366</v>
      </c>
      <c r="J2669" s="76"/>
    </row>
    <row r="2670">
      <c r="A2670" s="74">
        <v>2666.0</v>
      </c>
      <c r="B2670" s="73" t="s">
        <v>1984</v>
      </c>
      <c r="C2670" s="74">
        <v>9.01418727E8</v>
      </c>
      <c r="D2670" s="73" t="s">
        <v>3135</v>
      </c>
      <c r="E2670" s="72">
        <v>2.0203040020155E13</v>
      </c>
      <c r="F2670" s="77">
        <v>44144.0</v>
      </c>
      <c r="G2670" s="76"/>
      <c r="H2670" s="76"/>
      <c r="I2670" s="73" t="s">
        <v>366</v>
      </c>
      <c r="J2670" s="76"/>
    </row>
    <row r="2671">
      <c r="A2671" s="74">
        <v>2667.0</v>
      </c>
      <c r="B2671" s="73" t="s">
        <v>1984</v>
      </c>
      <c r="C2671" s="74">
        <v>8.99999049E8</v>
      </c>
      <c r="D2671" s="73" t="s">
        <v>3136</v>
      </c>
      <c r="E2671" s="72">
        <v>2.0203040020815E13</v>
      </c>
      <c r="F2671" s="77">
        <v>44146.0</v>
      </c>
      <c r="G2671" s="76"/>
      <c r="H2671" s="76"/>
      <c r="I2671" s="73" t="s">
        <v>366</v>
      </c>
      <c r="J2671" s="76"/>
    </row>
    <row r="2672">
      <c r="A2672" s="74">
        <v>2668.0</v>
      </c>
      <c r="B2672" s="73" t="s">
        <v>1984</v>
      </c>
      <c r="C2672" s="74">
        <v>9.01419353E8</v>
      </c>
      <c r="D2672" s="73" t="s">
        <v>3137</v>
      </c>
      <c r="E2672" s="72">
        <v>2.0203040020825E13</v>
      </c>
      <c r="F2672" s="77">
        <v>44146.0</v>
      </c>
      <c r="G2672" s="76"/>
      <c r="H2672" s="76"/>
      <c r="I2672" s="73" t="s">
        <v>366</v>
      </c>
      <c r="J2672" s="76"/>
    </row>
    <row r="2673">
      <c r="A2673" s="74">
        <v>2669.0</v>
      </c>
      <c r="B2673" s="73" t="s">
        <v>1984</v>
      </c>
      <c r="C2673" s="74">
        <v>9.01417148E8</v>
      </c>
      <c r="D2673" s="73" t="s">
        <v>3138</v>
      </c>
      <c r="E2673" s="72">
        <v>2.0203040023105E13</v>
      </c>
      <c r="F2673" s="77">
        <v>44154.0</v>
      </c>
      <c r="G2673" s="76"/>
      <c r="H2673" s="76"/>
      <c r="I2673" s="73" t="s">
        <v>366</v>
      </c>
      <c r="J2673" s="76"/>
    </row>
    <row r="2674">
      <c r="A2674" s="74">
        <v>2670.0</v>
      </c>
      <c r="B2674" s="73" t="s">
        <v>1984</v>
      </c>
      <c r="C2674" s="74">
        <v>9.01406387E8</v>
      </c>
      <c r="D2674" s="73" t="s">
        <v>3139</v>
      </c>
      <c r="E2674" s="72">
        <v>2.0203040025795E13</v>
      </c>
      <c r="F2674" s="77">
        <v>44166.0</v>
      </c>
      <c r="G2674" s="76"/>
      <c r="H2674" s="76"/>
      <c r="I2674" s="73" t="s">
        <v>366</v>
      </c>
      <c r="J2674" s="76"/>
    </row>
    <row r="2675">
      <c r="A2675" s="74">
        <v>2671.0</v>
      </c>
      <c r="B2675" s="73" t="s">
        <v>1984</v>
      </c>
      <c r="C2675" s="74">
        <v>8.30008915E8</v>
      </c>
      <c r="D2675" s="73" t="s">
        <v>3140</v>
      </c>
      <c r="E2675" s="72">
        <v>2.0203040025755E13</v>
      </c>
      <c r="F2675" s="77">
        <v>44166.0</v>
      </c>
      <c r="G2675" s="76"/>
      <c r="H2675" s="76"/>
      <c r="I2675" s="73" t="s">
        <v>366</v>
      </c>
      <c r="J2675" s="76"/>
    </row>
    <row r="2676">
      <c r="A2676" s="74">
        <v>2672.0</v>
      </c>
      <c r="B2676" s="73" t="s">
        <v>1984</v>
      </c>
      <c r="C2676" s="74">
        <v>9.00705199E8</v>
      </c>
      <c r="D2676" s="73" t="s">
        <v>3141</v>
      </c>
      <c r="E2676" s="72">
        <v>2578.0</v>
      </c>
      <c r="F2676" s="77">
        <v>44166.0</v>
      </c>
      <c r="G2676" s="76"/>
      <c r="H2676" s="76"/>
      <c r="I2676" s="73" t="s">
        <v>366</v>
      </c>
      <c r="J2676" s="76"/>
    </row>
    <row r="2677">
      <c r="A2677" s="74">
        <v>2673.0</v>
      </c>
      <c r="B2677" s="73" t="s">
        <v>1984</v>
      </c>
      <c r="C2677" s="74">
        <v>9.00997411E8</v>
      </c>
      <c r="D2677" s="73" t="s">
        <v>3142</v>
      </c>
      <c r="E2677" s="72">
        <v>2576.0</v>
      </c>
      <c r="F2677" s="77">
        <v>44166.0</v>
      </c>
      <c r="G2677" s="76"/>
      <c r="H2677" s="76"/>
      <c r="I2677" s="73" t="s">
        <v>366</v>
      </c>
      <c r="J2677" s="76"/>
    </row>
    <row r="2678">
      <c r="A2678" s="74">
        <v>2674.0</v>
      </c>
      <c r="B2678" s="73" t="s">
        <v>1984</v>
      </c>
      <c r="C2678" s="74">
        <v>9.01206165E8</v>
      </c>
      <c r="D2678" s="73" t="s">
        <v>3143</v>
      </c>
      <c r="E2678" s="72">
        <v>2.0203040030175E13</v>
      </c>
      <c r="F2678" s="77">
        <v>44177.0</v>
      </c>
      <c r="G2678" s="76"/>
      <c r="H2678" s="76"/>
      <c r="I2678" s="73" t="s">
        <v>366</v>
      </c>
      <c r="J2678" s="76"/>
    </row>
    <row r="2679">
      <c r="A2679" s="74">
        <v>2675.0</v>
      </c>
      <c r="B2679" s="73" t="s">
        <v>1984</v>
      </c>
      <c r="C2679" s="74">
        <v>8.60001623E8</v>
      </c>
      <c r="D2679" s="73" t="s">
        <v>3144</v>
      </c>
      <c r="E2679" s="72">
        <v>2.0203040030185E13</v>
      </c>
      <c r="F2679" s="77">
        <v>44180.0</v>
      </c>
      <c r="G2679" s="76"/>
      <c r="H2679" s="76"/>
      <c r="I2679" s="73" t="s">
        <v>366</v>
      </c>
      <c r="J2679" s="76"/>
    </row>
    <row r="2680">
      <c r="A2680" s="74">
        <v>2676.0</v>
      </c>
      <c r="B2680" s="73" t="s">
        <v>1984</v>
      </c>
      <c r="C2680" s="74">
        <v>9.01434662E8</v>
      </c>
      <c r="D2680" s="73" t="s">
        <v>3145</v>
      </c>
      <c r="E2680" s="72">
        <v>2.0203040030195E13</v>
      </c>
      <c r="F2680" s="77">
        <v>44180.0</v>
      </c>
      <c r="G2680" s="76"/>
      <c r="H2680" s="76"/>
      <c r="I2680" s="73" t="s">
        <v>366</v>
      </c>
      <c r="J2680" s="76"/>
    </row>
    <row r="2681">
      <c r="A2681" s="74">
        <v>2677.0</v>
      </c>
      <c r="B2681" s="73" t="s">
        <v>1984</v>
      </c>
      <c r="C2681" s="74">
        <v>9.0117563E8</v>
      </c>
      <c r="D2681" s="73" t="s">
        <v>3146</v>
      </c>
      <c r="E2681" s="72">
        <v>2.0203040032415E13</v>
      </c>
      <c r="F2681" s="77">
        <v>44188.0</v>
      </c>
      <c r="G2681" s="76"/>
      <c r="H2681" s="76"/>
      <c r="I2681" s="73" t="s">
        <v>366</v>
      </c>
      <c r="J2681" s="76"/>
    </row>
    <row r="2682">
      <c r="A2682" s="74">
        <v>2678.0</v>
      </c>
      <c r="B2682" s="73" t="s">
        <v>1984</v>
      </c>
      <c r="C2682" s="74">
        <v>9.01372972E8</v>
      </c>
      <c r="D2682" s="73" t="s">
        <v>3147</v>
      </c>
      <c r="E2682" s="72">
        <v>2.0203040033335E13</v>
      </c>
      <c r="F2682" s="77">
        <v>44189.0</v>
      </c>
      <c r="G2682" s="76"/>
      <c r="H2682" s="76"/>
      <c r="I2682" s="73" t="s">
        <v>366</v>
      </c>
      <c r="J2682" s="76"/>
    </row>
    <row r="2683">
      <c r="A2683" s="74">
        <v>2679.0</v>
      </c>
      <c r="B2683" s="73" t="s">
        <v>1984</v>
      </c>
      <c r="C2683" s="74">
        <v>9.01154869E8</v>
      </c>
      <c r="D2683" s="73" t="s">
        <v>3148</v>
      </c>
      <c r="E2683" s="72">
        <v>2.0203040010575E13</v>
      </c>
      <c r="F2683" s="77">
        <v>44192.0</v>
      </c>
      <c r="G2683" s="76"/>
      <c r="H2683" s="76"/>
      <c r="I2683" s="73" t="s">
        <v>366</v>
      </c>
      <c r="J2683" s="76"/>
    </row>
    <row r="2684">
      <c r="A2684" s="74">
        <v>2680.0</v>
      </c>
      <c r="B2684" s="73" t="s">
        <v>1984</v>
      </c>
      <c r="C2684" s="74">
        <v>9.00791552E8</v>
      </c>
      <c r="D2684" s="73" t="s">
        <v>3149</v>
      </c>
      <c r="E2684" s="72">
        <v>2.0213040000115E13</v>
      </c>
      <c r="F2684" s="75">
        <v>44200.0</v>
      </c>
      <c r="G2684" s="76"/>
      <c r="H2684" s="76"/>
      <c r="I2684" s="73" t="s">
        <v>366</v>
      </c>
      <c r="J2684" s="76"/>
    </row>
    <row r="2685">
      <c r="A2685" s="74">
        <v>2681.0</v>
      </c>
      <c r="B2685" s="73" t="s">
        <v>1984</v>
      </c>
      <c r="C2685" s="74">
        <v>8.13007836E8</v>
      </c>
      <c r="D2685" s="73" t="s">
        <v>3150</v>
      </c>
      <c r="E2685" s="72">
        <v>2.0213040001295E13</v>
      </c>
      <c r="F2685" s="75">
        <v>44214.0</v>
      </c>
      <c r="G2685" s="76"/>
      <c r="H2685" s="76"/>
      <c r="I2685" s="73" t="s">
        <v>366</v>
      </c>
      <c r="J2685" s="76"/>
    </row>
    <row r="2686">
      <c r="A2686" s="74">
        <v>2682.0</v>
      </c>
      <c r="B2686" s="73" t="s">
        <v>1984</v>
      </c>
      <c r="C2686" s="74">
        <v>9.00712241E8</v>
      </c>
      <c r="D2686" s="73" t="s">
        <v>3151</v>
      </c>
      <c r="E2686" s="72">
        <v>2.0213040002475E13</v>
      </c>
      <c r="F2686" s="75">
        <v>44218.0</v>
      </c>
      <c r="G2686" s="76"/>
      <c r="H2686" s="76"/>
      <c r="I2686" s="73" t="s">
        <v>366</v>
      </c>
      <c r="J2686" s="76"/>
    </row>
    <row r="2687">
      <c r="A2687" s="74">
        <v>2683.0</v>
      </c>
      <c r="B2687" s="73" t="s">
        <v>1984</v>
      </c>
      <c r="C2687" s="74">
        <v>9.01220528E8</v>
      </c>
      <c r="D2687" s="73" t="s">
        <v>3152</v>
      </c>
      <c r="E2687" s="72">
        <v>2.0213040002455E13</v>
      </c>
      <c r="F2687" s="75">
        <v>44218.0</v>
      </c>
      <c r="G2687" s="76"/>
      <c r="H2687" s="76"/>
      <c r="I2687" s="73" t="s">
        <v>366</v>
      </c>
      <c r="J2687" s="76"/>
    </row>
    <row r="2688">
      <c r="A2688" s="74">
        <v>2684.0</v>
      </c>
      <c r="B2688" s="73" t="s">
        <v>1984</v>
      </c>
      <c r="C2688" s="74">
        <v>9.01162569E8</v>
      </c>
      <c r="D2688" s="73" t="s">
        <v>3153</v>
      </c>
      <c r="E2688" s="72">
        <v>2.0213040005245E13</v>
      </c>
      <c r="F2688" s="75">
        <v>44238.0</v>
      </c>
      <c r="G2688" s="76"/>
      <c r="H2688" s="76"/>
      <c r="I2688" s="73" t="s">
        <v>366</v>
      </c>
      <c r="J2688" s="76"/>
    </row>
    <row r="2689">
      <c r="A2689" s="85">
        <v>2685.0</v>
      </c>
      <c r="B2689" s="79" t="s">
        <v>1984</v>
      </c>
      <c r="C2689" s="80">
        <v>9.01354481E8</v>
      </c>
      <c r="D2689" s="79" t="s">
        <v>3154</v>
      </c>
      <c r="E2689" s="81">
        <v>2.0213040005285E13</v>
      </c>
      <c r="F2689" s="84">
        <v>44238.0</v>
      </c>
      <c r="G2689" s="83"/>
      <c r="H2689" s="83"/>
      <c r="I2689" s="73" t="s">
        <v>366</v>
      </c>
      <c r="J2689" s="76"/>
    </row>
    <row r="2690">
      <c r="A2690" s="74">
        <v>2686.0</v>
      </c>
      <c r="B2690" s="73" t="s">
        <v>1984</v>
      </c>
      <c r="C2690" s="74">
        <v>9.0138116E8</v>
      </c>
      <c r="D2690" s="73" t="s">
        <v>3155</v>
      </c>
      <c r="E2690" s="72">
        <v>2.0213040005455E13</v>
      </c>
      <c r="F2690" s="75">
        <v>44239.0</v>
      </c>
      <c r="G2690" s="76"/>
      <c r="H2690" s="76"/>
      <c r="I2690" s="73" t="s">
        <v>366</v>
      </c>
      <c r="J2690" s="76"/>
    </row>
    <row r="2691">
      <c r="A2691" s="74">
        <v>2687.0</v>
      </c>
      <c r="B2691" s="73" t="s">
        <v>1984</v>
      </c>
      <c r="C2691" s="74">
        <v>9.01357918E8</v>
      </c>
      <c r="D2691" s="73" t="s">
        <v>3156</v>
      </c>
      <c r="E2691" s="72">
        <v>2.0214250008995E13</v>
      </c>
      <c r="F2691" s="75">
        <v>44258.0</v>
      </c>
      <c r="G2691" s="76"/>
      <c r="H2691" s="76"/>
      <c r="I2691" s="73" t="s">
        <v>366</v>
      </c>
      <c r="J2691" s="76"/>
    </row>
    <row r="2692">
      <c r="A2692" s="74">
        <v>2688.0</v>
      </c>
      <c r="B2692" s="73" t="s">
        <v>1984</v>
      </c>
      <c r="C2692" s="74">
        <v>9.01174135E8</v>
      </c>
      <c r="D2692" s="73" t="s">
        <v>3157</v>
      </c>
      <c r="E2692" s="72">
        <v>2.0214250009495E13</v>
      </c>
      <c r="F2692" s="75">
        <v>44263.0</v>
      </c>
      <c r="G2692" s="76"/>
      <c r="H2692" s="76"/>
      <c r="I2692" s="73" t="s">
        <v>366</v>
      </c>
      <c r="J2692" s="76"/>
    </row>
    <row r="2693">
      <c r="A2693" s="74">
        <v>2689.0</v>
      </c>
      <c r="B2693" s="73" t="s">
        <v>1984</v>
      </c>
      <c r="C2693" s="74">
        <v>9.01407217E8</v>
      </c>
      <c r="D2693" s="73" t="s">
        <v>3158</v>
      </c>
      <c r="E2693" s="72">
        <v>964.0</v>
      </c>
      <c r="F2693" s="75">
        <v>44264.0</v>
      </c>
      <c r="G2693" s="76"/>
      <c r="H2693" s="76"/>
      <c r="I2693" s="73" t="s">
        <v>366</v>
      </c>
      <c r="J2693" s="76"/>
    </row>
    <row r="2694">
      <c r="A2694" s="74">
        <v>2690.0</v>
      </c>
      <c r="B2694" s="73" t="s">
        <v>1984</v>
      </c>
      <c r="C2694" s="74">
        <v>9.0143409E8</v>
      </c>
      <c r="D2694" s="73" t="s">
        <v>3159</v>
      </c>
      <c r="E2694" s="72">
        <v>2.0214250010035E13</v>
      </c>
      <c r="F2694" s="75">
        <v>44265.0</v>
      </c>
      <c r="G2694" s="76"/>
      <c r="H2694" s="76"/>
      <c r="I2694" s="73" t="s">
        <v>366</v>
      </c>
      <c r="J2694" s="76"/>
    </row>
    <row r="2695">
      <c r="A2695" s="74">
        <v>2691.0</v>
      </c>
      <c r="B2695" s="73" t="s">
        <v>1984</v>
      </c>
      <c r="C2695" s="74">
        <v>9.0144794E8</v>
      </c>
      <c r="D2695" s="73" t="s">
        <v>3160</v>
      </c>
      <c r="E2695" s="72">
        <v>2.0214250010045E13</v>
      </c>
      <c r="F2695" s="75">
        <v>44265.0</v>
      </c>
      <c r="G2695" s="76"/>
      <c r="H2695" s="76"/>
      <c r="I2695" s="73" t="s">
        <v>366</v>
      </c>
      <c r="J2695" s="76"/>
    </row>
    <row r="2696">
      <c r="A2696" s="74">
        <v>2692.0</v>
      </c>
      <c r="B2696" s="73" t="s">
        <v>1984</v>
      </c>
      <c r="C2696" s="74">
        <v>9.0137249E8</v>
      </c>
      <c r="D2696" s="73" t="s">
        <v>3161</v>
      </c>
      <c r="E2696" s="72">
        <v>2.0214250026155E13</v>
      </c>
      <c r="F2696" s="75">
        <v>44370.0</v>
      </c>
      <c r="G2696" s="76"/>
      <c r="H2696" s="76"/>
      <c r="I2696" s="73" t="s">
        <v>366</v>
      </c>
      <c r="J2696" s="76"/>
    </row>
    <row r="2697">
      <c r="A2697" s="74">
        <v>2693.0</v>
      </c>
      <c r="B2697" s="73" t="s">
        <v>1984</v>
      </c>
      <c r="C2697" s="74">
        <v>9.01484042E8</v>
      </c>
      <c r="D2697" s="73" t="s">
        <v>3162</v>
      </c>
      <c r="E2697" s="72">
        <v>31655.0</v>
      </c>
      <c r="F2697" s="75">
        <v>44399.0</v>
      </c>
      <c r="G2697" s="76"/>
      <c r="H2697" s="76"/>
      <c r="I2697" s="73" t="s">
        <v>366</v>
      </c>
      <c r="J2697" s="76"/>
    </row>
    <row r="2698">
      <c r="A2698" s="74">
        <v>2694.0</v>
      </c>
      <c r="B2698" s="73" t="s">
        <v>1984</v>
      </c>
      <c r="C2698" s="74">
        <v>9.00345431E8</v>
      </c>
      <c r="D2698" s="73" t="s">
        <v>3163</v>
      </c>
      <c r="E2698" s="72">
        <v>2.0214250032145E13</v>
      </c>
      <c r="F2698" s="75">
        <v>44404.0</v>
      </c>
      <c r="G2698" s="76"/>
      <c r="H2698" s="76"/>
      <c r="I2698" s="73" t="s">
        <v>366</v>
      </c>
      <c r="J2698" s="76"/>
    </row>
    <row r="2699">
      <c r="A2699" s="74">
        <v>2695.0</v>
      </c>
      <c r="B2699" s="73" t="s">
        <v>1984</v>
      </c>
      <c r="C2699" s="74">
        <v>9.009226E8</v>
      </c>
      <c r="D2699" s="73" t="s">
        <v>3164</v>
      </c>
      <c r="E2699" s="72">
        <v>2.0214250032135E13</v>
      </c>
      <c r="F2699" s="75">
        <v>44404.0</v>
      </c>
      <c r="G2699" s="76"/>
      <c r="H2699" s="76"/>
      <c r="I2699" s="73" t="s">
        <v>366</v>
      </c>
      <c r="J2699" s="76"/>
    </row>
    <row r="2700">
      <c r="A2700" s="74">
        <v>2696.0</v>
      </c>
      <c r="B2700" s="73" t="s">
        <v>1984</v>
      </c>
      <c r="C2700" s="74">
        <v>9.01337208E8</v>
      </c>
      <c r="D2700" s="73" t="s">
        <v>3165</v>
      </c>
      <c r="E2700" s="72">
        <v>2.0214250034275E13</v>
      </c>
      <c r="F2700" s="75">
        <v>44413.0</v>
      </c>
      <c r="G2700" s="76"/>
      <c r="H2700" s="76"/>
      <c r="I2700" s="73" t="s">
        <v>366</v>
      </c>
      <c r="J2700" s="76"/>
    </row>
    <row r="2701">
      <c r="A2701" s="74">
        <v>2697.0</v>
      </c>
      <c r="B2701" s="73" t="s">
        <v>1984</v>
      </c>
      <c r="C2701" s="74">
        <v>9.01427084E8</v>
      </c>
      <c r="D2701" s="73" t="s">
        <v>3166</v>
      </c>
      <c r="E2701" s="72">
        <v>2.0214250035035E13</v>
      </c>
      <c r="F2701" s="75">
        <v>44419.0</v>
      </c>
      <c r="G2701" s="76"/>
      <c r="H2701" s="76"/>
      <c r="I2701" s="73" t="s">
        <v>366</v>
      </c>
      <c r="J2701" s="76"/>
    </row>
    <row r="2702">
      <c r="A2702" s="74">
        <v>2698.0</v>
      </c>
      <c r="B2702" s="73" t="s">
        <v>1984</v>
      </c>
      <c r="C2702" s="74">
        <v>9.00490148E8</v>
      </c>
      <c r="D2702" s="73" t="s">
        <v>3167</v>
      </c>
      <c r="E2702" s="72">
        <v>2.0214250035535E13</v>
      </c>
      <c r="F2702" s="75">
        <v>44425.0</v>
      </c>
      <c r="G2702" s="76"/>
      <c r="H2702" s="76"/>
      <c r="I2702" s="73" t="s">
        <v>366</v>
      </c>
      <c r="J2702" s="76"/>
    </row>
    <row r="2703">
      <c r="A2703" s="74">
        <v>2699.0</v>
      </c>
      <c r="B2703" s="73" t="s">
        <v>1984</v>
      </c>
      <c r="C2703" s="74">
        <v>9.01358553E8</v>
      </c>
      <c r="D2703" s="73" t="s">
        <v>3168</v>
      </c>
      <c r="E2703" s="72">
        <v>2.0214250035805E13</v>
      </c>
      <c r="F2703" s="75">
        <v>44425.0</v>
      </c>
      <c r="G2703" s="76"/>
      <c r="H2703" s="76"/>
      <c r="I2703" s="73" t="s">
        <v>366</v>
      </c>
      <c r="J2703" s="76"/>
    </row>
    <row r="2704">
      <c r="A2704" s="74">
        <v>2700.0</v>
      </c>
      <c r="B2704" s="73" t="s">
        <v>1984</v>
      </c>
      <c r="C2704" s="74">
        <v>9.01457136E8</v>
      </c>
      <c r="D2704" s="73" t="s">
        <v>3169</v>
      </c>
      <c r="E2704" s="72">
        <v>2.0214250035975E13</v>
      </c>
      <c r="F2704" s="75">
        <v>44426.0</v>
      </c>
      <c r="G2704" s="76"/>
      <c r="H2704" s="76"/>
      <c r="I2704" s="73" t="s">
        <v>366</v>
      </c>
      <c r="J2704" s="76"/>
    </row>
    <row r="2705">
      <c r="A2705" s="74">
        <v>2701.0</v>
      </c>
      <c r="B2705" s="73" t="s">
        <v>1984</v>
      </c>
      <c r="C2705" s="74">
        <v>9.00363252E8</v>
      </c>
      <c r="D2705" s="73" t="s">
        <v>3170</v>
      </c>
      <c r="E2705" s="72">
        <v>2.0214250036775E13</v>
      </c>
      <c r="F2705" s="75">
        <v>44432.0</v>
      </c>
      <c r="G2705" s="76"/>
      <c r="H2705" s="76"/>
      <c r="I2705" s="73" t="s">
        <v>366</v>
      </c>
      <c r="J2705" s="76"/>
    </row>
    <row r="2706">
      <c r="A2706" s="74">
        <v>2702.0</v>
      </c>
      <c r="B2706" s="73" t="s">
        <v>1984</v>
      </c>
      <c r="C2706" s="74">
        <v>9.00922161E8</v>
      </c>
      <c r="D2706" s="73" t="s">
        <v>3171</v>
      </c>
      <c r="E2706" s="72">
        <v>2.0214250037035E13</v>
      </c>
      <c r="F2706" s="75">
        <v>44433.0</v>
      </c>
      <c r="G2706" s="76"/>
      <c r="H2706" s="76"/>
      <c r="I2706" s="73" t="s">
        <v>366</v>
      </c>
      <c r="J2706" s="76"/>
    </row>
    <row r="2707">
      <c r="A2707" s="74">
        <v>2703.0</v>
      </c>
      <c r="B2707" s="73" t="s">
        <v>1984</v>
      </c>
      <c r="C2707" s="74">
        <v>9.01451501E8</v>
      </c>
      <c r="D2707" s="73" t="s">
        <v>3172</v>
      </c>
      <c r="E2707" s="72">
        <v>2.0214250037005E13</v>
      </c>
      <c r="F2707" s="75">
        <v>44433.0</v>
      </c>
      <c r="G2707" s="76"/>
      <c r="H2707" s="76"/>
      <c r="I2707" s="73" t="s">
        <v>366</v>
      </c>
      <c r="J2707" s="76"/>
    </row>
    <row r="2708">
      <c r="A2708" s="74">
        <v>2704.0</v>
      </c>
      <c r="B2708" s="73" t="s">
        <v>1984</v>
      </c>
      <c r="C2708" s="74">
        <v>9.00997738E8</v>
      </c>
      <c r="D2708" s="73" t="s">
        <v>3173</v>
      </c>
      <c r="E2708" s="72">
        <v>2.0214250039375E13</v>
      </c>
      <c r="F2708" s="75">
        <v>44445.0</v>
      </c>
      <c r="G2708" s="76"/>
      <c r="H2708" s="76"/>
      <c r="I2708" s="73" t="s">
        <v>366</v>
      </c>
      <c r="J2708" s="76"/>
    </row>
    <row r="2709">
      <c r="A2709" s="74">
        <v>2705.0</v>
      </c>
      <c r="B2709" s="73" t="s">
        <v>1984</v>
      </c>
      <c r="C2709" s="74">
        <v>9.00200903E8</v>
      </c>
      <c r="D2709" s="73" t="s">
        <v>3174</v>
      </c>
      <c r="E2709" s="72">
        <v>2.0214250043405E13</v>
      </c>
      <c r="F2709" s="75">
        <v>44460.0</v>
      </c>
      <c r="G2709" s="76"/>
      <c r="H2709" s="76"/>
      <c r="I2709" s="73" t="s">
        <v>366</v>
      </c>
      <c r="J2709" s="76"/>
    </row>
    <row r="2710">
      <c r="A2710" s="74">
        <v>2706.0</v>
      </c>
      <c r="B2710" s="73" t="s">
        <v>1984</v>
      </c>
      <c r="C2710" s="74">
        <v>8.30144413E8</v>
      </c>
      <c r="D2710" s="73" t="s">
        <v>3175</v>
      </c>
      <c r="E2710" s="72">
        <v>2.0214250043975E13</v>
      </c>
      <c r="F2710" s="75">
        <v>44462.0</v>
      </c>
      <c r="G2710" s="76"/>
      <c r="H2710" s="76"/>
      <c r="I2710" s="73" t="s">
        <v>366</v>
      </c>
      <c r="J2710" s="76"/>
    </row>
    <row r="2711">
      <c r="A2711" s="74">
        <v>2707.0</v>
      </c>
      <c r="B2711" s="73" t="s">
        <v>1984</v>
      </c>
      <c r="C2711" s="74">
        <v>9.01240125E8</v>
      </c>
      <c r="D2711" s="73" t="s">
        <v>3176</v>
      </c>
      <c r="E2711" s="72">
        <v>2.0214250043925E13</v>
      </c>
      <c r="F2711" s="75">
        <v>44462.0</v>
      </c>
      <c r="G2711" s="76"/>
      <c r="H2711" s="76"/>
      <c r="I2711" s="73" t="s">
        <v>366</v>
      </c>
      <c r="J2711" s="76"/>
    </row>
    <row r="2712">
      <c r="A2712" s="74">
        <v>2708.0</v>
      </c>
      <c r="B2712" s="73" t="s">
        <v>1984</v>
      </c>
      <c r="C2712" s="74">
        <v>9.01461876E8</v>
      </c>
      <c r="D2712" s="73" t="s">
        <v>3177</v>
      </c>
      <c r="E2712" s="72">
        <v>2.0214250044285E13</v>
      </c>
      <c r="F2712" s="75">
        <v>44463.0</v>
      </c>
      <c r="G2712" s="76"/>
      <c r="H2712" s="76"/>
      <c r="I2712" s="73" t="s">
        <v>366</v>
      </c>
      <c r="J2712" s="76"/>
    </row>
    <row r="2713">
      <c r="A2713" s="74">
        <v>2709.0</v>
      </c>
      <c r="B2713" s="73" t="s">
        <v>1984</v>
      </c>
      <c r="C2713" s="74">
        <v>9.01409535E8</v>
      </c>
      <c r="D2713" s="73" t="s">
        <v>3178</v>
      </c>
      <c r="E2713" s="72">
        <v>2.0214250048255E13</v>
      </c>
      <c r="F2713" s="77">
        <v>44482.0</v>
      </c>
      <c r="G2713" s="76"/>
      <c r="H2713" s="76"/>
      <c r="I2713" s="73" t="s">
        <v>366</v>
      </c>
      <c r="J2713" s="76"/>
    </row>
    <row r="2714">
      <c r="A2714" s="74">
        <v>2710.0</v>
      </c>
      <c r="B2714" s="73" t="s">
        <v>1984</v>
      </c>
      <c r="C2714" s="74">
        <v>9.01040504E8</v>
      </c>
      <c r="D2714" s="73" t="s">
        <v>3179</v>
      </c>
      <c r="E2714" s="72">
        <v>2.0214250054605E13</v>
      </c>
      <c r="F2714" s="77">
        <v>44516.0</v>
      </c>
      <c r="G2714" s="76"/>
      <c r="H2714" s="76"/>
      <c r="I2714" s="73" t="s">
        <v>366</v>
      </c>
      <c r="J2714" s="76"/>
    </row>
    <row r="2715">
      <c r="A2715" s="74">
        <v>2711.0</v>
      </c>
      <c r="B2715" s="73" t="s">
        <v>1984</v>
      </c>
      <c r="C2715" s="74">
        <v>9.00023792E8</v>
      </c>
      <c r="D2715" s="73" t="s">
        <v>3180</v>
      </c>
      <c r="E2715" s="72">
        <v>2.0214250058895E13</v>
      </c>
      <c r="F2715" s="77">
        <v>44536.0</v>
      </c>
      <c r="G2715" s="76"/>
      <c r="H2715" s="76"/>
      <c r="I2715" s="73" t="s">
        <v>366</v>
      </c>
      <c r="J2715" s="76"/>
    </row>
    <row r="2716">
      <c r="A2716" s="74">
        <v>2712.0</v>
      </c>
      <c r="B2716" s="73" t="s">
        <v>1984</v>
      </c>
      <c r="C2716" s="74">
        <v>9.00837141E8</v>
      </c>
      <c r="D2716" s="73" t="s">
        <v>3181</v>
      </c>
      <c r="E2716" s="72">
        <v>2.0214250061695E13</v>
      </c>
      <c r="F2716" s="77">
        <v>44550.0</v>
      </c>
      <c r="G2716" s="76"/>
      <c r="H2716" s="76"/>
      <c r="I2716" s="73" t="s">
        <v>366</v>
      </c>
      <c r="J2716" s="76"/>
    </row>
    <row r="2717">
      <c r="A2717" s="74">
        <v>2713.0</v>
      </c>
      <c r="B2717" s="73" t="s">
        <v>1984</v>
      </c>
      <c r="C2717" s="74">
        <v>9.01192306E8</v>
      </c>
      <c r="D2717" s="73" t="s">
        <v>3182</v>
      </c>
      <c r="E2717" s="72">
        <v>2.0214250061575E13</v>
      </c>
      <c r="F2717" s="77">
        <v>44550.0</v>
      </c>
      <c r="G2717" s="76"/>
      <c r="H2717" s="76"/>
      <c r="I2717" s="73" t="s">
        <v>366</v>
      </c>
      <c r="J2717" s="76"/>
    </row>
    <row r="2718">
      <c r="A2718" s="74">
        <v>2714.0</v>
      </c>
      <c r="B2718" s="73" t="s">
        <v>1984</v>
      </c>
      <c r="C2718" s="74">
        <v>8.60061308E8</v>
      </c>
      <c r="D2718" s="73" t="s">
        <v>3183</v>
      </c>
      <c r="E2718" s="72">
        <v>2.0214250063115E13</v>
      </c>
      <c r="F2718" s="77">
        <v>44557.0</v>
      </c>
      <c r="G2718" s="76"/>
      <c r="H2718" s="76"/>
      <c r="I2718" s="73" t="s">
        <v>366</v>
      </c>
      <c r="J2718" s="76"/>
    </row>
    <row r="2719">
      <c r="A2719" s="74">
        <v>2715.0</v>
      </c>
      <c r="B2719" s="73" t="s">
        <v>1984</v>
      </c>
      <c r="C2719" s="74">
        <v>9.015101E8</v>
      </c>
      <c r="D2719" s="73" t="s">
        <v>3184</v>
      </c>
      <c r="E2719" s="72">
        <v>2.0214250063215E13</v>
      </c>
      <c r="F2719" s="77">
        <v>44557.0</v>
      </c>
      <c r="G2719" s="76"/>
      <c r="H2719" s="76"/>
      <c r="I2719" s="73" t="s">
        <v>366</v>
      </c>
      <c r="J2719" s="76"/>
    </row>
    <row r="2720">
      <c r="A2720" s="74">
        <v>2716.0</v>
      </c>
      <c r="B2720" s="73" t="s">
        <v>1984</v>
      </c>
      <c r="C2720" s="74">
        <v>9.00936869E8</v>
      </c>
      <c r="D2720" s="73" t="s">
        <v>3185</v>
      </c>
      <c r="E2720" s="72">
        <v>2.0214250063475E13</v>
      </c>
      <c r="F2720" s="77">
        <v>44558.0</v>
      </c>
      <c r="G2720" s="76"/>
      <c r="H2720" s="76"/>
      <c r="I2720" s="73" t="s">
        <v>366</v>
      </c>
      <c r="J2720" s="76"/>
    </row>
    <row r="2721">
      <c r="A2721" s="74">
        <v>2717.0</v>
      </c>
      <c r="B2721" s="73" t="s">
        <v>1984</v>
      </c>
      <c r="C2721" s="74">
        <v>9.01413059E8</v>
      </c>
      <c r="D2721" s="73" t="s">
        <v>3186</v>
      </c>
      <c r="E2721" s="72">
        <v>2.0224250003925E13</v>
      </c>
      <c r="F2721" s="75">
        <v>44588.0</v>
      </c>
      <c r="G2721" s="76"/>
      <c r="H2721" s="76"/>
      <c r="I2721" s="73" t="s">
        <v>366</v>
      </c>
      <c r="J2721" s="76"/>
    </row>
    <row r="2722">
      <c r="A2722" s="74">
        <v>2718.0</v>
      </c>
      <c r="B2722" s="73" t="s">
        <v>1984</v>
      </c>
      <c r="C2722" s="74">
        <v>9.01476485E8</v>
      </c>
      <c r="D2722" s="73" t="s">
        <v>3187</v>
      </c>
      <c r="E2722" s="72">
        <v>2.0224250005045E13</v>
      </c>
      <c r="F2722" s="75">
        <v>44594.0</v>
      </c>
      <c r="G2722" s="76"/>
      <c r="H2722" s="76"/>
      <c r="I2722" s="73" t="s">
        <v>366</v>
      </c>
      <c r="J2722" s="76"/>
    </row>
    <row r="2723">
      <c r="A2723" s="74">
        <v>2719.0</v>
      </c>
      <c r="B2723" s="73" t="s">
        <v>1984</v>
      </c>
      <c r="C2723" s="74">
        <v>8.30079716E8</v>
      </c>
      <c r="D2723" s="73" t="s">
        <v>3188</v>
      </c>
      <c r="E2723" s="72">
        <v>2.0224250023715E13</v>
      </c>
      <c r="F2723" s="75">
        <v>44595.0</v>
      </c>
      <c r="G2723" s="76"/>
      <c r="H2723" s="76"/>
      <c r="I2723" s="73" t="s">
        <v>366</v>
      </c>
      <c r="J2723" s="76"/>
    </row>
    <row r="2724">
      <c r="A2724" s="74">
        <v>2720.0</v>
      </c>
      <c r="B2724" s="73" t="s">
        <v>1984</v>
      </c>
      <c r="C2724" s="74">
        <v>9.01045068E8</v>
      </c>
      <c r="D2724" s="73" t="s">
        <v>3189</v>
      </c>
      <c r="E2724" s="72">
        <v>2.0224250007135E13</v>
      </c>
      <c r="F2724" s="75">
        <v>44603.0</v>
      </c>
      <c r="G2724" s="76"/>
      <c r="H2724" s="76"/>
      <c r="I2724" s="73" t="s">
        <v>366</v>
      </c>
      <c r="J2724" s="76"/>
    </row>
    <row r="2725">
      <c r="A2725" s="74">
        <v>2721.0</v>
      </c>
      <c r="B2725" s="73" t="s">
        <v>1984</v>
      </c>
      <c r="C2725" s="74">
        <v>9.00517571E8</v>
      </c>
      <c r="D2725" s="73" t="s">
        <v>3190</v>
      </c>
      <c r="E2725" s="72">
        <v>2.0224250008085E13</v>
      </c>
      <c r="F2725" s="75">
        <v>44610.0</v>
      </c>
      <c r="G2725" s="76"/>
      <c r="H2725" s="76"/>
      <c r="I2725" s="73" t="s">
        <v>366</v>
      </c>
      <c r="J2725" s="76"/>
    </row>
    <row r="2726">
      <c r="A2726" s="74">
        <v>2722.0</v>
      </c>
      <c r="B2726" s="73" t="s">
        <v>1984</v>
      </c>
      <c r="C2726" s="74">
        <v>9.0146877E8</v>
      </c>
      <c r="D2726" s="73" t="s">
        <v>3191</v>
      </c>
      <c r="E2726" s="72">
        <v>2.0224250008765E13</v>
      </c>
      <c r="F2726" s="75">
        <v>44614.0</v>
      </c>
      <c r="G2726" s="76"/>
      <c r="H2726" s="76"/>
      <c r="I2726" s="73" t="s">
        <v>366</v>
      </c>
      <c r="J2726" s="76"/>
    </row>
    <row r="2727">
      <c r="A2727" s="74">
        <v>2723.0</v>
      </c>
      <c r="B2727" s="73" t="s">
        <v>1984</v>
      </c>
      <c r="C2727" s="74">
        <v>9.01518943E8</v>
      </c>
      <c r="D2727" s="73" t="s">
        <v>3192</v>
      </c>
      <c r="E2727" s="72">
        <v>2.0224250010555E13</v>
      </c>
      <c r="F2727" s="75">
        <v>44623.0</v>
      </c>
      <c r="G2727" s="76"/>
      <c r="H2727" s="76"/>
      <c r="I2727" s="73" t="s">
        <v>366</v>
      </c>
      <c r="J2727" s="76"/>
    </row>
    <row r="2728">
      <c r="A2728" s="74">
        <v>2724.0</v>
      </c>
      <c r="B2728" s="73" t="s">
        <v>1984</v>
      </c>
      <c r="C2728" s="74">
        <v>8.00005736E8</v>
      </c>
      <c r="D2728" s="73" t="s">
        <v>3193</v>
      </c>
      <c r="E2728" s="72">
        <v>2.0224250011275E13</v>
      </c>
      <c r="F2728" s="75">
        <v>44627.0</v>
      </c>
      <c r="G2728" s="76"/>
      <c r="H2728" s="76"/>
      <c r="I2728" s="73" t="s">
        <v>366</v>
      </c>
      <c r="J2728" s="76"/>
    </row>
    <row r="2729">
      <c r="A2729" s="74">
        <v>2725.0</v>
      </c>
      <c r="B2729" s="73" t="s">
        <v>1984</v>
      </c>
      <c r="C2729" s="74">
        <v>9.01526676E8</v>
      </c>
      <c r="D2729" s="73" t="s">
        <v>3194</v>
      </c>
      <c r="E2729" s="72">
        <v>2.0224250011265E13</v>
      </c>
      <c r="F2729" s="75">
        <v>44627.0</v>
      </c>
      <c r="G2729" s="76"/>
      <c r="H2729" s="76"/>
      <c r="I2729" s="73" t="s">
        <v>366</v>
      </c>
      <c r="J2729" s="76"/>
    </row>
    <row r="2730">
      <c r="A2730" s="74">
        <v>2726.0</v>
      </c>
      <c r="B2730" s="73" t="s">
        <v>1984</v>
      </c>
      <c r="C2730" s="74">
        <v>9.01342377E8</v>
      </c>
      <c r="D2730" s="73" t="s">
        <v>3195</v>
      </c>
      <c r="E2730" s="72">
        <v>2.0224250011755E13</v>
      </c>
      <c r="F2730" s="75">
        <v>44628.0</v>
      </c>
      <c r="G2730" s="76"/>
      <c r="H2730" s="76"/>
      <c r="I2730" s="73" t="s">
        <v>366</v>
      </c>
      <c r="J2730" s="76"/>
    </row>
    <row r="2731">
      <c r="A2731" s="74">
        <v>2727.0</v>
      </c>
      <c r="B2731" s="73" t="s">
        <v>1984</v>
      </c>
      <c r="C2731" s="74">
        <v>9.00606558E8</v>
      </c>
      <c r="D2731" s="73" t="s">
        <v>3196</v>
      </c>
      <c r="E2731" s="72">
        <v>2.0224250013645E13</v>
      </c>
      <c r="F2731" s="75">
        <v>44636.0</v>
      </c>
      <c r="G2731" s="76"/>
      <c r="H2731" s="76"/>
      <c r="I2731" s="73" t="s">
        <v>366</v>
      </c>
      <c r="J2731" s="76"/>
    </row>
    <row r="2732">
      <c r="A2732" s="74">
        <v>2728.0</v>
      </c>
      <c r="B2732" s="73" t="s">
        <v>1984</v>
      </c>
      <c r="C2732" s="74">
        <v>9.01406132E8</v>
      </c>
      <c r="D2732" s="73" t="s">
        <v>3197</v>
      </c>
      <c r="E2732" s="72">
        <v>2.0224250013695E13</v>
      </c>
      <c r="F2732" s="75">
        <v>44636.0</v>
      </c>
      <c r="G2732" s="76"/>
      <c r="H2732" s="76"/>
      <c r="I2732" s="73" t="s">
        <v>366</v>
      </c>
      <c r="J2732" s="76"/>
    </row>
    <row r="2733">
      <c r="A2733" s="74">
        <v>2729.0</v>
      </c>
      <c r="B2733" s="73" t="s">
        <v>1984</v>
      </c>
      <c r="C2733" s="74">
        <v>9.01253558E8</v>
      </c>
      <c r="D2733" s="73" t="s">
        <v>3198</v>
      </c>
      <c r="E2733" s="72">
        <v>2.0224250016935E13</v>
      </c>
      <c r="F2733" s="75">
        <v>44650.0</v>
      </c>
      <c r="G2733" s="76"/>
      <c r="H2733" s="76"/>
      <c r="I2733" s="73" t="s">
        <v>366</v>
      </c>
      <c r="J2733" s="76"/>
    </row>
    <row r="2734">
      <c r="A2734" s="74">
        <v>2730.0</v>
      </c>
      <c r="B2734" s="73" t="s">
        <v>1984</v>
      </c>
      <c r="C2734" s="74">
        <v>9.0141523E8</v>
      </c>
      <c r="D2734" s="73" t="s">
        <v>3199</v>
      </c>
      <c r="E2734" s="72">
        <v>2.0224250018295E13</v>
      </c>
      <c r="F2734" s="75">
        <v>44656.0</v>
      </c>
      <c r="G2734" s="76"/>
      <c r="H2734" s="76"/>
      <c r="I2734" s="73" t="s">
        <v>366</v>
      </c>
      <c r="J2734" s="76"/>
    </row>
    <row r="2735">
      <c r="A2735" s="74">
        <v>2731.0</v>
      </c>
      <c r="B2735" s="73" t="s">
        <v>1984</v>
      </c>
      <c r="C2735" s="74">
        <v>9.00404734E8</v>
      </c>
      <c r="D2735" s="73" t="s">
        <v>3200</v>
      </c>
      <c r="E2735" s="72">
        <v>2.0224250018655E13</v>
      </c>
      <c r="F2735" s="75">
        <v>44658.0</v>
      </c>
      <c r="G2735" s="76"/>
      <c r="H2735" s="76"/>
      <c r="I2735" s="73" t="s">
        <v>366</v>
      </c>
      <c r="J2735" s="76"/>
    </row>
    <row r="2736">
      <c r="A2736" s="74">
        <v>2732.0</v>
      </c>
      <c r="B2736" s="73" t="s">
        <v>1984</v>
      </c>
      <c r="C2736" s="74">
        <v>9.00451523E8</v>
      </c>
      <c r="D2736" s="73" t="s">
        <v>3201</v>
      </c>
      <c r="E2736" s="72">
        <v>2.0224250018635E13</v>
      </c>
      <c r="F2736" s="75">
        <v>44658.0</v>
      </c>
      <c r="G2736" s="76"/>
      <c r="H2736" s="76"/>
      <c r="I2736" s="73" t="s">
        <v>366</v>
      </c>
      <c r="J2736" s="76"/>
    </row>
    <row r="2737">
      <c r="A2737" s="74">
        <v>2733.0</v>
      </c>
      <c r="B2737" s="73" t="s">
        <v>1984</v>
      </c>
      <c r="C2737" s="74">
        <v>9.00559701E8</v>
      </c>
      <c r="D2737" s="73" t="s">
        <v>3202</v>
      </c>
      <c r="E2737" s="72">
        <v>2.0224250021225E13</v>
      </c>
      <c r="F2737" s="75">
        <v>44673.0</v>
      </c>
      <c r="G2737" s="76"/>
      <c r="H2737" s="76"/>
      <c r="I2737" s="73" t="s">
        <v>366</v>
      </c>
      <c r="J2737" s="76"/>
    </row>
    <row r="2738">
      <c r="A2738" s="74">
        <v>2734.0</v>
      </c>
      <c r="B2738" s="73" t="s">
        <v>1984</v>
      </c>
      <c r="C2738" s="74">
        <v>9.00659905E8</v>
      </c>
      <c r="D2738" s="73" t="s">
        <v>3203</v>
      </c>
      <c r="E2738" s="72">
        <v>2.0224250022155E13</v>
      </c>
      <c r="F2738" s="75">
        <v>44677.0</v>
      </c>
      <c r="G2738" s="76"/>
      <c r="H2738" s="76"/>
      <c r="I2738" s="73" t="s">
        <v>366</v>
      </c>
      <c r="J2738" s="76"/>
    </row>
    <row r="2739">
      <c r="A2739" s="74">
        <v>2735.0</v>
      </c>
      <c r="B2739" s="73" t="s">
        <v>1984</v>
      </c>
      <c r="C2739" s="74">
        <v>9.00311123E8</v>
      </c>
      <c r="D2739" s="73" t="s">
        <v>3204</v>
      </c>
      <c r="E2739" s="72">
        <v>2.0224250022205E13</v>
      </c>
      <c r="F2739" s="75">
        <v>44678.0</v>
      </c>
      <c r="G2739" s="76"/>
      <c r="H2739" s="76"/>
      <c r="I2739" s="73" t="s">
        <v>366</v>
      </c>
      <c r="J2739" s="76"/>
    </row>
    <row r="2740">
      <c r="A2740" s="74">
        <v>2736.0</v>
      </c>
      <c r="B2740" s="73" t="s">
        <v>1984</v>
      </c>
      <c r="C2740" s="74">
        <v>9.0011939E8</v>
      </c>
      <c r="D2740" s="73" t="s">
        <v>3205</v>
      </c>
      <c r="E2740" s="72">
        <v>2.0224250023035E13</v>
      </c>
      <c r="F2740" s="75">
        <v>44680.0</v>
      </c>
      <c r="G2740" s="76"/>
      <c r="H2740" s="76"/>
      <c r="I2740" s="73" t="s">
        <v>366</v>
      </c>
      <c r="J2740" s="76"/>
    </row>
    <row r="2741">
      <c r="A2741" s="74">
        <v>2737.0</v>
      </c>
      <c r="B2741" s="73" t="s">
        <v>1984</v>
      </c>
      <c r="C2741" s="74">
        <v>9.01319583E8</v>
      </c>
      <c r="D2741" s="73" t="s">
        <v>3206</v>
      </c>
      <c r="E2741" s="72">
        <v>2.0224250022855E13</v>
      </c>
      <c r="F2741" s="75">
        <v>44680.0</v>
      </c>
      <c r="G2741" s="76"/>
      <c r="H2741" s="76"/>
      <c r="I2741" s="73" t="s">
        <v>366</v>
      </c>
      <c r="J2741" s="76"/>
    </row>
    <row r="2742">
      <c r="A2742" s="85">
        <v>2738.0</v>
      </c>
      <c r="B2742" s="79" t="s">
        <v>1984</v>
      </c>
      <c r="C2742" s="80">
        <v>9.0140539E8</v>
      </c>
      <c r="D2742" s="79" t="s">
        <v>3207</v>
      </c>
      <c r="E2742" s="81">
        <v>2.0224250024395E13</v>
      </c>
      <c r="F2742" s="84">
        <v>44686.0</v>
      </c>
      <c r="G2742" s="83"/>
      <c r="H2742" s="83"/>
      <c r="I2742" s="73" t="s">
        <v>366</v>
      </c>
      <c r="J2742" s="76"/>
    </row>
    <row r="2743">
      <c r="A2743" s="74">
        <v>2739.0</v>
      </c>
      <c r="B2743" s="73" t="s">
        <v>1984</v>
      </c>
      <c r="C2743" s="74">
        <v>9.01253921E8</v>
      </c>
      <c r="D2743" s="73" t="s">
        <v>3208</v>
      </c>
      <c r="E2743" s="72">
        <v>2.0224250025555E13</v>
      </c>
      <c r="F2743" s="75">
        <v>44691.0</v>
      </c>
      <c r="G2743" s="76"/>
      <c r="H2743" s="76"/>
      <c r="I2743" s="73" t="s">
        <v>366</v>
      </c>
      <c r="J2743" s="76"/>
    </row>
    <row r="2744">
      <c r="A2744" s="74">
        <v>2740.0</v>
      </c>
      <c r="B2744" s="73" t="s">
        <v>1984</v>
      </c>
      <c r="C2744" s="74">
        <v>9.01147769E8</v>
      </c>
      <c r="D2744" s="73" t="s">
        <v>3209</v>
      </c>
      <c r="E2744" s="72">
        <v>2.0224250028595E13</v>
      </c>
      <c r="F2744" s="75">
        <v>44701.0</v>
      </c>
      <c r="G2744" s="76"/>
      <c r="H2744" s="76"/>
      <c r="I2744" s="73" t="s">
        <v>366</v>
      </c>
      <c r="J2744" s="76"/>
    </row>
    <row r="2745">
      <c r="A2745" s="74">
        <v>2741.0</v>
      </c>
      <c r="B2745" s="73" t="s">
        <v>1984</v>
      </c>
      <c r="C2745" s="74">
        <v>9.01522182E8</v>
      </c>
      <c r="D2745" s="73" t="s">
        <v>3210</v>
      </c>
      <c r="E2745" s="72">
        <v>2.0224250029125E13</v>
      </c>
      <c r="F2745" s="75">
        <v>44705.0</v>
      </c>
      <c r="G2745" s="76"/>
      <c r="H2745" s="76"/>
      <c r="I2745" s="73" t="s">
        <v>366</v>
      </c>
      <c r="J2745" s="76"/>
    </row>
    <row r="2746">
      <c r="A2746" s="74">
        <v>2742.0</v>
      </c>
      <c r="B2746" s="73" t="s">
        <v>1984</v>
      </c>
      <c r="C2746" s="74">
        <v>9.01548392E8</v>
      </c>
      <c r="D2746" s="73" t="s">
        <v>3211</v>
      </c>
      <c r="E2746" s="72">
        <v>2.0224250029135E13</v>
      </c>
      <c r="F2746" s="75">
        <v>44705.0</v>
      </c>
      <c r="G2746" s="76"/>
      <c r="H2746" s="76"/>
      <c r="I2746" s="73" t="s">
        <v>366</v>
      </c>
      <c r="J2746" s="76"/>
    </row>
    <row r="2747">
      <c r="A2747" s="74">
        <v>2743.0</v>
      </c>
      <c r="B2747" s="73" t="s">
        <v>1984</v>
      </c>
      <c r="C2747" s="74">
        <v>9.01473398E8</v>
      </c>
      <c r="D2747" s="73" t="s">
        <v>3212</v>
      </c>
      <c r="E2747" s="72">
        <v>2.0224250030005E13</v>
      </c>
      <c r="F2747" s="75">
        <v>44707.0</v>
      </c>
      <c r="G2747" s="76"/>
      <c r="H2747" s="76"/>
      <c r="I2747" s="73" t="s">
        <v>366</v>
      </c>
      <c r="J2747" s="76"/>
    </row>
    <row r="2748">
      <c r="A2748" s="74">
        <v>2744.0</v>
      </c>
      <c r="B2748" s="73" t="s">
        <v>1984</v>
      </c>
      <c r="C2748" s="74">
        <v>9.00268219E8</v>
      </c>
      <c r="D2748" s="73" t="s">
        <v>3213</v>
      </c>
      <c r="E2748" s="72">
        <v>2.0224250031935E13</v>
      </c>
      <c r="F2748" s="75">
        <v>44718.0</v>
      </c>
      <c r="G2748" s="76"/>
      <c r="H2748" s="76"/>
      <c r="I2748" s="73" t="s">
        <v>366</v>
      </c>
      <c r="J2748" s="76"/>
    </row>
    <row r="2749">
      <c r="A2749" s="74">
        <v>2745.0</v>
      </c>
      <c r="B2749" s="73" t="s">
        <v>1984</v>
      </c>
      <c r="C2749" s="74">
        <v>9.00466858E8</v>
      </c>
      <c r="D2749" s="73" t="s">
        <v>3214</v>
      </c>
      <c r="E2749" s="72">
        <v>2.0224250032385E13</v>
      </c>
      <c r="F2749" s="75">
        <v>44719.0</v>
      </c>
      <c r="G2749" s="76"/>
      <c r="H2749" s="76"/>
      <c r="I2749" s="73" t="s">
        <v>366</v>
      </c>
      <c r="J2749" s="76"/>
    </row>
    <row r="2750">
      <c r="A2750" s="74">
        <v>2746.0</v>
      </c>
      <c r="B2750" s="73" t="s">
        <v>1984</v>
      </c>
      <c r="C2750" s="74">
        <v>9.01503479E8</v>
      </c>
      <c r="D2750" s="73" t="s">
        <v>3215</v>
      </c>
      <c r="E2750" s="72">
        <v>2.0224250034845E13</v>
      </c>
      <c r="F2750" s="75">
        <v>44733.0</v>
      </c>
      <c r="G2750" s="76"/>
      <c r="H2750" s="76"/>
      <c r="I2750" s="73" t="s">
        <v>366</v>
      </c>
      <c r="J2750" s="76"/>
    </row>
    <row r="2751">
      <c r="A2751" s="74">
        <v>2747.0</v>
      </c>
      <c r="B2751" s="73" t="s">
        <v>1984</v>
      </c>
      <c r="C2751" s="74">
        <v>9.01496311E8</v>
      </c>
      <c r="D2751" s="73" t="s">
        <v>3216</v>
      </c>
      <c r="E2751" s="72">
        <v>2.0223425035755E13</v>
      </c>
      <c r="F2751" s="75">
        <v>44735.0</v>
      </c>
      <c r="G2751" s="76"/>
      <c r="H2751" s="76"/>
      <c r="I2751" s="73" t="s">
        <v>366</v>
      </c>
      <c r="J2751" s="76"/>
    </row>
    <row r="2752">
      <c r="A2752" s="74">
        <v>2748.0</v>
      </c>
      <c r="B2752" s="73" t="s">
        <v>1984</v>
      </c>
      <c r="C2752" s="74">
        <v>9.01563898E8</v>
      </c>
      <c r="D2752" s="73" t="s">
        <v>3217</v>
      </c>
      <c r="E2752" s="72">
        <v>2.0224250035765E13</v>
      </c>
      <c r="F2752" s="75">
        <v>44735.0</v>
      </c>
      <c r="G2752" s="76"/>
      <c r="H2752" s="76"/>
      <c r="I2752" s="73" t="s">
        <v>366</v>
      </c>
      <c r="J2752" s="76"/>
    </row>
    <row r="2753">
      <c r="A2753" s="74">
        <v>2749.0</v>
      </c>
      <c r="B2753" s="73" t="s">
        <v>1984</v>
      </c>
      <c r="C2753" s="74">
        <v>9.00137174E8</v>
      </c>
      <c r="D2753" s="73" t="s">
        <v>3218</v>
      </c>
      <c r="E2753" s="72">
        <v>2.0224250037685E13</v>
      </c>
      <c r="F2753" s="75">
        <v>44742.0</v>
      </c>
      <c r="G2753" s="76"/>
      <c r="H2753" s="76"/>
      <c r="I2753" s="73" t="s">
        <v>366</v>
      </c>
      <c r="J2753" s="76"/>
    </row>
    <row r="2754">
      <c r="A2754" s="74">
        <v>2750.0</v>
      </c>
      <c r="B2754" s="73" t="s">
        <v>1984</v>
      </c>
      <c r="C2754" s="74">
        <v>9.01153903E8</v>
      </c>
      <c r="D2754" s="73" t="s">
        <v>3219</v>
      </c>
      <c r="E2754" s="72">
        <v>2.0224250042465E13</v>
      </c>
      <c r="F2754" s="75">
        <v>44763.0</v>
      </c>
      <c r="G2754" s="76"/>
      <c r="H2754" s="76"/>
      <c r="I2754" s="73" t="s">
        <v>366</v>
      </c>
      <c r="J2754" s="76"/>
    </row>
    <row r="2755">
      <c r="A2755" s="74">
        <v>2751.0</v>
      </c>
      <c r="B2755" s="73" t="s">
        <v>1984</v>
      </c>
      <c r="C2755" s="74">
        <v>9.00637818E8</v>
      </c>
      <c r="D2755" s="73" t="s">
        <v>3220</v>
      </c>
      <c r="E2755" s="72">
        <v>2.0224250042665E13</v>
      </c>
      <c r="F2755" s="75">
        <v>44764.0</v>
      </c>
      <c r="G2755" s="76"/>
      <c r="H2755" s="76"/>
      <c r="I2755" s="73" t="s">
        <v>366</v>
      </c>
      <c r="J2755" s="76"/>
    </row>
    <row r="2756">
      <c r="A2756" s="74">
        <v>2752.0</v>
      </c>
      <c r="B2756" s="73" t="s">
        <v>1984</v>
      </c>
      <c r="C2756" s="74">
        <v>9.00174994E8</v>
      </c>
      <c r="D2756" s="73" t="s">
        <v>3221</v>
      </c>
      <c r="E2756" s="72">
        <v>2.0224250043635E13</v>
      </c>
      <c r="F2756" s="75">
        <v>44769.0</v>
      </c>
      <c r="G2756" s="76"/>
      <c r="H2756" s="76"/>
      <c r="I2756" s="73" t="s">
        <v>366</v>
      </c>
      <c r="J2756" s="76"/>
    </row>
    <row r="2757">
      <c r="A2757" s="74">
        <v>2753.0</v>
      </c>
      <c r="B2757" s="73" t="s">
        <v>1984</v>
      </c>
      <c r="C2757" s="74">
        <v>8.00241469E8</v>
      </c>
      <c r="D2757" s="73" t="s">
        <v>3222</v>
      </c>
      <c r="E2757" s="72">
        <v>2.0224250050115E13</v>
      </c>
      <c r="F2757" s="75">
        <v>44796.0</v>
      </c>
      <c r="G2757" s="76"/>
      <c r="H2757" s="76"/>
      <c r="I2757" s="73" t="s">
        <v>366</v>
      </c>
      <c r="J2757" s="76"/>
    </row>
    <row r="2758">
      <c r="A2758" s="74">
        <v>2754.0</v>
      </c>
      <c r="B2758" s="73" t="s">
        <v>1984</v>
      </c>
      <c r="C2758" s="74">
        <v>9.01522472E8</v>
      </c>
      <c r="D2758" s="73" t="s">
        <v>3223</v>
      </c>
      <c r="E2758" s="72">
        <v>2.0224250050265E13</v>
      </c>
      <c r="F2758" s="75">
        <v>44796.0</v>
      </c>
      <c r="G2758" s="76"/>
      <c r="H2758" s="76"/>
      <c r="I2758" s="73" t="s">
        <v>366</v>
      </c>
      <c r="J2758" s="76"/>
    </row>
    <row r="2759">
      <c r="A2759" s="74">
        <v>2755.0</v>
      </c>
      <c r="B2759" s="73" t="s">
        <v>1984</v>
      </c>
      <c r="C2759" s="74">
        <v>9.01565413E8</v>
      </c>
      <c r="D2759" s="73" t="s">
        <v>3224</v>
      </c>
      <c r="E2759" s="72">
        <v>2.0224250050275E13</v>
      </c>
      <c r="F2759" s="75">
        <v>44796.0</v>
      </c>
      <c r="G2759" s="76"/>
      <c r="H2759" s="76"/>
      <c r="I2759" s="73" t="s">
        <v>366</v>
      </c>
      <c r="J2759" s="76"/>
    </row>
    <row r="2760">
      <c r="A2760" s="74">
        <v>2756.0</v>
      </c>
      <c r="B2760" s="73" t="s">
        <v>1984</v>
      </c>
      <c r="C2760" s="74">
        <v>9.01591356E8</v>
      </c>
      <c r="D2760" s="73" t="s">
        <v>3225</v>
      </c>
      <c r="E2760" s="72">
        <v>2.0224250050145E13</v>
      </c>
      <c r="F2760" s="75">
        <v>44796.0</v>
      </c>
      <c r="G2760" s="76"/>
      <c r="H2760" s="76"/>
      <c r="I2760" s="73" t="s">
        <v>366</v>
      </c>
      <c r="J2760" s="76"/>
    </row>
    <row r="2761">
      <c r="A2761" s="74">
        <v>2757.0</v>
      </c>
      <c r="B2761" s="73" t="s">
        <v>1984</v>
      </c>
      <c r="C2761" s="74">
        <v>9.01613353E8</v>
      </c>
      <c r="D2761" s="73" t="s">
        <v>3226</v>
      </c>
      <c r="E2761" s="72">
        <v>2.0224250050165E13</v>
      </c>
      <c r="F2761" s="75">
        <v>44796.0</v>
      </c>
      <c r="G2761" s="76"/>
      <c r="H2761" s="76"/>
      <c r="I2761" s="73" t="s">
        <v>366</v>
      </c>
      <c r="J2761" s="76"/>
    </row>
    <row r="2762">
      <c r="A2762" s="74">
        <v>2758.0</v>
      </c>
      <c r="B2762" s="73" t="s">
        <v>1984</v>
      </c>
      <c r="C2762" s="74">
        <v>9.00285666E8</v>
      </c>
      <c r="D2762" s="73" t="s">
        <v>3227</v>
      </c>
      <c r="E2762" s="72">
        <v>2.0224250050305E13</v>
      </c>
      <c r="F2762" s="75">
        <v>44797.0</v>
      </c>
      <c r="G2762" s="76"/>
      <c r="H2762" s="76"/>
      <c r="I2762" s="73" t="s">
        <v>366</v>
      </c>
      <c r="J2762" s="76"/>
    </row>
    <row r="2763">
      <c r="A2763" s="74">
        <v>2759.0</v>
      </c>
      <c r="B2763" s="73" t="s">
        <v>1984</v>
      </c>
      <c r="C2763" s="74">
        <v>9.0158675E8</v>
      </c>
      <c r="D2763" s="73" t="s">
        <v>3228</v>
      </c>
      <c r="E2763" s="72">
        <v>2.0224250050585E13</v>
      </c>
      <c r="F2763" s="75">
        <v>44797.0</v>
      </c>
      <c r="G2763" s="76"/>
      <c r="H2763" s="76"/>
      <c r="I2763" s="73" t="s">
        <v>366</v>
      </c>
      <c r="J2763" s="76"/>
    </row>
    <row r="2764">
      <c r="A2764" s="74">
        <v>2760.0</v>
      </c>
      <c r="B2764" s="73" t="s">
        <v>1984</v>
      </c>
      <c r="C2764" s="74">
        <v>9.00878646E8</v>
      </c>
      <c r="D2764" s="73" t="s">
        <v>3229</v>
      </c>
      <c r="E2764" s="72">
        <v>2.0224250057325E13</v>
      </c>
      <c r="F2764" s="75">
        <v>44826.0</v>
      </c>
      <c r="G2764" s="76"/>
      <c r="H2764" s="76"/>
      <c r="I2764" s="73" t="s">
        <v>366</v>
      </c>
      <c r="J2764" s="76"/>
    </row>
    <row r="2765">
      <c r="A2765" s="74">
        <v>2761.0</v>
      </c>
      <c r="B2765" s="73" t="s">
        <v>1984</v>
      </c>
      <c r="C2765" s="74">
        <v>9.00740847E8</v>
      </c>
      <c r="D2765" s="73" t="s">
        <v>3230</v>
      </c>
      <c r="E2765" s="72">
        <v>2.0224250062845E13</v>
      </c>
      <c r="F2765" s="77">
        <v>44853.0</v>
      </c>
      <c r="G2765" s="76"/>
      <c r="H2765" s="76"/>
      <c r="I2765" s="73" t="s">
        <v>366</v>
      </c>
      <c r="J2765" s="76"/>
    </row>
    <row r="2766">
      <c r="A2766" s="74">
        <v>2762.0</v>
      </c>
      <c r="B2766" s="73" t="s">
        <v>1984</v>
      </c>
      <c r="C2766" s="74">
        <v>9.00304168E8</v>
      </c>
      <c r="D2766" s="73" t="s">
        <v>3231</v>
      </c>
      <c r="E2766" s="72">
        <v>2.0203040022995E13</v>
      </c>
      <c r="F2766" s="77">
        <v>44884.0</v>
      </c>
      <c r="G2766" s="76"/>
      <c r="H2766" s="76"/>
      <c r="I2766" s="73" t="s">
        <v>366</v>
      </c>
      <c r="J2766" s="76"/>
    </row>
    <row r="2767">
      <c r="A2767" s="74">
        <v>2763.0</v>
      </c>
      <c r="B2767" s="73" t="s">
        <v>1984</v>
      </c>
      <c r="C2767" s="74">
        <v>9.00889069E8</v>
      </c>
      <c r="D2767" s="73" t="s">
        <v>3232</v>
      </c>
      <c r="E2767" s="72">
        <v>2.0224250070165E13</v>
      </c>
      <c r="F2767" s="77">
        <v>44887.0</v>
      </c>
      <c r="G2767" s="76"/>
      <c r="H2767" s="76"/>
      <c r="I2767" s="73" t="s">
        <v>366</v>
      </c>
      <c r="J2767" s="76"/>
    </row>
    <row r="2768">
      <c r="A2768" s="74">
        <v>2764.0</v>
      </c>
      <c r="B2768" s="73" t="s">
        <v>1984</v>
      </c>
      <c r="C2768" s="74">
        <v>9.011618E8</v>
      </c>
      <c r="D2768" s="73" t="s">
        <v>3233</v>
      </c>
      <c r="E2768" s="72">
        <v>2.0224250071325E13</v>
      </c>
      <c r="F2768" s="77">
        <v>44892.0</v>
      </c>
      <c r="G2768" s="76"/>
      <c r="H2768" s="76"/>
      <c r="I2768" s="73" t="s">
        <v>366</v>
      </c>
      <c r="J2768" s="76"/>
    </row>
    <row r="2769">
      <c r="A2769" s="74">
        <v>2765.0</v>
      </c>
      <c r="B2769" s="73" t="s">
        <v>1984</v>
      </c>
      <c r="C2769" s="74">
        <v>9.00821925E8</v>
      </c>
      <c r="D2769" s="73" t="s">
        <v>3234</v>
      </c>
      <c r="E2769" s="72">
        <v>2.0224250074295E13</v>
      </c>
      <c r="F2769" s="77">
        <v>44902.0</v>
      </c>
      <c r="G2769" s="76"/>
      <c r="H2769" s="76"/>
      <c r="I2769" s="73" t="s">
        <v>366</v>
      </c>
      <c r="J2769" s="76"/>
    </row>
    <row r="2770">
      <c r="A2770" s="74">
        <v>2766.0</v>
      </c>
      <c r="B2770" s="73" t="s">
        <v>1984</v>
      </c>
      <c r="C2770" s="74">
        <v>9.01417769E8</v>
      </c>
      <c r="D2770" s="73" t="s">
        <v>3235</v>
      </c>
      <c r="E2770" s="72">
        <v>2.0224250074125E13</v>
      </c>
      <c r="F2770" s="77">
        <v>44902.0</v>
      </c>
      <c r="G2770" s="76"/>
      <c r="H2770" s="76"/>
      <c r="I2770" s="73" t="s">
        <v>366</v>
      </c>
      <c r="J2770" s="76"/>
    </row>
    <row r="2771">
      <c r="A2771" s="74">
        <v>2767.0</v>
      </c>
      <c r="B2771" s="73" t="s">
        <v>1984</v>
      </c>
      <c r="C2771" s="74">
        <v>9.01468898E8</v>
      </c>
      <c r="D2771" s="73" t="s">
        <v>3236</v>
      </c>
      <c r="E2771" s="72">
        <v>2.0224250074415E13</v>
      </c>
      <c r="F2771" s="77">
        <v>44902.0</v>
      </c>
      <c r="G2771" s="76"/>
      <c r="H2771" s="76"/>
      <c r="I2771" s="73" t="s">
        <v>366</v>
      </c>
      <c r="J2771" s="76"/>
    </row>
    <row r="2772">
      <c r="A2772" s="74">
        <v>2768.0</v>
      </c>
      <c r="B2772" s="73" t="s">
        <v>1984</v>
      </c>
      <c r="C2772" s="74">
        <v>9.01574991E8</v>
      </c>
      <c r="D2772" s="73" t="s">
        <v>3237</v>
      </c>
      <c r="E2772" s="72">
        <v>2.0224250074475E13</v>
      </c>
      <c r="F2772" s="77">
        <v>44904.0</v>
      </c>
      <c r="G2772" s="76"/>
      <c r="H2772" s="76"/>
      <c r="I2772" s="73" t="s">
        <v>366</v>
      </c>
      <c r="J2772" s="76"/>
    </row>
    <row r="2773">
      <c r="A2773" s="74">
        <v>2769.0</v>
      </c>
      <c r="B2773" s="73" t="s">
        <v>1984</v>
      </c>
      <c r="C2773" s="74">
        <v>9.01625976E8</v>
      </c>
      <c r="D2773" s="73" t="s">
        <v>3238</v>
      </c>
      <c r="E2773" s="72">
        <v>2.0224250075665E13</v>
      </c>
      <c r="F2773" s="77">
        <v>44908.0</v>
      </c>
      <c r="G2773" s="76"/>
      <c r="H2773" s="76"/>
      <c r="I2773" s="73" t="s">
        <v>366</v>
      </c>
      <c r="J2773" s="76"/>
    </row>
    <row r="2774">
      <c r="A2774" s="74">
        <v>2770.0</v>
      </c>
      <c r="B2774" s="73" t="s">
        <v>1984</v>
      </c>
      <c r="C2774" s="74">
        <v>9.00652491E8</v>
      </c>
      <c r="D2774" s="73" t="s">
        <v>3239</v>
      </c>
      <c r="E2774" s="72">
        <v>2.0224250079215E13</v>
      </c>
      <c r="F2774" s="77">
        <v>44924.0</v>
      </c>
      <c r="G2774" s="76"/>
      <c r="H2774" s="76"/>
      <c r="I2774" s="73" t="s">
        <v>366</v>
      </c>
      <c r="J2774" s="76"/>
    </row>
    <row r="2775">
      <c r="A2775" s="74">
        <v>2771.0</v>
      </c>
      <c r="B2775" s="73" t="s">
        <v>1984</v>
      </c>
      <c r="C2775" s="74">
        <v>9.01071728E8</v>
      </c>
      <c r="D2775" s="73" t="s">
        <v>3240</v>
      </c>
      <c r="E2775" s="72">
        <v>2.0224250079145E13</v>
      </c>
      <c r="F2775" s="77">
        <v>44924.0</v>
      </c>
      <c r="G2775" s="76"/>
      <c r="H2775" s="76"/>
      <c r="I2775" s="73" t="s">
        <v>366</v>
      </c>
      <c r="J2775" s="76"/>
    </row>
    <row r="2776">
      <c r="A2776" s="74">
        <v>2772.0</v>
      </c>
      <c r="B2776" s="73" t="s">
        <v>1984</v>
      </c>
      <c r="C2776" s="74">
        <v>9.01641599E8</v>
      </c>
      <c r="D2776" s="73" t="s">
        <v>3241</v>
      </c>
      <c r="E2776" s="72">
        <v>2.0234250000515E13</v>
      </c>
      <c r="F2776" s="75">
        <v>44937.0</v>
      </c>
      <c r="G2776" s="76"/>
      <c r="H2776" s="76"/>
      <c r="I2776" s="73" t="s">
        <v>366</v>
      </c>
      <c r="J2776" s="76"/>
    </row>
    <row r="2777">
      <c r="A2777" s="74">
        <v>2773.0</v>
      </c>
      <c r="B2777" s="73" t="s">
        <v>1984</v>
      </c>
      <c r="C2777" s="74">
        <v>9.00784744E8</v>
      </c>
      <c r="D2777" s="73" t="s">
        <v>3242</v>
      </c>
      <c r="E2777" s="72">
        <v>2.0234250002345E13</v>
      </c>
      <c r="F2777" s="75">
        <v>44949.0</v>
      </c>
      <c r="G2777" s="76"/>
      <c r="H2777" s="76"/>
      <c r="I2777" s="73" t="s">
        <v>366</v>
      </c>
      <c r="J2777" s="76"/>
    </row>
    <row r="2778">
      <c r="A2778" s="74">
        <v>2774.0</v>
      </c>
      <c r="B2778" s="73" t="s">
        <v>1984</v>
      </c>
      <c r="C2778" s="74">
        <v>9.01628809E8</v>
      </c>
      <c r="D2778" s="73" t="s">
        <v>3243</v>
      </c>
      <c r="E2778" s="72">
        <v>2.0234250005665E13</v>
      </c>
      <c r="F2778" s="75">
        <v>44983.0</v>
      </c>
      <c r="G2778" s="76"/>
      <c r="H2778" s="76"/>
      <c r="I2778" s="73" t="s">
        <v>366</v>
      </c>
      <c r="J2778" s="76"/>
    </row>
    <row r="2779">
      <c r="A2779" s="74">
        <v>2775.0</v>
      </c>
      <c r="B2779" s="73" t="s">
        <v>1984</v>
      </c>
      <c r="C2779" s="74">
        <v>9.01202348E8</v>
      </c>
      <c r="D2779" s="73" t="s">
        <v>3244</v>
      </c>
      <c r="E2779" s="72">
        <v>2.0234250008685E13</v>
      </c>
      <c r="F2779" s="75">
        <v>44987.0</v>
      </c>
      <c r="G2779" s="76"/>
      <c r="H2779" s="76"/>
      <c r="I2779" s="73" t="s">
        <v>366</v>
      </c>
      <c r="J2779" s="76"/>
    </row>
    <row r="2780">
      <c r="A2780" s="74">
        <v>2776.0</v>
      </c>
      <c r="B2780" s="73" t="s">
        <v>1984</v>
      </c>
      <c r="C2780" s="74">
        <v>9.01604546E8</v>
      </c>
      <c r="D2780" s="73" t="s">
        <v>3245</v>
      </c>
      <c r="E2780" s="72">
        <v>2.0234250012935E13</v>
      </c>
      <c r="F2780" s="75">
        <v>45013.0</v>
      </c>
      <c r="G2780" s="76"/>
      <c r="H2780" s="76"/>
      <c r="I2780" s="73" t="s">
        <v>366</v>
      </c>
      <c r="J2780" s="76"/>
    </row>
    <row r="2781">
      <c r="A2781" s="74">
        <v>2777.0</v>
      </c>
      <c r="B2781" s="73" t="s">
        <v>1984</v>
      </c>
      <c r="C2781" s="74">
        <v>9.01676118E8</v>
      </c>
      <c r="D2781" s="73" t="s">
        <v>3246</v>
      </c>
      <c r="E2781" s="72">
        <v>2.0234250014595E13</v>
      </c>
      <c r="F2781" s="75">
        <v>45029.0</v>
      </c>
      <c r="G2781" s="76"/>
      <c r="H2781" s="76"/>
      <c r="I2781" s="73" t="s">
        <v>366</v>
      </c>
      <c r="J2781" s="76"/>
    </row>
    <row r="2782">
      <c r="A2782" s="74">
        <v>2778.0</v>
      </c>
      <c r="B2782" s="73" t="s">
        <v>1984</v>
      </c>
      <c r="C2782" s="74">
        <v>9.0106115E8</v>
      </c>
      <c r="D2782" s="73" t="s">
        <v>3247</v>
      </c>
      <c r="E2782" s="72">
        <v>2.0234250015945E13</v>
      </c>
      <c r="F2782" s="75">
        <v>45040.0</v>
      </c>
      <c r="G2782" s="76"/>
      <c r="H2782" s="76"/>
      <c r="I2782" s="73" t="s">
        <v>366</v>
      </c>
      <c r="J2782" s="76"/>
    </row>
    <row r="2783">
      <c r="A2783" s="74">
        <v>2779.0</v>
      </c>
      <c r="B2783" s="73" t="s">
        <v>1984</v>
      </c>
      <c r="C2783" s="74">
        <v>9.01650179E8</v>
      </c>
      <c r="D2783" s="73" t="s">
        <v>3248</v>
      </c>
      <c r="E2783" s="72">
        <v>2.0234250015955E13</v>
      </c>
      <c r="F2783" s="75">
        <v>45040.0</v>
      </c>
      <c r="G2783" s="76"/>
      <c r="H2783" s="76"/>
      <c r="I2783" s="73" t="s">
        <v>366</v>
      </c>
      <c r="J2783" s="76"/>
    </row>
    <row r="2784">
      <c r="A2784" s="74">
        <v>2780.0</v>
      </c>
      <c r="B2784" s="73" t="s">
        <v>1984</v>
      </c>
      <c r="C2784" s="74">
        <v>9.01639843E8</v>
      </c>
      <c r="D2784" s="73" t="s">
        <v>3249</v>
      </c>
      <c r="E2784" s="72">
        <v>2.0234250017485E13</v>
      </c>
      <c r="F2784" s="75">
        <v>45049.0</v>
      </c>
      <c r="G2784" s="76"/>
      <c r="H2784" s="76"/>
      <c r="I2784" s="73" t="s">
        <v>366</v>
      </c>
      <c r="J2784" s="76"/>
    </row>
    <row r="2785">
      <c r="A2785" s="74">
        <v>2781.0</v>
      </c>
      <c r="B2785" s="73" t="s">
        <v>1984</v>
      </c>
      <c r="C2785" s="74">
        <v>9.0166153E8</v>
      </c>
      <c r="D2785" s="73" t="s">
        <v>3250</v>
      </c>
      <c r="E2785" s="72">
        <v>2.0234250017495E13</v>
      </c>
      <c r="F2785" s="75">
        <v>45049.0</v>
      </c>
      <c r="G2785" s="76"/>
      <c r="H2785" s="76"/>
      <c r="I2785" s="73" t="s">
        <v>366</v>
      </c>
      <c r="J2785" s="76"/>
    </row>
    <row r="2786">
      <c r="A2786" s="74">
        <v>2782.0</v>
      </c>
      <c r="B2786" s="73" t="s">
        <v>1984</v>
      </c>
      <c r="C2786" s="74">
        <v>9.01694597E8</v>
      </c>
      <c r="D2786" s="73" t="s">
        <v>3251</v>
      </c>
      <c r="E2786" s="72">
        <v>2.0234250017475E13</v>
      </c>
      <c r="F2786" s="75">
        <v>45049.0</v>
      </c>
      <c r="G2786" s="76"/>
      <c r="H2786" s="76"/>
      <c r="I2786" s="73" t="s">
        <v>366</v>
      </c>
      <c r="J2786" s="76"/>
    </row>
    <row r="2787">
      <c r="A2787" s="74">
        <v>2783.0</v>
      </c>
      <c r="B2787" s="73" t="s">
        <v>1984</v>
      </c>
      <c r="C2787" s="74">
        <v>9.01093612E8</v>
      </c>
      <c r="D2787" s="73" t="s">
        <v>3252</v>
      </c>
      <c r="E2787" s="72">
        <v>2.0234250020185E13</v>
      </c>
      <c r="F2787" s="75">
        <v>45064.0</v>
      </c>
      <c r="G2787" s="76"/>
      <c r="H2787" s="76"/>
      <c r="I2787" s="73" t="s">
        <v>366</v>
      </c>
      <c r="J2787" s="76"/>
    </row>
    <row r="2788">
      <c r="A2788" s="74">
        <v>2784.0</v>
      </c>
      <c r="B2788" s="73" t="s">
        <v>1984</v>
      </c>
      <c r="C2788" s="74">
        <v>9.00208029E8</v>
      </c>
      <c r="D2788" s="73" t="s">
        <v>3253</v>
      </c>
      <c r="E2788" s="72">
        <v>2.0234250020915E13</v>
      </c>
      <c r="F2788" s="75">
        <v>45070.0</v>
      </c>
      <c r="G2788" s="76"/>
      <c r="H2788" s="76"/>
      <c r="I2788" s="73" t="s">
        <v>366</v>
      </c>
      <c r="J2788" s="76"/>
    </row>
    <row r="2789">
      <c r="A2789" s="74">
        <v>2785.0</v>
      </c>
      <c r="B2789" s="73" t="s">
        <v>1984</v>
      </c>
      <c r="C2789" s="74">
        <v>9.00722213E8</v>
      </c>
      <c r="D2789" s="73" t="s">
        <v>3254</v>
      </c>
      <c r="E2789" s="72">
        <v>2.0234250020965E13</v>
      </c>
      <c r="F2789" s="75">
        <v>45070.0</v>
      </c>
      <c r="G2789" s="76"/>
      <c r="H2789" s="76"/>
      <c r="I2789" s="73" t="s">
        <v>366</v>
      </c>
      <c r="J2789" s="76"/>
    </row>
    <row r="2790">
      <c r="A2790" s="74">
        <v>2786.0</v>
      </c>
      <c r="B2790" s="73" t="s">
        <v>1984</v>
      </c>
      <c r="C2790" s="74">
        <v>9.00250468E8</v>
      </c>
      <c r="D2790" s="73" t="s">
        <v>3255</v>
      </c>
      <c r="E2790" s="72">
        <v>2.0234250021465E13</v>
      </c>
      <c r="F2790" s="75">
        <v>45072.0</v>
      </c>
      <c r="G2790" s="76"/>
      <c r="H2790" s="76"/>
      <c r="I2790" s="73" t="s">
        <v>366</v>
      </c>
      <c r="J2790" s="76"/>
    </row>
    <row r="2791">
      <c r="A2791" s="74">
        <v>2787.0</v>
      </c>
      <c r="B2791" s="73" t="s">
        <v>1984</v>
      </c>
      <c r="C2791" s="74">
        <v>9.01631065E8</v>
      </c>
      <c r="D2791" s="73" t="s">
        <v>3256</v>
      </c>
      <c r="E2791" s="72">
        <v>2.0234250021595E13</v>
      </c>
      <c r="F2791" s="75">
        <v>45075.0</v>
      </c>
      <c r="G2791" s="76"/>
      <c r="H2791" s="76"/>
      <c r="I2791" s="73" t="s">
        <v>366</v>
      </c>
      <c r="J2791" s="76"/>
    </row>
    <row r="2792">
      <c r="A2792" s="74">
        <v>2788.0</v>
      </c>
      <c r="B2792" s="73" t="s">
        <v>1984</v>
      </c>
      <c r="C2792" s="74">
        <v>9.00796762E8</v>
      </c>
      <c r="D2792" s="73" t="s">
        <v>3257</v>
      </c>
      <c r="E2792" s="72">
        <v>2.0234250024355E13</v>
      </c>
      <c r="F2792" s="75">
        <v>45090.0</v>
      </c>
      <c r="G2792" s="76"/>
      <c r="H2792" s="76"/>
      <c r="I2792" s="73" t="s">
        <v>366</v>
      </c>
      <c r="J2792" s="76"/>
    </row>
    <row r="2793">
      <c r="A2793" s="74">
        <v>2789.0</v>
      </c>
      <c r="B2793" s="73" t="s">
        <v>1984</v>
      </c>
      <c r="C2793" s="74">
        <v>9.01590803E8</v>
      </c>
      <c r="D2793" s="73" t="s">
        <v>3258</v>
      </c>
      <c r="E2793" s="72">
        <v>2.0234250026385E13</v>
      </c>
      <c r="F2793" s="75">
        <v>45103.0</v>
      </c>
      <c r="G2793" s="76"/>
      <c r="H2793" s="76"/>
      <c r="I2793" s="73" t="s">
        <v>366</v>
      </c>
      <c r="J2793" s="76"/>
    </row>
    <row r="2794">
      <c r="A2794" s="74">
        <v>2790.0</v>
      </c>
      <c r="B2794" s="73" t="s">
        <v>1984</v>
      </c>
      <c r="C2794" s="74">
        <v>9.01671124E8</v>
      </c>
      <c r="D2794" s="73" t="s">
        <v>3259</v>
      </c>
      <c r="E2794" s="72">
        <v>2.0234250027725E13</v>
      </c>
      <c r="F2794" s="75">
        <v>45111.0</v>
      </c>
      <c r="G2794" s="76"/>
      <c r="H2794" s="76"/>
      <c r="I2794" s="73" t="s">
        <v>366</v>
      </c>
      <c r="J2794" s="76"/>
    </row>
    <row r="2795">
      <c r="A2795" s="85">
        <v>2791.0</v>
      </c>
      <c r="B2795" s="79" t="s">
        <v>1984</v>
      </c>
      <c r="C2795" s="80">
        <v>9.01635622E8</v>
      </c>
      <c r="D2795" s="79" t="s">
        <v>3260</v>
      </c>
      <c r="E2795" s="81">
        <v>2.0234250028375E13</v>
      </c>
      <c r="F2795" s="84">
        <v>45113.0</v>
      </c>
      <c r="G2795" s="83"/>
      <c r="H2795" s="83"/>
      <c r="I2795" s="73" t="s">
        <v>366</v>
      </c>
      <c r="J2795" s="76"/>
    </row>
    <row r="2796">
      <c r="A2796" s="74">
        <v>2792.0</v>
      </c>
      <c r="B2796" s="73" t="s">
        <v>1984</v>
      </c>
      <c r="C2796" s="74">
        <v>9.00586325E8</v>
      </c>
      <c r="D2796" s="73" t="s">
        <v>3261</v>
      </c>
      <c r="E2796" s="72">
        <v>2.0234250029015E13</v>
      </c>
      <c r="F2796" s="75">
        <v>45117.0</v>
      </c>
      <c r="G2796" s="76"/>
      <c r="H2796" s="76"/>
      <c r="I2796" s="73" t="s">
        <v>366</v>
      </c>
      <c r="J2796" s="76"/>
    </row>
    <row r="2797">
      <c r="A2797" s="74">
        <v>2793.0</v>
      </c>
      <c r="B2797" s="73" t="s">
        <v>1984</v>
      </c>
      <c r="C2797" s="74">
        <v>9.00605851E8</v>
      </c>
      <c r="D2797" s="73" t="s">
        <v>3262</v>
      </c>
      <c r="E2797" s="72">
        <v>2.0234250028755E13</v>
      </c>
      <c r="F2797" s="75">
        <v>45117.0</v>
      </c>
      <c r="G2797" s="76"/>
      <c r="H2797" s="76"/>
      <c r="I2797" s="73" t="s">
        <v>366</v>
      </c>
      <c r="J2797" s="76"/>
    </row>
    <row r="2798">
      <c r="A2798" s="74">
        <v>2794.0</v>
      </c>
      <c r="B2798" s="73" t="s">
        <v>1984</v>
      </c>
      <c r="C2798" s="74">
        <v>9.01644375E8</v>
      </c>
      <c r="D2798" s="73" t="s">
        <v>3263</v>
      </c>
      <c r="E2798" s="72">
        <v>2.0234250029025E13</v>
      </c>
      <c r="F2798" s="75">
        <v>45117.0</v>
      </c>
      <c r="G2798" s="76"/>
      <c r="H2798" s="76"/>
      <c r="I2798" s="73" t="s">
        <v>366</v>
      </c>
      <c r="J2798" s="76"/>
    </row>
    <row r="2799">
      <c r="A2799" s="74">
        <v>2795.0</v>
      </c>
      <c r="B2799" s="73" t="s">
        <v>1984</v>
      </c>
      <c r="C2799" s="74">
        <v>9.00926346E8</v>
      </c>
      <c r="D2799" s="73" t="s">
        <v>3264</v>
      </c>
      <c r="E2799" s="72">
        <v>2.0234250030175E13</v>
      </c>
      <c r="F2799" s="75">
        <v>45124.0</v>
      </c>
      <c r="G2799" s="76"/>
      <c r="H2799" s="76"/>
      <c r="I2799" s="73" t="s">
        <v>366</v>
      </c>
      <c r="J2799" s="76"/>
    </row>
    <row r="2800">
      <c r="A2800" s="74">
        <v>2796.0</v>
      </c>
      <c r="B2800" s="73" t="s">
        <v>1984</v>
      </c>
      <c r="C2800" s="74">
        <v>9.01224883E8</v>
      </c>
      <c r="D2800" s="73" t="s">
        <v>3265</v>
      </c>
      <c r="E2800" s="72">
        <v>2.0234250030135E13</v>
      </c>
      <c r="F2800" s="75">
        <v>45124.0</v>
      </c>
      <c r="G2800" s="76"/>
      <c r="H2800" s="76"/>
      <c r="I2800" s="73" t="s">
        <v>366</v>
      </c>
      <c r="J2800" s="76"/>
    </row>
    <row r="2801">
      <c r="A2801" s="74">
        <v>2797.0</v>
      </c>
      <c r="B2801" s="73" t="s">
        <v>1984</v>
      </c>
      <c r="C2801" s="74">
        <v>9.01623202E8</v>
      </c>
      <c r="D2801" s="73" t="s">
        <v>3266</v>
      </c>
      <c r="E2801" s="72">
        <v>2.0234250030225E13</v>
      </c>
      <c r="F2801" s="75">
        <v>45124.0</v>
      </c>
      <c r="G2801" s="76"/>
      <c r="H2801" s="76"/>
      <c r="I2801" s="73" t="s">
        <v>366</v>
      </c>
      <c r="J2801" s="76"/>
    </row>
    <row r="2802">
      <c r="A2802" s="74">
        <v>2798.0</v>
      </c>
      <c r="B2802" s="73" t="s">
        <v>1984</v>
      </c>
      <c r="C2802" s="74">
        <v>8.08002622E8</v>
      </c>
      <c r="D2802" s="73" t="s">
        <v>3267</v>
      </c>
      <c r="E2802" s="72">
        <v>2.0234250030925E13</v>
      </c>
      <c r="F2802" s="75">
        <v>45128.0</v>
      </c>
      <c r="G2802" s="76"/>
      <c r="H2802" s="76"/>
      <c r="I2802" s="73" t="s">
        <v>366</v>
      </c>
      <c r="J2802" s="76"/>
    </row>
    <row r="2803">
      <c r="A2803" s="74">
        <v>2799.0</v>
      </c>
      <c r="B2803" s="73" t="s">
        <v>1984</v>
      </c>
      <c r="C2803" s="74">
        <v>9.00734154E8</v>
      </c>
      <c r="D2803" s="73" t="s">
        <v>3268</v>
      </c>
      <c r="E2803" s="72">
        <v>2.0234250030725E13</v>
      </c>
      <c r="F2803" s="75">
        <v>45128.0</v>
      </c>
      <c r="G2803" s="76"/>
      <c r="H2803" s="76"/>
      <c r="I2803" s="73" t="s">
        <v>366</v>
      </c>
      <c r="J2803" s="76"/>
    </row>
    <row r="2804">
      <c r="A2804" s="74">
        <v>2800.0</v>
      </c>
      <c r="B2804" s="73" t="s">
        <v>1984</v>
      </c>
      <c r="C2804" s="74">
        <v>9.0140862E8</v>
      </c>
      <c r="D2804" s="73" t="s">
        <v>3269</v>
      </c>
      <c r="E2804" s="72">
        <v>2.0234250033435E13</v>
      </c>
      <c r="F2804" s="75">
        <v>45142.0</v>
      </c>
      <c r="G2804" s="76"/>
      <c r="H2804" s="76"/>
      <c r="I2804" s="73" t="s">
        <v>366</v>
      </c>
      <c r="J2804" s="76"/>
    </row>
    <row r="2805">
      <c r="A2805" s="74">
        <v>2801.0</v>
      </c>
      <c r="B2805" s="73" t="s">
        <v>1984</v>
      </c>
      <c r="C2805" s="74">
        <v>9.007429E8</v>
      </c>
      <c r="D2805" s="73" t="s">
        <v>3270</v>
      </c>
      <c r="E2805" s="72">
        <v>2.0234250034635E13</v>
      </c>
      <c r="F2805" s="75">
        <v>45152.0</v>
      </c>
      <c r="G2805" s="76"/>
      <c r="H2805" s="76"/>
      <c r="I2805" s="73" t="s">
        <v>366</v>
      </c>
      <c r="J2805" s="76"/>
    </row>
    <row r="2806">
      <c r="A2806" s="74">
        <v>2802.0</v>
      </c>
      <c r="B2806" s="73" t="s">
        <v>1984</v>
      </c>
      <c r="C2806" s="74">
        <v>9.0127197E8</v>
      </c>
      <c r="D2806" s="73" t="s">
        <v>3271</v>
      </c>
      <c r="E2806" s="72">
        <v>2.0234250035355E13</v>
      </c>
      <c r="F2806" s="75">
        <v>45155.0</v>
      </c>
      <c r="G2806" s="76"/>
      <c r="H2806" s="76"/>
      <c r="I2806" s="73" t="s">
        <v>366</v>
      </c>
      <c r="J2806" s="76"/>
    </row>
    <row r="2807">
      <c r="A2807" s="74">
        <v>2803.0</v>
      </c>
      <c r="B2807" s="73" t="s">
        <v>1984</v>
      </c>
      <c r="C2807" s="74">
        <v>8.0006024E8</v>
      </c>
      <c r="D2807" s="73" t="s">
        <v>3272</v>
      </c>
      <c r="E2807" s="72">
        <v>2.0234250036315E13</v>
      </c>
      <c r="F2807" s="75">
        <v>45163.0</v>
      </c>
      <c r="G2807" s="76"/>
      <c r="H2807" s="76"/>
      <c r="I2807" s="73" t="s">
        <v>366</v>
      </c>
      <c r="J2807" s="76"/>
    </row>
    <row r="2808">
      <c r="A2808" s="74">
        <v>2804.0</v>
      </c>
      <c r="B2808" s="73" t="s">
        <v>1984</v>
      </c>
      <c r="C2808" s="74">
        <v>9.0138319E8</v>
      </c>
      <c r="D2808" s="73" t="s">
        <v>3273</v>
      </c>
      <c r="E2808" s="72">
        <v>2.0234250037605E13</v>
      </c>
      <c r="F2808" s="75">
        <v>45173.0</v>
      </c>
      <c r="G2808" s="76"/>
      <c r="H2808" s="76"/>
      <c r="I2808" s="73" t="s">
        <v>366</v>
      </c>
      <c r="J2808" s="76"/>
    </row>
    <row r="2809">
      <c r="A2809" s="74">
        <v>2805.0</v>
      </c>
      <c r="B2809" s="73" t="s">
        <v>1984</v>
      </c>
      <c r="C2809" s="74">
        <v>9.01724725E8</v>
      </c>
      <c r="D2809" s="73" t="s">
        <v>3274</v>
      </c>
      <c r="E2809" s="72">
        <v>2.0234250041075E13</v>
      </c>
      <c r="F2809" s="75">
        <v>45191.0</v>
      </c>
      <c r="G2809" s="76"/>
      <c r="H2809" s="76"/>
      <c r="I2809" s="73" t="s">
        <v>366</v>
      </c>
      <c r="J2809" s="76"/>
    </row>
    <row r="2810">
      <c r="A2810" s="74">
        <v>2806.0</v>
      </c>
      <c r="B2810" s="73" t="s">
        <v>1984</v>
      </c>
      <c r="C2810" s="74">
        <v>9.00562346E8</v>
      </c>
      <c r="D2810" s="73" t="s">
        <v>3275</v>
      </c>
      <c r="E2810" s="72">
        <v>2.0234250042865E13</v>
      </c>
      <c r="F2810" s="77">
        <v>45204.0</v>
      </c>
      <c r="G2810" s="76"/>
      <c r="H2810" s="76"/>
      <c r="I2810" s="73" t="s">
        <v>366</v>
      </c>
      <c r="J2810" s="76"/>
    </row>
    <row r="2811">
      <c r="A2811" s="74">
        <v>2807.0</v>
      </c>
      <c r="B2811" s="73" t="s">
        <v>1984</v>
      </c>
      <c r="C2811" s="74">
        <v>9.00802754E8</v>
      </c>
      <c r="D2811" s="73" t="s">
        <v>3276</v>
      </c>
      <c r="E2811" s="72">
        <v>2.0234250042875E13</v>
      </c>
      <c r="F2811" s="77">
        <v>45204.0</v>
      </c>
      <c r="G2811" s="76"/>
      <c r="H2811" s="76"/>
      <c r="I2811" s="73" t="s">
        <v>366</v>
      </c>
      <c r="J2811" s="76"/>
    </row>
    <row r="2812">
      <c r="A2812" s="74">
        <v>2808.0</v>
      </c>
      <c r="B2812" s="73" t="s">
        <v>1984</v>
      </c>
      <c r="C2812" s="74">
        <v>9.01707778E8</v>
      </c>
      <c r="D2812" s="73" t="s">
        <v>3277</v>
      </c>
      <c r="E2812" s="72">
        <v>2.0234250043355E13</v>
      </c>
      <c r="F2812" s="77">
        <v>45208.0</v>
      </c>
      <c r="G2812" s="76"/>
      <c r="H2812" s="76"/>
      <c r="I2812" s="73" t="s">
        <v>366</v>
      </c>
      <c r="J2812" s="76"/>
    </row>
    <row r="2813">
      <c r="A2813" s="74">
        <v>2809.0</v>
      </c>
      <c r="B2813" s="73" t="s">
        <v>1984</v>
      </c>
      <c r="C2813" s="74">
        <v>9.00643166E8</v>
      </c>
      <c r="D2813" s="73" t="s">
        <v>3278</v>
      </c>
      <c r="E2813" s="72">
        <v>2.0234250044575E13</v>
      </c>
      <c r="F2813" s="77">
        <v>45216.0</v>
      </c>
      <c r="G2813" s="76"/>
      <c r="H2813" s="76"/>
      <c r="I2813" s="73" t="s">
        <v>366</v>
      </c>
      <c r="J2813" s="76"/>
    </row>
    <row r="2814">
      <c r="A2814" s="74">
        <v>2810.0</v>
      </c>
      <c r="B2814" s="73" t="s">
        <v>1984</v>
      </c>
      <c r="C2814" s="74">
        <v>9.01541144E8</v>
      </c>
      <c r="D2814" s="73" t="s">
        <v>3279</v>
      </c>
      <c r="E2814" s="72">
        <v>2.0234250048515E13</v>
      </c>
      <c r="F2814" s="77">
        <v>45239.0</v>
      </c>
      <c r="G2814" s="76"/>
      <c r="H2814" s="76"/>
      <c r="I2814" s="73" t="s">
        <v>366</v>
      </c>
      <c r="J2814" s="76"/>
    </row>
    <row r="2815">
      <c r="A2815" s="74">
        <v>2811.0</v>
      </c>
      <c r="B2815" s="73" t="s">
        <v>1984</v>
      </c>
      <c r="C2815" s="74">
        <v>9.01759398E8</v>
      </c>
      <c r="D2815" s="73" t="s">
        <v>3280</v>
      </c>
      <c r="E2815" s="72">
        <v>2.0234250048825E13</v>
      </c>
      <c r="F2815" s="77">
        <v>45240.0</v>
      </c>
      <c r="G2815" s="76"/>
      <c r="H2815" s="76"/>
      <c r="I2815" s="73" t="s">
        <v>366</v>
      </c>
      <c r="J2815" s="76"/>
    </row>
    <row r="2816">
      <c r="A2816" s="74">
        <v>2812.0</v>
      </c>
      <c r="B2816" s="73" t="s">
        <v>1984</v>
      </c>
      <c r="C2816" s="74">
        <v>9.00841144E8</v>
      </c>
      <c r="D2816" s="73" t="s">
        <v>3281</v>
      </c>
      <c r="E2816" s="72">
        <v>2.0234250049735E13</v>
      </c>
      <c r="F2816" s="77">
        <v>45248.0</v>
      </c>
      <c r="G2816" s="76"/>
      <c r="H2816" s="76"/>
      <c r="I2816" s="73" t="s">
        <v>366</v>
      </c>
      <c r="J2816" s="76"/>
    </row>
    <row r="2817">
      <c r="A2817" s="74">
        <v>2813.0</v>
      </c>
      <c r="B2817" s="73" t="s">
        <v>1984</v>
      </c>
      <c r="C2817" s="74">
        <v>9.01181415E8</v>
      </c>
      <c r="D2817" s="73" t="s">
        <v>3282</v>
      </c>
      <c r="E2817" s="72">
        <v>2.0234250049765E13</v>
      </c>
      <c r="F2817" s="77">
        <v>45248.0</v>
      </c>
      <c r="G2817" s="76"/>
      <c r="H2817" s="76"/>
      <c r="I2817" s="73" t="s">
        <v>366</v>
      </c>
      <c r="J2817" s="76"/>
    </row>
    <row r="2818">
      <c r="A2818" s="74">
        <v>2814.0</v>
      </c>
      <c r="B2818" s="73" t="s">
        <v>1984</v>
      </c>
      <c r="C2818" s="74">
        <v>9.01614296E8</v>
      </c>
      <c r="D2818" s="73" t="s">
        <v>3283</v>
      </c>
      <c r="E2818" s="72">
        <v>2.0234250049745E13</v>
      </c>
      <c r="F2818" s="77">
        <v>45248.0</v>
      </c>
      <c r="G2818" s="76"/>
      <c r="H2818" s="76"/>
      <c r="I2818" s="73" t="s">
        <v>366</v>
      </c>
      <c r="J2818" s="76"/>
    </row>
    <row r="2819">
      <c r="A2819" s="74">
        <v>2815.0</v>
      </c>
      <c r="B2819" s="73" t="s">
        <v>1984</v>
      </c>
      <c r="C2819" s="74">
        <v>9.00795782E8</v>
      </c>
      <c r="D2819" s="73" t="s">
        <v>3284</v>
      </c>
      <c r="E2819" s="72">
        <v>2.0234250050395E13</v>
      </c>
      <c r="F2819" s="77">
        <v>45251.0</v>
      </c>
      <c r="G2819" s="76"/>
      <c r="H2819" s="76"/>
      <c r="I2819" s="73" t="s">
        <v>366</v>
      </c>
      <c r="J2819" s="76"/>
    </row>
    <row r="2820">
      <c r="A2820" s="74">
        <v>2816.0</v>
      </c>
      <c r="B2820" s="73" t="s">
        <v>1984</v>
      </c>
      <c r="C2820" s="74">
        <v>9.01668284E8</v>
      </c>
      <c r="D2820" s="73" t="s">
        <v>3285</v>
      </c>
      <c r="E2820" s="72">
        <v>2.0234250050435E13</v>
      </c>
      <c r="F2820" s="77">
        <v>45251.0</v>
      </c>
      <c r="G2820" s="76"/>
      <c r="H2820" s="76"/>
      <c r="I2820" s="73" t="s">
        <v>366</v>
      </c>
      <c r="J2820" s="76"/>
    </row>
    <row r="2821">
      <c r="A2821" s="74">
        <v>2817.0</v>
      </c>
      <c r="B2821" s="73" t="s">
        <v>1984</v>
      </c>
      <c r="C2821" s="74">
        <v>9.01764979E8</v>
      </c>
      <c r="D2821" s="73" t="s">
        <v>3286</v>
      </c>
      <c r="E2821" s="72">
        <v>2.0234250050235E13</v>
      </c>
      <c r="F2821" s="77">
        <v>45251.0</v>
      </c>
      <c r="G2821" s="76"/>
      <c r="H2821" s="76"/>
      <c r="I2821" s="73" t="s">
        <v>366</v>
      </c>
      <c r="J2821" s="76"/>
    </row>
    <row r="2822">
      <c r="A2822" s="74">
        <v>2818.0</v>
      </c>
      <c r="B2822" s="73" t="s">
        <v>1984</v>
      </c>
      <c r="C2822" s="74">
        <v>9.01091677E8</v>
      </c>
      <c r="D2822" s="73" t="s">
        <v>3287</v>
      </c>
      <c r="E2822" s="72">
        <v>2.0234250050445E13</v>
      </c>
      <c r="F2822" s="77">
        <v>45252.0</v>
      </c>
      <c r="G2822" s="76"/>
      <c r="H2822" s="76"/>
      <c r="I2822" s="73" t="s">
        <v>366</v>
      </c>
      <c r="J2822" s="76"/>
    </row>
    <row r="2823">
      <c r="A2823" s="74">
        <v>2819.0</v>
      </c>
      <c r="B2823" s="73" t="s">
        <v>1984</v>
      </c>
      <c r="C2823" s="74">
        <v>9.00522106E8</v>
      </c>
      <c r="D2823" s="73" t="s">
        <v>3288</v>
      </c>
      <c r="E2823" s="72">
        <v>2.0234250051775E13</v>
      </c>
      <c r="F2823" s="77">
        <v>45259.0</v>
      </c>
      <c r="G2823" s="76"/>
      <c r="H2823" s="76"/>
      <c r="I2823" s="73" t="s">
        <v>366</v>
      </c>
      <c r="J2823" s="76"/>
    </row>
    <row r="2824">
      <c r="A2824" s="74">
        <v>2820.0</v>
      </c>
      <c r="B2824" s="73" t="s">
        <v>1984</v>
      </c>
      <c r="C2824" s="74">
        <v>9.01159186E8</v>
      </c>
      <c r="D2824" s="73" t="s">
        <v>3289</v>
      </c>
      <c r="E2824" s="72">
        <v>2.0234250051755E13</v>
      </c>
      <c r="F2824" s="77">
        <v>45259.0</v>
      </c>
      <c r="G2824" s="76"/>
      <c r="H2824" s="76"/>
      <c r="I2824" s="73" t="s">
        <v>366</v>
      </c>
      <c r="J2824" s="76"/>
    </row>
    <row r="2825">
      <c r="A2825" s="74">
        <v>2821.0</v>
      </c>
      <c r="B2825" s="73" t="s">
        <v>1984</v>
      </c>
      <c r="C2825" s="74">
        <v>9.0119815E8</v>
      </c>
      <c r="D2825" s="73" t="s">
        <v>3290</v>
      </c>
      <c r="E2825" s="72">
        <v>2.0234250051765E13</v>
      </c>
      <c r="F2825" s="77">
        <v>45259.0</v>
      </c>
      <c r="G2825" s="76"/>
      <c r="H2825" s="76"/>
      <c r="I2825" s="73" t="s">
        <v>366</v>
      </c>
      <c r="J2825" s="76"/>
    </row>
    <row r="2826">
      <c r="A2826" s="74">
        <v>2822.0</v>
      </c>
      <c r="B2826" s="73" t="s">
        <v>1984</v>
      </c>
      <c r="C2826" s="74">
        <v>9.01493281E8</v>
      </c>
      <c r="D2826" s="73" t="s">
        <v>3291</v>
      </c>
      <c r="E2826" s="72">
        <v>2.0234250051795E13</v>
      </c>
      <c r="F2826" s="77">
        <v>45259.0</v>
      </c>
      <c r="G2826" s="76"/>
      <c r="H2826" s="76"/>
      <c r="I2826" s="73" t="s">
        <v>366</v>
      </c>
      <c r="J2826" s="76"/>
    </row>
    <row r="2827">
      <c r="A2827" s="74">
        <v>2823.0</v>
      </c>
      <c r="B2827" s="73" t="s">
        <v>1984</v>
      </c>
      <c r="C2827" s="74">
        <v>9.0176893E8</v>
      </c>
      <c r="D2827" s="73" t="s">
        <v>3292</v>
      </c>
      <c r="E2827" s="72">
        <v>2.0234250052335E13</v>
      </c>
      <c r="F2827" s="77">
        <v>45261.0</v>
      </c>
      <c r="G2827" s="76"/>
      <c r="H2827" s="76"/>
      <c r="I2827" s="73" t="s">
        <v>366</v>
      </c>
      <c r="J2827" s="76"/>
    </row>
    <row r="2828">
      <c r="A2828" s="74">
        <v>2824.0</v>
      </c>
      <c r="B2828" s="73" t="s">
        <v>1984</v>
      </c>
      <c r="C2828" s="74">
        <v>9.00218279E8</v>
      </c>
      <c r="D2828" s="73" t="s">
        <v>3293</v>
      </c>
      <c r="E2828" s="72">
        <v>2.0234250053575E13</v>
      </c>
      <c r="F2828" s="77">
        <v>45267.0</v>
      </c>
      <c r="G2828" s="76"/>
      <c r="H2828" s="76"/>
      <c r="I2828" s="73" t="s">
        <v>366</v>
      </c>
      <c r="J2828" s="76"/>
    </row>
    <row r="2829">
      <c r="A2829" s="74">
        <v>2825.0</v>
      </c>
      <c r="B2829" s="73" t="s">
        <v>1984</v>
      </c>
      <c r="C2829" s="74">
        <v>9.01773915E8</v>
      </c>
      <c r="D2829" s="73" t="s">
        <v>3294</v>
      </c>
      <c r="E2829" s="72">
        <v>2.0234250053545E13</v>
      </c>
      <c r="F2829" s="77">
        <v>45267.0</v>
      </c>
      <c r="G2829" s="76"/>
      <c r="H2829" s="76"/>
      <c r="I2829" s="73" t="s">
        <v>366</v>
      </c>
      <c r="J2829" s="76"/>
    </row>
    <row r="2830">
      <c r="A2830" s="74">
        <v>2826.0</v>
      </c>
      <c r="B2830" s="73" t="s">
        <v>1984</v>
      </c>
      <c r="C2830" s="74">
        <v>8.30080727E8</v>
      </c>
      <c r="D2830" s="73" t="s">
        <v>3295</v>
      </c>
      <c r="E2830" s="72">
        <v>2.0234250055895E13</v>
      </c>
      <c r="F2830" s="77">
        <v>45275.0</v>
      </c>
      <c r="G2830" s="76"/>
      <c r="H2830" s="76"/>
      <c r="I2830" s="73" t="s">
        <v>366</v>
      </c>
      <c r="J2830" s="76"/>
    </row>
    <row r="2831">
      <c r="A2831" s="74">
        <v>2827.0</v>
      </c>
      <c r="B2831" s="73" t="s">
        <v>1984</v>
      </c>
      <c r="C2831" s="74">
        <v>9.00407987E8</v>
      </c>
      <c r="D2831" s="73" t="s">
        <v>3296</v>
      </c>
      <c r="E2831" s="72">
        <v>2.0234250055455E13</v>
      </c>
      <c r="F2831" s="77">
        <v>45275.0</v>
      </c>
      <c r="G2831" s="76"/>
      <c r="H2831" s="76"/>
      <c r="I2831" s="73" t="s">
        <v>366</v>
      </c>
      <c r="J2831" s="76"/>
    </row>
    <row r="2832">
      <c r="A2832" s="74">
        <v>2828.0</v>
      </c>
      <c r="B2832" s="73" t="s">
        <v>1984</v>
      </c>
      <c r="C2832" s="74">
        <v>9.00736837E8</v>
      </c>
      <c r="D2832" s="73" t="s">
        <v>3297</v>
      </c>
      <c r="E2832" s="72">
        <v>2.0234250055595E13</v>
      </c>
      <c r="F2832" s="77">
        <v>45275.0</v>
      </c>
      <c r="G2832" s="76"/>
      <c r="H2832" s="76"/>
      <c r="I2832" s="73" t="s">
        <v>366</v>
      </c>
      <c r="J2832" s="76"/>
    </row>
    <row r="2833">
      <c r="A2833" s="74">
        <v>2829.0</v>
      </c>
      <c r="B2833" s="73" t="s">
        <v>1984</v>
      </c>
      <c r="C2833" s="74">
        <v>9.01226828E8</v>
      </c>
      <c r="D2833" s="73" t="s">
        <v>3298</v>
      </c>
      <c r="E2833" s="72">
        <v>2.0234250055885E13</v>
      </c>
      <c r="F2833" s="77">
        <v>45275.0</v>
      </c>
      <c r="G2833" s="76"/>
      <c r="H2833" s="76"/>
      <c r="I2833" s="73" t="s">
        <v>366</v>
      </c>
      <c r="J2833" s="76"/>
    </row>
    <row r="2834">
      <c r="A2834" s="74">
        <v>2830.0</v>
      </c>
      <c r="B2834" s="73" t="s">
        <v>1984</v>
      </c>
      <c r="C2834" s="74">
        <v>9.0141221E8</v>
      </c>
      <c r="D2834" s="73" t="s">
        <v>3299</v>
      </c>
      <c r="E2834" s="72">
        <v>2.0234250055735E13</v>
      </c>
      <c r="F2834" s="77">
        <v>45275.0</v>
      </c>
      <c r="G2834" s="76"/>
      <c r="H2834" s="76"/>
      <c r="I2834" s="73" t="s">
        <v>366</v>
      </c>
      <c r="J2834" s="76"/>
    </row>
    <row r="2835">
      <c r="A2835" s="74">
        <v>2831.0</v>
      </c>
      <c r="B2835" s="73" t="s">
        <v>1984</v>
      </c>
      <c r="C2835" s="74">
        <v>9.00573812E8</v>
      </c>
      <c r="D2835" s="73" t="s">
        <v>3300</v>
      </c>
      <c r="E2835" s="72">
        <v>2.0244250002775E13</v>
      </c>
      <c r="F2835" s="75">
        <v>45321.0</v>
      </c>
      <c r="G2835" s="76"/>
      <c r="H2835" s="76"/>
      <c r="I2835" s="73" t="s">
        <v>366</v>
      </c>
      <c r="J2835" s="76"/>
    </row>
    <row r="2836">
      <c r="A2836" s="74">
        <v>2832.0</v>
      </c>
      <c r="B2836" s="73" t="s">
        <v>1984</v>
      </c>
      <c r="C2836" s="74">
        <v>9.01642154E8</v>
      </c>
      <c r="D2836" s="73" t="s">
        <v>3301</v>
      </c>
      <c r="E2836" s="72">
        <v>2.0244250005195E13</v>
      </c>
      <c r="F2836" s="75">
        <v>45334.0</v>
      </c>
      <c r="G2836" s="76"/>
      <c r="H2836" s="76"/>
      <c r="I2836" s="73" t="s">
        <v>366</v>
      </c>
      <c r="J2836" s="76"/>
    </row>
    <row r="2837">
      <c r="A2837" s="74">
        <v>2833.0</v>
      </c>
      <c r="B2837" s="73" t="s">
        <v>1984</v>
      </c>
      <c r="C2837" s="74">
        <v>9.0178863E8</v>
      </c>
      <c r="D2837" s="73" t="s">
        <v>3302</v>
      </c>
      <c r="E2837" s="72">
        <v>2.0244250006515E13</v>
      </c>
      <c r="F2837" s="75">
        <v>45342.0</v>
      </c>
      <c r="G2837" s="76"/>
      <c r="H2837" s="76"/>
      <c r="I2837" s="73" t="s">
        <v>366</v>
      </c>
      <c r="J2837" s="76"/>
    </row>
    <row r="2838">
      <c r="A2838" s="74">
        <v>2834.0</v>
      </c>
      <c r="B2838" s="73" t="s">
        <v>1984</v>
      </c>
      <c r="C2838" s="74">
        <v>9.00434796E8</v>
      </c>
      <c r="D2838" s="73" t="s">
        <v>3303</v>
      </c>
      <c r="E2838" s="72">
        <v>2.0244250007985E13</v>
      </c>
      <c r="F2838" s="75">
        <v>45348.0</v>
      </c>
      <c r="G2838" s="76"/>
      <c r="H2838" s="76"/>
      <c r="I2838" s="73" t="s">
        <v>366</v>
      </c>
      <c r="J2838" s="76"/>
    </row>
    <row r="2839">
      <c r="A2839" s="74">
        <v>2835.0</v>
      </c>
      <c r="B2839" s="73" t="s">
        <v>1984</v>
      </c>
      <c r="C2839" s="74">
        <v>9.01688594E8</v>
      </c>
      <c r="D2839" s="73" t="s">
        <v>3304</v>
      </c>
      <c r="E2839" s="72">
        <v>2.0244250008145E13</v>
      </c>
      <c r="F2839" s="75">
        <v>45348.0</v>
      </c>
      <c r="G2839" s="76"/>
      <c r="H2839" s="76"/>
      <c r="I2839" s="73" t="s">
        <v>366</v>
      </c>
      <c r="J2839" s="76"/>
    </row>
    <row r="2840">
      <c r="A2840" s="74">
        <v>2836.0</v>
      </c>
      <c r="B2840" s="73" t="s">
        <v>1984</v>
      </c>
      <c r="C2840" s="74">
        <v>9.01788151E8</v>
      </c>
      <c r="D2840" s="73" t="s">
        <v>3305</v>
      </c>
      <c r="E2840" s="72">
        <v>2.0244250007935E13</v>
      </c>
      <c r="F2840" s="75">
        <v>45348.0</v>
      </c>
      <c r="G2840" s="76"/>
      <c r="H2840" s="76"/>
      <c r="I2840" s="73" t="s">
        <v>366</v>
      </c>
      <c r="J2840" s="76"/>
    </row>
    <row r="2841">
      <c r="A2841" s="74">
        <v>2837.0</v>
      </c>
      <c r="B2841" s="73" t="s">
        <v>1984</v>
      </c>
      <c r="C2841" s="74">
        <v>9.01792299E8</v>
      </c>
      <c r="D2841" s="73" t="s">
        <v>3306</v>
      </c>
      <c r="E2841" s="72">
        <v>2.0244250008115E13</v>
      </c>
      <c r="F2841" s="75">
        <v>45348.0</v>
      </c>
      <c r="G2841" s="76"/>
      <c r="H2841" s="76"/>
      <c r="I2841" s="73" t="s">
        <v>366</v>
      </c>
      <c r="J2841" s="76"/>
    </row>
    <row r="2842">
      <c r="A2842" s="74">
        <v>2838.0</v>
      </c>
      <c r="B2842" s="73" t="s">
        <v>1984</v>
      </c>
      <c r="C2842" s="74">
        <v>9.01727432E8</v>
      </c>
      <c r="D2842" s="73" t="s">
        <v>3307</v>
      </c>
      <c r="E2842" s="72">
        <v>2.0244250008835E13</v>
      </c>
      <c r="F2842" s="75">
        <v>45351.0</v>
      </c>
      <c r="G2842" s="76"/>
      <c r="H2842" s="76"/>
      <c r="I2842" s="73" t="s">
        <v>366</v>
      </c>
      <c r="J2842" s="76"/>
    </row>
    <row r="2843">
      <c r="A2843" s="74">
        <v>2839.0</v>
      </c>
      <c r="B2843" s="73" t="s">
        <v>1984</v>
      </c>
      <c r="C2843" s="74">
        <v>9.00497672E8</v>
      </c>
      <c r="D2843" s="73" t="s">
        <v>3308</v>
      </c>
      <c r="E2843" s="72">
        <v>2.0244250009265E13</v>
      </c>
      <c r="F2843" s="75">
        <v>45354.0</v>
      </c>
      <c r="G2843" s="76"/>
      <c r="H2843" s="76"/>
      <c r="I2843" s="73" t="s">
        <v>366</v>
      </c>
      <c r="J2843" s="76"/>
    </row>
    <row r="2844">
      <c r="A2844" s="74">
        <v>2840.0</v>
      </c>
      <c r="B2844" s="73" t="s">
        <v>1984</v>
      </c>
      <c r="C2844" s="74">
        <v>9.01128234E8</v>
      </c>
      <c r="D2844" s="73" t="s">
        <v>3309</v>
      </c>
      <c r="E2844" s="72">
        <v>2.0244250010925E13</v>
      </c>
      <c r="F2844" s="75">
        <v>45366.0</v>
      </c>
      <c r="G2844" s="76"/>
      <c r="H2844" s="76"/>
      <c r="I2844" s="73" t="s">
        <v>366</v>
      </c>
      <c r="J2844" s="76"/>
    </row>
    <row r="2845">
      <c r="A2845" s="74">
        <v>2841.0</v>
      </c>
      <c r="B2845" s="73" t="s">
        <v>1984</v>
      </c>
      <c r="C2845" s="74">
        <v>9.0175942E8</v>
      </c>
      <c r="D2845" s="73" t="s">
        <v>3310</v>
      </c>
      <c r="E2845" s="72">
        <v>2.0244250010915E13</v>
      </c>
      <c r="F2845" s="75">
        <v>45366.0</v>
      </c>
      <c r="G2845" s="76"/>
      <c r="H2845" s="76"/>
      <c r="I2845" s="73" t="s">
        <v>366</v>
      </c>
      <c r="J2845" s="76"/>
    </row>
    <row r="2846">
      <c r="A2846" s="74">
        <v>2842.0</v>
      </c>
      <c r="B2846" s="73" t="s">
        <v>1984</v>
      </c>
      <c r="C2846" s="74">
        <v>9.01766665E8</v>
      </c>
      <c r="D2846" s="73" t="s">
        <v>3311</v>
      </c>
      <c r="E2846" s="72">
        <v>2.0244250012665E13</v>
      </c>
      <c r="F2846" s="75">
        <v>45383.0</v>
      </c>
      <c r="G2846" s="76"/>
      <c r="H2846" s="76"/>
      <c r="I2846" s="73" t="s">
        <v>366</v>
      </c>
      <c r="J2846" s="76"/>
    </row>
    <row r="2847">
      <c r="A2847" s="74">
        <v>2843.0</v>
      </c>
      <c r="B2847" s="73" t="s">
        <v>1984</v>
      </c>
      <c r="C2847" s="74">
        <v>9.01657333E8</v>
      </c>
      <c r="D2847" s="73" t="s">
        <v>3312</v>
      </c>
      <c r="E2847" s="72">
        <v>2.0244250014175E13</v>
      </c>
      <c r="F2847" s="75">
        <v>45390.0</v>
      </c>
      <c r="G2847" s="76"/>
      <c r="H2847" s="76"/>
      <c r="I2847" s="73" t="s">
        <v>366</v>
      </c>
      <c r="J2847" s="76"/>
    </row>
    <row r="2848">
      <c r="A2848" s="85">
        <v>2844.0</v>
      </c>
      <c r="B2848" s="79" t="s">
        <v>1984</v>
      </c>
      <c r="C2848" s="80">
        <v>9.01402015E8</v>
      </c>
      <c r="D2848" s="79" t="s">
        <v>3313</v>
      </c>
      <c r="E2848" s="81">
        <v>2.0244250014665E13</v>
      </c>
      <c r="F2848" s="84">
        <v>45391.0</v>
      </c>
      <c r="G2848" s="83"/>
      <c r="H2848" s="83"/>
      <c r="I2848" s="73" t="s">
        <v>366</v>
      </c>
      <c r="J2848" s="76"/>
    </row>
    <row r="2849">
      <c r="A2849" s="74">
        <v>2845.0</v>
      </c>
      <c r="B2849" s="73" t="s">
        <v>1984</v>
      </c>
      <c r="C2849" s="74">
        <v>9.00456485E8</v>
      </c>
      <c r="D2849" s="73" t="s">
        <v>3314</v>
      </c>
      <c r="E2849" s="72">
        <v>2.0244250016035E13</v>
      </c>
      <c r="F2849" s="75">
        <v>45398.0</v>
      </c>
      <c r="G2849" s="76"/>
      <c r="H2849" s="76"/>
      <c r="I2849" s="73" t="s">
        <v>366</v>
      </c>
      <c r="J2849" s="76"/>
    </row>
    <row r="2850">
      <c r="A2850" s="74">
        <v>2846.0</v>
      </c>
      <c r="B2850" s="73" t="s">
        <v>1984</v>
      </c>
      <c r="C2850" s="74">
        <v>9.00770587E8</v>
      </c>
      <c r="D2850" s="73" t="s">
        <v>3315</v>
      </c>
      <c r="E2850" s="72">
        <v>2.0244250016115E13</v>
      </c>
      <c r="F2850" s="75">
        <v>45398.0</v>
      </c>
      <c r="G2850" s="76"/>
      <c r="H2850" s="76"/>
      <c r="I2850" s="73" t="s">
        <v>366</v>
      </c>
      <c r="J2850" s="76"/>
    </row>
    <row r="2851">
      <c r="A2851" s="74">
        <v>2847.0</v>
      </c>
      <c r="B2851" s="73" t="s">
        <v>1984</v>
      </c>
      <c r="C2851" s="74">
        <v>9.01604283E8</v>
      </c>
      <c r="D2851" s="73" t="s">
        <v>3316</v>
      </c>
      <c r="E2851" s="72">
        <v>2.0244250016055E13</v>
      </c>
      <c r="F2851" s="75">
        <v>45398.0</v>
      </c>
      <c r="G2851" s="76"/>
      <c r="H2851" s="76"/>
      <c r="I2851" s="73" t="s">
        <v>366</v>
      </c>
      <c r="J2851" s="76"/>
    </row>
    <row r="2852">
      <c r="A2852" s="74">
        <v>2848.0</v>
      </c>
      <c r="B2852" s="73" t="s">
        <v>1984</v>
      </c>
      <c r="C2852" s="74">
        <v>9.01480274E8</v>
      </c>
      <c r="D2852" s="73" t="s">
        <v>3317</v>
      </c>
      <c r="E2852" s="72">
        <v>2.0244250016645E13</v>
      </c>
      <c r="F2852" s="75">
        <v>45400.0</v>
      </c>
      <c r="G2852" s="76"/>
      <c r="H2852" s="76"/>
      <c r="I2852" s="73" t="s">
        <v>366</v>
      </c>
      <c r="J2852" s="76"/>
    </row>
    <row r="2853">
      <c r="A2853" s="74">
        <v>2849.0</v>
      </c>
      <c r="B2853" s="73" t="s">
        <v>1984</v>
      </c>
      <c r="C2853" s="74">
        <v>9.01187121E8</v>
      </c>
      <c r="D2853" s="73" t="s">
        <v>3318</v>
      </c>
      <c r="E2853" s="72">
        <v>2.0244250017435E13</v>
      </c>
      <c r="F2853" s="75">
        <v>45406.0</v>
      </c>
      <c r="G2853" s="76"/>
      <c r="H2853" s="76"/>
      <c r="I2853" s="73" t="s">
        <v>366</v>
      </c>
      <c r="J2853" s="76"/>
    </row>
    <row r="2854">
      <c r="A2854" s="74">
        <v>2850.0</v>
      </c>
      <c r="B2854" s="73" t="s">
        <v>1984</v>
      </c>
      <c r="C2854" s="74">
        <v>9.01632465E8</v>
      </c>
      <c r="D2854" s="73" t="s">
        <v>3319</v>
      </c>
      <c r="E2854" s="72">
        <v>2.0244250018195E13</v>
      </c>
      <c r="F2854" s="75">
        <v>45411.0</v>
      </c>
      <c r="G2854" s="76"/>
      <c r="H2854" s="76"/>
      <c r="I2854" s="73" t="s">
        <v>366</v>
      </c>
      <c r="J2854" s="76"/>
    </row>
    <row r="2855">
      <c r="A2855" s="74">
        <v>2851.0</v>
      </c>
      <c r="B2855" s="73" t="s">
        <v>1984</v>
      </c>
      <c r="C2855" s="74">
        <v>9.01619907E8</v>
      </c>
      <c r="D2855" s="73" t="s">
        <v>3320</v>
      </c>
      <c r="E2855" s="72">
        <v>2.0244250018265E13</v>
      </c>
      <c r="F2855" s="75">
        <v>45412.0</v>
      </c>
      <c r="G2855" s="76"/>
      <c r="H2855" s="76"/>
      <c r="I2855" s="73" t="s">
        <v>366</v>
      </c>
      <c r="J2855" s="76"/>
    </row>
    <row r="2856">
      <c r="A2856" s="74">
        <v>2852.0</v>
      </c>
      <c r="B2856" s="73" t="s">
        <v>1984</v>
      </c>
      <c r="C2856" s="74">
        <v>9.01731373E8</v>
      </c>
      <c r="D2856" s="73" t="s">
        <v>3321</v>
      </c>
      <c r="E2856" s="72">
        <v>2.0244250018285E13</v>
      </c>
      <c r="F2856" s="75">
        <v>45412.0</v>
      </c>
      <c r="G2856" s="76"/>
      <c r="H2856" s="76"/>
      <c r="I2856" s="73" t="s">
        <v>366</v>
      </c>
      <c r="J2856" s="76"/>
    </row>
    <row r="2857">
      <c r="A2857" s="74">
        <v>2853.0</v>
      </c>
      <c r="B2857" s="73" t="s">
        <v>1984</v>
      </c>
      <c r="C2857" s="74">
        <v>9.00759007E8</v>
      </c>
      <c r="D2857" s="73" t="s">
        <v>3322</v>
      </c>
      <c r="E2857" s="72">
        <v>2.0244250018765E13</v>
      </c>
      <c r="F2857" s="75">
        <v>45414.0</v>
      </c>
      <c r="G2857" s="76"/>
      <c r="H2857" s="76"/>
      <c r="I2857" s="73" t="s">
        <v>366</v>
      </c>
      <c r="J2857" s="76"/>
    </row>
    <row r="2858">
      <c r="A2858" s="74">
        <v>2854.0</v>
      </c>
      <c r="B2858" s="73" t="s">
        <v>1984</v>
      </c>
      <c r="C2858" s="74">
        <v>9.01563464E8</v>
      </c>
      <c r="D2858" s="73" t="s">
        <v>3323</v>
      </c>
      <c r="E2858" s="72">
        <v>2.0244250018755E13</v>
      </c>
      <c r="F2858" s="75">
        <v>45414.0</v>
      </c>
      <c r="G2858" s="76"/>
      <c r="H2858" s="76"/>
      <c r="I2858" s="73" t="s">
        <v>366</v>
      </c>
      <c r="J2858" s="76"/>
    </row>
    <row r="2859">
      <c r="A2859" s="74">
        <v>2855.0</v>
      </c>
      <c r="B2859" s="73" t="s">
        <v>1984</v>
      </c>
      <c r="C2859" s="74">
        <v>9.00803292E8</v>
      </c>
      <c r="D2859" s="73" t="s">
        <v>3324</v>
      </c>
      <c r="E2859" s="72">
        <v>2.0244250021615E13</v>
      </c>
      <c r="F2859" s="75">
        <v>45428.0</v>
      </c>
      <c r="G2859" s="76"/>
      <c r="H2859" s="76"/>
      <c r="I2859" s="73" t="s">
        <v>366</v>
      </c>
      <c r="J2859" s="76"/>
    </row>
    <row r="2860">
      <c r="A2860" s="74">
        <v>2856.0</v>
      </c>
      <c r="B2860" s="73" t="s">
        <v>1984</v>
      </c>
      <c r="C2860" s="74">
        <v>9.01386122E8</v>
      </c>
      <c r="D2860" s="73" t="s">
        <v>3325</v>
      </c>
      <c r="E2860" s="72">
        <v>2.0244250021655E13</v>
      </c>
      <c r="F2860" s="75">
        <v>45428.0</v>
      </c>
      <c r="G2860" s="76"/>
      <c r="H2860" s="76"/>
      <c r="I2860" s="73" t="s">
        <v>366</v>
      </c>
      <c r="J2860" s="76"/>
    </row>
    <row r="2861">
      <c r="A2861" s="74">
        <v>2857.0</v>
      </c>
      <c r="B2861" s="73" t="s">
        <v>1984</v>
      </c>
      <c r="C2861" s="74">
        <v>9.01813031E8</v>
      </c>
      <c r="D2861" s="73" t="s">
        <v>3326</v>
      </c>
      <c r="E2861" s="72">
        <v>2.0244250021685E13</v>
      </c>
      <c r="F2861" s="75">
        <v>45428.0</v>
      </c>
      <c r="G2861" s="76"/>
      <c r="H2861" s="76"/>
      <c r="I2861" s="73" t="s">
        <v>366</v>
      </c>
      <c r="J2861" s="76"/>
    </row>
    <row r="2862">
      <c r="A2862" s="74">
        <v>2858.0</v>
      </c>
      <c r="B2862" s="73" t="s">
        <v>1984</v>
      </c>
      <c r="C2862" s="74">
        <v>9.01813862E8</v>
      </c>
      <c r="D2862" s="73" t="s">
        <v>3327</v>
      </c>
      <c r="E2862" s="72">
        <v>2.0244250021665E13</v>
      </c>
      <c r="F2862" s="75">
        <v>45428.0</v>
      </c>
      <c r="G2862" s="76"/>
      <c r="H2862" s="76"/>
      <c r="I2862" s="73" t="s">
        <v>366</v>
      </c>
      <c r="J2862" s="76"/>
    </row>
    <row r="2863">
      <c r="A2863" s="76"/>
      <c r="B2863" s="73" t="s">
        <v>1984</v>
      </c>
      <c r="C2863" s="74">
        <v>9.01770316E8</v>
      </c>
      <c r="D2863" s="73" t="s">
        <v>3328</v>
      </c>
      <c r="E2863" s="72">
        <v>2.0253040006515E13</v>
      </c>
      <c r="F2863" s="75">
        <v>45716.0</v>
      </c>
      <c r="G2863" s="76"/>
      <c r="H2863" s="76"/>
      <c r="I2863" s="73" t="s">
        <v>366</v>
      </c>
      <c r="J2863" s="76"/>
    </row>
    <row r="2864">
      <c r="A2864" s="76"/>
      <c r="B2864" s="73" t="s">
        <v>1984</v>
      </c>
      <c r="C2864" s="74">
        <v>9.01862477E8</v>
      </c>
      <c r="D2864" s="73" t="s">
        <v>3329</v>
      </c>
      <c r="E2864" s="72">
        <v>2.0253040006485E13</v>
      </c>
      <c r="F2864" s="75">
        <v>45715.0</v>
      </c>
      <c r="G2864" s="76"/>
      <c r="H2864" s="76"/>
      <c r="I2864" s="73" t="s">
        <v>366</v>
      </c>
      <c r="J2864" s="76"/>
    </row>
    <row r="2865">
      <c r="A2865" s="76"/>
      <c r="B2865" s="73" t="s">
        <v>1984</v>
      </c>
      <c r="C2865" s="74">
        <v>9.00702427E8</v>
      </c>
      <c r="D2865" s="73" t="s">
        <v>3330</v>
      </c>
      <c r="E2865" s="72">
        <v>2.0253040011385E13</v>
      </c>
      <c r="F2865" s="75">
        <v>45744.0</v>
      </c>
      <c r="G2865" s="76"/>
      <c r="H2865" s="76"/>
      <c r="I2865" s="73" t="s">
        <v>366</v>
      </c>
      <c r="J2865" s="76"/>
    </row>
    <row r="2866">
      <c r="A2866" s="76"/>
      <c r="B2866" s="73" t="s">
        <v>1984</v>
      </c>
      <c r="C2866" s="74">
        <v>9.01784199E8</v>
      </c>
      <c r="D2866" s="73" t="s">
        <v>3331</v>
      </c>
      <c r="E2866" s="72">
        <v>2.0253040010855E13</v>
      </c>
      <c r="F2866" s="75">
        <v>45743.0</v>
      </c>
      <c r="G2866" s="76"/>
      <c r="H2866" s="76"/>
      <c r="I2866" s="73" t="s">
        <v>366</v>
      </c>
      <c r="J2866" s="76"/>
    </row>
    <row r="2867">
      <c r="A2867" s="76"/>
      <c r="B2867" s="73" t="s">
        <v>1984</v>
      </c>
      <c r="C2867" s="74">
        <v>8.00123264E8</v>
      </c>
      <c r="D2867" s="73" t="s">
        <v>3332</v>
      </c>
      <c r="E2867" s="72">
        <v>2.0253040011595E13</v>
      </c>
      <c r="F2867" s="75">
        <v>45747.0</v>
      </c>
      <c r="G2867" s="76"/>
      <c r="H2867" s="76"/>
      <c r="I2867" s="73" t="s">
        <v>366</v>
      </c>
      <c r="J2867" s="76"/>
    </row>
    <row r="2868">
      <c r="A2868" s="76"/>
      <c r="B2868" s="73" t="s">
        <v>1984</v>
      </c>
      <c r="C2868" s="74">
        <v>9.01905018E8</v>
      </c>
      <c r="D2868" s="73" t="s">
        <v>3333</v>
      </c>
      <c r="E2868" s="72">
        <v>2.0253040015425E13</v>
      </c>
      <c r="F2868" s="75">
        <v>45775.0</v>
      </c>
      <c r="G2868" s="76"/>
      <c r="H2868" s="76"/>
      <c r="I2868" s="73" t="s">
        <v>366</v>
      </c>
      <c r="J2868" s="76"/>
    </row>
    <row r="2869">
      <c r="A2869" s="74">
        <v>2859.0</v>
      </c>
      <c r="B2869" s="73" t="s">
        <v>3334</v>
      </c>
      <c r="C2869" s="74">
        <v>8.13002152E8</v>
      </c>
      <c r="D2869" s="73" t="s">
        <v>3335</v>
      </c>
      <c r="E2869" s="72">
        <v>59.0</v>
      </c>
      <c r="F2869" s="75">
        <v>36794.0</v>
      </c>
      <c r="G2869" s="76"/>
      <c r="H2869" s="76"/>
      <c r="I2869" s="73" t="s">
        <v>366</v>
      </c>
      <c r="J2869" s="76"/>
    </row>
    <row r="2870">
      <c r="A2870" s="74">
        <v>2860.0</v>
      </c>
      <c r="B2870" s="73" t="s">
        <v>3334</v>
      </c>
      <c r="C2870" s="74">
        <v>8.13006131E8</v>
      </c>
      <c r="D2870" s="73" t="s">
        <v>3336</v>
      </c>
      <c r="E2870" s="72">
        <v>84.0</v>
      </c>
      <c r="F2870" s="77">
        <v>36844.0</v>
      </c>
      <c r="G2870" s="76"/>
      <c r="H2870" s="76"/>
      <c r="I2870" s="73" t="s">
        <v>366</v>
      </c>
      <c r="J2870" s="76"/>
    </row>
    <row r="2871">
      <c r="A2871" s="74">
        <v>2861.0</v>
      </c>
      <c r="B2871" s="73" t="s">
        <v>3334</v>
      </c>
      <c r="C2871" s="74">
        <v>8.91119E8</v>
      </c>
      <c r="D2871" s="73" t="s">
        <v>3337</v>
      </c>
      <c r="E2871" s="72">
        <v>162.0</v>
      </c>
      <c r="F2871" s="75">
        <v>36980.0</v>
      </c>
      <c r="G2871" s="76"/>
      <c r="H2871" s="76"/>
      <c r="I2871" s="73" t="s">
        <v>366</v>
      </c>
      <c r="J2871" s="76"/>
    </row>
    <row r="2872">
      <c r="A2872" s="74">
        <v>2862.0</v>
      </c>
      <c r="B2872" s="73" t="s">
        <v>3334</v>
      </c>
      <c r="C2872" s="74">
        <v>8.00250259E8</v>
      </c>
      <c r="D2872" s="73" t="s">
        <v>3338</v>
      </c>
      <c r="E2872" s="72">
        <v>164.0</v>
      </c>
      <c r="F2872" s="75">
        <v>36987.0</v>
      </c>
      <c r="G2872" s="76"/>
      <c r="H2872" s="76"/>
      <c r="I2872" s="73" t="s">
        <v>366</v>
      </c>
      <c r="J2872" s="76"/>
    </row>
    <row r="2873">
      <c r="A2873" s="74">
        <v>2863.0</v>
      </c>
      <c r="B2873" s="73" t="s">
        <v>3334</v>
      </c>
      <c r="C2873" s="74">
        <v>4.4127018E7</v>
      </c>
      <c r="D2873" s="73" t="s">
        <v>3339</v>
      </c>
      <c r="E2873" s="72">
        <v>2.0</v>
      </c>
      <c r="F2873" s="75">
        <v>37267.0</v>
      </c>
      <c r="G2873" s="76"/>
      <c r="H2873" s="76"/>
      <c r="I2873" s="73" t="s">
        <v>366</v>
      </c>
      <c r="J2873" s="76"/>
    </row>
    <row r="2874">
      <c r="A2874" s="74">
        <v>2864.0</v>
      </c>
      <c r="B2874" s="73" t="s">
        <v>3334</v>
      </c>
      <c r="C2874" s="74">
        <v>8.91100299E8</v>
      </c>
      <c r="D2874" s="73" t="s">
        <v>3340</v>
      </c>
      <c r="E2874" s="72">
        <v>18.0</v>
      </c>
      <c r="F2874" s="75">
        <v>37298.0</v>
      </c>
      <c r="G2874" s="76"/>
      <c r="H2874" s="76"/>
      <c r="I2874" s="73" t="s">
        <v>366</v>
      </c>
      <c r="J2874" s="76"/>
    </row>
    <row r="2875">
      <c r="A2875" s="74">
        <v>2865.0</v>
      </c>
      <c r="B2875" s="73" t="s">
        <v>3334</v>
      </c>
      <c r="C2875" s="74">
        <v>8.91101201E8</v>
      </c>
      <c r="D2875" s="73" t="s">
        <v>3341</v>
      </c>
      <c r="E2875" s="72">
        <v>27.0</v>
      </c>
      <c r="F2875" s="75">
        <v>37323.0</v>
      </c>
      <c r="G2875" s="76"/>
      <c r="H2875" s="76"/>
      <c r="I2875" s="73" t="s">
        <v>366</v>
      </c>
      <c r="J2875" s="76"/>
    </row>
    <row r="2876">
      <c r="A2876" s="74">
        <v>2866.0</v>
      </c>
      <c r="B2876" s="73" t="s">
        <v>3334</v>
      </c>
      <c r="C2876" s="74">
        <v>8.91100279E8</v>
      </c>
      <c r="D2876" s="73" t="s">
        <v>3342</v>
      </c>
      <c r="E2876" s="72">
        <v>69.0</v>
      </c>
      <c r="F2876" s="75">
        <v>37392.0</v>
      </c>
      <c r="G2876" s="76"/>
      <c r="H2876" s="76"/>
      <c r="I2876" s="73" t="s">
        <v>366</v>
      </c>
      <c r="J2876" s="76"/>
    </row>
    <row r="2877">
      <c r="A2877" s="74">
        <v>2867.0</v>
      </c>
      <c r="B2877" s="73" t="s">
        <v>3334</v>
      </c>
      <c r="C2877" s="74">
        <v>8.13008035E8</v>
      </c>
      <c r="D2877" s="73" t="s">
        <v>3343</v>
      </c>
      <c r="E2877" s="72">
        <v>118.0</v>
      </c>
      <c r="F2877" s="75">
        <v>37469.0</v>
      </c>
      <c r="G2877" s="76"/>
      <c r="H2877" s="76"/>
      <c r="I2877" s="73" t="s">
        <v>366</v>
      </c>
      <c r="J2877" s="76"/>
    </row>
    <row r="2878">
      <c r="A2878" s="74">
        <v>2868.0</v>
      </c>
      <c r="B2878" s="73" t="s">
        <v>3334</v>
      </c>
      <c r="C2878" s="74">
        <v>8.13004978E8</v>
      </c>
      <c r="D2878" s="73" t="s">
        <v>3344</v>
      </c>
      <c r="E2878" s="72">
        <v>215.0</v>
      </c>
      <c r="F2878" s="77">
        <v>37603.0</v>
      </c>
      <c r="G2878" s="76"/>
      <c r="H2878" s="76"/>
      <c r="I2878" s="73" t="s">
        <v>366</v>
      </c>
      <c r="J2878" s="76"/>
    </row>
    <row r="2879">
      <c r="A2879" s="74">
        <v>2869.0</v>
      </c>
      <c r="B2879" s="73" t="s">
        <v>3334</v>
      </c>
      <c r="C2879" s="74">
        <v>8.13008405E8</v>
      </c>
      <c r="D2879" s="73" t="s">
        <v>3345</v>
      </c>
      <c r="E2879" s="72">
        <v>43.0</v>
      </c>
      <c r="F2879" s="75">
        <v>37701.0</v>
      </c>
      <c r="G2879" s="76"/>
      <c r="H2879" s="76"/>
      <c r="I2879" s="73" t="s">
        <v>366</v>
      </c>
      <c r="J2879" s="76"/>
    </row>
    <row r="2880">
      <c r="A2880" s="74">
        <v>2870.0</v>
      </c>
      <c r="B2880" s="73" t="s">
        <v>3334</v>
      </c>
      <c r="C2880" s="74">
        <v>8.13007836E8</v>
      </c>
      <c r="D2880" s="73" t="s">
        <v>3346</v>
      </c>
      <c r="E2880" s="72">
        <v>92.0</v>
      </c>
      <c r="F2880" s="77">
        <v>38288.0</v>
      </c>
      <c r="G2880" s="76"/>
      <c r="H2880" s="76"/>
      <c r="I2880" s="73" t="s">
        <v>366</v>
      </c>
      <c r="J2880" s="76"/>
    </row>
    <row r="2881">
      <c r="A2881" s="74">
        <v>2871.0</v>
      </c>
      <c r="B2881" s="73" t="s">
        <v>3334</v>
      </c>
      <c r="C2881" s="74">
        <v>8.91100816E8</v>
      </c>
      <c r="D2881" s="73" t="s">
        <v>3347</v>
      </c>
      <c r="E2881" s="72">
        <v>1.0</v>
      </c>
      <c r="F2881" s="75">
        <v>38359.0</v>
      </c>
      <c r="G2881" s="76"/>
      <c r="H2881" s="76"/>
      <c r="I2881" s="73" t="s">
        <v>366</v>
      </c>
      <c r="J2881" s="76"/>
    </row>
    <row r="2882">
      <c r="A2882" s="74">
        <v>2872.0</v>
      </c>
      <c r="B2882" s="73" t="s">
        <v>3334</v>
      </c>
      <c r="C2882" s="74">
        <v>8.91101282E8</v>
      </c>
      <c r="D2882" s="73" t="s">
        <v>3348</v>
      </c>
      <c r="E2882" s="72">
        <v>9.0</v>
      </c>
      <c r="F2882" s="75">
        <v>38449.0</v>
      </c>
      <c r="G2882" s="76"/>
      <c r="H2882" s="76"/>
      <c r="I2882" s="73" t="s">
        <v>366</v>
      </c>
      <c r="J2882" s="76"/>
    </row>
    <row r="2883">
      <c r="A2883" s="74">
        <v>2873.0</v>
      </c>
      <c r="B2883" s="73" t="s">
        <v>3334</v>
      </c>
      <c r="C2883" s="74">
        <v>9.00045181E8</v>
      </c>
      <c r="D2883" s="73" t="s">
        <v>3349</v>
      </c>
      <c r="E2883" s="72">
        <v>42.0</v>
      </c>
      <c r="F2883" s="77">
        <v>38645.0</v>
      </c>
      <c r="G2883" s="76"/>
      <c r="H2883" s="76"/>
      <c r="I2883" s="73" t="s">
        <v>366</v>
      </c>
      <c r="J2883" s="76"/>
    </row>
    <row r="2884">
      <c r="A2884" s="74">
        <v>2874.0</v>
      </c>
      <c r="B2884" s="73" t="s">
        <v>3334</v>
      </c>
      <c r="C2884" s="74">
        <v>9.00021954E8</v>
      </c>
      <c r="D2884" s="73" t="s">
        <v>3350</v>
      </c>
      <c r="E2884" s="72">
        <v>4.0</v>
      </c>
      <c r="F2884" s="75">
        <v>38768.0</v>
      </c>
      <c r="G2884" s="76"/>
      <c r="H2884" s="76"/>
      <c r="I2884" s="73" t="s">
        <v>366</v>
      </c>
      <c r="J2884" s="76"/>
    </row>
    <row r="2885">
      <c r="A2885" s="74">
        <v>2875.0</v>
      </c>
      <c r="B2885" s="73" t="s">
        <v>3334</v>
      </c>
      <c r="C2885" s="74">
        <v>8.13010186E8</v>
      </c>
      <c r="D2885" s="73" t="s">
        <v>3351</v>
      </c>
      <c r="E2885" s="72">
        <v>39.0</v>
      </c>
      <c r="F2885" s="75">
        <v>39217.0</v>
      </c>
      <c r="G2885" s="76"/>
      <c r="H2885" s="76"/>
      <c r="I2885" s="73" t="s">
        <v>366</v>
      </c>
      <c r="J2885" s="76"/>
    </row>
    <row r="2886">
      <c r="A2886" s="74">
        <v>2876.0</v>
      </c>
      <c r="B2886" s="73" t="s">
        <v>3334</v>
      </c>
      <c r="C2886" s="74">
        <v>9.00163464E8</v>
      </c>
      <c r="D2886" s="73" t="s">
        <v>3352</v>
      </c>
      <c r="E2886" s="72">
        <v>56.0</v>
      </c>
      <c r="F2886" s="75">
        <v>39304.0</v>
      </c>
      <c r="G2886" s="76"/>
      <c r="H2886" s="76"/>
      <c r="I2886" s="73" t="s">
        <v>366</v>
      </c>
      <c r="J2886" s="76"/>
    </row>
    <row r="2887">
      <c r="A2887" s="74">
        <v>2877.0</v>
      </c>
      <c r="B2887" s="73" t="s">
        <v>3334</v>
      </c>
      <c r="C2887" s="74">
        <v>9.00152397E8</v>
      </c>
      <c r="D2887" s="73" t="s">
        <v>3353</v>
      </c>
      <c r="E2887" s="72">
        <v>68.0</v>
      </c>
      <c r="F2887" s="77">
        <v>39358.0</v>
      </c>
      <c r="G2887" s="76"/>
      <c r="H2887" s="76"/>
      <c r="I2887" s="73" t="s">
        <v>366</v>
      </c>
      <c r="J2887" s="76"/>
    </row>
    <row r="2888">
      <c r="A2888" s="74">
        <v>2878.0</v>
      </c>
      <c r="B2888" s="73" t="s">
        <v>3334</v>
      </c>
      <c r="C2888" s="74">
        <v>9.00138566E8</v>
      </c>
      <c r="D2888" s="73" t="s">
        <v>3354</v>
      </c>
      <c r="E2888" s="72">
        <v>82.0</v>
      </c>
      <c r="F2888" s="77">
        <v>39430.0</v>
      </c>
      <c r="G2888" s="76"/>
      <c r="H2888" s="76"/>
      <c r="I2888" s="73" t="s">
        <v>366</v>
      </c>
      <c r="J2888" s="76"/>
    </row>
    <row r="2889">
      <c r="A2889" s="74">
        <v>2879.0</v>
      </c>
      <c r="B2889" s="73" t="s">
        <v>3334</v>
      </c>
      <c r="C2889" s="74">
        <v>9.00190867E8</v>
      </c>
      <c r="D2889" s="73" t="s">
        <v>3355</v>
      </c>
      <c r="E2889" s="72">
        <v>1.0</v>
      </c>
      <c r="F2889" s="75">
        <v>39451.0</v>
      </c>
      <c r="G2889" s="76"/>
      <c r="H2889" s="76"/>
      <c r="I2889" s="73" t="s">
        <v>366</v>
      </c>
      <c r="J2889" s="76"/>
    </row>
    <row r="2890">
      <c r="A2890" s="74">
        <v>2880.0</v>
      </c>
      <c r="B2890" s="73" t="s">
        <v>3334</v>
      </c>
      <c r="C2890" s="74">
        <v>9.00210343E8</v>
      </c>
      <c r="D2890" s="73" t="s">
        <v>3356</v>
      </c>
      <c r="E2890" s="72">
        <v>32.0</v>
      </c>
      <c r="F2890" s="75">
        <v>39561.0</v>
      </c>
      <c r="G2890" s="76"/>
      <c r="H2890" s="76"/>
      <c r="I2890" s="73" t="s">
        <v>366</v>
      </c>
      <c r="J2890" s="76"/>
    </row>
    <row r="2891">
      <c r="A2891" s="74">
        <v>2881.0</v>
      </c>
      <c r="B2891" s="73" t="s">
        <v>3334</v>
      </c>
      <c r="C2891" s="74">
        <v>9.00188683E8</v>
      </c>
      <c r="D2891" s="73" t="s">
        <v>3357</v>
      </c>
      <c r="E2891" s="72">
        <v>48.0</v>
      </c>
      <c r="F2891" s="75">
        <v>39597.0</v>
      </c>
      <c r="G2891" s="76"/>
      <c r="H2891" s="76"/>
      <c r="I2891" s="73" t="s">
        <v>366</v>
      </c>
      <c r="J2891" s="76"/>
    </row>
    <row r="2892">
      <c r="A2892" s="74">
        <v>2882.0</v>
      </c>
      <c r="B2892" s="73" t="s">
        <v>3334</v>
      </c>
      <c r="C2892" s="74">
        <v>9.00223478E8</v>
      </c>
      <c r="D2892" s="73" t="s">
        <v>3358</v>
      </c>
      <c r="E2892" s="72">
        <v>64.0</v>
      </c>
      <c r="F2892" s="75">
        <v>39674.0</v>
      </c>
      <c r="G2892" s="76"/>
      <c r="H2892" s="76"/>
      <c r="I2892" s="73" t="s">
        <v>366</v>
      </c>
      <c r="J2892" s="76"/>
    </row>
    <row r="2893">
      <c r="A2893" s="74">
        <v>2883.0</v>
      </c>
      <c r="B2893" s="73" t="s">
        <v>3334</v>
      </c>
      <c r="C2893" s="74">
        <v>9.00230697E8</v>
      </c>
      <c r="D2893" s="73" t="s">
        <v>3359</v>
      </c>
      <c r="E2893" s="72">
        <v>71.0</v>
      </c>
      <c r="F2893" s="75">
        <v>39689.0</v>
      </c>
      <c r="G2893" s="76"/>
      <c r="H2893" s="76"/>
      <c r="I2893" s="73" t="s">
        <v>366</v>
      </c>
      <c r="J2893" s="76"/>
    </row>
    <row r="2894">
      <c r="A2894" s="74">
        <v>2884.0</v>
      </c>
      <c r="B2894" s="73" t="s">
        <v>3334</v>
      </c>
      <c r="C2894" s="74">
        <v>9.00166642E8</v>
      </c>
      <c r="D2894" s="73" t="s">
        <v>3360</v>
      </c>
      <c r="E2894" s="72">
        <v>77.0</v>
      </c>
      <c r="F2894" s="77">
        <v>39722.0</v>
      </c>
      <c r="G2894" s="76"/>
      <c r="H2894" s="76"/>
      <c r="I2894" s="73" t="s">
        <v>366</v>
      </c>
      <c r="J2894" s="76"/>
    </row>
    <row r="2895">
      <c r="A2895" s="74">
        <v>2885.0</v>
      </c>
      <c r="B2895" s="73" t="s">
        <v>3334</v>
      </c>
      <c r="C2895" s="74">
        <v>9.00239062E8</v>
      </c>
      <c r="D2895" s="73" t="s">
        <v>3361</v>
      </c>
      <c r="E2895" s="72">
        <v>78.0</v>
      </c>
      <c r="F2895" s="77">
        <v>39728.0</v>
      </c>
      <c r="G2895" s="76"/>
      <c r="H2895" s="76"/>
      <c r="I2895" s="73" t="s">
        <v>366</v>
      </c>
      <c r="J2895" s="76"/>
    </row>
    <row r="2896">
      <c r="A2896" s="74">
        <v>2886.0</v>
      </c>
      <c r="B2896" s="73" t="s">
        <v>3334</v>
      </c>
      <c r="C2896" s="74">
        <v>9.00313504E8</v>
      </c>
      <c r="D2896" s="73" t="s">
        <v>3362</v>
      </c>
      <c r="E2896" s="72">
        <v>47.0</v>
      </c>
      <c r="F2896" s="77">
        <v>40137.0</v>
      </c>
      <c r="G2896" s="76"/>
      <c r="H2896" s="76"/>
      <c r="I2896" s="73" t="s">
        <v>366</v>
      </c>
      <c r="J2896" s="76"/>
    </row>
    <row r="2897">
      <c r="A2897" s="74">
        <v>2887.0</v>
      </c>
      <c r="B2897" s="73" t="s">
        <v>3334</v>
      </c>
      <c r="C2897" s="74">
        <v>9.0030384E8</v>
      </c>
      <c r="D2897" s="73" t="s">
        <v>3363</v>
      </c>
      <c r="E2897" s="72">
        <v>54.0</v>
      </c>
      <c r="F2897" s="77">
        <v>40158.0</v>
      </c>
      <c r="G2897" s="76"/>
      <c r="H2897" s="76"/>
      <c r="I2897" s="73" t="s">
        <v>366</v>
      </c>
      <c r="J2897" s="76"/>
    </row>
    <row r="2898">
      <c r="A2898" s="74">
        <v>2888.0</v>
      </c>
      <c r="B2898" s="73" t="s">
        <v>3334</v>
      </c>
      <c r="C2898" s="74">
        <v>9.00334042E8</v>
      </c>
      <c r="D2898" s="73" t="s">
        <v>3364</v>
      </c>
      <c r="E2898" s="72">
        <v>11.0</v>
      </c>
      <c r="F2898" s="75">
        <v>40263.0</v>
      </c>
      <c r="G2898" s="76"/>
      <c r="H2898" s="76"/>
      <c r="I2898" s="73" t="s">
        <v>366</v>
      </c>
      <c r="J2898" s="76"/>
    </row>
    <row r="2899">
      <c r="A2899" s="74">
        <v>2889.0</v>
      </c>
      <c r="B2899" s="73" t="s">
        <v>3334</v>
      </c>
      <c r="C2899" s="74">
        <v>8.0017609E8</v>
      </c>
      <c r="D2899" s="73" t="s">
        <v>3365</v>
      </c>
      <c r="E2899" s="72">
        <v>24.0</v>
      </c>
      <c r="F2899" s="75">
        <v>40359.0</v>
      </c>
      <c r="G2899" s="76"/>
      <c r="H2899" s="76"/>
      <c r="I2899" s="73" t="s">
        <v>366</v>
      </c>
      <c r="J2899" s="76"/>
    </row>
    <row r="2900">
      <c r="A2900" s="74">
        <v>2890.0</v>
      </c>
      <c r="B2900" s="73" t="s">
        <v>3334</v>
      </c>
      <c r="C2900" s="74">
        <v>9.00312577E8</v>
      </c>
      <c r="D2900" s="73" t="s">
        <v>3366</v>
      </c>
      <c r="E2900" s="72">
        <v>53.0</v>
      </c>
      <c r="F2900" s="77">
        <v>40505.0</v>
      </c>
      <c r="G2900" s="76"/>
      <c r="H2900" s="76"/>
      <c r="I2900" s="73" t="s">
        <v>366</v>
      </c>
      <c r="J2900" s="76"/>
    </row>
    <row r="2901">
      <c r="A2901" s="85">
        <v>2891.0</v>
      </c>
      <c r="B2901" s="79" t="s">
        <v>3334</v>
      </c>
      <c r="C2901" s="80">
        <v>9.00229153E8</v>
      </c>
      <c r="D2901" s="79" t="s">
        <v>3367</v>
      </c>
      <c r="E2901" s="81">
        <v>54.0</v>
      </c>
      <c r="F2901" s="82">
        <v>40508.0</v>
      </c>
      <c r="G2901" s="83"/>
      <c r="H2901" s="83"/>
      <c r="I2901" s="73" t="s">
        <v>366</v>
      </c>
      <c r="J2901" s="76"/>
    </row>
    <row r="2902">
      <c r="A2902" s="74">
        <v>2892.0</v>
      </c>
      <c r="B2902" s="73" t="s">
        <v>3334</v>
      </c>
      <c r="C2902" s="74">
        <v>9.00358313E8</v>
      </c>
      <c r="D2902" s="73" t="s">
        <v>3368</v>
      </c>
      <c r="E2902" s="72">
        <v>60.0</v>
      </c>
      <c r="F2902" s="77">
        <v>40527.0</v>
      </c>
      <c r="G2902" s="76"/>
      <c r="H2902" s="76"/>
      <c r="I2902" s="73" t="s">
        <v>366</v>
      </c>
      <c r="J2902" s="76"/>
    </row>
    <row r="2903">
      <c r="A2903" s="74">
        <v>2893.0</v>
      </c>
      <c r="B2903" s="73" t="s">
        <v>3334</v>
      </c>
      <c r="C2903" s="74">
        <v>9.00387698E8</v>
      </c>
      <c r="D2903" s="73" t="s">
        <v>3369</v>
      </c>
      <c r="E2903" s="72">
        <v>63.0</v>
      </c>
      <c r="F2903" s="77">
        <v>40533.0</v>
      </c>
      <c r="G2903" s="76"/>
      <c r="H2903" s="76"/>
      <c r="I2903" s="73" t="s">
        <v>366</v>
      </c>
      <c r="J2903" s="76"/>
    </row>
    <row r="2904">
      <c r="A2904" s="74">
        <v>2894.0</v>
      </c>
      <c r="B2904" s="73" t="s">
        <v>3334</v>
      </c>
      <c r="C2904" s="74">
        <v>8.91102723E8</v>
      </c>
      <c r="D2904" s="73" t="s">
        <v>3370</v>
      </c>
      <c r="E2904" s="72">
        <v>4.0</v>
      </c>
      <c r="F2904" s="75">
        <v>40582.0</v>
      </c>
      <c r="G2904" s="76"/>
      <c r="H2904" s="76"/>
      <c r="I2904" s="73" t="s">
        <v>366</v>
      </c>
      <c r="J2904" s="76"/>
    </row>
    <row r="2905">
      <c r="A2905" s="74">
        <v>2895.0</v>
      </c>
      <c r="B2905" s="73" t="s">
        <v>3334</v>
      </c>
      <c r="C2905" s="74">
        <v>9.00270229E8</v>
      </c>
      <c r="D2905" s="73" t="s">
        <v>3371</v>
      </c>
      <c r="E2905" s="72">
        <v>22.0</v>
      </c>
      <c r="F2905" s="75">
        <v>40652.0</v>
      </c>
      <c r="G2905" s="76"/>
      <c r="H2905" s="76"/>
      <c r="I2905" s="73" t="s">
        <v>366</v>
      </c>
      <c r="J2905" s="76"/>
    </row>
    <row r="2906">
      <c r="A2906" s="74">
        <v>2896.0</v>
      </c>
      <c r="B2906" s="73" t="s">
        <v>3334</v>
      </c>
      <c r="C2906" s="74">
        <v>9.00438633E8</v>
      </c>
      <c r="D2906" s="73" t="s">
        <v>3372</v>
      </c>
      <c r="E2906" s="72">
        <v>44.0</v>
      </c>
      <c r="F2906" s="75">
        <v>40714.0</v>
      </c>
      <c r="G2906" s="76"/>
      <c r="H2906" s="76"/>
      <c r="I2906" s="73" t="s">
        <v>366</v>
      </c>
      <c r="J2906" s="76"/>
    </row>
    <row r="2907">
      <c r="A2907" s="74">
        <v>2897.0</v>
      </c>
      <c r="B2907" s="73" t="s">
        <v>3334</v>
      </c>
      <c r="C2907" s="74">
        <v>9.00367963E8</v>
      </c>
      <c r="D2907" s="73" t="s">
        <v>3373</v>
      </c>
      <c r="E2907" s="72">
        <v>51.0</v>
      </c>
      <c r="F2907" s="75">
        <v>40757.0</v>
      </c>
      <c r="G2907" s="76"/>
      <c r="H2907" s="76"/>
      <c r="I2907" s="73" t="s">
        <v>366</v>
      </c>
      <c r="J2907" s="76"/>
    </row>
    <row r="2908">
      <c r="A2908" s="74">
        <v>2898.0</v>
      </c>
      <c r="B2908" s="73" t="s">
        <v>3334</v>
      </c>
      <c r="C2908" s="74">
        <v>8.13002772E8</v>
      </c>
      <c r="D2908" s="73" t="s">
        <v>3374</v>
      </c>
      <c r="E2908" s="72">
        <v>53.0</v>
      </c>
      <c r="F2908" s="75">
        <v>40763.0</v>
      </c>
      <c r="G2908" s="76"/>
      <c r="H2908" s="76"/>
      <c r="I2908" s="73" t="s">
        <v>366</v>
      </c>
      <c r="J2908" s="76"/>
    </row>
    <row r="2909">
      <c r="A2909" s="74">
        <v>2899.0</v>
      </c>
      <c r="B2909" s="73" t="s">
        <v>3334</v>
      </c>
      <c r="C2909" s="74">
        <v>9.0008116E8</v>
      </c>
      <c r="D2909" s="73" t="s">
        <v>3375</v>
      </c>
      <c r="E2909" s="72">
        <v>63.0</v>
      </c>
      <c r="F2909" s="75">
        <v>40779.0</v>
      </c>
      <c r="G2909" s="76"/>
      <c r="H2909" s="76"/>
      <c r="I2909" s="73" t="s">
        <v>366</v>
      </c>
      <c r="J2909" s="76"/>
    </row>
    <row r="2910">
      <c r="A2910" s="74">
        <v>2900.0</v>
      </c>
      <c r="B2910" s="73" t="s">
        <v>3334</v>
      </c>
      <c r="C2910" s="74">
        <v>9.00479253E8</v>
      </c>
      <c r="D2910" s="73" t="s">
        <v>3376</v>
      </c>
      <c r="E2910" s="72">
        <v>92.0</v>
      </c>
      <c r="F2910" s="77">
        <v>40906.0</v>
      </c>
      <c r="G2910" s="76"/>
      <c r="H2910" s="76"/>
      <c r="I2910" s="73" t="s">
        <v>366</v>
      </c>
      <c r="J2910" s="76"/>
    </row>
    <row r="2911">
      <c r="A2911" s="74">
        <v>2901.0</v>
      </c>
      <c r="B2911" s="73" t="s">
        <v>3334</v>
      </c>
      <c r="C2911" s="74">
        <v>9.00348881E8</v>
      </c>
      <c r="D2911" s="73" t="s">
        <v>3377</v>
      </c>
      <c r="E2911" s="72">
        <v>21.0</v>
      </c>
      <c r="F2911" s="75">
        <v>41045.0</v>
      </c>
      <c r="G2911" s="76"/>
      <c r="H2911" s="76"/>
      <c r="I2911" s="73" t="s">
        <v>366</v>
      </c>
      <c r="J2911" s="76"/>
    </row>
    <row r="2912">
      <c r="A2912" s="74">
        <v>2902.0</v>
      </c>
      <c r="B2912" s="73" t="s">
        <v>3334</v>
      </c>
      <c r="C2912" s="74">
        <v>9.00513074E8</v>
      </c>
      <c r="D2912" s="73" t="s">
        <v>3378</v>
      </c>
      <c r="E2912" s="72">
        <v>24.0</v>
      </c>
      <c r="F2912" s="75">
        <v>41060.0</v>
      </c>
      <c r="G2912" s="76"/>
      <c r="H2912" s="76"/>
      <c r="I2912" s="73" t="s">
        <v>366</v>
      </c>
      <c r="J2912" s="76"/>
    </row>
    <row r="2913">
      <c r="A2913" s="74">
        <v>2903.0</v>
      </c>
      <c r="B2913" s="73" t="s">
        <v>3334</v>
      </c>
      <c r="C2913" s="74">
        <v>9.00196666E8</v>
      </c>
      <c r="D2913" s="73" t="s">
        <v>3379</v>
      </c>
      <c r="E2913" s="72">
        <v>3.0</v>
      </c>
      <c r="F2913" s="75">
        <v>41304.0</v>
      </c>
      <c r="G2913" s="76"/>
      <c r="H2913" s="76"/>
      <c r="I2913" s="73" t="s">
        <v>366</v>
      </c>
      <c r="J2913" s="76"/>
    </row>
    <row r="2914">
      <c r="A2914" s="74">
        <v>2904.0</v>
      </c>
      <c r="B2914" s="73" t="s">
        <v>3334</v>
      </c>
      <c r="C2914" s="74">
        <v>9.00202239E8</v>
      </c>
      <c r="D2914" s="73" t="s">
        <v>3380</v>
      </c>
      <c r="E2914" s="72">
        <v>5.0</v>
      </c>
      <c r="F2914" s="75">
        <v>41319.0</v>
      </c>
      <c r="G2914" s="76"/>
      <c r="H2914" s="76"/>
      <c r="I2914" s="73" t="s">
        <v>366</v>
      </c>
      <c r="J2914" s="76"/>
    </row>
    <row r="2915">
      <c r="A2915" s="74">
        <v>2905.0</v>
      </c>
      <c r="B2915" s="73" t="s">
        <v>3334</v>
      </c>
      <c r="C2915" s="74">
        <v>9.00442514E8</v>
      </c>
      <c r="D2915" s="73" t="s">
        <v>3381</v>
      </c>
      <c r="E2915" s="72">
        <v>14.0</v>
      </c>
      <c r="F2915" s="75">
        <v>41354.0</v>
      </c>
      <c r="G2915" s="76"/>
      <c r="H2915" s="76"/>
      <c r="I2915" s="73" t="s">
        <v>366</v>
      </c>
      <c r="J2915" s="76"/>
    </row>
    <row r="2916">
      <c r="A2916" s="74">
        <v>2906.0</v>
      </c>
      <c r="B2916" s="73" t="s">
        <v>3334</v>
      </c>
      <c r="C2916" s="74">
        <v>9.00539647E8</v>
      </c>
      <c r="D2916" s="73" t="s">
        <v>3382</v>
      </c>
      <c r="E2916" s="72">
        <v>15.0</v>
      </c>
      <c r="F2916" s="75">
        <v>41386.0</v>
      </c>
      <c r="G2916" s="76"/>
      <c r="H2916" s="76"/>
      <c r="I2916" s="73" t="s">
        <v>366</v>
      </c>
      <c r="J2916" s="76"/>
    </row>
    <row r="2917">
      <c r="A2917" s="74">
        <v>2907.0</v>
      </c>
      <c r="B2917" s="73" t="s">
        <v>3334</v>
      </c>
      <c r="C2917" s="74">
        <v>9.00498308E8</v>
      </c>
      <c r="D2917" s="73" t="s">
        <v>3383</v>
      </c>
      <c r="E2917" s="72">
        <v>21.0</v>
      </c>
      <c r="F2917" s="75">
        <v>41419.0</v>
      </c>
      <c r="G2917" s="76"/>
      <c r="H2917" s="76"/>
      <c r="I2917" s="73" t="s">
        <v>366</v>
      </c>
      <c r="J2917" s="76"/>
    </row>
    <row r="2918">
      <c r="A2918" s="74">
        <v>2908.0</v>
      </c>
      <c r="B2918" s="73" t="s">
        <v>3334</v>
      </c>
      <c r="C2918" s="74">
        <v>9.00616126E8</v>
      </c>
      <c r="D2918" s="73" t="s">
        <v>3384</v>
      </c>
      <c r="E2918" s="72">
        <v>23.0</v>
      </c>
      <c r="F2918" s="75">
        <v>41449.0</v>
      </c>
      <c r="G2918" s="76"/>
      <c r="H2918" s="76"/>
      <c r="I2918" s="73" t="s">
        <v>366</v>
      </c>
      <c r="J2918" s="76"/>
    </row>
    <row r="2919">
      <c r="A2919" s="74">
        <v>2909.0</v>
      </c>
      <c r="B2919" s="73" t="s">
        <v>3334</v>
      </c>
      <c r="C2919" s="74">
        <v>9.00279937E8</v>
      </c>
      <c r="D2919" s="73" t="s">
        <v>3385</v>
      </c>
      <c r="E2919" s="72">
        <v>39.0</v>
      </c>
      <c r="F2919" s="75">
        <v>41544.0</v>
      </c>
      <c r="G2919" s="76"/>
      <c r="H2919" s="76"/>
      <c r="I2919" s="73" t="s">
        <v>366</v>
      </c>
      <c r="J2919" s="76"/>
    </row>
    <row r="2920">
      <c r="A2920" s="74">
        <v>2910.0</v>
      </c>
      <c r="B2920" s="73" t="s">
        <v>3334</v>
      </c>
      <c r="C2920" s="74">
        <v>8.00117146E8</v>
      </c>
      <c r="D2920" s="73" t="s">
        <v>3386</v>
      </c>
      <c r="E2920" s="72">
        <v>41.0</v>
      </c>
      <c r="F2920" s="77">
        <v>41591.0</v>
      </c>
      <c r="G2920" s="76"/>
      <c r="H2920" s="76"/>
      <c r="I2920" s="73" t="s">
        <v>366</v>
      </c>
      <c r="J2920" s="76"/>
    </row>
    <row r="2921">
      <c r="A2921" s="74">
        <v>2911.0</v>
      </c>
      <c r="B2921" s="73" t="s">
        <v>3334</v>
      </c>
      <c r="C2921" s="74">
        <v>9.00440113E8</v>
      </c>
      <c r="D2921" s="73" t="s">
        <v>3387</v>
      </c>
      <c r="E2921" s="72">
        <v>45.0</v>
      </c>
      <c r="F2921" s="77">
        <v>41620.0</v>
      </c>
      <c r="G2921" s="76"/>
      <c r="H2921" s="76"/>
      <c r="I2921" s="73" t="s">
        <v>366</v>
      </c>
      <c r="J2921" s="76"/>
    </row>
    <row r="2922">
      <c r="A2922" s="74">
        <v>2912.0</v>
      </c>
      <c r="B2922" s="73" t="s">
        <v>3334</v>
      </c>
      <c r="C2922" s="74">
        <v>9.00690985E8</v>
      </c>
      <c r="D2922" s="73" t="s">
        <v>3388</v>
      </c>
      <c r="E2922" s="72">
        <v>3.0</v>
      </c>
      <c r="F2922" s="75">
        <v>41682.0</v>
      </c>
      <c r="G2922" s="76"/>
      <c r="H2922" s="76"/>
      <c r="I2922" s="73" t="s">
        <v>366</v>
      </c>
      <c r="J2922" s="76"/>
    </row>
    <row r="2923">
      <c r="A2923" s="74">
        <v>2913.0</v>
      </c>
      <c r="B2923" s="73" t="s">
        <v>3334</v>
      </c>
      <c r="C2923" s="74">
        <v>9.00705808E8</v>
      </c>
      <c r="D2923" s="73" t="s">
        <v>3389</v>
      </c>
      <c r="E2923" s="72">
        <v>29.0</v>
      </c>
      <c r="F2923" s="75">
        <v>41802.0</v>
      </c>
      <c r="G2923" s="76"/>
      <c r="H2923" s="76"/>
      <c r="I2923" s="73" t="s">
        <v>366</v>
      </c>
      <c r="J2923" s="76"/>
    </row>
    <row r="2924">
      <c r="A2924" s="74">
        <v>2914.0</v>
      </c>
      <c r="B2924" s="73" t="s">
        <v>3334</v>
      </c>
      <c r="C2924" s="74">
        <v>9.00415386E8</v>
      </c>
      <c r="D2924" s="73" t="s">
        <v>3390</v>
      </c>
      <c r="E2924" s="72">
        <v>30.0</v>
      </c>
      <c r="F2924" s="75">
        <v>41805.0</v>
      </c>
      <c r="G2924" s="76"/>
      <c r="H2924" s="76"/>
      <c r="I2924" s="73" t="s">
        <v>366</v>
      </c>
      <c r="J2924" s="76"/>
    </row>
    <row r="2925">
      <c r="A2925" s="74">
        <v>2915.0</v>
      </c>
      <c r="B2925" s="73" t="s">
        <v>3334</v>
      </c>
      <c r="C2925" s="74">
        <v>8.13005241E8</v>
      </c>
      <c r="D2925" s="73" t="s">
        <v>3391</v>
      </c>
      <c r="E2925" s="72">
        <v>31.0</v>
      </c>
      <c r="F2925" s="75">
        <v>41823.0</v>
      </c>
      <c r="G2925" s="76"/>
      <c r="H2925" s="76"/>
      <c r="I2925" s="73" t="s">
        <v>366</v>
      </c>
      <c r="J2925" s="76"/>
    </row>
    <row r="2926">
      <c r="A2926" s="74">
        <v>2916.0</v>
      </c>
      <c r="B2926" s="73" t="s">
        <v>3334</v>
      </c>
      <c r="C2926" s="74">
        <v>9.00708174E8</v>
      </c>
      <c r="D2926" s="73" t="s">
        <v>3392</v>
      </c>
      <c r="E2926" s="72">
        <v>33.0</v>
      </c>
      <c r="F2926" s="75">
        <v>41829.0</v>
      </c>
      <c r="G2926" s="76"/>
      <c r="H2926" s="76"/>
      <c r="I2926" s="73" t="s">
        <v>366</v>
      </c>
      <c r="J2926" s="76"/>
    </row>
    <row r="2927">
      <c r="A2927" s="74">
        <v>2917.0</v>
      </c>
      <c r="B2927" s="73" t="s">
        <v>3334</v>
      </c>
      <c r="C2927" s="74">
        <v>9.00549402E8</v>
      </c>
      <c r="D2927" s="73" t="s">
        <v>3393</v>
      </c>
      <c r="E2927" s="72">
        <v>59.0</v>
      </c>
      <c r="F2927" s="77">
        <v>41999.0</v>
      </c>
      <c r="G2927" s="76"/>
      <c r="H2927" s="76"/>
      <c r="I2927" s="73" t="s">
        <v>366</v>
      </c>
      <c r="J2927" s="76"/>
    </row>
    <row r="2928">
      <c r="A2928" s="74">
        <v>2918.0</v>
      </c>
      <c r="B2928" s="73" t="s">
        <v>3334</v>
      </c>
      <c r="C2928" s="74">
        <v>8.30510145E8</v>
      </c>
      <c r="D2928" s="73" t="s">
        <v>3394</v>
      </c>
      <c r="E2928" s="72">
        <v>6.0</v>
      </c>
      <c r="F2928" s="75">
        <v>42078.0</v>
      </c>
      <c r="G2928" s="76"/>
      <c r="H2928" s="76"/>
      <c r="I2928" s="73" t="s">
        <v>366</v>
      </c>
      <c r="J2928" s="76"/>
    </row>
    <row r="2929">
      <c r="A2929" s="74">
        <v>2919.0</v>
      </c>
      <c r="B2929" s="73" t="s">
        <v>3334</v>
      </c>
      <c r="C2929" s="74">
        <v>8.13012275E8</v>
      </c>
      <c r="D2929" s="73" t="s">
        <v>3395</v>
      </c>
      <c r="E2929" s="72">
        <v>15.0</v>
      </c>
      <c r="F2929" s="75">
        <v>42114.0</v>
      </c>
      <c r="G2929" s="76"/>
      <c r="H2929" s="76"/>
      <c r="I2929" s="73" t="s">
        <v>366</v>
      </c>
      <c r="J2929" s="76"/>
    </row>
    <row r="2930">
      <c r="A2930" s="74">
        <v>2920.0</v>
      </c>
      <c r="B2930" s="73" t="s">
        <v>3334</v>
      </c>
      <c r="C2930" s="74">
        <v>9.00330264E8</v>
      </c>
      <c r="D2930" s="73" t="s">
        <v>3396</v>
      </c>
      <c r="E2930" s="72">
        <v>16.0</v>
      </c>
      <c r="F2930" s="75">
        <v>42149.0</v>
      </c>
      <c r="G2930" s="76"/>
      <c r="H2930" s="76"/>
      <c r="I2930" s="73" t="s">
        <v>366</v>
      </c>
      <c r="J2930" s="76"/>
    </row>
    <row r="2931">
      <c r="A2931" s="74">
        <v>2921.0</v>
      </c>
      <c r="B2931" s="73" t="s">
        <v>3334</v>
      </c>
      <c r="C2931" s="74">
        <v>9.00774637E8</v>
      </c>
      <c r="D2931" s="73" t="s">
        <v>3397</v>
      </c>
      <c r="E2931" s="72">
        <v>24.0</v>
      </c>
      <c r="F2931" s="75">
        <v>42240.0</v>
      </c>
      <c r="G2931" s="76"/>
      <c r="H2931" s="76"/>
      <c r="I2931" s="73" t="s">
        <v>366</v>
      </c>
      <c r="J2931" s="76"/>
    </row>
    <row r="2932">
      <c r="A2932" s="74">
        <v>2922.0</v>
      </c>
      <c r="B2932" s="73" t="s">
        <v>3334</v>
      </c>
      <c r="C2932" s="74">
        <v>9.00542876E8</v>
      </c>
      <c r="D2932" s="73" t="s">
        <v>3398</v>
      </c>
      <c r="E2932" s="72">
        <v>27.0</v>
      </c>
      <c r="F2932" s="75">
        <v>42247.0</v>
      </c>
      <c r="G2932" s="76"/>
      <c r="H2932" s="76"/>
      <c r="I2932" s="73" t="s">
        <v>366</v>
      </c>
      <c r="J2932" s="76"/>
    </row>
    <row r="2933">
      <c r="A2933" s="74">
        <v>2923.0</v>
      </c>
      <c r="B2933" s="73" t="s">
        <v>3334</v>
      </c>
      <c r="C2933" s="74">
        <v>9.00317006E8</v>
      </c>
      <c r="D2933" s="73" t="s">
        <v>3399</v>
      </c>
      <c r="E2933" s="72">
        <v>30.0</v>
      </c>
      <c r="F2933" s="77">
        <v>42328.0</v>
      </c>
      <c r="G2933" s="76"/>
      <c r="H2933" s="76"/>
      <c r="I2933" s="73" t="s">
        <v>366</v>
      </c>
      <c r="J2933" s="76"/>
    </row>
    <row r="2934">
      <c r="A2934" s="74">
        <v>2924.0</v>
      </c>
      <c r="B2934" s="73" t="s">
        <v>3334</v>
      </c>
      <c r="C2934" s="74">
        <v>9.00948263E8</v>
      </c>
      <c r="D2934" s="73" t="s">
        <v>3400</v>
      </c>
      <c r="E2934" s="72">
        <v>9.0</v>
      </c>
      <c r="F2934" s="75">
        <v>42489.0</v>
      </c>
      <c r="G2934" s="76"/>
      <c r="H2934" s="76"/>
      <c r="I2934" s="73" t="s">
        <v>366</v>
      </c>
      <c r="J2934" s="76"/>
    </row>
    <row r="2935">
      <c r="A2935" s="74">
        <v>2925.0</v>
      </c>
      <c r="B2935" s="73" t="s">
        <v>3334</v>
      </c>
      <c r="C2935" s="74">
        <v>9.00648116E8</v>
      </c>
      <c r="D2935" s="73" t="s">
        <v>3401</v>
      </c>
      <c r="E2935" s="72">
        <v>11.0</v>
      </c>
      <c r="F2935" s="75">
        <v>42510.0</v>
      </c>
      <c r="G2935" s="76"/>
      <c r="H2935" s="76"/>
      <c r="I2935" s="73" t="s">
        <v>366</v>
      </c>
      <c r="J2935" s="76"/>
    </row>
    <row r="2936">
      <c r="A2936" s="74">
        <v>2926.0</v>
      </c>
      <c r="B2936" s="73" t="s">
        <v>3334</v>
      </c>
      <c r="C2936" s="74">
        <v>9.00605466E8</v>
      </c>
      <c r="D2936" s="73" t="s">
        <v>3402</v>
      </c>
      <c r="E2936" s="72">
        <v>19.0</v>
      </c>
      <c r="F2936" s="75">
        <v>42580.0</v>
      </c>
      <c r="G2936" s="76"/>
      <c r="H2936" s="76"/>
      <c r="I2936" s="73" t="s">
        <v>366</v>
      </c>
      <c r="J2936" s="76"/>
    </row>
    <row r="2937">
      <c r="A2937" s="74">
        <v>2927.0</v>
      </c>
      <c r="B2937" s="73" t="s">
        <v>3334</v>
      </c>
      <c r="C2937" s="74">
        <v>9.00843803E8</v>
      </c>
      <c r="D2937" s="73" t="s">
        <v>3403</v>
      </c>
      <c r="E2937" s="72">
        <v>23.0</v>
      </c>
      <c r="F2937" s="75">
        <v>42621.0</v>
      </c>
      <c r="G2937" s="76"/>
      <c r="H2937" s="76"/>
      <c r="I2937" s="73" t="s">
        <v>366</v>
      </c>
      <c r="J2937" s="76"/>
    </row>
    <row r="2938">
      <c r="A2938" s="74">
        <v>2928.0</v>
      </c>
      <c r="B2938" s="73" t="s">
        <v>3334</v>
      </c>
      <c r="C2938" s="74">
        <v>9.0057097E8</v>
      </c>
      <c r="D2938" s="73" t="s">
        <v>3404</v>
      </c>
      <c r="E2938" s="72">
        <v>26.0</v>
      </c>
      <c r="F2938" s="77">
        <v>42653.0</v>
      </c>
      <c r="G2938" s="76"/>
      <c r="H2938" s="76"/>
      <c r="I2938" s="73" t="s">
        <v>366</v>
      </c>
      <c r="J2938" s="76"/>
    </row>
    <row r="2939">
      <c r="A2939" s="74">
        <v>2929.0</v>
      </c>
      <c r="B2939" s="73" t="s">
        <v>3334</v>
      </c>
      <c r="C2939" s="74">
        <v>9.00356273E8</v>
      </c>
      <c r="D2939" s="73" t="s">
        <v>3405</v>
      </c>
      <c r="E2939" s="72">
        <v>51.0</v>
      </c>
      <c r="F2939" s="77">
        <v>42725.0</v>
      </c>
      <c r="G2939" s="76"/>
      <c r="H2939" s="76"/>
      <c r="I2939" s="73" t="s">
        <v>366</v>
      </c>
      <c r="J2939" s="76"/>
    </row>
    <row r="2940">
      <c r="A2940" s="74">
        <v>2930.0</v>
      </c>
      <c r="B2940" s="73" t="s">
        <v>3334</v>
      </c>
      <c r="C2940" s="74">
        <v>8.00184237E8</v>
      </c>
      <c r="D2940" s="73" t="s">
        <v>3406</v>
      </c>
      <c r="E2940" s="72">
        <v>5.0</v>
      </c>
      <c r="F2940" s="75">
        <v>42807.0</v>
      </c>
      <c r="G2940" s="76"/>
      <c r="H2940" s="76"/>
      <c r="I2940" s="73" t="s">
        <v>366</v>
      </c>
      <c r="J2940" s="76"/>
    </row>
    <row r="2941">
      <c r="A2941" s="74">
        <v>2931.0</v>
      </c>
      <c r="B2941" s="73" t="s">
        <v>3334</v>
      </c>
      <c r="C2941" s="74">
        <v>9.00987153E8</v>
      </c>
      <c r="D2941" s="73" t="s">
        <v>3407</v>
      </c>
      <c r="E2941" s="72">
        <v>6.0</v>
      </c>
      <c r="F2941" s="75">
        <v>42824.0</v>
      </c>
      <c r="G2941" s="76"/>
      <c r="H2941" s="76"/>
      <c r="I2941" s="73" t="s">
        <v>366</v>
      </c>
      <c r="J2941" s="76"/>
    </row>
    <row r="2942">
      <c r="A2942" s="74">
        <v>2932.0</v>
      </c>
      <c r="B2942" s="73" t="s">
        <v>3334</v>
      </c>
      <c r="C2942" s="74">
        <v>9.00913908E8</v>
      </c>
      <c r="D2942" s="73" t="s">
        <v>3408</v>
      </c>
      <c r="E2942" s="72">
        <v>27.0</v>
      </c>
      <c r="F2942" s="75">
        <v>42934.0</v>
      </c>
      <c r="G2942" s="76"/>
      <c r="H2942" s="76"/>
      <c r="I2942" s="73" t="s">
        <v>366</v>
      </c>
      <c r="J2942" s="76"/>
    </row>
    <row r="2943">
      <c r="A2943" s="74">
        <v>2933.0</v>
      </c>
      <c r="B2943" s="73" t="s">
        <v>3334</v>
      </c>
      <c r="C2943" s="74">
        <v>9.00361848E8</v>
      </c>
      <c r="D2943" s="73" t="s">
        <v>3409</v>
      </c>
      <c r="E2943" s="72">
        <v>38.0</v>
      </c>
      <c r="F2943" s="77">
        <v>43038.0</v>
      </c>
      <c r="G2943" s="76"/>
      <c r="H2943" s="76"/>
      <c r="I2943" s="73" t="s">
        <v>366</v>
      </c>
      <c r="J2943" s="76"/>
    </row>
    <row r="2944">
      <c r="A2944" s="74">
        <v>2934.0</v>
      </c>
      <c r="B2944" s="73" t="s">
        <v>3334</v>
      </c>
      <c r="C2944" s="74">
        <v>9.0114678E8</v>
      </c>
      <c r="D2944" s="73" t="s">
        <v>3410</v>
      </c>
      <c r="E2944" s="76"/>
      <c r="F2944" s="75">
        <v>43167.0</v>
      </c>
      <c r="G2944" s="76"/>
      <c r="H2944" s="76"/>
      <c r="I2944" s="73" t="s">
        <v>366</v>
      </c>
      <c r="J2944" s="76"/>
    </row>
    <row r="2945">
      <c r="A2945" s="74">
        <v>2935.0</v>
      </c>
      <c r="B2945" s="73" t="s">
        <v>3334</v>
      </c>
      <c r="C2945" s="74">
        <v>9.00815619E8</v>
      </c>
      <c r="D2945" s="73" t="s">
        <v>3411</v>
      </c>
      <c r="E2945" s="72">
        <v>153.0</v>
      </c>
      <c r="F2945" s="75">
        <v>43292.0</v>
      </c>
      <c r="G2945" s="76"/>
      <c r="H2945" s="76"/>
      <c r="I2945" s="73" t="s">
        <v>366</v>
      </c>
      <c r="J2945" s="76"/>
    </row>
    <row r="2946">
      <c r="A2946" s="74">
        <v>2936.0</v>
      </c>
      <c r="B2946" s="73" t="s">
        <v>3334</v>
      </c>
      <c r="C2946" s="74">
        <v>9.00984314E8</v>
      </c>
      <c r="D2946" s="73" t="s">
        <v>3412</v>
      </c>
      <c r="E2946" s="72">
        <v>210.0</v>
      </c>
      <c r="F2946" s="77">
        <v>43376.0</v>
      </c>
      <c r="G2946" s="76"/>
      <c r="H2946" s="76"/>
      <c r="I2946" s="73" t="s">
        <v>366</v>
      </c>
      <c r="J2946" s="76"/>
    </row>
    <row r="2947">
      <c r="A2947" s="74">
        <v>2937.0</v>
      </c>
      <c r="B2947" s="73" t="s">
        <v>3334</v>
      </c>
      <c r="C2947" s="74">
        <v>9.01239506E8</v>
      </c>
      <c r="D2947" s="73" t="s">
        <v>3413</v>
      </c>
      <c r="E2947" s="72">
        <v>2.0</v>
      </c>
      <c r="F2947" s="75">
        <v>43479.0</v>
      </c>
      <c r="G2947" s="76"/>
      <c r="H2947" s="76"/>
      <c r="I2947" s="73" t="s">
        <v>366</v>
      </c>
      <c r="J2947" s="76"/>
    </row>
    <row r="2948">
      <c r="A2948" s="74">
        <v>2938.0</v>
      </c>
      <c r="B2948" s="73" t="s">
        <v>3334</v>
      </c>
      <c r="C2948" s="74">
        <v>9.00940013E8</v>
      </c>
      <c r="D2948" s="73" t="s">
        <v>3414</v>
      </c>
      <c r="E2948" s="72">
        <v>2.0</v>
      </c>
      <c r="F2948" s="75">
        <v>43481.0</v>
      </c>
      <c r="G2948" s="76"/>
      <c r="H2948" s="76"/>
      <c r="I2948" s="73" t="s">
        <v>366</v>
      </c>
      <c r="J2948" s="76"/>
    </row>
    <row r="2949">
      <c r="A2949" s="74">
        <v>2939.0</v>
      </c>
      <c r="B2949" s="73" t="s">
        <v>3334</v>
      </c>
      <c r="C2949" s="74">
        <v>9.003335E8</v>
      </c>
      <c r="D2949" s="73" t="s">
        <v>3415</v>
      </c>
      <c r="E2949" s="72">
        <v>14.0</v>
      </c>
      <c r="F2949" s="75">
        <v>43497.0</v>
      </c>
      <c r="G2949" s="76"/>
      <c r="H2949" s="76"/>
      <c r="I2949" s="73" t="s">
        <v>366</v>
      </c>
      <c r="J2949" s="76"/>
    </row>
    <row r="2950">
      <c r="A2950" s="74">
        <v>2940.0</v>
      </c>
      <c r="B2950" s="73" t="s">
        <v>3334</v>
      </c>
      <c r="C2950" s="74">
        <v>9.00121943E8</v>
      </c>
      <c r="D2950" s="73" t="s">
        <v>3416</v>
      </c>
      <c r="E2950" s="72">
        <v>31.0</v>
      </c>
      <c r="F2950" s="75">
        <v>43538.0</v>
      </c>
      <c r="G2950" s="76"/>
      <c r="H2950" s="76"/>
      <c r="I2950" s="73" t="s">
        <v>366</v>
      </c>
      <c r="J2950" s="76"/>
    </row>
    <row r="2951">
      <c r="A2951" s="74">
        <v>2941.0</v>
      </c>
      <c r="B2951" s="73" t="s">
        <v>3334</v>
      </c>
      <c r="C2951" s="74">
        <v>9.01218685E8</v>
      </c>
      <c r="D2951" s="73" t="s">
        <v>3417</v>
      </c>
      <c r="E2951" s="72">
        <v>52.0</v>
      </c>
      <c r="F2951" s="75">
        <v>43575.0</v>
      </c>
      <c r="G2951" s="76"/>
      <c r="H2951" s="76"/>
      <c r="I2951" s="73" t="s">
        <v>366</v>
      </c>
      <c r="J2951" s="76"/>
    </row>
    <row r="2952">
      <c r="A2952" s="74">
        <v>2942.0</v>
      </c>
      <c r="B2952" s="73" t="s">
        <v>3334</v>
      </c>
      <c r="C2952" s="74">
        <v>9.00447438E8</v>
      </c>
      <c r="D2952" s="73" t="s">
        <v>3418</v>
      </c>
      <c r="E2952" s="72">
        <v>150.0</v>
      </c>
      <c r="F2952" s="75">
        <v>43720.0</v>
      </c>
      <c r="G2952" s="76"/>
      <c r="H2952" s="76"/>
      <c r="I2952" s="73" t="s">
        <v>366</v>
      </c>
      <c r="J2952" s="76"/>
    </row>
    <row r="2953">
      <c r="A2953" s="74">
        <v>2943.0</v>
      </c>
      <c r="B2953" s="73" t="s">
        <v>3334</v>
      </c>
      <c r="C2953" s="74">
        <v>9.00554124E8</v>
      </c>
      <c r="D2953" s="73" t="s">
        <v>3419</v>
      </c>
      <c r="E2953" s="72">
        <v>156.0</v>
      </c>
      <c r="F2953" s="77">
        <v>43741.0</v>
      </c>
      <c r="G2953" s="76"/>
      <c r="H2953" s="76"/>
      <c r="I2953" s="73" t="s">
        <v>366</v>
      </c>
      <c r="J2953" s="76"/>
    </row>
    <row r="2954">
      <c r="A2954" s="85">
        <v>2944.0</v>
      </c>
      <c r="B2954" s="79" t="s">
        <v>3334</v>
      </c>
      <c r="C2954" s="80">
        <v>9.0132295E8</v>
      </c>
      <c r="D2954" s="79" t="s">
        <v>3420</v>
      </c>
      <c r="E2954" s="81">
        <v>232.0</v>
      </c>
      <c r="F2954" s="82">
        <v>43817.0</v>
      </c>
      <c r="G2954" s="83"/>
      <c r="H2954" s="83"/>
      <c r="I2954" s="73" t="s">
        <v>366</v>
      </c>
      <c r="J2954" s="76"/>
    </row>
    <row r="2955">
      <c r="A2955" s="74">
        <v>2945.0</v>
      </c>
      <c r="B2955" s="73" t="s">
        <v>3334</v>
      </c>
      <c r="C2955" s="74">
        <v>9.01163152E8</v>
      </c>
      <c r="D2955" s="73" t="s">
        <v>3421</v>
      </c>
      <c r="E2955" s="72">
        <v>46.0</v>
      </c>
      <c r="F2955" s="75">
        <v>43903.0</v>
      </c>
      <c r="G2955" s="76"/>
      <c r="H2955" s="76"/>
      <c r="I2955" s="73" t="s">
        <v>366</v>
      </c>
      <c r="J2955" s="76"/>
    </row>
    <row r="2956">
      <c r="A2956" s="74">
        <v>2946.0</v>
      </c>
      <c r="B2956" s="73" t="s">
        <v>3334</v>
      </c>
      <c r="C2956" s="74">
        <v>9.01080532E8</v>
      </c>
      <c r="D2956" s="73" t="s">
        <v>3422</v>
      </c>
      <c r="E2956" s="72">
        <v>2.0203040005865E13</v>
      </c>
      <c r="F2956" s="75">
        <v>43994.0</v>
      </c>
      <c r="G2956" s="76"/>
      <c r="H2956" s="76"/>
      <c r="I2956" s="73" t="s">
        <v>366</v>
      </c>
      <c r="J2956" s="76"/>
    </row>
    <row r="2957">
      <c r="A2957" s="74">
        <v>2947.0</v>
      </c>
      <c r="B2957" s="73" t="s">
        <v>3334</v>
      </c>
      <c r="C2957" s="74">
        <v>9.00851164E8</v>
      </c>
      <c r="D2957" s="73" t="s">
        <v>3423</v>
      </c>
      <c r="E2957" s="72">
        <v>2.02030304006715E14</v>
      </c>
      <c r="F2957" s="75">
        <v>43997.0</v>
      </c>
      <c r="G2957" s="76"/>
      <c r="H2957" s="76"/>
      <c r="I2957" s="73" t="s">
        <v>366</v>
      </c>
      <c r="J2957" s="76"/>
    </row>
    <row r="2958">
      <c r="A2958" s="74">
        <v>2948.0</v>
      </c>
      <c r="B2958" s="73" t="s">
        <v>3334</v>
      </c>
      <c r="C2958" s="74">
        <v>9.00486665E8</v>
      </c>
      <c r="D2958" s="73" t="s">
        <v>3424</v>
      </c>
      <c r="E2958" s="72">
        <v>2.0203040014395E13</v>
      </c>
      <c r="F2958" s="77">
        <v>44110.0</v>
      </c>
      <c r="G2958" s="76"/>
      <c r="H2958" s="76"/>
      <c r="I2958" s="73" t="s">
        <v>366</v>
      </c>
      <c r="J2958" s="76"/>
    </row>
    <row r="2959">
      <c r="A2959" s="74">
        <v>2949.0</v>
      </c>
      <c r="B2959" s="73" t="s">
        <v>3334</v>
      </c>
      <c r="C2959" s="74">
        <v>9.01386072E8</v>
      </c>
      <c r="D2959" s="73" t="s">
        <v>3425</v>
      </c>
      <c r="E2959" s="72">
        <v>2.0203040014425E13</v>
      </c>
      <c r="F2959" s="77">
        <v>44110.0</v>
      </c>
      <c r="G2959" s="76"/>
      <c r="H2959" s="76"/>
      <c r="I2959" s="73" t="s">
        <v>366</v>
      </c>
      <c r="J2959" s="76"/>
    </row>
    <row r="2960">
      <c r="A2960" s="74">
        <v>2950.0</v>
      </c>
      <c r="B2960" s="73" t="s">
        <v>3334</v>
      </c>
      <c r="C2960" s="74">
        <v>9.01328289E8</v>
      </c>
      <c r="D2960" s="73" t="s">
        <v>3426</v>
      </c>
      <c r="E2960" s="72">
        <v>2.0203040014955E13</v>
      </c>
      <c r="F2960" s="77">
        <v>44112.0</v>
      </c>
      <c r="G2960" s="76"/>
      <c r="H2960" s="76"/>
      <c r="I2960" s="73" t="s">
        <v>366</v>
      </c>
      <c r="J2960" s="76"/>
    </row>
    <row r="2961">
      <c r="A2961" s="74">
        <v>2951.0</v>
      </c>
      <c r="B2961" s="73" t="s">
        <v>3334</v>
      </c>
      <c r="C2961" s="74">
        <v>8.2800273E8</v>
      </c>
      <c r="D2961" s="73" t="s">
        <v>3427</v>
      </c>
      <c r="E2961" s="72">
        <v>2.0203040017775E13</v>
      </c>
      <c r="F2961" s="77">
        <v>44130.0</v>
      </c>
      <c r="G2961" s="76"/>
      <c r="H2961" s="76"/>
      <c r="I2961" s="73" t="s">
        <v>366</v>
      </c>
      <c r="J2961" s="76"/>
    </row>
    <row r="2962">
      <c r="A2962" s="74">
        <v>2952.0</v>
      </c>
      <c r="B2962" s="73" t="s">
        <v>3334</v>
      </c>
      <c r="C2962" s="74">
        <v>9.00582081E8</v>
      </c>
      <c r="D2962" s="73" t="s">
        <v>3428</v>
      </c>
      <c r="E2962" s="72">
        <v>2.0213040002525E13</v>
      </c>
      <c r="F2962" s="75">
        <v>44221.0</v>
      </c>
      <c r="G2962" s="76"/>
      <c r="H2962" s="76"/>
      <c r="I2962" s="73" t="s">
        <v>366</v>
      </c>
      <c r="J2962" s="76"/>
    </row>
    <row r="2963">
      <c r="A2963" s="74">
        <v>2953.0</v>
      </c>
      <c r="B2963" s="73" t="s">
        <v>3334</v>
      </c>
      <c r="C2963" s="74">
        <v>9.00021319E8</v>
      </c>
      <c r="D2963" s="73" t="s">
        <v>3429</v>
      </c>
      <c r="E2963" s="72">
        <v>2.0213040015135E13</v>
      </c>
      <c r="F2963" s="75">
        <v>44298.0</v>
      </c>
      <c r="G2963" s="76"/>
      <c r="H2963" s="76"/>
      <c r="I2963" s="73" t="s">
        <v>366</v>
      </c>
      <c r="J2963" s="76"/>
    </row>
    <row r="2964">
      <c r="A2964" s="74">
        <v>2954.0</v>
      </c>
      <c r="B2964" s="73" t="s">
        <v>3334</v>
      </c>
      <c r="C2964" s="74">
        <v>9.00912102E8</v>
      </c>
      <c r="D2964" s="73" t="s">
        <v>3430</v>
      </c>
      <c r="E2964" s="72">
        <v>2.0213040016915E13</v>
      </c>
      <c r="F2964" s="75">
        <v>44308.0</v>
      </c>
      <c r="G2964" s="76"/>
      <c r="H2964" s="76"/>
      <c r="I2964" s="73" t="s">
        <v>366</v>
      </c>
      <c r="J2964" s="76"/>
    </row>
    <row r="2965">
      <c r="A2965" s="74">
        <v>2955.0</v>
      </c>
      <c r="B2965" s="73" t="s">
        <v>3334</v>
      </c>
      <c r="C2965" s="74">
        <v>9.00912629E8</v>
      </c>
      <c r="D2965" s="73" t="s">
        <v>3431</v>
      </c>
      <c r="E2965" s="72">
        <v>2.0213040036945E13</v>
      </c>
      <c r="F2965" s="75">
        <v>44308.0</v>
      </c>
      <c r="G2965" s="76"/>
      <c r="H2965" s="76"/>
      <c r="I2965" s="73" t="s">
        <v>366</v>
      </c>
      <c r="J2965" s="76"/>
    </row>
    <row r="2966">
      <c r="A2966" s="74">
        <v>2956.0</v>
      </c>
      <c r="B2966" s="73" t="s">
        <v>3334</v>
      </c>
      <c r="C2966" s="74">
        <v>9.01490529E8</v>
      </c>
      <c r="D2966" s="73" t="s">
        <v>3432</v>
      </c>
      <c r="E2966" s="72">
        <v>2.0213040040825E13</v>
      </c>
      <c r="F2966" s="75">
        <v>44449.0</v>
      </c>
      <c r="G2966" s="76"/>
      <c r="H2966" s="76"/>
      <c r="I2966" s="73" t="s">
        <v>366</v>
      </c>
      <c r="J2966" s="76"/>
    </row>
    <row r="2967">
      <c r="A2967" s="74">
        <v>2957.0</v>
      </c>
      <c r="B2967" s="73" t="s">
        <v>3334</v>
      </c>
      <c r="C2967" s="74">
        <v>9.01521929E8</v>
      </c>
      <c r="D2967" s="73" t="s">
        <v>3433</v>
      </c>
      <c r="E2967" s="72">
        <v>2.0214410058085E13</v>
      </c>
      <c r="F2967" s="77">
        <v>44532.0</v>
      </c>
      <c r="G2967" s="76"/>
      <c r="H2967" s="76"/>
      <c r="I2967" s="73" t="s">
        <v>366</v>
      </c>
      <c r="J2967" s="76"/>
    </row>
    <row r="2968">
      <c r="A2968" s="74">
        <v>2958.0</v>
      </c>
      <c r="B2968" s="73" t="s">
        <v>3334</v>
      </c>
      <c r="C2968" s="74">
        <v>9.00409163E8</v>
      </c>
      <c r="D2968" s="73" t="s">
        <v>3434</v>
      </c>
      <c r="E2968" s="72">
        <v>2.0224410032795E13</v>
      </c>
      <c r="F2968" s="75">
        <v>44721.0</v>
      </c>
      <c r="G2968" s="76"/>
      <c r="H2968" s="76"/>
      <c r="I2968" s="73" t="s">
        <v>366</v>
      </c>
      <c r="J2968" s="76"/>
    </row>
    <row r="2969">
      <c r="A2969" s="74">
        <v>2959.0</v>
      </c>
      <c r="B2969" s="73" t="s">
        <v>3334</v>
      </c>
      <c r="C2969" s="74">
        <v>9.01243859E8</v>
      </c>
      <c r="D2969" s="73" t="s">
        <v>3435</v>
      </c>
      <c r="E2969" s="72">
        <v>2.0224410047095E13</v>
      </c>
      <c r="F2969" s="75">
        <v>44784.0</v>
      </c>
      <c r="G2969" s="76"/>
      <c r="H2969" s="76"/>
      <c r="I2969" s="73" t="s">
        <v>366</v>
      </c>
      <c r="J2969" s="76"/>
    </row>
    <row r="2970">
      <c r="A2970" s="74">
        <v>2960.0</v>
      </c>
      <c r="B2970" s="73" t="s">
        <v>3334</v>
      </c>
      <c r="C2970" s="74">
        <v>9.01551734E8</v>
      </c>
      <c r="D2970" s="73" t="s">
        <v>3436</v>
      </c>
      <c r="E2970" s="72">
        <v>2.0224410047075E13</v>
      </c>
      <c r="F2970" s="75">
        <v>44784.0</v>
      </c>
      <c r="G2970" s="76"/>
      <c r="H2970" s="76"/>
      <c r="I2970" s="73" t="s">
        <v>366</v>
      </c>
      <c r="J2970" s="76"/>
    </row>
    <row r="2971">
      <c r="A2971" s="74">
        <v>2961.0</v>
      </c>
      <c r="B2971" s="73" t="s">
        <v>3334</v>
      </c>
      <c r="C2971" s="74">
        <v>9.01631239E8</v>
      </c>
      <c r="D2971" s="73" t="s">
        <v>3437</v>
      </c>
      <c r="E2971" s="72">
        <v>2.0224410059895E13</v>
      </c>
      <c r="F2971" s="77">
        <v>44838.0</v>
      </c>
      <c r="G2971" s="76"/>
      <c r="H2971" s="76"/>
      <c r="I2971" s="73" t="s">
        <v>366</v>
      </c>
      <c r="J2971" s="76"/>
    </row>
    <row r="2972">
      <c r="A2972" s="74">
        <v>2962.0</v>
      </c>
      <c r="B2972" s="73" t="s">
        <v>3334</v>
      </c>
      <c r="C2972" s="74">
        <v>9.01268624E8</v>
      </c>
      <c r="D2972" s="73" t="s">
        <v>3438</v>
      </c>
      <c r="E2972" s="72">
        <v>2.0224410062855E13</v>
      </c>
      <c r="F2972" s="77">
        <v>44853.0</v>
      </c>
      <c r="G2972" s="76"/>
      <c r="H2972" s="76"/>
      <c r="I2972" s="73" t="s">
        <v>366</v>
      </c>
      <c r="J2972" s="76"/>
    </row>
    <row r="2973">
      <c r="A2973" s="74">
        <v>2963.0</v>
      </c>
      <c r="B2973" s="73" t="s">
        <v>3334</v>
      </c>
      <c r="C2973" s="74">
        <v>9.01603218E8</v>
      </c>
      <c r="D2973" s="73" t="s">
        <v>3439</v>
      </c>
      <c r="E2973" s="72">
        <v>2.0224410077205E13</v>
      </c>
      <c r="F2973" s="77">
        <v>44916.0</v>
      </c>
      <c r="G2973" s="76"/>
      <c r="H2973" s="76"/>
      <c r="I2973" s="73" t="s">
        <v>366</v>
      </c>
      <c r="J2973" s="76"/>
    </row>
    <row r="2974">
      <c r="A2974" s="74">
        <v>2964.0</v>
      </c>
      <c r="B2974" s="73" t="s">
        <v>3334</v>
      </c>
      <c r="C2974" s="74">
        <v>9.01641718E8</v>
      </c>
      <c r="D2974" s="73" t="s">
        <v>3440</v>
      </c>
      <c r="E2974" s="72">
        <v>2.0234410001855E13</v>
      </c>
      <c r="F2974" s="75">
        <v>44945.0</v>
      </c>
      <c r="G2974" s="76"/>
      <c r="H2974" s="76"/>
      <c r="I2974" s="73" t="s">
        <v>366</v>
      </c>
      <c r="J2974" s="76"/>
    </row>
    <row r="2975">
      <c r="A2975" s="74">
        <v>2965.0</v>
      </c>
      <c r="B2975" s="73" t="s">
        <v>3334</v>
      </c>
      <c r="C2975" s="74">
        <v>9.01146244E8</v>
      </c>
      <c r="D2975" s="73" t="s">
        <v>3441</v>
      </c>
      <c r="E2975" s="72">
        <v>2.0234410033385E13</v>
      </c>
      <c r="F2975" s="75">
        <v>45141.0</v>
      </c>
      <c r="G2975" s="76"/>
      <c r="H2975" s="76"/>
      <c r="I2975" s="73" t="s">
        <v>366</v>
      </c>
      <c r="J2975" s="76"/>
    </row>
    <row r="2976">
      <c r="A2976" s="74">
        <v>2966.0</v>
      </c>
      <c r="B2976" s="73" t="s">
        <v>3334</v>
      </c>
      <c r="C2976" s="74">
        <v>8.13012357E8</v>
      </c>
      <c r="D2976" s="73" t="s">
        <v>3442</v>
      </c>
      <c r="E2976" s="72">
        <v>2.0244410064155E13</v>
      </c>
      <c r="F2976" s="77">
        <v>45652.0</v>
      </c>
      <c r="G2976" s="76"/>
      <c r="H2976" s="76"/>
      <c r="I2976" s="73" t="s">
        <v>366</v>
      </c>
      <c r="J2976" s="76"/>
    </row>
    <row r="2977">
      <c r="A2977" s="74">
        <v>2967.0</v>
      </c>
      <c r="B2977" s="73" t="s">
        <v>3443</v>
      </c>
      <c r="C2977" s="74">
        <v>8.92120044E8</v>
      </c>
      <c r="D2977" s="73" t="s">
        <v>3444</v>
      </c>
      <c r="E2977" s="72">
        <v>17.0</v>
      </c>
      <c r="F2977" s="77">
        <v>37253.0</v>
      </c>
      <c r="G2977" s="76"/>
      <c r="H2977" s="76"/>
      <c r="I2977" s="73" t="s">
        <v>366</v>
      </c>
      <c r="J2977" s="76"/>
    </row>
    <row r="2978">
      <c r="A2978" s="74">
        <v>2968.0</v>
      </c>
      <c r="B2978" s="73" t="s">
        <v>3443</v>
      </c>
      <c r="C2978" s="74">
        <v>8.92100092E8</v>
      </c>
      <c r="D2978" s="73" t="s">
        <v>3445</v>
      </c>
      <c r="E2978" s="72">
        <v>2.0</v>
      </c>
      <c r="F2978" s="75">
        <v>37287.0</v>
      </c>
      <c r="G2978" s="76"/>
      <c r="H2978" s="76"/>
      <c r="I2978" s="73" t="s">
        <v>366</v>
      </c>
      <c r="J2978" s="76"/>
    </row>
    <row r="2979">
      <c r="A2979" s="74">
        <v>2969.0</v>
      </c>
      <c r="B2979" s="73" t="s">
        <v>3443</v>
      </c>
      <c r="C2979" s="74">
        <v>8.25000168E8</v>
      </c>
      <c r="D2979" s="73" t="s">
        <v>3446</v>
      </c>
      <c r="E2979" s="72">
        <v>2.0</v>
      </c>
      <c r="F2979" s="75">
        <v>38008.0</v>
      </c>
      <c r="G2979" s="76"/>
      <c r="H2979" s="76"/>
      <c r="I2979" s="73" t="s">
        <v>366</v>
      </c>
      <c r="J2979" s="76"/>
    </row>
    <row r="2980">
      <c r="A2980" s="74">
        <v>2970.0</v>
      </c>
      <c r="B2980" s="73" t="s">
        <v>3443</v>
      </c>
      <c r="C2980" s="74">
        <v>8.2500329E8</v>
      </c>
      <c r="D2980" s="73" t="s">
        <v>3447</v>
      </c>
      <c r="E2980" s="72">
        <v>21.0</v>
      </c>
      <c r="F2980" s="77">
        <v>38314.0</v>
      </c>
      <c r="G2980" s="76"/>
      <c r="H2980" s="76"/>
      <c r="I2980" s="73" t="s">
        <v>366</v>
      </c>
      <c r="J2980" s="76"/>
    </row>
    <row r="2981">
      <c r="A2981" s="74">
        <v>2971.0</v>
      </c>
      <c r="B2981" s="73" t="s">
        <v>3443</v>
      </c>
      <c r="C2981" s="74">
        <v>8.305139E8</v>
      </c>
      <c r="D2981" s="73" t="s">
        <v>3448</v>
      </c>
      <c r="E2981" s="72">
        <v>8.0</v>
      </c>
      <c r="F2981" s="75">
        <v>38446.0</v>
      </c>
      <c r="G2981" s="76"/>
      <c r="H2981" s="76"/>
      <c r="I2981" s="73" t="s">
        <v>366</v>
      </c>
      <c r="J2981" s="76"/>
    </row>
    <row r="2982">
      <c r="A2982" s="74">
        <v>2972.0</v>
      </c>
      <c r="B2982" s="73" t="s">
        <v>3443</v>
      </c>
      <c r="C2982" s="74">
        <v>8.25000164E8</v>
      </c>
      <c r="D2982" s="73" t="s">
        <v>3449</v>
      </c>
      <c r="E2982" s="72">
        <v>16.0</v>
      </c>
      <c r="F2982" s="75">
        <v>39616.0</v>
      </c>
      <c r="G2982" s="76"/>
      <c r="H2982" s="76"/>
      <c r="I2982" s="73" t="s">
        <v>366</v>
      </c>
      <c r="J2982" s="76"/>
    </row>
    <row r="2983">
      <c r="A2983" s="74">
        <v>2973.0</v>
      </c>
      <c r="B2983" s="73" t="s">
        <v>3443</v>
      </c>
      <c r="C2983" s="74">
        <v>9.00038152E8</v>
      </c>
      <c r="D2983" s="73" t="s">
        <v>3450</v>
      </c>
      <c r="E2983" s="72">
        <v>15.0</v>
      </c>
      <c r="F2983" s="75">
        <v>39654.0</v>
      </c>
      <c r="G2983" s="76"/>
      <c r="H2983" s="76"/>
      <c r="I2983" s="73" t="s">
        <v>366</v>
      </c>
      <c r="J2983" s="76"/>
    </row>
    <row r="2984">
      <c r="A2984" s="74">
        <v>2974.0</v>
      </c>
      <c r="B2984" s="73" t="s">
        <v>3443</v>
      </c>
      <c r="C2984" s="74">
        <v>9.00392495E8</v>
      </c>
      <c r="D2984" s="73" t="s">
        <v>3451</v>
      </c>
      <c r="E2984" s="72">
        <v>2.0</v>
      </c>
      <c r="F2984" s="75">
        <v>40632.0</v>
      </c>
      <c r="G2984" s="76"/>
      <c r="H2984" s="76"/>
      <c r="I2984" s="73" t="s">
        <v>366</v>
      </c>
      <c r="J2984" s="76"/>
    </row>
    <row r="2985">
      <c r="A2985" s="74">
        <v>2975.0</v>
      </c>
      <c r="B2985" s="73" t="s">
        <v>3443</v>
      </c>
      <c r="C2985" s="74">
        <v>9.01089478E8</v>
      </c>
      <c r="D2985" s="73" t="s">
        <v>3452</v>
      </c>
      <c r="E2985" s="72">
        <v>3.0</v>
      </c>
      <c r="F2985" s="75">
        <v>42942.0</v>
      </c>
      <c r="G2985" s="76"/>
      <c r="H2985" s="76"/>
      <c r="I2985" s="73" t="s">
        <v>366</v>
      </c>
      <c r="J2985" s="76"/>
    </row>
    <row r="2986">
      <c r="A2986" s="74">
        <v>2976.0</v>
      </c>
      <c r="B2986" s="73" t="s">
        <v>3443</v>
      </c>
      <c r="C2986" s="74">
        <v>9.00694376E8</v>
      </c>
      <c r="D2986" s="73" t="s">
        <v>3453</v>
      </c>
      <c r="E2986" s="72">
        <v>2.0213040017455E13</v>
      </c>
      <c r="F2986" s="75">
        <v>44313.0</v>
      </c>
      <c r="G2986" s="76"/>
      <c r="H2986" s="76"/>
      <c r="I2986" s="73" t="s">
        <v>366</v>
      </c>
      <c r="J2986" s="76"/>
    </row>
    <row r="2987">
      <c r="A2987" s="74">
        <v>2977.0</v>
      </c>
      <c r="B2987" s="73" t="s">
        <v>3443</v>
      </c>
      <c r="C2987" s="74">
        <v>9.01571898E8</v>
      </c>
      <c r="D2987" s="73" t="s">
        <v>3454</v>
      </c>
      <c r="E2987" s="72">
        <v>2.0232440003125E13</v>
      </c>
      <c r="F2987" s="75">
        <v>44956.0</v>
      </c>
      <c r="G2987" s="76"/>
      <c r="H2987" s="76"/>
      <c r="I2987" s="73" t="s">
        <v>366</v>
      </c>
      <c r="J2987" s="76"/>
    </row>
    <row r="2988">
      <c r="A2988" s="74">
        <v>2978.0</v>
      </c>
      <c r="B2988" s="73" t="s">
        <v>3443</v>
      </c>
      <c r="C2988" s="74">
        <v>9.01729522E8</v>
      </c>
      <c r="D2988" s="73" t="s">
        <v>3455</v>
      </c>
      <c r="E2988" s="72">
        <v>2.0232440036195E13</v>
      </c>
      <c r="F2988" s="75">
        <v>45162.0</v>
      </c>
      <c r="G2988" s="76"/>
      <c r="H2988" s="76"/>
      <c r="I2988" s="73" t="s">
        <v>366</v>
      </c>
      <c r="J2988" s="76"/>
    </row>
    <row r="2989">
      <c r="A2989" s="74">
        <v>2979.0</v>
      </c>
      <c r="B2989" s="73" t="s">
        <v>3443</v>
      </c>
      <c r="C2989" s="74">
        <v>9.01150922E8</v>
      </c>
      <c r="D2989" s="73" t="s">
        <v>3456</v>
      </c>
      <c r="E2989" s="72">
        <v>2.0232440041745E13</v>
      </c>
      <c r="F2989" s="75">
        <v>45196.0</v>
      </c>
      <c r="G2989" s="76"/>
      <c r="H2989" s="76"/>
      <c r="I2989" s="73" t="s">
        <v>366</v>
      </c>
      <c r="J2989" s="76"/>
    </row>
    <row r="2990">
      <c r="A2990" s="74">
        <v>2980.0</v>
      </c>
      <c r="B2990" s="73" t="s">
        <v>3443</v>
      </c>
      <c r="C2990" s="74">
        <v>9.01755067E8</v>
      </c>
      <c r="D2990" s="73" t="s">
        <v>3457</v>
      </c>
      <c r="E2990" s="72">
        <v>2.0232440044445E13</v>
      </c>
      <c r="F2990" s="77">
        <v>45212.0</v>
      </c>
      <c r="G2990" s="76"/>
      <c r="H2990" s="76"/>
      <c r="I2990" s="73" t="s">
        <v>366</v>
      </c>
      <c r="J2990" s="76"/>
    </row>
    <row r="2991">
      <c r="A2991" s="74">
        <v>2981.0</v>
      </c>
      <c r="B2991" s="73" t="s">
        <v>3443</v>
      </c>
      <c r="C2991" s="74">
        <v>9.01762009E8</v>
      </c>
      <c r="D2991" s="73" t="s">
        <v>3458</v>
      </c>
      <c r="E2991" s="72">
        <v>2.0232440047475E13</v>
      </c>
      <c r="F2991" s="77">
        <v>45232.0</v>
      </c>
      <c r="G2991" s="76"/>
      <c r="H2991" s="76"/>
      <c r="I2991" s="73" t="s">
        <v>366</v>
      </c>
      <c r="J2991" s="76"/>
    </row>
    <row r="2992">
      <c r="A2992" s="74">
        <v>2982.0</v>
      </c>
      <c r="B2992" s="73" t="s">
        <v>3443</v>
      </c>
      <c r="C2992" s="74">
        <v>9.01769214E8</v>
      </c>
      <c r="D2992" s="73" t="s">
        <v>3459</v>
      </c>
      <c r="E2992" s="72">
        <v>2.0232440051445E13</v>
      </c>
      <c r="F2992" s="77">
        <v>45258.0</v>
      </c>
      <c r="G2992" s="76"/>
      <c r="H2992" s="76"/>
      <c r="I2992" s="73" t="s">
        <v>366</v>
      </c>
      <c r="J2992" s="76"/>
    </row>
    <row r="2993">
      <c r="A2993" s="74">
        <v>2983.0</v>
      </c>
      <c r="B2993" s="73" t="s">
        <v>3443</v>
      </c>
      <c r="C2993" s="74">
        <v>9.01775625E8</v>
      </c>
      <c r="D2993" s="73" t="s">
        <v>3460</v>
      </c>
      <c r="E2993" s="72">
        <v>2.0242440001235E13</v>
      </c>
      <c r="F2993" s="75">
        <v>45308.0</v>
      </c>
      <c r="G2993" s="76"/>
      <c r="H2993" s="76"/>
      <c r="I2993" s="73" t="s">
        <v>366</v>
      </c>
      <c r="J2993" s="76"/>
    </row>
    <row r="2994">
      <c r="A2994" s="74">
        <v>2984.0</v>
      </c>
      <c r="B2994" s="73" t="s">
        <v>3443</v>
      </c>
      <c r="C2994" s="74">
        <v>9.01814916E8</v>
      </c>
      <c r="D2994" s="73" t="s">
        <v>3461</v>
      </c>
      <c r="E2994" s="72">
        <v>2.0242440017395E13</v>
      </c>
      <c r="F2994" s="75">
        <v>45406.0</v>
      </c>
      <c r="G2994" s="76"/>
      <c r="H2994" s="76"/>
      <c r="I2994" s="73" t="s">
        <v>366</v>
      </c>
      <c r="J2994" s="76"/>
    </row>
    <row r="2995">
      <c r="A2995" s="74">
        <v>2985.0</v>
      </c>
      <c r="B2995" s="73" t="s">
        <v>3443</v>
      </c>
      <c r="C2995" s="74">
        <v>9.01837236E8</v>
      </c>
      <c r="D2995" s="73" t="s">
        <v>3462</v>
      </c>
      <c r="E2995" s="72">
        <v>2.0242440752041E13</v>
      </c>
      <c r="F2995" s="75">
        <v>45470.0</v>
      </c>
      <c r="G2995" s="76"/>
      <c r="H2995" s="76"/>
      <c r="I2995" s="73" t="s">
        <v>366</v>
      </c>
      <c r="J2995" s="76"/>
    </row>
    <row r="2996">
      <c r="A2996" s="74">
        <v>2986.0</v>
      </c>
      <c r="B2996" s="73" t="s">
        <v>3443</v>
      </c>
      <c r="C2996" s="74">
        <v>9.01837717E8</v>
      </c>
      <c r="D2996" s="73" t="s">
        <v>3463</v>
      </c>
      <c r="E2996" s="72">
        <v>2.0242440031865E13</v>
      </c>
      <c r="F2996" s="75">
        <v>45485.0</v>
      </c>
      <c r="G2996" s="76"/>
      <c r="H2996" s="76"/>
      <c r="I2996" s="73" t="s">
        <v>366</v>
      </c>
      <c r="J2996" s="76"/>
    </row>
    <row r="2997">
      <c r="A2997" s="74">
        <v>2987.0</v>
      </c>
      <c r="B2997" s="73" t="s">
        <v>3443</v>
      </c>
      <c r="C2997" s="74">
        <v>9.0184032E8</v>
      </c>
      <c r="D2997" s="73" t="s">
        <v>3464</v>
      </c>
      <c r="E2997" s="72">
        <v>2.0242440045995E13</v>
      </c>
      <c r="F2997" s="75">
        <v>45559.0</v>
      </c>
      <c r="G2997" s="76"/>
      <c r="H2997" s="76"/>
      <c r="I2997" s="73" t="s">
        <v>366</v>
      </c>
      <c r="J2997" s="76"/>
    </row>
    <row r="2998">
      <c r="A2998" s="74">
        <v>2988.0</v>
      </c>
      <c r="B2998" s="73" t="s">
        <v>3465</v>
      </c>
      <c r="C2998" s="74">
        <v>9.00617599E8</v>
      </c>
      <c r="D2998" s="73" t="s">
        <v>3466</v>
      </c>
      <c r="E2998" s="72">
        <v>44.0</v>
      </c>
      <c r="F2998" s="75">
        <v>43237.0</v>
      </c>
      <c r="G2998" s="76"/>
      <c r="H2998" s="76"/>
      <c r="I2998" s="73" t="s">
        <v>366</v>
      </c>
      <c r="J2998" s="76"/>
    </row>
    <row r="2999">
      <c r="A2999" s="74">
        <v>2989.0</v>
      </c>
      <c r="B2999" s="73" t="s">
        <v>3465</v>
      </c>
      <c r="C2999" s="74">
        <v>9.01319604E8</v>
      </c>
      <c r="D2999" s="73" t="s">
        <v>3467</v>
      </c>
      <c r="E2999" s="72">
        <v>421.0</v>
      </c>
      <c r="F2999" s="75">
        <v>43733.0</v>
      </c>
      <c r="G2999" s="76"/>
      <c r="H2999" s="76"/>
      <c r="I2999" s="73" t="s">
        <v>366</v>
      </c>
      <c r="J2999" s="76"/>
    </row>
    <row r="3000">
      <c r="A3000" s="74">
        <v>2990.0</v>
      </c>
      <c r="B3000" s="73" t="s">
        <v>3465</v>
      </c>
      <c r="C3000" s="74">
        <v>9.01322006E8</v>
      </c>
      <c r="D3000" s="73" t="s">
        <v>3468</v>
      </c>
      <c r="E3000" s="72">
        <v>477.0</v>
      </c>
      <c r="F3000" s="77">
        <v>43753.0</v>
      </c>
      <c r="G3000" s="76"/>
      <c r="H3000" s="76"/>
      <c r="I3000" s="73" t="s">
        <v>366</v>
      </c>
      <c r="J3000" s="76"/>
    </row>
    <row r="3001">
      <c r="A3001" s="74">
        <v>2991.0</v>
      </c>
      <c r="B3001" s="73" t="s">
        <v>3465</v>
      </c>
      <c r="C3001" s="74">
        <v>9.01330529E8</v>
      </c>
      <c r="D3001" s="73" t="s">
        <v>3469</v>
      </c>
      <c r="E3001" s="72">
        <v>532.0</v>
      </c>
      <c r="F3001" s="77">
        <v>43774.0</v>
      </c>
      <c r="G3001" s="76"/>
      <c r="H3001" s="76"/>
      <c r="I3001" s="73" t="s">
        <v>366</v>
      </c>
      <c r="J3001" s="76"/>
    </row>
    <row r="3002">
      <c r="A3002" s="74">
        <v>2992.0</v>
      </c>
      <c r="B3002" s="73" t="s">
        <v>3465</v>
      </c>
      <c r="C3002" s="74">
        <v>9.01323823E8</v>
      </c>
      <c r="D3002" s="73" t="s">
        <v>3470</v>
      </c>
      <c r="E3002" s="72">
        <v>533.0</v>
      </c>
      <c r="F3002" s="77">
        <v>43775.0</v>
      </c>
      <c r="G3002" s="76"/>
      <c r="H3002" s="76"/>
      <c r="I3002" s="73" t="s">
        <v>366</v>
      </c>
      <c r="J3002" s="76"/>
    </row>
    <row r="3003">
      <c r="A3003" s="74">
        <v>2993.0</v>
      </c>
      <c r="B3003" s="73" t="s">
        <v>3465</v>
      </c>
      <c r="C3003" s="74">
        <v>9.01334766E8</v>
      </c>
      <c r="D3003" s="73" t="s">
        <v>3471</v>
      </c>
      <c r="E3003" s="72">
        <v>542.0</v>
      </c>
      <c r="F3003" s="77">
        <v>43791.0</v>
      </c>
      <c r="G3003" s="76"/>
      <c r="H3003" s="76"/>
      <c r="I3003" s="73" t="s">
        <v>366</v>
      </c>
      <c r="J3003" s="76"/>
    </row>
    <row r="3004">
      <c r="A3004" s="74">
        <v>2994.0</v>
      </c>
      <c r="B3004" s="73" t="s">
        <v>3465</v>
      </c>
      <c r="C3004" s="74">
        <v>9.00553681E8</v>
      </c>
      <c r="D3004" s="73" t="s">
        <v>3472</v>
      </c>
      <c r="E3004" s="72">
        <v>548.0</v>
      </c>
      <c r="F3004" s="77">
        <v>43795.0</v>
      </c>
      <c r="G3004" s="76"/>
      <c r="H3004" s="76"/>
      <c r="I3004" s="73" t="s">
        <v>366</v>
      </c>
      <c r="J3004" s="76"/>
    </row>
    <row r="3005">
      <c r="A3005" s="74">
        <v>2995.0</v>
      </c>
      <c r="B3005" s="73" t="s">
        <v>3465</v>
      </c>
      <c r="C3005" s="74">
        <v>9.01318579E8</v>
      </c>
      <c r="D3005" s="73" t="s">
        <v>3473</v>
      </c>
      <c r="E3005" s="72">
        <v>557.0</v>
      </c>
      <c r="F3005" s="77">
        <v>43815.0</v>
      </c>
      <c r="G3005" s="76"/>
      <c r="H3005" s="76"/>
      <c r="I3005" s="73" t="s">
        <v>366</v>
      </c>
      <c r="J3005" s="76"/>
    </row>
    <row r="3006">
      <c r="A3006" s="74">
        <v>2996.0</v>
      </c>
      <c r="B3006" s="73" t="s">
        <v>3465</v>
      </c>
      <c r="C3006" s="74">
        <v>9.01330123E8</v>
      </c>
      <c r="D3006" s="73" t="s">
        <v>3474</v>
      </c>
      <c r="E3006" s="72">
        <v>559.0</v>
      </c>
      <c r="F3006" s="77">
        <v>43815.0</v>
      </c>
      <c r="G3006" s="76"/>
      <c r="H3006" s="76"/>
      <c r="I3006" s="73" t="s">
        <v>366</v>
      </c>
      <c r="J3006" s="76"/>
    </row>
    <row r="3007">
      <c r="A3007" s="85">
        <v>2997.0</v>
      </c>
      <c r="B3007" s="79" t="s">
        <v>3465</v>
      </c>
      <c r="C3007" s="80">
        <v>9.01343079E8</v>
      </c>
      <c r="D3007" s="79" t="s">
        <v>3475</v>
      </c>
      <c r="E3007" s="81">
        <v>1.0</v>
      </c>
      <c r="F3007" s="84">
        <v>43832.0</v>
      </c>
      <c r="G3007" s="83"/>
      <c r="H3007" s="83"/>
      <c r="I3007" s="73" t="s">
        <v>366</v>
      </c>
      <c r="J3007" s="76"/>
    </row>
    <row r="3008">
      <c r="A3008" s="74">
        <v>2998.0</v>
      </c>
      <c r="B3008" s="73" t="s">
        <v>3465</v>
      </c>
      <c r="C3008" s="74">
        <v>9.01320876E8</v>
      </c>
      <c r="D3008" s="73" t="s">
        <v>3476</v>
      </c>
      <c r="E3008" s="72">
        <v>28.0</v>
      </c>
      <c r="F3008" s="75">
        <v>43861.0</v>
      </c>
      <c r="G3008" s="76"/>
      <c r="H3008" s="76"/>
      <c r="I3008" s="73" t="s">
        <v>366</v>
      </c>
      <c r="J3008" s="76"/>
    </row>
    <row r="3009">
      <c r="A3009" s="74">
        <v>2999.0</v>
      </c>
      <c r="B3009" s="73" t="s">
        <v>3465</v>
      </c>
      <c r="C3009" s="74">
        <v>9.01211744E8</v>
      </c>
      <c r="D3009" s="73" t="s">
        <v>3477</v>
      </c>
      <c r="E3009" s="72">
        <v>34.0</v>
      </c>
      <c r="F3009" s="75">
        <v>43871.0</v>
      </c>
      <c r="G3009" s="76"/>
      <c r="H3009" s="76"/>
      <c r="I3009" s="73" t="s">
        <v>366</v>
      </c>
      <c r="J3009" s="76"/>
    </row>
    <row r="3010">
      <c r="A3010" s="74">
        <v>3000.0</v>
      </c>
      <c r="B3010" s="73" t="s">
        <v>3465</v>
      </c>
      <c r="C3010" s="74">
        <v>9.01332867E8</v>
      </c>
      <c r="D3010" s="73" t="s">
        <v>3478</v>
      </c>
      <c r="E3010" s="72">
        <v>35.0</v>
      </c>
      <c r="F3010" s="75">
        <v>43871.0</v>
      </c>
      <c r="G3010" s="76"/>
      <c r="H3010" s="76"/>
      <c r="I3010" s="73" t="s">
        <v>366</v>
      </c>
      <c r="J3010" s="76"/>
    </row>
    <row r="3011">
      <c r="A3011" s="74">
        <v>3001.0</v>
      </c>
      <c r="B3011" s="73" t="s">
        <v>3465</v>
      </c>
      <c r="C3011" s="74">
        <v>9.01261682E8</v>
      </c>
      <c r="D3011" s="73" t="s">
        <v>3479</v>
      </c>
      <c r="E3011" s="72">
        <v>127.0</v>
      </c>
      <c r="F3011" s="75">
        <v>43882.0</v>
      </c>
      <c r="G3011" s="76"/>
      <c r="H3011" s="76"/>
      <c r="I3011" s="73" t="s">
        <v>366</v>
      </c>
      <c r="J3011" s="76"/>
    </row>
    <row r="3012">
      <c r="A3012" s="74">
        <v>3002.0</v>
      </c>
      <c r="B3012" s="73" t="s">
        <v>3465</v>
      </c>
      <c r="C3012" s="74">
        <v>9.01346228E8</v>
      </c>
      <c r="D3012" s="73" t="s">
        <v>3480</v>
      </c>
      <c r="E3012" s="72">
        <v>144.0</v>
      </c>
      <c r="F3012" s="75">
        <v>43887.0</v>
      </c>
      <c r="G3012" s="72">
        <v>2.0253040000675E13</v>
      </c>
      <c r="H3012" s="75">
        <v>45673.0</v>
      </c>
      <c r="I3012" s="73" t="s">
        <v>366</v>
      </c>
      <c r="J3012" s="73" t="s">
        <v>3481</v>
      </c>
    </row>
    <row r="3013">
      <c r="A3013" s="74">
        <v>3003.0</v>
      </c>
      <c r="B3013" s="73" t="s">
        <v>3465</v>
      </c>
      <c r="C3013" s="74">
        <v>9.01117107E8</v>
      </c>
      <c r="D3013" s="73" t="s">
        <v>3482</v>
      </c>
      <c r="E3013" s="72">
        <v>178.0</v>
      </c>
      <c r="F3013" s="75">
        <v>43917.0</v>
      </c>
      <c r="G3013" s="76"/>
      <c r="H3013" s="76"/>
      <c r="I3013" s="73" t="s">
        <v>366</v>
      </c>
      <c r="J3013" s="76"/>
    </row>
    <row r="3014">
      <c r="A3014" s="74">
        <v>3004.0</v>
      </c>
      <c r="B3014" s="73" t="s">
        <v>3465</v>
      </c>
      <c r="C3014" s="74">
        <v>9.01077201E8</v>
      </c>
      <c r="D3014" s="73" t="s">
        <v>3483</v>
      </c>
      <c r="E3014" s="72">
        <v>2.0203040000085E13</v>
      </c>
      <c r="F3014" s="75">
        <v>43929.0</v>
      </c>
      <c r="G3014" s="76"/>
      <c r="H3014" s="76"/>
      <c r="I3014" s="73" t="s">
        <v>366</v>
      </c>
      <c r="J3014" s="76"/>
    </row>
    <row r="3015">
      <c r="A3015" s="74">
        <v>3005.0</v>
      </c>
      <c r="B3015" s="73" t="s">
        <v>3465</v>
      </c>
      <c r="C3015" s="74">
        <v>9.01382472E8</v>
      </c>
      <c r="D3015" s="73" t="s">
        <v>3484</v>
      </c>
      <c r="E3015" s="72">
        <v>2.0203040006985E13</v>
      </c>
      <c r="F3015" s="75">
        <v>44008.0</v>
      </c>
      <c r="G3015" s="76"/>
      <c r="H3015" s="76"/>
      <c r="I3015" s="73" t="s">
        <v>366</v>
      </c>
      <c r="J3015" s="76"/>
    </row>
    <row r="3016">
      <c r="A3016" s="74">
        <v>3006.0</v>
      </c>
      <c r="B3016" s="73" t="s">
        <v>3465</v>
      </c>
      <c r="C3016" s="74">
        <v>9.01106523E8</v>
      </c>
      <c r="D3016" s="73" t="s">
        <v>3485</v>
      </c>
      <c r="E3016" s="72">
        <v>2.0203040013675E13</v>
      </c>
      <c r="F3016" s="75">
        <v>44011.0</v>
      </c>
      <c r="G3016" s="76"/>
      <c r="H3016" s="76"/>
      <c r="I3016" s="73" t="s">
        <v>366</v>
      </c>
      <c r="J3016" s="76"/>
    </row>
    <row r="3017">
      <c r="A3017" s="74">
        <v>3007.0</v>
      </c>
      <c r="B3017" s="73" t="s">
        <v>3465</v>
      </c>
      <c r="C3017" s="74">
        <v>9.01275607E8</v>
      </c>
      <c r="D3017" s="73" t="s">
        <v>3486</v>
      </c>
      <c r="E3017" s="72">
        <v>2.0203040007205E13</v>
      </c>
      <c r="F3017" s="75">
        <v>44012.0</v>
      </c>
      <c r="G3017" s="76"/>
      <c r="H3017" s="76"/>
      <c r="I3017" s="73" t="s">
        <v>366</v>
      </c>
      <c r="J3017" s="76"/>
    </row>
    <row r="3018">
      <c r="A3018" s="74">
        <v>3008.0</v>
      </c>
      <c r="B3018" s="73" t="s">
        <v>3465</v>
      </c>
      <c r="C3018" s="74">
        <v>9.01367695E8</v>
      </c>
      <c r="D3018" s="73" t="s">
        <v>3487</v>
      </c>
      <c r="E3018" s="72">
        <v>2.0203040010005E13</v>
      </c>
      <c r="F3018" s="75">
        <v>44046.0</v>
      </c>
      <c r="G3018" s="76"/>
      <c r="H3018" s="76"/>
      <c r="I3018" s="73" t="s">
        <v>366</v>
      </c>
      <c r="J3018" s="76"/>
    </row>
    <row r="3019">
      <c r="A3019" s="74">
        <v>3009.0</v>
      </c>
      <c r="B3019" s="73" t="s">
        <v>3465</v>
      </c>
      <c r="C3019" s="74">
        <v>9.0139279E8</v>
      </c>
      <c r="D3019" s="73" t="s">
        <v>3488</v>
      </c>
      <c r="E3019" s="72">
        <v>2.0203040010205E13</v>
      </c>
      <c r="F3019" s="75">
        <v>44048.0</v>
      </c>
      <c r="G3019" s="76"/>
      <c r="H3019" s="76"/>
      <c r="I3019" s="73" t="s">
        <v>366</v>
      </c>
      <c r="J3019" s="76"/>
    </row>
    <row r="3020">
      <c r="A3020" s="74">
        <v>3010.0</v>
      </c>
      <c r="B3020" s="73" t="s">
        <v>3465</v>
      </c>
      <c r="C3020" s="74">
        <v>9.0121682E8</v>
      </c>
      <c r="D3020" s="73" t="s">
        <v>3489</v>
      </c>
      <c r="E3020" s="72">
        <v>2.0203040010605E13</v>
      </c>
      <c r="F3020" s="75">
        <v>44054.0</v>
      </c>
      <c r="G3020" s="76"/>
      <c r="H3020" s="76"/>
      <c r="I3020" s="73" t="s">
        <v>366</v>
      </c>
      <c r="J3020" s="76"/>
    </row>
    <row r="3021">
      <c r="A3021" s="74">
        <v>3011.0</v>
      </c>
      <c r="B3021" s="73" t="s">
        <v>3465</v>
      </c>
      <c r="C3021" s="74">
        <v>9.01219396E8</v>
      </c>
      <c r="D3021" s="73" t="s">
        <v>3490</v>
      </c>
      <c r="E3021" s="72">
        <v>2.0203040010675E13</v>
      </c>
      <c r="F3021" s="75">
        <v>44055.0</v>
      </c>
      <c r="G3021" s="76"/>
      <c r="H3021" s="76"/>
      <c r="I3021" s="73" t="s">
        <v>366</v>
      </c>
      <c r="J3021" s="76"/>
    </row>
    <row r="3022">
      <c r="A3022" s="74">
        <v>3012.0</v>
      </c>
      <c r="B3022" s="73" t="s">
        <v>3465</v>
      </c>
      <c r="C3022" s="74">
        <v>9.01395783E8</v>
      </c>
      <c r="D3022" s="73" t="s">
        <v>3491</v>
      </c>
      <c r="E3022" s="72">
        <v>2.0203040011511E13</v>
      </c>
      <c r="F3022" s="75">
        <v>44068.0</v>
      </c>
      <c r="G3022" s="76"/>
      <c r="H3022" s="76"/>
      <c r="I3022" s="73" t="s">
        <v>366</v>
      </c>
      <c r="J3022" s="76"/>
    </row>
    <row r="3023">
      <c r="A3023" s="74">
        <v>3013.0</v>
      </c>
      <c r="B3023" s="73" t="s">
        <v>3465</v>
      </c>
      <c r="C3023" s="74">
        <v>9.00944282E8</v>
      </c>
      <c r="D3023" s="73" t="s">
        <v>3492</v>
      </c>
      <c r="E3023" s="72">
        <v>2.0203040011875E13</v>
      </c>
      <c r="F3023" s="75">
        <v>44071.0</v>
      </c>
      <c r="G3023" s="76"/>
      <c r="H3023" s="76"/>
      <c r="I3023" s="73" t="s">
        <v>366</v>
      </c>
      <c r="J3023" s="76"/>
    </row>
    <row r="3024">
      <c r="A3024" s="74">
        <v>3014.0</v>
      </c>
      <c r="B3024" s="73" t="s">
        <v>3465</v>
      </c>
      <c r="C3024" s="74">
        <v>9.01410804E8</v>
      </c>
      <c r="D3024" s="73" t="s">
        <v>3493</v>
      </c>
      <c r="E3024" s="72">
        <v>2.0203040022255E13</v>
      </c>
      <c r="F3024" s="77">
        <v>44152.0</v>
      </c>
      <c r="G3024" s="76"/>
      <c r="H3024" s="76"/>
      <c r="I3024" s="73" t="s">
        <v>366</v>
      </c>
      <c r="J3024" s="76"/>
    </row>
    <row r="3025">
      <c r="A3025" s="74">
        <v>3015.0</v>
      </c>
      <c r="B3025" s="73" t="s">
        <v>3465</v>
      </c>
      <c r="C3025" s="74">
        <v>9.01418092E8</v>
      </c>
      <c r="D3025" s="73" t="s">
        <v>3494</v>
      </c>
      <c r="E3025" s="72">
        <v>2.0203040027675E13</v>
      </c>
      <c r="F3025" s="77">
        <v>44172.0</v>
      </c>
      <c r="G3025" s="76"/>
      <c r="H3025" s="76"/>
      <c r="I3025" s="73" t="s">
        <v>366</v>
      </c>
      <c r="J3025" s="76"/>
    </row>
    <row r="3026">
      <c r="A3026" s="74">
        <v>3016.0</v>
      </c>
      <c r="B3026" s="73" t="s">
        <v>3465</v>
      </c>
      <c r="C3026" s="74">
        <v>9.01419882E8</v>
      </c>
      <c r="D3026" s="73" t="s">
        <v>3495</v>
      </c>
      <c r="E3026" s="72">
        <v>2.0203040032495E13</v>
      </c>
      <c r="F3026" s="77">
        <v>44188.0</v>
      </c>
      <c r="G3026" s="76"/>
      <c r="H3026" s="76"/>
      <c r="I3026" s="73" t="s">
        <v>366</v>
      </c>
      <c r="J3026" s="76"/>
    </row>
    <row r="3027">
      <c r="A3027" s="74">
        <v>3017.0</v>
      </c>
      <c r="B3027" s="73" t="s">
        <v>3465</v>
      </c>
      <c r="C3027" s="74">
        <v>9.01431767E8</v>
      </c>
      <c r="D3027" s="73" t="s">
        <v>3496</v>
      </c>
      <c r="E3027" s="72">
        <v>2.0203040032905E13</v>
      </c>
      <c r="F3027" s="77">
        <v>44188.0</v>
      </c>
      <c r="G3027" s="76"/>
      <c r="H3027" s="76"/>
      <c r="I3027" s="73" t="s">
        <v>366</v>
      </c>
      <c r="J3027" s="76"/>
    </row>
    <row r="3028">
      <c r="A3028" s="74">
        <v>3018.0</v>
      </c>
      <c r="B3028" s="73" t="s">
        <v>3465</v>
      </c>
      <c r="C3028" s="74">
        <v>9.01425747E8</v>
      </c>
      <c r="D3028" s="73" t="s">
        <v>3497</v>
      </c>
      <c r="E3028" s="72">
        <v>2.0203040033555E13</v>
      </c>
      <c r="F3028" s="77">
        <v>44193.0</v>
      </c>
      <c r="G3028" s="76"/>
      <c r="H3028" s="76"/>
      <c r="I3028" s="73" t="s">
        <v>366</v>
      </c>
      <c r="J3028" s="76"/>
    </row>
    <row r="3029">
      <c r="A3029" s="74">
        <v>3019.0</v>
      </c>
      <c r="B3029" s="73" t="s">
        <v>3465</v>
      </c>
      <c r="C3029" s="74">
        <v>9.01441852E8</v>
      </c>
      <c r="D3029" s="73" t="s">
        <v>3498</v>
      </c>
      <c r="E3029" s="72">
        <v>2.0213040002995E13</v>
      </c>
      <c r="F3029" s="75">
        <v>44222.0</v>
      </c>
      <c r="G3029" s="72">
        <v>2.0253040003685E13</v>
      </c>
      <c r="H3029" s="75">
        <v>45698.0</v>
      </c>
      <c r="I3029" s="73" t="s">
        <v>366</v>
      </c>
      <c r="J3029" s="73" t="s">
        <v>3481</v>
      </c>
    </row>
    <row r="3030">
      <c r="A3030" s="74">
        <v>3020.0</v>
      </c>
      <c r="B3030" s="73" t="s">
        <v>3465</v>
      </c>
      <c r="C3030" s="74">
        <v>9.01429134E8</v>
      </c>
      <c r="D3030" s="73" t="s">
        <v>3499</v>
      </c>
      <c r="E3030" s="72">
        <v>2.0213040005845E13</v>
      </c>
      <c r="F3030" s="75">
        <v>44242.0</v>
      </c>
      <c r="G3030" s="72">
        <v>2.0253040003535E13</v>
      </c>
      <c r="H3030" s="75">
        <v>45698.0</v>
      </c>
      <c r="I3030" s="73" t="s">
        <v>366</v>
      </c>
      <c r="J3030" s="73" t="s">
        <v>3500</v>
      </c>
    </row>
    <row r="3031">
      <c r="A3031" s="74">
        <v>3021.0</v>
      </c>
      <c r="B3031" s="73" t="s">
        <v>3465</v>
      </c>
      <c r="C3031" s="74">
        <v>9.00994255E8</v>
      </c>
      <c r="D3031" s="73" t="s">
        <v>3501</v>
      </c>
      <c r="E3031" s="72">
        <v>2.0213040010775E13</v>
      </c>
      <c r="F3031" s="75">
        <v>44267.0</v>
      </c>
      <c r="G3031" s="76"/>
      <c r="H3031" s="76"/>
      <c r="I3031" s="73" t="s">
        <v>366</v>
      </c>
      <c r="J3031" s="76"/>
    </row>
    <row r="3032">
      <c r="A3032" s="74">
        <v>3022.0</v>
      </c>
      <c r="B3032" s="73" t="s">
        <v>3465</v>
      </c>
      <c r="C3032" s="74">
        <v>9.01457284E8</v>
      </c>
      <c r="D3032" s="73" t="s">
        <v>3502</v>
      </c>
      <c r="E3032" s="72">
        <v>2.0212470016255E13</v>
      </c>
      <c r="F3032" s="75">
        <v>44305.0</v>
      </c>
      <c r="G3032" s="76"/>
      <c r="H3032" s="76"/>
      <c r="I3032" s="73" t="s">
        <v>366</v>
      </c>
      <c r="J3032" s="76"/>
    </row>
    <row r="3033">
      <c r="A3033" s="74">
        <v>3023.0</v>
      </c>
      <c r="B3033" s="73" t="s">
        <v>3465</v>
      </c>
      <c r="C3033" s="74">
        <v>9.00526196E8</v>
      </c>
      <c r="D3033" s="73" t="s">
        <v>3503</v>
      </c>
      <c r="E3033" s="72">
        <v>2.0212470016555E13</v>
      </c>
      <c r="F3033" s="75">
        <v>44306.0</v>
      </c>
      <c r="G3033" s="76"/>
      <c r="H3033" s="76"/>
      <c r="I3033" s="73" t="s">
        <v>366</v>
      </c>
      <c r="J3033" s="76"/>
    </row>
    <row r="3034">
      <c r="A3034" s="74">
        <v>3024.0</v>
      </c>
      <c r="B3034" s="73" t="s">
        <v>3465</v>
      </c>
      <c r="C3034" s="74">
        <v>9.01468176E8</v>
      </c>
      <c r="D3034" s="73" t="s">
        <v>3504</v>
      </c>
      <c r="E3034" s="72">
        <v>2.0212470018145E13</v>
      </c>
      <c r="F3034" s="75">
        <v>44316.0</v>
      </c>
      <c r="G3034" s="76"/>
      <c r="H3034" s="76"/>
      <c r="I3034" s="73" t="s">
        <v>366</v>
      </c>
      <c r="J3034" s="76"/>
    </row>
    <row r="3035">
      <c r="A3035" s="74">
        <v>3025.0</v>
      </c>
      <c r="B3035" s="73" t="s">
        <v>3465</v>
      </c>
      <c r="C3035" s="74">
        <v>9.01465569E8</v>
      </c>
      <c r="D3035" s="73" t="s">
        <v>3505</v>
      </c>
      <c r="E3035" s="72">
        <v>2.0212470019355E13</v>
      </c>
      <c r="F3035" s="75">
        <v>44326.0</v>
      </c>
      <c r="G3035" s="76"/>
      <c r="H3035" s="76"/>
      <c r="I3035" s="73" t="s">
        <v>366</v>
      </c>
      <c r="J3035" s="76"/>
    </row>
    <row r="3036">
      <c r="A3036" s="74">
        <v>3026.0</v>
      </c>
      <c r="B3036" s="73" t="s">
        <v>3465</v>
      </c>
      <c r="C3036" s="74">
        <v>9.01477885E8</v>
      </c>
      <c r="D3036" s="73" t="s">
        <v>3506</v>
      </c>
      <c r="E3036" s="72">
        <v>2.0212470032645E13</v>
      </c>
      <c r="F3036" s="75">
        <v>44406.0</v>
      </c>
      <c r="G3036" s="76"/>
      <c r="H3036" s="76"/>
      <c r="I3036" s="73" t="s">
        <v>366</v>
      </c>
      <c r="J3036" s="76"/>
    </row>
    <row r="3037">
      <c r="A3037" s="74">
        <v>3027.0</v>
      </c>
      <c r="B3037" s="73" t="s">
        <v>3465</v>
      </c>
      <c r="C3037" s="74">
        <v>9.01498911E8</v>
      </c>
      <c r="D3037" s="73" t="s">
        <v>3507</v>
      </c>
      <c r="E3037" s="72">
        <v>2.0212470033945E13</v>
      </c>
      <c r="F3037" s="75">
        <v>44412.0</v>
      </c>
      <c r="G3037" s="76"/>
      <c r="H3037" s="76"/>
      <c r="I3037" s="73" t="s">
        <v>366</v>
      </c>
      <c r="J3037" s="76"/>
    </row>
    <row r="3038">
      <c r="A3038" s="74">
        <v>3028.0</v>
      </c>
      <c r="B3038" s="73" t="s">
        <v>3465</v>
      </c>
      <c r="C3038" s="74">
        <v>9.00251279E8</v>
      </c>
      <c r="D3038" s="73" t="s">
        <v>3508</v>
      </c>
      <c r="E3038" s="72">
        <v>2.0212470034955E13</v>
      </c>
      <c r="F3038" s="75">
        <v>44419.0</v>
      </c>
      <c r="G3038" s="76"/>
      <c r="H3038" s="76"/>
      <c r="I3038" s="73" t="s">
        <v>366</v>
      </c>
      <c r="J3038" s="76"/>
    </row>
    <row r="3039">
      <c r="A3039" s="74">
        <v>3029.0</v>
      </c>
      <c r="B3039" s="73" t="s">
        <v>3465</v>
      </c>
      <c r="C3039" s="74">
        <v>9.01235194E8</v>
      </c>
      <c r="D3039" s="73" t="s">
        <v>3509</v>
      </c>
      <c r="E3039" s="72">
        <v>2.0212470036265E13</v>
      </c>
      <c r="F3039" s="75">
        <v>44428.0</v>
      </c>
      <c r="G3039" s="76"/>
      <c r="H3039" s="76"/>
      <c r="I3039" s="73" t="s">
        <v>366</v>
      </c>
      <c r="J3039" s="76"/>
    </row>
    <row r="3040">
      <c r="A3040" s="74">
        <v>3030.0</v>
      </c>
      <c r="B3040" s="73" t="s">
        <v>3465</v>
      </c>
      <c r="C3040" s="74">
        <v>9.01488596E8</v>
      </c>
      <c r="D3040" s="73" t="s">
        <v>3510</v>
      </c>
      <c r="E3040" s="72">
        <v>2.0212470038045E13</v>
      </c>
      <c r="F3040" s="75">
        <v>44438.0</v>
      </c>
      <c r="G3040" s="76"/>
      <c r="H3040" s="76"/>
      <c r="I3040" s="73" t="s">
        <v>366</v>
      </c>
      <c r="J3040" s="76"/>
    </row>
    <row r="3041">
      <c r="A3041" s="74">
        <v>3031.0</v>
      </c>
      <c r="B3041" s="73" t="s">
        <v>3465</v>
      </c>
      <c r="C3041" s="74">
        <v>9.01400037E8</v>
      </c>
      <c r="D3041" s="73" t="s">
        <v>3511</v>
      </c>
      <c r="E3041" s="72">
        <v>2.0212470040205E13</v>
      </c>
      <c r="F3041" s="75">
        <v>44448.0</v>
      </c>
      <c r="G3041" s="72">
        <v>2.0212470041225E13</v>
      </c>
      <c r="H3041" s="75">
        <v>44452.0</v>
      </c>
      <c r="I3041" s="73" t="s">
        <v>366</v>
      </c>
      <c r="J3041" s="76"/>
    </row>
    <row r="3042">
      <c r="A3042" s="74">
        <v>3032.0</v>
      </c>
      <c r="B3042" s="73" t="s">
        <v>3465</v>
      </c>
      <c r="C3042" s="74">
        <v>9.01508062E8</v>
      </c>
      <c r="D3042" s="73" t="s">
        <v>3512</v>
      </c>
      <c r="E3042" s="72">
        <v>2.0212470042105E13</v>
      </c>
      <c r="F3042" s="75">
        <v>44455.0</v>
      </c>
      <c r="G3042" s="76"/>
      <c r="H3042" s="76"/>
      <c r="I3042" s="73" t="s">
        <v>366</v>
      </c>
      <c r="J3042" s="76"/>
    </row>
    <row r="3043">
      <c r="A3043" s="74">
        <v>3033.0</v>
      </c>
      <c r="B3043" s="73" t="s">
        <v>3465</v>
      </c>
      <c r="C3043" s="74">
        <v>9.01524955E8</v>
      </c>
      <c r="D3043" s="73" t="s">
        <v>3513</v>
      </c>
      <c r="E3043" s="72">
        <v>2.0212470047985E13</v>
      </c>
      <c r="F3043" s="77">
        <v>44482.0</v>
      </c>
      <c r="G3043" s="76"/>
      <c r="H3043" s="76"/>
      <c r="I3043" s="73" t="s">
        <v>366</v>
      </c>
      <c r="J3043" s="76"/>
    </row>
    <row r="3044">
      <c r="A3044" s="74">
        <v>3034.0</v>
      </c>
      <c r="B3044" s="73" t="s">
        <v>3465</v>
      </c>
      <c r="C3044" s="74">
        <v>9.01477733E8</v>
      </c>
      <c r="D3044" s="73" t="s">
        <v>3514</v>
      </c>
      <c r="E3044" s="72">
        <v>2.0212470053065E13</v>
      </c>
      <c r="F3044" s="77">
        <v>44508.0</v>
      </c>
      <c r="G3044" s="76"/>
      <c r="H3044" s="76"/>
      <c r="I3044" s="73" t="s">
        <v>366</v>
      </c>
      <c r="J3044" s="76"/>
    </row>
    <row r="3045">
      <c r="A3045" s="74">
        <v>3035.0</v>
      </c>
      <c r="B3045" s="73" t="s">
        <v>3465</v>
      </c>
      <c r="C3045" s="74">
        <v>9.01186805E8</v>
      </c>
      <c r="D3045" s="73" t="s">
        <v>3515</v>
      </c>
      <c r="E3045" s="72">
        <v>2.0212470053455E13</v>
      </c>
      <c r="F3045" s="77">
        <v>44510.0</v>
      </c>
      <c r="G3045" s="72">
        <v>2.0253040001725E13</v>
      </c>
      <c r="H3045" s="75">
        <v>45684.0</v>
      </c>
      <c r="I3045" s="73" t="s">
        <v>366</v>
      </c>
      <c r="J3045" s="73" t="s">
        <v>3516</v>
      </c>
    </row>
    <row r="3046">
      <c r="A3046" s="74">
        <v>3036.0</v>
      </c>
      <c r="B3046" s="73" t="s">
        <v>3465</v>
      </c>
      <c r="C3046" s="74">
        <v>9.01022415E8</v>
      </c>
      <c r="D3046" s="73" t="s">
        <v>3517</v>
      </c>
      <c r="E3046" s="72">
        <v>2.0212470056985E13</v>
      </c>
      <c r="F3046" s="77">
        <v>44529.0</v>
      </c>
      <c r="G3046" s="76"/>
      <c r="H3046" s="76"/>
      <c r="I3046" s="73" t="s">
        <v>366</v>
      </c>
      <c r="J3046" s="76"/>
    </row>
    <row r="3047">
      <c r="A3047" s="74">
        <v>3037.0</v>
      </c>
      <c r="B3047" s="73" t="s">
        <v>3465</v>
      </c>
      <c r="C3047" s="74">
        <v>9.01492682E8</v>
      </c>
      <c r="D3047" s="73" t="s">
        <v>3518</v>
      </c>
      <c r="E3047" s="72">
        <v>2.0212470057275E13</v>
      </c>
      <c r="F3047" s="77">
        <v>44530.0</v>
      </c>
      <c r="G3047" s="76"/>
      <c r="H3047" s="76"/>
      <c r="I3047" s="73" t="s">
        <v>366</v>
      </c>
      <c r="J3047" s="76"/>
    </row>
    <row r="3048">
      <c r="A3048" s="74">
        <v>3038.0</v>
      </c>
      <c r="B3048" s="73" t="s">
        <v>3465</v>
      </c>
      <c r="C3048" s="74">
        <v>9.01526368E8</v>
      </c>
      <c r="D3048" s="73" t="s">
        <v>3519</v>
      </c>
      <c r="E3048" s="72">
        <v>2.0222470000955E13</v>
      </c>
      <c r="F3048" s="75">
        <v>44572.0</v>
      </c>
      <c r="G3048" s="76"/>
      <c r="H3048" s="76"/>
      <c r="I3048" s="73" t="s">
        <v>366</v>
      </c>
      <c r="J3048" s="76"/>
    </row>
    <row r="3049">
      <c r="A3049" s="74">
        <v>3039.0</v>
      </c>
      <c r="B3049" s="73" t="s">
        <v>3465</v>
      </c>
      <c r="C3049" s="74">
        <v>9.01532875E8</v>
      </c>
      <c r="D3049" s="73" t="s">
        <v>3520</v>
      </c>
      <c r="E3049" s="72">
        <v>2.0222470001045E13</v>
      </c>
      <c r="F3049" s="75">
        <v>44572.0</v>
      </c>
      <c r="G3049" s="76"/>
      <c r="H3049" s="76"/>
      <c r="I3049" s="73" t="s">
        <v>366</v>
      </c>
      <c r="J3049" s="76"/>
    </row>
    <row r="3050">
      <c r="A3050" s="74">
        <v>3040.0</v>
      </c>
      <c r="B3050" s="73" t="s">
        <v>3465</v>
      </c>
      <c r="C3050" s="74">
        <v>9.0107826E8</v>
      </c>
      <c r="D3050" s="73" t="s">
        <v>3521</v>
      </c>
      <c r="E3050" s="72">
        <v>2.0222470002065E13</v>
      </c>
      <c r="F3050" s="75">
        <v>44578.0</v>
      </c>
      <c r="G3050" s="76"/>
      <c r="H3050" s="76"/>
      <c r="I3050" s="73" t="s">
        <v>366</v>
      </c>
      <c r="J3050" s="76"/>
    </row>
    <row r="3051">
      <c r="A3051" s="74">
        <v>3041.0</v>
      </c>
      <c r="B3051" s="73" t="s">
        <v>3465</v>
      </c>
      <c r="C3051" s="74">
        <v>9.01119919E8</v>
      </c>
      <c r="D3051" s="73" t="s">
        <v>3522</v>
      </c>
      <c r="E3051" s="72">
        <v>2.0222470003555E13</v>
      </c>
      <c r="F3051" s="75">
        <v>44586.0</v>
      </c>
      <c r="G3051" s="76"/>
      <c r="H3051" s="76"/>
      <c r="I3051" s="73" t="s">
        <v>366</v>
      </c>
      <c r="J3051" s="76"/>
    </row>
    <row r="3052">
      <c r="A3052" s="74">
        <v>3042.0</v>
      </c>
      <c r="B3052" s="73" t="s">
        <v>3465</v>
      </c>
      <c r="C3052" s="74">
        <v>9.01231113E8</v>
      </c>
      <c r="D3052" s="73" t="s">
        <v>3523</v>
      </c>
      <c r="E3052" s="72">
        <v>2.0222470005015E13</v>
      </c>
      <c r="F3052" s="75">
        <v>44594.0</v>
      </c>
      <c r="G3052" s="76"/>
      <c r="H3052" s="76"/>
      <c r="I3052" s="73" t="s">
        <v>366</v>
      </c>
      <c r="J3052" s="76"/>
    </row>
    <row r="3053">
      <c r="A3053" s="74">
        <v>3043.0</v>
      </c>
      <c r="B3053" s="73" t="s">
        <v>3465</v>
      </c>
      <c r="C3053" s="74">
        <v>9.01469047E8</v>
      </c>
      <c r="D3053" s="73" t="s">
        <v>3524</v>
      </c>
      <c r="E3053" s="72">
        <v>2.0222470004995E13</v>
      </c>
      <c r="F3053" s="75">
        <v>44594.0</v>
      </c>
      <c r="G3053" s="76"/>
      <c r="H3053" s="76"/>
      <c r="I3053" s="73" t="s">
        <v>366</v>
      </c>
      <c r="J3053" s="76"/>
    </row>
    <row r="3054">
      <c r="A3054" s="74">
        <v>3044.0</v>
      </c>
      <c r="B3054" s="73" t="s">
        <v>3465</v>
      </c>
      <c r="C3054" s="74">
        <v>9.01308531E8</v>
      </c>
      <c r="D3054" s="73" t="s">
        <v>3525</v>
      </c>
      <c r="E3054" s="72">
        <v>2.0222470006315E13</v>
      </c>
      <c r="F3054" s="75">
        <v>44601.0</v>
      </c>
      <c r="G3054" s="76"/>
      <c r="H3054" s="76"/>
      <c r="I3054" s="73" t="s">
        <v>366</v>
      </c>
      <c r="J3054" s="76"/>
    </row>
    <row r="3055">
      <c r="A3055" s="74">
        <v>3045.0</v>
      </c>
      <c r="B3055" s="73" t="s">
        <v>3465</v>
      </c>
      <c r="C3055" s="74">
        <v>9.01529931E8</v>
      </c>
      <c r="D3055" s="73" t="s">
        <v>3526</v>
      </c>
      <c r="E3055" s="72">
        <v>2.0222470006335E13</v>
      </c>
      <c r="F3055" s="75">
        <v>44601.0</v>
      </c>
      <c r="G3055" s="76"/>
      <c r="H3055" s="76"/>
      <c r="I3055" s="73" t="s">
        <v>366</v>
      </c>
      <c r="J3055" s="76"/>
    </row>
    <row r="3056">
      <c r="A3056" s="74">
        <v>3046.0</v>
      </c>
      <c r="B3056" s="73" t="s">
        <v>3465</v>
      </c>
      <c r="C3056" s="74">
        <v>9.01544651E8</v>
      </c>
      <c r="D3056" s="73" t="s">
        <v>3527</v>
      </c>
      <c r="E3056" s="72">
        <v>2.0222470007645E13</v>
      </c>
      <c r="F3056" s="75">
        <v>44608.0</v>
      </c>
      <c r="G3056" s="76"/>
      <c r="H3056" s="76"/>
      <c r="I3056" s="73" t="s">
        <v>366</v>
      </c>
      <c r="J3056" s="76"/>
    </row>
    <row r="3057">
      <c r="A3057" s="74">
        <v>3047.0</v>
      </c>
      <c r="B3057" s="73" t="s">
        <v>3465</v>
      </c>
      <c r="C3057" s="74">
        <v>9.01380533E8</v>
      </c>
      <c r="D3057" s="73" t="s">
        <v>3528</v>
      </c>
      <c r="E3057" s="72">
        <v>2.0222470010335E13</v>
      </c>
      <c r="F3057" s="75">
        <v>44622.0</v>
      </c>
      <c r="G3057" s="76"/>
      <c r="H3057" s="76"/>
      <c r="I3057" s="73" t="s">
        <v>366</v>
      </c>
      <c r="J3057" s="76"/>
    </row>
    <row r="3058">
      <c r="A3058" s="74">
        <v>3048.0</v>
      </c>
      <c r="B3058" s="73" t="s">
        <v>3465</v>
      </c>
      <c r="C3058" s="74">
        <v>9.01518553E8</v>
      </c>
      <c r="D3058" s="73" t="s">
        <v>3529</v>
      </c>
      <c r="E3058" s="72">
        <v>2.0222470016725E13</v>
      </c>
      <c r="F3058" s="75">
        <v>44650.0</v>
      </c>
      <c r="G3058" s="76"/>
      <c r="H3058" s="76"/>
      <c r="I3058" s="73" t="s">
        <v>366</v>
      </c>
      <c r="J3058" s="76"/>
    </row>
    <row r="3059">
      <c r="A3059" s="74">
        <v>3049.0</v>
      </c>
      <c r="B3059" s="73" t="s">
        <v>3465</v>
      </c>
      <c r="C3059" s="74">
        <v>9.0156156E8</v>
      </c>
      <c r="D3059" s="73" t="s">
        <v>3530</v>
      </c>
      <c r="E3059" s="72">
        <v>2.0222470017135E13</v>
      </c>
      <c r="F3059" s="75">
        <v>44651.0</v>
      </c>
      <c r="G3059" s="76"/>
      <c r="H3059" s="76"/>
      <c r="I3059" s="73" t="s">
        <v>366</v>
      </c>
      <c r="J3059" s="76"/>
    </row>
    <row r="3060">
      <c r="A3060" s="85">
        <v>3050.0</v>
      </c>
      <c r="B3060" s="79" t="s">
        <v>3465</v>
      </c>
      <c r="C3060" s="80">
        <v>9.01415782E8</v>
      </c>
      <c r="D3060" s="79" t="s">
        <v>3531</v>
      </c>
      <c r="E3060" s="81">
        <v>2.0222470018845E13</v>
      </c>
      <c r="F3060" s="84">
        <v>44659.0</v>
      </c>
      <c r="G3060" s="83"/>
      <c r="H3060" s="83"/>
      <c r="I3060" s="73" t="s">
        <v>366</v>
      </c>
      <c r="J3060" s="76"/>
    </row>
    <row r="3061">
      <c r="A3061" s="74">
        <v>3051.0</v>
      </c>
      <c r="B3061" s="73" t="s">
        <v>3465</v>
      </c>
      <c r="C3061" s="74">
        <v>9.01567738E8</v>
      </c>
      <c r="D3061" s="73" t="s">
        <v>3532</v>
      </c>
      <c r="E3061" s="72">
        <v>2.0222470018825E13</v>
      </c>
      <c r="F3061" s="75">
        <v>44659.0</v>
      </c>
      <c r="G3061" s="76"/>
      <c r="H3061" s="76"/>
      <c r="I3061" s="73" t="s">
        <v>366</v>
      </c>
      <c r="J3061" s="76"/>
    </row>
    <row r="3062">
      <c r="A3062" s="74">
        <v>3052.0</v>
      </c>
      <c r="B3062" s="73" t="s">
        <v>3465</v>
      </c>
      <c r="C3062" s="74">
        <v>9.01480788E8</v>
      </c>
      <c r="D3062" s="73" t="s">
        <v>3533</v>
      </c>
      <c r="E3062" s="72">
        <v>2.0222470027615E13</v>
      </c>
      <c r="F3062" s="75">
        <v>44699.0</v>
      </c>
      <c r="G3062" s="76"/>
      <c r="H3062" s="76"/>
      <c r="I3062" s="73" t="s">
        <v>366</v>
      </c>
      <c r="J3062" s="76"/>
    </row>
    <row r="3063">
      <c r="A3063" s="74">
        <v>3053.0</v>
      </c>
      <c r="B3063" s="73" t="s">
        <v>3465</v>
      </c>
      <c r="C3063" s="74">
        <v>9.01582118E8</v>
      </c>
      <c r="D3063" s="73" t="s">
        <v>3534</v>
      </c>
      <c r="E3063" s="72">
        <v>2.0222470029405E13</v>
      </c>
      <c r="F3063" s="75">
        <v>44706.0</v>
      </c>
      <c r="G3063" s="76"/>
      <c r="H3063" s="76"/>
      <c r="I3063" s="73" t="s">
        <v>366</v>
      </c>
      <c r="J3063" s="76"/>
    </row>
    <row r="3064">
      <c r="A3064" s="74">
        <v>3054.0</v>
      </c>
      <c r="B3064" s="73" t="s">
        <v>3465</v>
      </c>
      <c r="C3064" s="74">
        <v>9.00894319E8</v>
      </c>
      <c r="D3064" s="73" t="s">
        <v>3535</v>
      </c>
      <c r="E3064" s="72">
        <v>2.0222470030225E13</v>
      </c>
      <c r="F3064" s="75">
        <v>44712.0</v>
      </c>
      <c r="G3064" s="76"/>
      <c r="H3064" s="76"/>
      <c r="I3064" s="73" t="s">
        <v>366</v>
      </c>
      <c r="J3064" s="76"/>
    </row>
    <row r="3065">
      <c r="A3065" s="74">
        <v>3055.0</v>
      </c>
      <c r="B3065" s="73" t="s">
        <v>3465</v>
      </c>
      <c r="C3065" s="74">
        <v>9.01575235E8</v>
      </c>
      <c r="D3065" s="73" t="s">
        <v>3536</v>
      </c>
      <c r="E3065" s="72">
        <v>2.0222470030895E13</v>
      </c>
      <c r="F3065" s="75">
        <v>44713.0</v>
      </c>
      <c r="G3065" s="76"/>
      <c r="H3065" s="76"/>
      <c r="I3065" s="73" t="s">
        <v>366</v>
      </c>
      <c r="J3065" s="76"/>
    </row>
    <row r="3066">
      <c r="A3066" s="74">
        <v>3056.0</v>
      </c>
      <c r="B3066" s="73" t="s">
        <v>3465</v>
      </c>
      <c r="C3066" s="74">
        <v>9.01574801E8</v>
      </c>
      <c r="D3066" s="73" t="s">
        <v>3537</v>
      </c>
      <c r="E3066" s="72">
        <v>2.0222470031175E13</v>
      </c>
      <c r="F3066" s="75">
        <v>44714.0</v>
      </c>
      <c r="G3066" s="76"/>
      <c r="H3066" s="76"/>
      <c r="I3066" s="73" t="s">
        <v>366</v>
      </c>
      <c r="J3066" s="76"/>
    </row>
    <row r="3067">
      <c r="A3067" s="74">
        <v>3057.0</v>
      </c>
      <c r="B3067" s="73" t="s">
        <v>3465</v>
      </c>
      <c r="C3067" s="74">
        <v>9.01446181E8</v>
      </c>
      <c r="D3067" s="73" t="s">
        <v>3538</v>
      </c>
      <c r="E3067" s="72">
        <v>2.0222470039325E13</v>
      </c>
      <c r="F3067" s="75">
        <v>44749.0</v>
      </c>
      <c r="G3067" s="76"/>
      <c r="H3067" s="76"/>
      <c r="I3067" s="73" t="s">
        <v>366</v>
      </c>
      <c r="J3067" s="76"/>
    </row>
    <row r="3068">
      <c r="A3068" s="74">
        <v>3058.0</v>
      </c>
      <c r="B3068" s="73" t="s">
        <v>3465</v>
      </c>
      <c r="C3068" s="74">
        <v>9.01582552E8</v>
      </c>
      <c r="D3068" s="73" t="s">
        <v>3539</v>
      </c>
      <c r="E3068" s="72">
        <v>2.0222470043125E13</v>
      </c>
      <c r="F3068" s="75">
        <v>44767.0</v>
      </c>
      <c r="G3068" s="76"/>
      <c r="H3068" s="76"/>
      <c r="I3068" s="73" t="s">
        <v>366</v>
      </c>
      <c r="J3068" s="76"/>
    </row>
    <row r="3069">
      <c r="A3069" s="74">
        <v>3059.0</v>
      </c>
      <c r="B3069" s="73" t="s">
        <v>3465</v>
      </c>
      <c r="C3069" s="74">
        <v>9.01592644E8</v>
      </c>
      <c r="D3069" s="73" t="s">
        <v>3540</v>
      </c>
      <c r="E3069" s="72">
        <v>2.0222470043105E13</v>
      </c>
      <c r="F3069" s="75">
        <v>44767.0</v>
      </c>
      <c r="G3069" s="76"/>
      <c r="H3069" s="76"/>
      <c r="I3069" s="73" t="s">
        <v>366</v>
      </c>
      <c r="J3069" s="76"/>
    </row>
    <row r="3070">
      <c r="A3070" s="74">
        <v>3060.0</v>
      </c>
      <c r="B3070" s="73" t="s">
        <v>3465</v>
      </c>
      <c r="C3070" s="74">
        <v>9.01594212E8</v>
      </c>
      <c r="D3070" s="73" t="s">
        <v>3541</v>
      </c>
      <c r="E3070" s="72">
        <v>2.0222470045725E13</v>
      </c>
      <c r="F3070" s="75">
        <v>44781.0</v>
      </c>
      <c r="G3070" s="76"/>
      <c r="H3070" s="76"/>
      <c r="I3070" s="73" t="s">
        <v>366</v>
      </c>
      <c r="J3070" s="76"/>
    </row>
    <row r="3071">
      <c r="A3071" s="74">
        <v>3061.0</v>
      </c>
      <c r="B3071" s="73" t="s">
        <v>3465</v>
      </c>
      <c r="C3071" s="74">
        <v>9.01607891E8</v>
      </c>
      <c r="D3071" s="73" t="s">
        <v>3542</v>
      </c>
      <c r="E3071" s="72">
        <v>2.0222470047565E13</v>
      </c>
      <c r="F3071" s="75">
        <v>44789.0</v>
      </c>
      <c r="G3071" s="76"/>
      <c r="H3071" s="76"/>
      <c r="I3071" s="73" t="s">
        <v>366</v>
      </c>
      <c r="J3071" s="76"/>
    </row>
    <row r="3072">
      <c r="A3072" s="74">
        <v>3062.0</v>
      </c>
      <c r="B3072" s="73" t="s">
        <v>3465</v>
      </c>
      <c r="C3072" s="74">
        <v>9.01611424E8</v>
      </c>
      <c r="D3072" s="73" t="s">
        <v>3543</v>
      </c>
      <c r="E3072" s="72">
        <v>2.0222470050935E13</v>
      </c>
      <c r="F3072" s="75">
        <v>44798.0</v>
      </c>
      <c r="G3072" s="76"/>
      <c r="H3072" s="76"/>
      <c r="I3072" s="73" t="s">
        <v>366</v>
      </c>
      <c r="J3072" s="76"/>
    </row>
    <row r="3073">
      <c r="A3073" s="74">
        <v>3063.0</v>
      </c>
      <c r="B3073" s="73" t="s">
        <v>3465</v>
      </c>
      <c r="C3073" s="74">
        <v>9.01612571E8</v>
      </c>
      <c r="D3073" s="73" t="s">
        <v>3544</v>
      </c>
      <c r="E3073" s="72">
        <v>2.0222470057285E13</v>
      </c>
      <c r="F3073" s="75">
        <v>44826.0</v>
      </c>
      <c r="G3073" s="76"/>
      <c r="H3073" s="76"/>
      <c r="I3073" s="73" t="s">
        <v>366</v>
      </c>
      <c r="J3073" s="76"/>
    </row>
    <row r="3074">
      <c r="A3074" s="74">
        <v>3064.0</v>
      </c>
      <c r="B3074" s="73" t="s">
        <v>3465</v>
      </c>
      <c r="C3074" s="74">
        <v>9.01608924E8</v>
      </c>
      <c r="D3074" s="73" t="s">
        <v>3545</v>
      </c>
      <c r="E3074" s="72">
        <v>2.0222470058335E13</v>
      </c>
      <c r="F3074" s="75">
        <v>44831.0</v>
      </c>
      <c r="G3074" s="76"/>
      <c r="H3074" s="76"/>
      <c r="I3074" s="73" t="s">
        <v>366</v>
      </c>
      <c r="J3074" s="76"/>
    </row>
    <row r="3075">
      <c r="A3075" s="74">
        <v>3065.0</v>
      </c>
      <c r="B3075" s="73" t="s">
        <v>3465</v>
      </c>
      <c r="C3075" s="74">
        <v>9.01612538E8</v>
      </c>
      <c r="D3075" s="73" t="s">
        <v>3546</v>
      </c>
      <c r="E3075" s="72">
        <v>2.0222470058865E13</v>
      </c>
      <c r="F3075" s="75">
        <v>44833.0</v>
      </c>
      <c r="G3075" s="76"/>
      <c r="H3075" s="76"/>
      <c r="I3075" s="73" t="s">
        <v>366</v>
      </c>
      <c r="J3075" s="76"/>
    </row>
    <row r="3076">
      <c r="A3076" s="74">
        <v>3066.0</v>
      </c>
      <c r="B3076" s="73" t="s">
        <v>3465</v>
      </c>
      <c r="C3076" s="74">
        <v>9.01612752E8</v>
      </c>
      <c r="D3076" s="73" t="s">
        <v>3547</v>
      </c>
      <c r="E3076" s="72">
        <v>2.0222470058885E13</v>
      </c>
      <c r="F3076" s="75">
        <v>44833.0</v>
      </c>
      <c r="G3076" s="76"/>
      <c r="H3076" s="76"/>
      <c r="I3076" s="73" t="s">
        <v>366</v>
      </c>
      <c r="J3076" s="76"/>
    </row>
    <row r="3077">
      <c r="A3077" s="74">
        <v>3067.0</v>
      </c>
      <c r="B3077" s="73" t="s">
        <v>3465</v>
      </c>
      <c r="C3077" s="74">
        <v>9.01525034E8</v>
      </c>
      <c r="D3077" s="73" t="s">
        <v>3548</v>
      </c>
      <c r="E3077" s="72">
        <v>2.0222470068435E13</v>
      </c>
      <c r="F3077" s="77">
        <v>44881.0</v>
      </c>
      <c r="G3077" s="76"/>
      <c r="H3077" s="76"/>
      <c r="I3077" s="73" t="s">
        <v>366</v>
      </c>
      <c r="J3077" s="76"/>
    </row>
    <row r="3078">
      <c r="A3078" s="74">
        <v>3068.0</v>
      </c>
      <c r="B3078" s="73" t="s">
        <v>3465</v>
      </c>
      <c r="C3078" s="74">
        <v>9.0164248E8</v>
      </c>
      <c r="D3078" s="73" t="s">
        <v>3549</v>
      </c>
      <c r="E3078" s="72">
        <v>2.0222470073805E13</v>
      </c>
      <c r="F3078" s="77">
        <v>44901.0</v>
      </c>
      <c r="G3078" s="76"/>
      <c r="H3078" s="76"/>
      <c r="I3078" s="73" t="s">
        <v>366</v>
      </c>
      <c r="J3078" s="76"/>
    </row>
    <row r="3079">
      <c r="A3079" s="74">
        <v>3069.0</v>
      </c>
      <c r="B3079" s="73" t="s">
        <v>3465</v>
      </c>
      <c r="C3079" s="74">
        <v>9.01649509E8</v>
      </c>
      <c r="D3079" s="73" t="s">
        <v>3550</v>
      </c>
      <c r="E3079" s="72">
        <v>2.0222470076515E13</v>
      </c>
      <c r="F3079" s="77">
        <v>44914.0</v>
      </c>
      <c r="G3079" s="76"/>
      <c r="H3079" s="76"/>
      <c r="I3079" s="73" t="s">
        <v>366</v>
      </c>
      <c r="J3079" s="76"/>
    </row>
    <row r="3080">
      <c r="A3080" s="74">
        <v>3070.0</v>
      </c>
      <c r="B3080" s="73" t="s">
        <v>3465</v>
      </c>
      <c r="C3080" s="74">
        <v>9.01650509E8</v>
      </c>
      <c r="D3080" s="73" t="s">
        <v>3551</v>
      </c>
      <c r="E3080" s="72">
        <v>2.0232470000095E13</v>
      </c>
      <c r="F3080" s="75">
        <v>44929.0</v>
      </c>
      <c r="G3080" s="72">
        <v>2.0253040001955E13</v>
      </c>
      <c r="H3080" s="75">
        <v>45686.0</v>
      </c>
      <c r="I3080" s="73" t="s">
        <v>366</v>
      </c>
      <c r="J3080" s="73" t="s">
        <v>3481</v>
      </c>
    </row>
    <row r="3081">
      <c r="A3081" s="74">
        <v>3071.0</v>
      </c>
      <c r="B3081" s="73" t="s">
        <v>3465</v>
      </c>
      <c r="C3081" s="74">
        <v>9.01652019E8</v>
      </c>
      <c r="D3081" s="73" t="s">
        <v>3552</v>
      </c>
      <c r="E3081" s="72">
        <v>2.0232470000705E13</v>
      </c>
      <c r="F3081" s="75">
        <v>44938.0</v>
      </c>
      <c r="G3081" s="76"/>
      <c r="H3081" s="76"/>
      <c r="I3081" s="73" t="s">
        <v>366</v>
      </c>
      <c r="J3081" s="76"/>
    </row>
    <row r="3082">
      <c r="A3082" s="74">
        <v>3072.0</v>
      </c>
      <c r="B3082" s="73" t="s">
        <v>3465</v>
      </c>
      <c r="C3082" s="74">
        <v>9.0165948E8</v>
      </c>
      <c r="D3082" s="73" t="s">
        <v>3553</v>
      </c>
      <c r="E3082" s="72">
        <v>2.0232470000715E13</v>
      </c>
      <c r="F3082" s="75">
        <v>44938.0</v>
      </c>
      <c r="G3082" s="76"/>
      <c r="H3082" s="76"/>
      <c r="I3082" s="73" t="s">
        <v>366</v>
      </c>
      <c r="J3082" s="76"/>
    </row>
    <row r="3083">
      <c r="A3083" s="74">
        <v>3073.0</v>
      </c>
      <c r="B3083" s="73" t="s">
        <v>3465</v>
      </c>
      <c r="C3083" s="74">
        <v>9.01639316E8</v>
      </c>
      <c r="D3083" s="73" t="s">
        <v>3554</v>
      </c>
      <c r="E3083" s="72">
        <v>2.0232470001345E13</v>
      </c>
      <c r="F3083" s="75">
        <v>44943.0</v>
      </c>
      <c r="G3083" s="76"/>
      <c r="H3083" s="76"/>
      <c r="I3083" s="73" t="s">
        <v>366</v>
      </c>
      <c r="J3083" s="76"/>
    </row>
    <row r="3084">
      <c r="A3084" s="74">
        <v>3074.0</v>
      </c>
      <c r="B3084" s="73" t="s">
        <v>3465</v>
      </c>
      <c r="C3084" s="74">
        <v>9.0164844E8</v>
      </c>
      <c r="D3084" s="73" t="s">
        <v>3555</v>
      </c>
      <c r="E3084" s="72">
        <v>2.0232470004835E13</v>
      </c>
      <c r="F3084" s="75">
        <v>44967.0</v>
      </c>
      <c r="G3084" s="76"/>
      <c r="H3084" s="76"/>
      <c r="I3084" s="73" t="s">
        <v>366</v>
      </c>
      <c r="J3084" s="76"/>
    </row>
    <row r="3085">
      <c r="A3085" s="74">
        <v>3075.0</v>
      </c>
      <c r="B3085" s="73" t="s">
        <v>3465</v>
      </c>
      <c r="C3085" s="74">
        <v>9.01663959E8</v>
      </c>
      <c r="D3085" s="73" t="s">
        <v>3556</v>
      </c>
      <c r="E3085" s="72">
        <v>2.0232470007025E13</v>
      </c>
      <c r="F3085" s="75">
        <v>44980.0</v>
      </c>
      <c r="G3085" s="76"/>
      <c r="H3085" s="76"/>
      <c r="I3085" s="73" t="s">
        <v>366</v>
      </c>
      <c r="J3085" s="76"/>
    </row>
    <row r="3086">
      <c r="A3086" s="74">
        <v>3076.0</v>
      </c>
      <c r="B3086" s="73" t="s">
        <v>3465</v>
      </c>
      <c r="C3086" s="74">
        <v>9.01683566E8</v>
      </c>
      <c r="D3086" s="73" t="s">
        <v>3557</v>
      </c>
      <c r="E3086" s="72">
        <v>2.0232470011475E13</v>
      </c>
      <c r="F3086" s="75">
        <v>45002.0</v>
      </c>
      <c r="G3086" s="76"/>
      <c r="H3086" s="76"/>
      <c r="I3086" s="73" t="s">
        <v>366</v>
      </c>
      <c r="J3086" s="76"/>
    </row>
    <row r="3087">
      <c r="A3087" s="74">
        <v>3077.0</v>
      </c>
      <c r="B3087" s="73" t="s">
        <v>3465</v>
      </c>
      <c r="C3087" s="74">
        <v>9.01458293E8</v>
      </c>
      <c r="D3087" s="73" t="s">
        <v>3558</v>
      </c>
      <c r="E3087" s="72">
        <v>2.0232470011715E13</v>
      </c>
      <c r="F3087" s="75">
        <v>45006.0</v>
      </c>
      <c r="G3087" s="76"/>
      <c r="H3087" s="76"/>
      <c r="I3087" s="73" t="s">
        <v>366</v>
      </c>
      <c r="J3087" s="76"/>
    </row>
    <row r="3088">
      <c r="A3088" s="74">
        <v>3078.0</v>
      </c>
      <c r="B3088" s="73" t="s">
        <v>3465</v>
      </c>
      <c r="C3088" s="74">
        <v>9.01684975E8</v>
      </c>
      <c r="D3088" s="73" t="s">
        <v>3559</v>
      </c>
      <c r="E3088" s="72">
        <v>2.0232470011885E13</v>
      </c>
      <c r="F3088" s="75">
        <v>45007.0</v>
      </c>
      <c r="G3088" s="76"/>
      <c r="H3088" s="76"/>
      <c r="I3088" s="73" t="s">
        <v>366</v>
      </c>
      <c r="J3088" s="76"/>
    </row>
    <row r="3089">
      <c r="A3089" s="74">
        <v>3079.0</v>
      </c>
      <c r="B3089" s="73" t="s">
        <v>3465</v>
      </c>
      <c r="C3089" s="74">
        <v>9.01678432E8</v>
      </c>
      <c r="D3089" s="73" t="s">
        <v>3560</v>
      </c>
      <c r="E3089" s="72">
        <v>2.0232470044105E13</v>
      </c>
      <c r="F3089" s="77">
        <v>45211.0</v>
      </c>
      <c r="G3089" s="76"/>
      <c r="H3089" s="76"/>
      <c r="I3089" s="73" t="s">
        <v>366</v>
      </c>
      <c r="J3089" s="76"/>
    </row>
    <row r="3090">
      <c r="A3090" s="74">
        <v>3080.0</v>
      </c>
      <c r="B3090" s="73" t="s">
        <v>3465</v>
      </c>
      <c r="C3090" s="74">
        <v>8.19003591E8</v>
      </c>
      <c r="D3090" s="73" t="s">
        <v>3561</v>
      </c>
      <c r="E3090" s="72">
        <v>2.0242470003105E13</v>
      </c>
      <c r="F3090" s="75">
        <v>45322.0</v>
      </c>
      <c r="G3090" s="76"/>
      <c r="H3090" s="76"/>
      <c r="I3090" s="73" t="s">
        <v>366</v>
      </c>
      <c r="J3090" s="76"/>
    </row>
    <row r="3091">
      <c r="A3091" s="74">
        <v>3081.0</v>
      </c>
      <c r="B3091" s="73" t="s">
        <v>3465</v>
      </c>
      <c r="C3091" s="74">
        <v>8.19003591E8</v>
      </c>
      <c r="D3091" s="73" t="s">
        <v>3561</v>
      </c>
      <c r="E3091" s="72">
        <v>2.0242470003445E13</v>
      </c>
      <c r="F3091" s="75">
        <v>45323.0</v>
      </c>
      <c r="G3091" s="76"/>
      <c r="H3091" s="76"/>
      <c r="I3091" s="73" t="s">
        <v>366</v>
      </c>
      <c r="J3091" s="76"/>
    </row>
    <row r="3092">
      <c r="A3092" s="74">
        <v>3082.0</v>
      </c>
      <c r="B3092" s="73" t="s">
        <v>3465</v>
      </c>
      <c r="C3092" s="74">
        <v>9.0141755E8</v>
      </c>
      <c r="D3092" s="73" t="s">
        <v>3562</v>
      </c>
      <c r="E3092" s="72">
        <v>2.0242470005095E13</v>
      </c>
      <c r="F3092" s="75">
        <v>45334.0</v>
      </c>
      <c r="G3092" s="76"/>
      <c r="H3092" s="76"/>
      <c r="I3092" s="73" t="s">
        <v>366</v>
      </c>
      <c r="J3092" s="76"/>
    </row>
    <row r="3093">
      <c r="A3093" s="74">
        <v>3083.0</v>
      </c>
      <c r="B3093" s="73" t="s">
        <v>3465</v>
      </c>
      <c r="C3093" s="74">
        <v>9.01739408E8</v>
      </c>
      <c r="D3093" s="73" t="s">
        <v>3563</v>
      </c>
      <c r="E3093" s="72">
        <v>2.0242470005125E13</v>
      </c>
      <c r="F3093" s="75">
        <v>45334.0</v>
      </c>
      <c r="G3093" s="72">
        <v>2.0253040004725E13</v>
      </c>
      <c r="H3093" s="75">
        <v>45705.0</v>
      </c>
      <c r="I3093" s="73" t="s">
        <v>366</v>
      </c>
      <c r="J3093" s="73" t="s">
        <v>3564</v>
      </c>
    </row>
    <row r="3094">
      <c r="A3094" s="74">
        <v>3084.0</v>
      </c>
      <c r="B3094" s="73" t="s">
        <v>3465</v>
      </c>
      <c r="C3094" s="74">
        <v>9.00353486E8</v>
      </c>
      <c r="D3094" s="73" t="s">
        <v>3565</v>
      </c>
      <c r="E3094" s="72">
        <v>2.0242470006095E13</v>
      </c>
      <c r="F3094" s="75">
        <v>45338.0</v>
      </c>
      <c r="G3094" s="76"/>
      <c r="H3094" s="76"/>
      <c r="I3094" s="73" t="s">
        <v>366</v>
      </c>
      <c r="J3094" s="76"/>
    </row>
    <row r="3095">
      <c r="A3095" s="74">
        <v>3085.0</v>
      </c>
      <c r="B3095" s="73" t="s">
        <v>3465</v>
      </c>
      <c r="C3095" s="74">
        <v>9.01017782E8</v>
      </c>
      <c r="D3095" s="73" t="s">
        <v>3566</v>
      </c>
      <c r="E3095" s="72">
        <v>2.0242470008955E13</v>
      </c>
      <c r="F3095" s="75">
        <v>45352.0</v>
      </c>
      <c r="G3095" s="76"/>
      <c r="H3095" s="76"/>
      <c r="I3095" s="73" t="s">
        <v>366</v>
      </c>
      <c r="J3095" s="76"/>
    </row>
    <row r="3096">
      <c r="A3096" s="74">
        <v>3086.0</v>
      </c>
      <c r="B3096" s="73" t="s">
        <v>3465</v>
      </c>
      <c r="C3096" s="74">
        <v>9.01462134E8</v>
      </c>
      <c r="D3096" s="73" t="s">
        <v>3567</v>
      </c>
      <c r="E3096" s="72">
        <v>2.0242470010155E13</v>
      </c>
      <c r="F3096" s="75">
        <v>45359.0</v>
      </c>
      <c r="G3096" s="76"/>
      <c r="H3096" s="76"/>
      <c r="I3096" s="73" t="s">
        <v>366</v>
      </c>
      <c r="J3096" s="76"/>
    </row>
    <row r="3097">
      <c r="A3097" s="74">
        <v>3087.0</v>
      </c>
      <c r="B3097" s="73" t="s">
        <v>3465</v>
      </c>
      <c r="C3097" s="74">
        <v>9.01453619E8</v>
      </c>
      <c r="D3097" s="73" t="s">
        <v>3568</v>
      </c>
      <c r="E3097" s="72">
        <v>2.0242470017215E13</v>
      </c>
      <c r="F3097" s="75">
        <v>45406.0</v>
      </c>
      <c r="G3097" s="76"/>
      <c r="H3097" s="76"/>
      <c r="I3097" s="73" t="s">
        <v>366</v>
      </c>
      <c r="J3097" s="76"/>
    </row>
    <row r="3098">
      <c r="A3098" s="74">
        <v>3088.0</v>
      </c>
      <c r="B3098" s="73" t="s">
        <v>3465</v>
      </c>
      <c r="C3098" s="74">
        <v>9.01748136E8</v>
      </c>
      <c r="D3098" s="73" t="s">
        <v>3569</v>
      </c>
      <c r="E3098" s="72">
        <v>2.0242470020315E13</v>
      </c>
      <c r="F3098" s="75">
        <v>45421.0</v>
      </c>
      <c r="G3098" s="76"/>
      <c r="H3098" s="76"/>
      <c r="I3098" s="73" t="s">
        <v>366</v>
      </c>
      <c r="J3098" s="76"/>
    </row>
    <row r="3099">
      <c r="A3099" s="74">
        <v>3089.0</v>
      </c>
      <c r="B3099" s="73" t="s">
        <v>3465</v>
      </c>
      <c r="C3099" s="74">
        <v>9.01800938E8</v>
      </c>
      <c r="D3099" s="73" t="s">
        <v>3570</v>
      </c>
      <c r="E3099" s="72">
        <v>2.0242470025445E13</v>
      </c>
      <c r="F3099" s="75">
        <v>45449.0</v>
      </c>
      <c r="G3099" s="76"/>
      <c r="H3099" s="76"/>
      <c r="I3099" s="73" t="s">
        <v>366</v>
      </c>
      <c r="J3099" s="76"/>
    </row>
    <row r="3100">
      <c r="A3100" s="74">
        <v>3090.0</v>
      </c>
      <c r="B3100" s="73" t="s">
        <v>3465</v>
      </c>
      <c r="C3100" s="74">
        <v>9.01815742E8</v>
      </c>
      <c r="D3100" s="73" t="s">
        <v>3571</v>
      </c>
      <c r="E3100" s="72">
        <v>2.0242470026225E13</v>
      </c>
      <c r="F3100" s="75">
        <v>45455.0</v>
      </c>
      <c r="G3100" s="76"/>
      <c r="H3100" s="76"/>
      <c r="I3100" s="73" t="s">
        <v>366</v>
      </c>
      <c r="J3100" s="76"/>
    </row>
    <row r="3101">
      <c r="A3101" s="74">
        <v>3091.0</v>
      </c>
      <c r="B3101" s="73" t="s">
        <v>3465</v>
      </c>
      <c r="C3101" s="74">
        <v>9.00830324E8</v>
      </c>
      <c r="D3101" s="73" t="s">
        <v>3572</v>
      </c>
      <c r="E3101" s="72">
        <v>2.0242470032765E13</v>
      </c>
      <c r="F3101" s="75">
        <v>45491.0</v>
      </c>
      <c r="G3101" s="76"/>
      <c r="H3101" s="76"/>
      <c r="I3101" s="73" t="s">
        <v>366</v>
      </c>
      <c r="J3101" s="76"/>
    </row>
    <row r="3102">
      <c r="A3102" s="74">
        <v>3092.0</v>
      </c>
      <c r="B3102" s="73" t="s">
        <v>3465</v>
      </c>
      <c r="C3102" s="74">
        <v>9.01850047E8</v>
      </c>
      <c r="D3102" s="73" t="s">
        <v>3573</v>
      </c>
      <c r="E3102" s="72">
        <v>2.0242470038055E13</v>
      </c>
      <c r="F3102" s="75">
        <v>45518.0</v>
      </c>
      <c r="G3102" s="76"/>
      <c r="H3102" s="76"/>
      <c r="I3102" s="73" t="s">
        <v>366</v>
      </c>
      <c r="J3102" s="76"/>
    </row>
    <row r="3103">
      <c r="A3103" s="74">
        <v>3093.0</v>
      </c>
      <c r="B3103" s="73" t="s">
        <v>3465</v>
      </c>
      <c r="C3103" s="74">
        <v>9.0145545E8</v>
      </c>
      <c r="D3103" s="73" t="s">
        <v>3574</v>
      </c>
      <c r="E3103" s="72">
        <v>2.0242470038675E13</v>
      </c>
      <c r="F3103" s="75">
        <v>45520.0</v>
      </c>
      <c r="G3103" s="76"/>
      <c r="H3103" s="76"/>
      <c r="I3103" s="73" t="s">
        <v>366</v>
      </c>
      <c r="J3103" s="76"/>
    </row>
    <row r="3104">
      <c r="A3104" s="74">
        <v>3094.0</v>
      </c>
      <c r="B3104" s="73" t="s">
        <v>3465</v>
      </c>
      <c r="C3104" s="74">
        <v>9.01485851E8</v>
      </c>
      <c r="D3104" s="73" t="s">
        <v>3575</v>
      </c>
      <c r="E3104" s="72">
        <v>2.0242470040855E13</v>
      </c>
      <c r="F3104" s="75">
        <v>45533.0</v>
      </c>
      <c r="G3104" s="76"/>
      <c r="H3104" s="76"/>
      <c r="I3104" s="73" t="s">
        <v>366</v>
      </c>
      <c r="J3104" s="76"/>
    </row>
    <row r="3105">
      <c r="A3105" s="74">
        <v>3095.0</v>
      </c>
      <c r="B3105" s="73" t="s">
        <v>3465</v>
      </c>
      <c r="C3105" s="74">
        <v>9.01851939E8</v>
      </c>
      <c r="D3105" s="73" t="s">
        <v>3576</v>
      </c>
      <c r="E3105" s="72">
        <v>2.0242470044395E13</v>
      </c>
      <c r="F3105" s="75">
        <v>45548.0</v>
      </c>
      <c r="G3105" s="76"/>
      <c r="H3105" s="76"/>
      <c r="I3105" s="73" t="s">
        <v>366</v>
      </c>
      <c r="J3105" s="76"/>
    </row>
    <row r="3106">
      <c r="A3106" s="74">
        <v>3096.0</v>
      </c>
      <c r="B3106" s="73" t="s">
        <v>3465</v>
      </c>
      <c r="C3106" s="74">
        <v>9.01913445E8</v>
      </c>
      <c r="D3106" s="73" t="s">
        <v>3577</v>
      </c>
      <c r="E3106" s="72">
        <v>2.0253040011685E13</v>
      </c>
      <c r="F3106" s="75">
        <v>45747.0</v>
      </c>
      <c r="G3106" s="76"/>
      <c r="H3106" s="76"/>
      <c r="I3106" s="73" t="s">
        <v>366</v>
      </c>
      <c r="J3106" s="76"/>
    </row>
    <row r="3107">
      <c r="A3107" s="74">
        <v>3097.0</v>
      </c>
      <c r="B3107" s="73" t="s">
        <v>3465</v>
      </c>
      <c r="C3107" s="74">
        <v>9.01926799E8</v>
      </c>
      <c r="D3107" s="73" t="s">
        <v>3578</v>
      </c>
      <c r="E3107" s="72">
        <v>2.0253040014155E13</v>
      </c>
      <c r="F3107" s="75">
        <v>45758.0</v>
      </c>
      <c r="G3107" s="76"/>
      <c r="H3107" s="76"/>
      <c r="I3107" s="73" t="s">
        <v>366</v>
      </c>
      <c r="J3107" s="76"/>
    </row>
    <row r="3108">
      <c r="A3108" s="74">
        <v>3098.0</v>
      </c>
      <c r="B3108" s="73" t="s">
        <v>3465</v>
      </c>
      <c r="C3108" s="74">
        <v>9.01887522E8</v>
      </c>
      <c r="D3108" s="73" t="s">
        <v>3579</v>
      </c>
      <c r="E3108" s="72">
        <v>2.0252470051433E13</v>
      </c>
      <c r="F3108" s="75">
        <v>45758.0</v>
      </c>
      <c r="G3108" s="76"/>
      <c r="H3108" s="76"/>
      <c r="I3108" s="73" t="s">
        <v>366</v>
      </c>
      <c r="J3108" s="76"/>
    </row>
    <row r="3109">
      <c r="A3109" s="74">
        <v>3099.0</v>
      </c>
      <c r="B3109" s="73" t="s">
        <v>3580</v>
      </c>
      <c r="C3109" s="74">
        <v>9.00453378E8</v>
      </c>
      <c r="D3109" s="73" t="s">
        <v>3581</v>
      </c>
      <c r="E3109" s="72">
        <v>2.0213040023045E13</v>
      </c>
      <c r="F3109" s="75">
        <v>44351.0</v>
      </c>
      <c r="G3109" s="72">
        <v>2.021040023045E12</v>
      </c>
      <c r="H3109" s="75">
        <v>44351.0</v>
      </c>
      <c r="I3109" s="73" t="s">
        <v>366</v>
      </c>
      <c r="J3109" s="73" t="s">
        <v>3582</v>
      </c>
    </row>
    <row r="3110">
      <c r="A3110" s="74">
        <v>3100.0</v>
      </c>
      <c r="B3110" s="73" t="s">
        <v>3580</v>
      </c>
      <c r="C3110" s="74">
        <v>9.01080532E8</v>
      </c>
      <c r="D3110" s="73" t="s">
        <v>3583</v>
      </c>
      <c r="E3110" s="72">
        <v>36.0</v>
      </c>
      <c r="F3110" s="75">
        <v>43871.0</v>
      </c>
      <c r="G3110" s="72">
        <v>2.0253040018795E13</v>
      </c>
      <c r="H3110" s="75">
        <v>45793.0</v>
      </c>
      <c r="I3110" s="73" t="s">
        <v>366</v>
      </c>
      <c r="J3110" s="73" t="s">
        <v>3584</v>
      </c>
    </row>
    <row r="3111">
      <c r="A3111" s="85">
        <v>3101.0</v>
      </c>
      <c r="B3111" s="79" t="s">
        <v>3580</v>
      </c>
      <c r="C3111" s="80">
        <v>8.00075672E8</v>
      </c>
      <c r="D3111" s="79" t="s">
        <v>3585</v>
      </c>
      <c r="E3111" s="81">
        <v>369.0</v>
      </c>
      <c r="F3111" s="82">
        <v>32798.0</v>
      </c>
      <c r="G3111" s="83"/>
      <c r="H3111" s="83"/>
      <c r="I3111" s="73" t="s">
        <v>366</v>
      </c>
      <c r="J3111" s="76"/>
    </row>
    <row r="3112">
      <c r="A3112" s="74">
        <v>3102.0</v>
      </c>
      <c r="B3112" s="73" t="s">
        <v>3580</v>
      </c>
      <c r="C3112" s="74">
        <v>8.00178929E8</v>
      </c>
      <c r="D3112" s="73" t="s">
        <v>3586</v>
      </c>
      <c r="E3112" s="72">
        <v>53.0</v>
      </c>
      <c r="F3112" s="77">
        <v>33934.0</v>
      </c>
      <c r="G3112" s="76"/>
      <c r="H3112" s="76"/>
      <c r="I3112" s="73" t="s">
        <v>366</v>
      </c>
      <c r="J3112" s="76"/>
    </row>
    <row r="3113">
      <c r="A3113" s="74">
        <v>3103.0</v>
      </c>
      <c r="B3113" s="73" t="s">
        <v>3580</v>
      </c>
      <c r="C3113" s="74">
        <v>8.92000565E8</v>
      </c>
      <c r="D3113" s="73" t="s">
        <v>3587</v>
      </c>
      <c r="E3113" s="72">
        <v>101.0</v>
      </c>
      <c r="F3113" s="77">
        <v>37174.0</v>
      </c>
      <c r="G3113" s="76"/>
      <c r="H3113" s="76"/>
      <c r="I3113" s="73" t="s">
        <v>366</v>
      </c>
      <c r="J3113" s="76"/>
    </row>
    <row r="3114">
      <c r="A3114" s="74">
        <v>3104.0</v>
      </c>
      <c r="B3114" s="73" t="s">
        <v>3580</v>
      </c>
      <c r="C3114" s="74">
        <v>8.22002579E8</v>
      </c>
      <c r="D3114" s="73" t="s">
        <v>3588</v>
      </c>
      <c r="E3114" s="72">
        <v>114.0</v>
      </c>
      <c r="F3114" s="77">
        <v>37204.0</v>
      </c>
      <c r="G3114" s="72">
        <v>231.0</v>
      </c>
      <c r="H3114" s="75">
        <v>38217.0</v>
      </c>
      <c r="I3114" s="73" t="s">
        <v>366</v>
      </c>
      <c r="J3114" s="76"/>
    </row>
    <row r="3115">
      <c r="A3115" s="74">
        <v>3105.0</v>
      </c>
      <c r="B3115" s="73" t="s">
        <v>3580</v>
      </c>
      <c r="C3115" s="74">
        <v>8.00234792E8</v>
      </c>
      <c r="D3115" s="73" t="s">
        <v>3589</v>
      </c>
      <c r="E3115" s="72">
        <v>153.0</v>
      </c>
      <c r="F3115" s="75">
        <v>37321.0</v>
      </c>
      <c r="G3115" s="72">
        <v>2.0245500046515E13</v>
      </c>
      <c r="H3115" s="75">
        <v>45560.0</v>
      </c>
      <c r="I3115" s="73" t="s">
        <v>366</v>
      </c>
      <c r="J3115" s="76"/>
    </row>
    <row r="3116">
      <c r="A3116" s="74">
        <v>3106.0</v>
      </c>
      <c r="B3116" s="73" t="s">
        <v>3580</v>
      </c>
      <c r="C3116" s="74">
        <v>8.30075344E8</v>
      </c>
      <c r="D3116" s="73" t="s">
        <v>3590</v>
      </c>
      <c r="E3116" s="72">
        <v>2970.0</v>
      </c>
      <c r="F3116" s="75">
        <v>37459.0</v>
      </c>
      <c r="G3116" s="76"/>
      <c r="H3116" s="76"/>
      <c r="I3116" s="73" t="s">
        <v>366</v>
      </c>
      <c r="J3116" s="76"/>
    </row>
    <row r="3117">
      <c r="A3117" s="74">
        <v>3107.0</v>
      </c>
      <c r="B3117" s="73" t="s">
        <v>3580</v>
      </c>
      <c r="C3117" s="74">
        <v>8.3010504E8</v>
      </c>
      <c r="D3117" s="73" t="s">
        <v>3591</v>
      </c>
      <c r="E3117" s="72">
        <v>3059.0</v>
      </c>
      <c r="F3117" s="75">
        <v>37467.0</v>
      </c>
      <c r="G3117" s="76"/>
      <c r="H3117" s="76"/>
      <c r="I3117" s="73" t="s">
        <v>366</v>
      </c>
      <c r="J3117" s="76"/>
    </row>
    <row r="3118">
      <c r="A3118" s="74">
        <v>3108.0</v>
      </c>
      <c r="B3118" s="73" t="s">
        <v>3580</v>
      </c>
      <c r="C3118" s="74">
        <v>8.00054239E8</v>
      </c>
      <c r="D3118" s="73" t="s">
        <v>3592</v>
      </c>
      <c r="E3118" s="72">
        <v>184.0</v>
      </c>
      <c r="F3118" s="77">
        <v>37539.0</v>
      </c>
      <c r="G3118" s="72">
        <v>2.0235500016605E13</v>
      </c>
      <c r="H3118" s="75">
        <v>45043.0</v>
      </c>
      <c r="I3118" s="73" t="s">
        <v>366</v>
      </c>
      <c r="J3118" s="76"/>
    </row>
    <row r="3119">
      <c r="A3119" s="74">
        <v>3109.0</v>
      </c>
      <c r="B3119" s="73" t="s">
        <v>3580</v>
      </c>
      <c r="C3119" s="74">
        <v>8.22006143E8</v>
      </c>
      <c r="D3119" s="73" t="s">
        <v>3593</v>
      </c>
      <c r="E3119" s="72">
        <v>72.0</v>
      </c>
      <c r="F3119" s="77">
        <v>37593.0</v>
      </c>
      <c r="G3119" s="76"/>
      <c r="H3119" s="76"/>
      <c r="I3119" s="73" t="s">
        <v>366</v>
      </c>
      <c r="J3119" s="76"/>
    </row>
    <row r="3120">
      <c r="A3120" s="74">
        <v>3110.0</v>
      </c>
      <c r="B3120" s="73" t="s">
        <v>3580</v>
      </c>
      <c r="C3120" s="74">
        <v>8.9210011E8</v>
      </c>
      <c r="D3120" s="73" t="s">
        <v>3594</v>
      </c>
      <c r="E3120" s="72">
        <v>1.0</v>
      </c>
      <c r="F3120" s="75">
        <v>37700.0</v>
      </c>
      <c r="G3120" s="76"/>
      <c r="H3120" s="76"/>
      <c r="I3120" s="73" t="s">
        <v>366</v>
      </c>
      <c r="J3120" s="76"/>
    </row>
    <row r="3121">
      <c r="A3121" s="74">
        <v>3111.0</v>
      </c>
      <c r="B3121" s="73" t="s">
        <v>3580</v>
      </c>
      <c r="C3121" s="74">
        <v>8.22006993E8</v>
      </c>
      <c r="D3121" s="73" t="s">
        <v>3595</v>
      </c>
      <c r="E3121" s="72">
        <v>329.0</v>
      </c>
      <c r="F3121" s="77">
        <v>38294.0</v>
      </c>
      <c r="G3121" s="76"/>
      <c r="H3121" s="76"/>
      <c r="I3121" s="73" t="s">
        <v>366</v>
      </c>
      <c r="J3121" s="76"/>
    </row>
    <row r="3122">
      <c r="A3122" s="74">
        <v>3112.0</v>
      </c>
      <c r="B3122" s="73" t="s">
        <v>3580</v>
      </c>
      <c r="C3122" s="74">
        <v>9.00053758E8</v>
      </c>
      <c r="D3122" s="73" t="s">
        <v>3596</v>
      </c>
      <c r="E3122" s="72">
        <v>294.0</v>
      </c>
      <c r="F3122" s="77">
        <v>38693.0</v>
      </c>
      <c r="G3122" s="76"/>
      <c r="H3122" s="76"/>
      <c r="I3122" s="73" t="s">
        <v>366</v>
      </c>
      <c r="J3122" s="76"/>
    </row>
    <row r="3123">
      <c r="A3123" s="74">
        <v>3113.0</v>
      </c>
      <c r="B3123" s="73" t="s">
        <v>3580</v>
      </c>
      <c r="C3123" s="74">
        <v>8.28000084E8</v>
      </c>
      <c r="D3123" s="73" t="s">
        <v>3597</v>
      </c>
      <c r="E3123" s="72">
        <v>55.0</v>
      </c>
      <c r="F3123" s="77">
        <v>38716.0</v>
      </c>
      <c r="G3123" s="76"/>
      <c r="H3123" s="76"/>
      <c r="I3123" s="73" t="s">
        <v>366</v>
      </c>
      <c r="J3123" s="76"/>
    </row>
    <row r="3124">
      <c r="A3124" s="74">
        <v>3114.0</v>
      </c>
      <c r="B3124" s="73" t="s">
        <v>3580</v>
      </c>
      <c r="C3124" s="74">
        <v>9.00156309E8</v>
      </c>
      <c r="D3124" s="73" t="s">
        <v>3598</v>
      </c>
      <c r="E3124" s="72">
        <v>1088.0</v>
      </c>
      <c r="F3124" s="77">
        <v>39356.0</v>
      </c>
      <c r="G3124" s="72">
        <v>2.0245500053315E13</v>
      </c>
      <c r="H3124" s="77">
        <v>45596.0</v>
      </c>
      <c r="I3124" s="73" t="s">
        <v>366</v>
      </c>
      <c r="J3124" s="76"/>
    </row>
    <row r="3125">
      <c r="A3125" s="74">
        <v>3115.0</v>
      </c>
      <c r="B3125" s="73" t="s">
        <v>3580</v>
      </c>
      <c r="C3125" s="74">
        <v>9.00087326E8</v>
      </c>
      <c r="D3125" s="73" t="s">
        <v>3599</v>
      </c>
      <c r="E3125" s="72">
        <v>62.0</v>
      </c>
      <c r="F3125" s="77">
        <v>39388.0</v>
      </c>
      <c r="G3125" s="72">
        <v>5007.0</v>
      </c>
      <c r="H3125" s="77">
        <v>39051.0</v>
      </c>
      <c r="I3125" s="73" t="s">
        <v>366</v>
      </c>
      <c r="J3125" s="76"/>
    </row>
    <row r="3126">
      <c r="A3126" s="74">
        <v>3116.0</v>
      </c>
      <c r="B3126" s="73" t="s">
        <v>3580</v>
      </c>
      <c r="C3126" s="74">
        <v>9.00117232E8</v>
      </c>
      <c r="D3126" s="73" t="s">
        <v>3600</v>
      </c>
      <c r="E3126" s="72">
        <v>75.0</v>
      </c>
      <c r="F3126" s="77">
        <v>39423.0</v>
      </c>
      <c r="G3126" s="76"/>
      <c r="H3126" s="76"/>
      <c r="I3126" s="73" t="s">
        <v>366</v>
      </c>
      <c r="J3126" s="76"/>
    </row>
    <row r="3127">
      <c r="A3127" s="74">
        <v>3117.0</v>
      </c>
      <c r="B3127" s="73" t="s">
        <v>3580</v>
      </c>
      <c r="C3127" s="74">
        <v>9.00176538E8</v>
      </c>
      <c r="D3127" s="73" t="s">
        <v>3601</v>
      </c>
      <c r="E3127" s="72">
        <v>23.0</v>
      </c>
      <c r="F3127" s="75">
        <v>39553.0</v>
      </c>
      <c r="G3127" s="76"/>
      <c r="H3127" s="76"/>
      <c r="I3127" s="73" t="s">
        <v>366</v>
      </c>
      <c r="J3127" s="76"/>
    </row>
    <row r="3128">
      <c r="A3128" s="74">
        <v>3118.0</v>
      </c>
      <c r="B3128" s="73" t="s">
        <v>3580</v>
      </c>
      <c r="C3128" s="74">
        <v>9.00071513E8</v>
      </c>
      <c r="D3128" s="73" t="s">
        <v>3602</v>
      </c>
      <c r="E3128" s="72">
        <v>31.0</v>
      </c>
      <c r="F3128" s="75">
        <v>39567.0</v>
      </c>
      <c r="G3128" s="76"/>
      <c r="H3128" s="76"/>
      <c r="I3128" s="73" t="s">
        <v>366</v>
      </c>
      <c r="J3128" s="76"/>
    </row>
    <row r="3129">
      <c r="A3129" s="74">
        <v>3119.0</v>
      </c>
      <c r="B3129" s="73" t="s">
        <v>3580</v>
      </c>
      <c r="C3129" s="74">
        <v>9.00133181E8</v>
      </c>
      <c r="D3129" s="73" t="s">
        <v>3603</v>
      </c>
      <c r="E3129" s="72">
        <v>743.0</v>
      </c>
      <c r="F3129" s="75">
        <v>39610.0</v>
      </c>
      <c r="G3129" s="76"/>
      <c r="H3129" s="76"/>
      <c r="I3129" s="73" t="s">
        <v>366</v>
      </c>
      <c r="J3129" s="76"/>
    </row>
    <row r="3130">
      <c r="A3130" s="74">
        <v>3120.0</v>
      </c>
      <c r="B3130" s="73" t="s">
        <v>3580</v>
      </c>
      <c r="C3130" s="74">
        <v>9.00299283E8</v>
      </c>
      <c r="D3130" s="73" t="s">
        <v>3604</v>
      </c>
      <c r="E3130" s="72">
        <v>56.0</v>
      </c>
      <c r="F3130" s="77">
        <v>40177.0</v>
      </c>
      <c r="G3130" s="72">
        <v>112.0</v>
      </c>
      <c r="H3130" s="77">
        <v>41620.0</v>
      </c>
      <c r="I3130" s="73" t="s">
        <v>366</v>
      </c>
      <c r="J3130" s="76"/>
    </row>
    <row r="3131">
      <c r="A3131" s="74">
        <v>3121.0</v>
      </c>
      <c r="B3131" s="73" t="s">
        <v>3580</v>
      </c>
      <c r="C3131" s="74">
        <v>9.00308978E8</v>
      </c>
      <c r="D3131" s="73" t="s">
        <v>3605</v>
      </c>
      <c r="E3131" s="72">
        <v>7.0</v>
      </c>
      <c r="F3131" s="75">
        <v>40583.0</v>
      </c>
      <c r="G3131" s="76"/>
      <c r="H3131" s="76"/>
      <c r="I3131" s="73" t="s">
        <v>366</v>
      </c>
      <c r="J3131" s="76"/>
    </row>
    <row r="3132">
      <c r="A3132" s="74">
        <v>3122.0</v>
      </c>
      <c r="B3132" s="73" t="s">
        <v>3580</v>
      </c>
      <c r="C3132" s="74">
        <v>9.00194645E8</v>
      </c>
      <c r="D3132" s="73" t="s">
        <v>3606</v>
      </c>
      <c r="E3132" s="72">
        <v>15.0</v>
      </c>
      <c r="F3132" s="75">
        <v>40592.0</v>
      </c>
      <c r="G3132" s="76"/>
      <c r="H3132" s="76"/>
      <c r="I3132" s="73" t="s">
        <v>366</v>
      </c>
      <c r="J3132" s="76"/>
    </row>
    <row r="3133">
      <c r="A3133" s="74">
        <v>3123.0</v>
      </c>
      <c r="B3133" s="73" t="s">
        <v>3580</v>
      </c>
      <c r="C3133" s="74">
        <v>9.00281363E8</v>
      </c>
      <c r="D3133" s="73" t="s">
        <v>3607</v>
      </c>
      <c r="E3133" s="72">
        <v>12.0</v>
      </c>
      <c r="F3133" s="75">
        <v>40592.0</v>
      </c>
      <c r="G3133" s="76"/>
      <c r="H3133" s="76"/>
      <c r="I3133" s="73" t="s">
        <v>366</v>
      </c>
      <c r="J3133" s="76"/>
    </row>
    <row r="3134">
      <c r="A3134" s="74">
        <v>3124.0</v>
      </c>
      <c r="B3134" s="73" t="s">
        <v>3580</v>
      </c>
      <c r="C3134" s="74">
        <v>9.0040219E8</v>
      </c>
      <c r="D3134" s="73" t="s">
        <v>3608</v>
      </c>
      <c r="E3134" s="72">
        <v>16.0</v>
      </c>
      <c r="F3134" s="75">
        <v>40592.0</v>
      </c>
      <c r="G3134" s="76"/>
      <c r="H3134" s="76"/>
      <c r="I3134" s="73" t="s">
        <v>366</v>
      </c>
      <c r="J3134" s="76"/>
    </row>
    <row r="3135">
      <c r="A3135" s="74">
        <v>3125.0</v>
      </c>
      <c r="B3135" s="73" t="s">
        <v>3580</v>
      </c>
      <c r="C3135" s="74">
        <v>9.00430336E8</v>
      </c>
      <c r="D3135" s="73" t="s">
        <v>3609</v>
      </c>
      <c r="E3135" s="72">
        <v>52.0</v>
      </c>
      <c r="F3135" s="75">
        <v>40688.0</v>
      </c>
      <c r="G3135" s="76"/>
      <c r="H3135" s="76"/>
      <c r="I3135" s="73" t="s">
        <v>366</v>
      </c>
      <c r="J3135" s="76"/>
    </row>
    <row r="3136">
      <c r="A3136" s="74">
        <v>3126.0</v>
      </c>
      <c r="B3136" s="73" t="s">
        <v>3580</v>
      </c>
      <c r="C3136" s="74">
        <v>9.00436195E8</v>
      </c>
      <c r="D3136" s="73" t="s">
        <v>3610</v>
      </c>
      <c r="E3136" s="72">
        <v>64.0</v>
      </c>
      <c r="F3136" s="75">
        <v>40722.0</v>
      </c>
      <c r="G3136" s="72">
        <v>25.0</v>
      </c>
      <c r="H3136" s="75">
        <v>41115.0</v>
      </c>
      <c r="I3136" s="73" t="s">
        <v>366</v>
      </c>
      <c r="J3136" s="76"/>
    </row>
    <row r="3137">
      <c r="A3137" s="74">
        <v>3127.0</v>
      </c>
      <c r="B3137" s="73" t="s">
        <v>3580</v>
      </c>
      <c r="C3137" s="74">
        <v>9.0037466E8</v>
      </c>
      <c r="D3137" s="73" t="s">
        <v>3611</v>
      </c>
      <c r="E3137" s="72">
        <v>263.0</v>
      </c>
      <c r="F3137" s="75">
        <v>40745.0</v>
      </c>
      <c r="G3137" s="76"/>
      <c r="H3137" s="76"/>
      <c r="I3137" s="73" t="s">
        <v>366</v>
      </c>
      <c r="J3137" s="76"/>
    </row>
    <row r="3138">
      <c r="A3138" s="74">
        <v>3128.0</v>
      </c>
      <c r="B3138" s="73" t="s">
        <v>3580</v>
      </c>
      <c r="C3138" s="74">
        <v>9.0008116E8</v>
      </c>
      <c r="D3138" s="73" t="s">
        <v>3612</v>
      </c>
      <c r="E3138" s="72">
        <v>63.0</v>
      </c>
      <c r="F3138" s="75">
        <v>40779.0</v>
      </c>
      <c r="G3138" s="72">
        <v>2.0245500011345E13</v>
      </c>
      <c r="H3138" s="75">
        <v>45370.0</v>
      </c>
      <c r="I3138" s="73" t="s">
        <v>366</v>
      </c>
      <c r="J3138" s="76"/>
    </row>
    <row r="3139">
      <c r="A3139" s="74">
        <v>3129.0</v>
      </c>
      <c r="B3139" s="73" t="s">
        <v>3580</v>
      </c>
      <c r="C3139" s="74">
        <v>9.00457018E8</v>
      </c>
      <c r="D3139" s="73" t="s">
        <v>3613</v>
      </c>
      <c r="E3139" s="72">
        <v>91.0</v>
      </c>
      <c r="F3139" s="75">
        <v>40786.0</v>
      </c>
      <c r="G3139" s="76"/>
      <c r="H3139" s="76"/>
      <c r="I3139" s="73" t="s">
        <v>366</v>
      </c>
      <c r="J3139" s="76"/>
    </row>
    <row r="3140">
      <c r="A3140" s="74">
        <v>3130.0</v>
      </c>
      <c r="B3140" s="73" t="s">
        <v>3580</v>
      </c>
      <c r="C3140" s="74">
        <v>8.92001529E8</v>
      </c>
      <c r="D3140" s="73" t="s">
        <v>3614</v>
      </c>
      <c r="E3140" s="72">
        <v>88.0</v>
      </c>
      <c r="F3140" s="77">
        <v>40870.0</v>
      </c>
      <c r="G3140" s="76"/>
      <c r="H3140" s="76"/>
      <c r="I3140" s="73" t="s">
        <v>366</v>
      </c>
      <c r="J3140" s="76"/>
    </row>
    <row r="3141">
      <c r="A3141" s="74">
        <v>3131.0</v>
      </c>
      <c r="B3141" s="73" t="s">
        <v>3580</v>
      </c>
      <c r="C3141" s="74">
        <v>9.00468214E8</v>
      </c>
      <c r="D3141" s="73" t="s">
        <v>3615</v>
      </c>
      <c r="E3141" s="72">
        <v>466.0</v>
      </c>
      <c r="F3141" s="77">
        <v>40893.0</v>
      </c>
      <c r="G3141" s="76"/>
      <c r="H3141" s="76"/>
      <c r="I3141" s="73" t="s">
        <v>366</v>
      </c>
      <c r="J3141" s="76"/>
    </row>
    <row r="3142">
      <c r="A3142" s="74">
        <v>3132.0</v>
      </c>
      <c r="B3142" s="73" t="s">
        <v>3580</v>
      </c>
      <c r="C3142" s="74">
        <v>9.00385836E8</v>
      </c>
      <c r="D3142" s="73" t="s">
        <v>3616</v>
      </c>
      <c r="E3142" s="72">
        <v>3.0</v>
      </c>
      <c r="F3142" s="75">
        <v>40932.0</v>
      </c>
      <c r="G3142" s="76"/>
      <c r="H3142" s="76"/>
      <c r="I3142" s="73" t="s">
        <v>366</v>
      </c>
      <c r="J3142" s="76"/>
    </row>
    <row r="3143">
      <c r="A3143" s="74">
        <v>3133.0</v>
      </c>
      <c r="B3143" s="73" t="s">
        <v>3580</v>
      </c>
      <c r="C3143" s="74">
        <v>9.00475403E8</v>
      </c>
      <c r="D3143" s="73" t="s">
        <v>3617</v>
      </c>
      <c r="E3143" s="72">
        <v>5.0</v>
      </c>
      <c r="F3143" s="75">
        <v>40935.0</v>
      </c>
      <c r="G3143" s="76"/>
      <c r="H3143" s="76"/>
      <c r="I3143" s="73" t="s">
        <v>366</v>
      </c>
      <c r="J3143" s="76"/>
    </row>
    <row r="3144">
      <c r="A3144" s="74">
        <v>3134.0</v>
      </c>
      <c r="B3144" s="73" t="s">
        <v>3580</v>
      </c>
      <c r="C3144" s="74">
        <v>9.00481724E8</v>
      </c>
      <c r="D3144" s="73" t="s">
        <v>3618</v>
      </c>
      <c r="E3144" s="72">
        <v>11.0</v>
      </c>
      <c r="F3144" s="75">
        <v>40954.0</v>
      </c>
      <c r="G3144" s="76"/>
      <c r="H3144" s="76"/>
      <c r="I3144" s="73" t="s">
        <v>366</v>
      </c>
      <c r="J3144" s="76"/>
    </row>
    <row r="3145">
      <c r="A3145" s="74">
        <v>3135.0</v>
      </c>
      <c r="B3145" s="73" t="s">
        <v>3580</v>
      </c>
      <c r="C3145" s="74">
        <v>9.00452362E8</v>
      </c>
      <c r="D3145" s="73" t="s">
        <v>3619</v>
      </c>
      <c r="E3145" s="72">
        <v>9.0</v>
      </c>
      <c r="F3145" s="75">
        <v>40966.0</v>
      </c>
      <c r="G3145" s="76"/>
      <c r="H3145" s="76"/>
      <c r="I3145" s="73" t="s">
        <v>366</v>
      </c>
      <c r="J3145" s="76"/>
    </row>
    <row r="3146">
      <c r="A3146" s="74">
        <v>3136.0</v>
      </c>
      <c r="B3146" s="73" t="s">
        <v>3580</v>
      </c>
      <c r="C3146" s="74">
        <v>9.00388588E8</v>
      </c>
      <c r="D3146" s="73" t="s">
        <v>1043</v>
      </c>
      <c r="E3146" s="72">
        <v>41.0</v>
      </c>
      <c r="F3146" s="75">
        <v>41060.0</v>
      </c>
      <c r="G3146" s="76"/>
      <c r="H3146" s="76"/>
      <c r="I3146" s="73" t="s">
        <v>366</v>
      </c>
      <c r="J3146" s="76"/>
    </row>
    <row r="3147">
      <c r="A3147" s="74">
        <v>3137.0</v>
      </c>
      <c r="B3147" s="73" t="s">
        <v>3580</v>
      </c>
      <c r="C3147" s="74">
        <v>9.00459614E8</v>
      </c>
      <c r="D3147" s="73" t="s">
        <v>3620</v>
      </c>
      <c r="E3147" s="72">
        <v>45.0</v>
      </c>
      <c r="F3147" s="75">
        <v>41073.0</v>
      </c>
      <c r="G3147" s="76"/>
      <c r="H3147" s="76"/>
      <c r="I3147" s="73" t="s">
        <v>366</v>
      </c>
      <c r="J3147" s="76"/>
    </row>
    <row r="3148">
      <c r="A3148" s="74">
        <v>3138.0</v>
      </c>
      <c r="B3148" s="73" t="s">
        <v>3580</v>
      </c>
      <c r="C3148" s="74">
        <v>9.00127686E8</v>
      </c>
      <c r="D3148" s="73" t="s">
        <v>3621</v>
      </c>
      <c r="E3148" s="72">
        <v>29.0</v>
      </c>
      <c r="F3148" s="75">
        <v>41131.0</v>
      </c>
      <c r="G3148" s="76"/>
      <c r="H3148" s="76"/>
      <c r="I3148" s="73" t="s">
        <v>366</v>
      </c>
      <c r="J3148" s="76"/>
    </row>
    <row r="3149">
      <c r="A3149" s="74">
        <v>3139.0</v>
      </c>
      <c r="B3149" s="73" t="s">
        <v>3580</v>
      </c>
      <c r="C3149" s="74">
        <v>9.00221207E8</v>
      </c>
      <c r="D3149" s="73" t="s">
        <v>3622</v>
      </c>
      <c r="E3149" s="72">
        <v>291.0</v>
      </c>
      <c r="F3149" s="75">
        <v>41136.0</v>
      </c>
      <c r="G3149" s="76"/>
      <c r="H3149" s="76"/>
      <c r="I3149" s="73" t="s">
        <v>366</v>
      </c>
      <c r="J3149" s="76"/>
    </row>
    <row r="3150">
      <c r="A3150" s="74">
        <v>3140.0</v>
      </c>
      <c r="B3150" s="73" t="s">
        <v>3580</v>
      </c>
      <c r="C3150" s="74">
        <v>9.00353413E8</v>
      </c>
      <c r="D3150" s="73" t="s">
        <v>3623</v>
      </c>
      <c r="E3150" s="72">
        <v>41.0</v>
      </c>
      <c r="F3150" s="77">
        <v>41215.0</v>
      </c>
      <c r="G3150" s="76"/>
      <c r="H3150" s="76"/>
      <c r="I3150" s="73" t="s">
        <v>366</v>
      </c>
      <c r="J3150" s="76"/>
    </row>
    <row r="3151">
      <c r="A3151" s="74">
        <v>3141.0</v>
      </c>
      <c r="B3151" s="73" t="s">
        <v>3580</v>
      </c>
      <c r="C3151" s="74">
        <v>9.00546551E8</v>
      </c>
      <c r="D3151" s="73" t="s">
        <v>3624</v>
      </c>
      <c r="E3151" s="72">
        <v>53.0</v>
      </c>
      <c r="F3151" s="77">
        <v>41254.0</v>
      </c>
      <c r="G3151" s="76"/>
      <c r="H3151" s="76"/>
      <c r="I3151" s="73" t="s">
        <v>366</v>
      </c>
      <c r="J3151" s="76"/>
    </row>
    <row r="3152">
      <c r="A3152" s="74">
        <v>3142.0</v>
      </c>
      <c r="B3152" s="73" t="s">
        <v>3580</v>
      </c>
      <c r="C3152" s="74">
        <v>9.00128615E8</v>
      </c>
      <c r="D3152" s="73" t="s">
        <v>3625</v>
      </c>
      <c r="E3152" s="72">
        <v>70.0</v>
      </c>
      <c r="F3152" s="77">
        <v>41269.0</v>
      </c>
      <c r="G3152" s="72">
        <v>2.0213040008215E13</v>
      </c>
      <c r="H3152" s="75">
        <v>44256.0</v>
      </c>
      <c r="I3152" s="73" t="s">
        <v>366</v>
      </c>
      <c r="J3152" s="76"/>
    </row>
    <row r="3153">
      <c r="A3153" s="74">
        <v>3143.0</v>
      </c>
      <c r="B3153" s="73" t="s">
        <v>3580</v>
      </c>
      <c r="C3153" s="74">
        <v>9.00484183E8</v>
      </c>
      <c r="D3153" s="73" t="s">
        <v>3626</v>
      </c>
      <c r="E3153" s="72">
        <v>61.0</v>
      </c>
      <c r="F3153" s="77">
        <v>41270.0</v>
      </c>
      <c r="G3153" s="76"/>
      <c r="H3153" s="76"/>
      <c r="I3153" s="73" t="s">
        <v>366</v>
      </c>
      <c r="J3153" s="76"/>
    </row>
    <row r="3154">
      <c r="A3154" s="74">
        <v>3144.0</v>
      </c>
      <c r="B3154" s="73" t="s">
        <v>3580</v>
      </c>
      <c r="C3154" s="74">
        <v>9.00537675E8</v>
      </c>
      <c r="D3154" s="73" t="s">
        <v>3627</v>
      </c>
      <c r="E3154" s="72">
        <v>60.0</v>
      </c>
      <c r="F3154" s="77">
        <v>41270.0</v>
      </c>
      <c r="G3154" s="76"/>
      <c r="H3154" s="76"/>
      <c r="I3154" s="73" t="s">
        <v>366</v>
      </c>
      <c r="J3154" s="76"/>
    </row>
    <row r="3155">
      <c r="A3155" s="74">
        <v>3145.0</v>
      </c>
      <c r="B3155" s="73" t="s">
        <v>3580</v>
      </c>
      <c r="C3155" s="74">
        <v>9.00427427E8</v>
      </c>
      <c r="D3155" s="73" t="s">
        <v>3628</v>
      </c>
      <c r="E3155" s="72">
        <v>63.0</v>
      </c>
      <c r="F3155" s="77">
        <v>41271.0</v>
      </c>
      <c r="G3155" s="76"/>
      <c r="H3155" s="76"/>
      <c r="I3155" s="73" t="s">
        <v>366</v>
      </c>
      <c r="J3155" s="76"/>
    </row>
    <row r="3156">
      <c r="A3156" s="74">
        <v>3146.0</v>
      </c>
      <c r="B3156" s="73" t="s">
        <v>3580</v>
      </c>
      <c r="C3156" s="74">
        <v>9.00479186E8</v>
      </c>
      <c r="D3156" s="73" t="s">
        <v>3629</v>
      </c>
      <c r="E3156" s="72">
        <v>64.0</v>
      </c>
      <c r="F3156" s="77">
        <v>41271.0</v>
      </c>
      <c r="G3156" s="76"/>
      <c r="H3156" s="76"/>
      <c r="I3156" s="73" t="s">
        <v>366</v>
      </c>
      <c r="J3156" s="76"/>
    </row>
    <row r="3157">
      <c r="A3157" s="74">
        <v>3147.0</v>
      </c>
      <c r="B3157" s="73" t="s">
        <v>3580</v>
      </c>
      <c r="C3157" s="74">
        <v>9.00517248E8</v>
      </c>
      <c r="D3157" s="73" t="s">
        <v>3630</v>
      </c>
      <c r="E3157" s="72">
        <v>12.0</v>
      </c>
      <c r="F3157" s="75">
        <v>41326.0</v>
      </c>
      <c r="G3157" s="76"/>
      <c r="H3157" s="76"/>
      <c r="I3157" s="73" t="s">
        <v>366</v>
      </c>
      <c r="J3157" s="76"/>
    </row>
    <row r="3158">
      <c r="A3158" s="74">
        <v>3148.0</v>
      </c>
      <c r="B3158" s="73" t="s">
        <v>3580</v>
      </c>
      <c r="C3158" s="74">
        <v>9.00547837E8</v>
      </c>
      <c r="D3158" s="73" t="s">
        <v>3631</v>
      </c>
      <c r="E3158" s="72">
        <v>43.0</v>
      </c>
      <c r="F3158" s="75">
        <v>41386.0</v>
      </c>
      <c r="G3158" s="76"/>
      <c r="H3158" s="76"/>
      <c r="I3158" s="73" t="s">
        <v>366</v>
      </c>
      <c r="J3158" s="76"/>
    </row>
    <row r="3159">
      <c r="A3159" s="74">
        <v>3149.0</v>
      </c>
      <c r="B3159" s="73" t="s">
        <v>3580</v>
      </c>
      <c r="C3159" s="74">
        <v>9.00466072E8</v>
      </c>
      <c r="D3159" s="73" t="s">
        <v>3632</v>
      </c>
      <c r="E3159" s="72">
        <v>49.0</v>
      </c>
      <c r="F3159" s="75">
        <v>41400.0</v>
      </c>
      <c r="G3159" s="76"/>
      <c r="H3159" s="76"/>
      <c r="I3159" s="73" t="s">
        <v>366</v>
      </c>
      <c r="J3159" s="76"/>
    </row>
    <row r="3160">
      <c r="A3160" s="74">
        <v>3150.0</v>
      </c>
      <c r="B3160" s="73" t="s">
        <v>3580</v>
      </c>
      <c r="C3160" s="74">
        <v>9.00530734E8</v>
      </c>
      <c r="D3160" s="73" t="s">
        <v>3633</v>
      </c>
      <c r="E3160" s="72">
        <v>53.0</v>
      </c>
      <c r="F3160" s="75">
        <v>41424.0</v>
      </c>
      <c r="G3160" s="76"/>
      <c r="H3160" s="76"/>
      <c r="I3160" s="73" t="s">
        <v>366</v>
      </c>
      <c r="J3160" s="76"/>
    </row>
    <row r="3161">
      <c r="A3161" s="74">
        <v>3151.0</v>
      </c>
      <c r="B3161" s="73" t="s">
        <v>3580</v>
      </c>
      <c r="C3161" s="74">
        <v>9.00541671E8</v>
      </c>
      <c r="D3161" s="73" t="s">
        <v>3634</v>
      </c>
      <c r="E3161" s="72">
        <v>56.0</v>
      </c>
      <c r="F3161" s="75">
        <v>41425.0</v>
      </c>
      <c r="G3161" s="76"/>
      <c r="H3161" s="76"/>
      <c r="I3161" s="73" t="s">
        <v>366</v>
      </c>
      <c r="J3161" s="76"/>
    </row>
    <row r="3162">
      <c r="A3162" s="74">
        <v>3152.0</v>
      </c>
      <c r="B3162" s="73" t="s">
        <v>3580</v>
      </c>
      <c r="C3162" s="74">
        <v>9.00538267E8</v>
      </c>
      <c r="D3162" s="73" t="s">
        <v>3635</v>
      </c>
      <c r="E3162" s="72">
        <v>62.0</v>
      </c>
      <c r="F3162" s="75">
        <v>41449.0</v>
      </c>
      <c r="G3162" s="76"/>
      <c r="H3162" s="76"/>
      <c r="I3162" s="73" t="s">
        <v>366</v>
      </c>
      <c r="J3162" s="76"/>
    </row>
    <row r="3163">
      <c r="A3163" s="74">
        <v>3153.0</v>
      </c>
      <c r="B3163" s="73" t="s">
        <v>3580</v>
      </c>
      <c r="C3163" s="74">
        <v>9.00613352E8</v>
      </c>
      <c r="D3163" s="73" t="s">
        <v>3636</v>
      </c>
      <c r="E3163" s="72">
        <v>64.0</v>
      </c>
      <c r="F3163" s="75">
        <v>41449.0</v>
      </c>
      <c r="G3163" s="76"/>
      <c r="H3163" s="76"/>
      <c r="I3163" s="73" t="s">
        <v>366</v>
      </c>
      <c r="J3163" s="76"/>
    </row>
    <row r="3164">
      <c r="A3164" s="85">
        <v>3154.0</v>
      </c>
      <c r="B3164" s="79" t="s">
        <v>3580</v>
      </c>
      <c r="C3164" s="80">
        <v>8.22001594E8</v>
      </c>
      <c r="D3164" s="79" t="s">
        <v>3637</v>
      </c>
      <c r="E3164" s="81">
        <v>77.0</v>
      </c>
      <c r="F3164" s="84">
        <v>41477.0</v>
      </c>
      <c r="G3164" s="83"/>
      <c r="H3164" s="83"/>
      <c r="I3164" s="73" t="s">
        <v>366</v>
      </c>
      <c r="J3164" s="76"/>
    </row>
    <row r="3165">
      <c r="A3165" s="74">
        <v>3155.0</v>
      </c>
      <c r="B3165" s="73" t="s">
        <v>3580</v>
      </c>
      <c r="C3165" s="74">
        <v>9.0064074E8</v>
      </c>
      <c r="D3165" s="73" t="s">
        <v>3638</v>
      </c>
      <c r="E3165" s="72">
        <v>50.0</v>
      </c>
      <c r="F3165" s="75">
        <v>41507.0</v>
      </c>
      <c r="G3165" s="72">
        <v>2.0225500004735E13</v>
      </c>
      <c r="H3165" s="75">
        <v>44593.0</v>
      </c>
      <c r="I3165" s="73" t="s">
        <v>366</v>
      </c>
      <c r="J3165" s="76"/>
    </row>
    <row r="3166">
      <c r="A3166" s="74">
        <v>3156.0</v>
      </c>
      <c r="B3166" s="73" t="s">
        <v>3580</v>
      </c>
      <c r="C3166" s="74">
        <v>9.00600136E8</v>
      </c>
      <c r="D3166" s="73" t="s">
        <v>3639</v>
      </c>
      <c r="E3166" s="72">
        <v>88.0</v>
      </c>
      <c r="F3166" s="75">
        <v>41515.0</v>
      </c>
      <c r="G3166" s="76"/>
      <c r="H3166" s="76"/>
      <c r="I3166" s="73" t="s">
        <v>366</v>
      </c>
      <c r="J3166" s="76"/>
    </row>
    <row r="3167">
      <c r="A3167" s="74">
        <v>3157.0</v>
      </c>
      <c r="B3167" s="73" t="s">
        <v>3580</v>
      </c>
      <c r="C3167" s="74">
        <v>9.00624211E8</v>
      </c>
      <c r="D3167" s="73" t="s">
        <v>3640</v>
      </c>
      <c r="E3167" s="72">
        <v>89.0</v>
      </c>
      <c r="F3167" s="75">
        <v>41516.0</v>
      </c>
      <c r="G3167" s="72">
        <v>10.0</v>
      </c>
      <c r="H3167" s="75">
        <v>43879.0</v>
      </c>
      <c r="I3167" s="73" t="s">
        <v>366</v>
      </c>
      <c r="J3167" s="76"/>
    </row>
    <row r="3168">
      <c r="A3168" s="74">
        <v>3158.0</v>
      </c>
      <c r="B3168" s="73" t="s">
        <v>3580</v>
      </c>
      <c r="C3168" s="74">
        <v>9.00278612E8</v>
      </c>
      <c r="D3168" s="73" t="s">
        <v>3641</v>
      </c>
      <c r="E3168" s="72">
        <v>91.0</v>
      </c>
      <c r="F3168" s="75">
        <v>41522.0</v>
      </c>
      <c r="G3168" s="76"/>
      <c r="H3168" s="76"/>
      <c r="I3168" s="73" t="s">
        <v>366</v>
      </c>
      <c r="J3168" s="76"/>
    </row>
    <row r="3169">
      <c r="A3169" s="74">
        <v>3159.0</v>
      </c>
      <c r="B3169" s="73" t="s">
        <v>3580</v>
      </c>
      <c r="C3169" s="74">
        <v>9.0016486E8</v>
      </c>
      <c r="D3169" s="73" t="s">
        <v>3642</v>
      </c>
      <c r="E3169" s="72">
        <v>93.0</v>
      </c>
      <c r="F3169" s="75">
        <v>41534.0</v>
      </c>
      <c r="G3169" s="76"/>
      <c r="H3169" s="76"/>
      <c r="I3169" s="73" t="s">
        <v>366</v>
      </c>
      <c r="J3169" s="76"/>
    </row>
    <row r="3170">
      <c r="A3170" s="74">
        <v>3160.0</v>
      </c>
      <c r="B3170" s="73" t="s">
        <v>3580</v>
      </c>
      <c r="C3170" s="74">
        <v>9.00551971E8</v>
      </c>
      <c r="D3170" s="73" t="s">
        <v>3643</v>
      </c>
      <c r="E3170" s="72">
        <v>94.0</v>
      </c>
      <c r="F3170" s="75">
        <v>41534.0</v>
      </c>
      <c r="G3170" s="76"/>
      <c r="H3170" s="76"/>
      <c r="I3170" s="73" t="s">
        <v>366</v>
      </c>
      <c r="J3170" s="76"/>
    </row>
    <row r="3171">
      <c r="A3171" s="74">
        <v>3161.0</v>
      </c>
      <c r="B3171" s="73" t="s">
        <v>3580</v>
      </c>
      <c r="C3171" s="74">
        <v>9.00622945E8</v>
      </c>
      <c r="D3171" s="73" t="s">
        <v>3644</v>
      </c>
      <c r="E3171" s="72">
        <v>95.0</v>
      </c>
      <c r="F3171" s="75">
        <v>41543.0</v>
      </c>
      <c r="G3171" s="76"/>
      <c r="H3171" s="76"/>
      <c r="I3171" s="73" t="s">
        <v>366</v>
      </c>
      <c r="J3171" s="76"/>
    </row>
    <row r="3172">
      <c r="A3172" s="74">
        <v>3162.0</v>
      </c>
      <c r="B3172" s="73" t="s">
        <v>3580</v>
      </c>
      <c r="C3172" s="74">
        <v>9.00596115E8</v>
      </c>
      <c r="D3172" s="73" t="s">
        <v>3645</v>
      </c>
      <c r="E3172" s="72">
        <v>102.0</v>
      </c>
      <c r="F3172" s="75">
        <v>41547.0</v>
      </c>
      <c r="G3172" s="76"/>
      <c r="H3172" s="76"/>
      <c r="I3172" s="73" t="s">
        <v>366</v>
      </c>
      <c r="J3172" s="76"/>
    </row>
    <row r="3173">
      <c r="A3173" s="74">
        <v>3163.0</v>
      </c>
      <c r="B3173" s="73" t="s">
        <v>3580</v>
      </c>
      <c r="C3173" s="74">
        <v>9.00453604E8</v>
      </c>
      <c r="D3173" s="73" t="s">
        <v>3646</v>
      </c>
      <c r="E3173" s="72">
        <v>103.0</v>
      </c>
      <c r="F3173" s="77">
        <v>41551.0</v>
      </c>
      <c r="G3173" s="76"/>
      <c r="H3173" s="76"/>
      <c r="I3173" s="73" t="s">
        <v>366</v>
      </c>
      <c r="J3173" s="76"/>
    </row>
    <row r="3174">
      <c r="A3174" s="74">
        <v>3164.0</v>
      </c>
      <c r="B3174" s="73" t="s">
        <v>3580</v>
      </c>
      <c r="C3174" s="74">
        <v>9.00520733E8</v>
      </c>
      <c r="D3174" s="73" t="s">
        <v>3647</v>
      </c>
      <c r="E3174" s="72">
        <v>106.0</v>
      </c>
      <c r="F3174" s="77">
        <v>41563.0</v>
      </c>
      <c r="G3174" s="76"/>
      <c r="H3174" s="76"/>
      <c r="I3174" s="73" t="s">
        <v>366</v>
      </c>
      <c r="J3174" s="76"/>
    </row>
    <row r="3175">
      <c r="A3175" s="74">
        <v>3165.0</v>
      </c>
      <c r="B3175" s="73" t="s">
        <v>3580</v>
      </c>
      <c r="C3175" s="74">
        <v>9.00579872E8</v>
      </c>
      <c r="D3175" s="73" t="s">
        <v>3648</v>
      </c>
      <c r="E3175" s="72">
        <v>108.0</v>
      </c>
      <c r="F3175" s="77">
        <v>41575.0</v>
      </c>
      <c r="G3175" s="76"/>
      <c r="H3175" s="76"/>
      <c r="I3175" s="73" t="s">
        <v>366</v>
      </c>
      <c r="J3175" s="76"/>
    </row>
    <row r="3176">
      <c r="A3176" s="74">
        <v>3166.0</v>
      </c>
      <c r="B3176" s="73" t="s">
        <v>3580</v>
      </c>
      <c r="C3176" s="74">
        <v>9.00448824E8</v>
      </c>
      <c r="D3176" s="73" t="s">
        <v>3649</v>
      </c>
      <c r="E3176" s="72">
        <v>74.0</v>
      </c>
      <c r="F3176" s="77">
        <v>41604.0</v>
      </c>
      <c r="G3176" s="72">
        <v>14.0</v>
      </c>
      <c r="H3176" s="75">
        <v>41717.0</v>
      </c>
      <c r="I3176" s="73" t="s">
        <v>366</v>
      </c>
      <c r="J3176" s="76"/>
    </row>
    <row r="3177">
      <c r="A3177" s="74">
        <v>3167.0</v>
      </c>
      <c r="B3177" s="73" t="s">
        <v>3580</v>
      </c>
      <c r="C3177" s="74">
        <v>9.00645725E8</v>
      </c>
      <c r="D3177" s="73" t="s">
        <v>3650</v>
      </c>
      <c r="E3177" s="72">
        <v>1.0</v>
      </c>
      <c r="F3177" s="75">
        <v>41655.0</v>
      </c>
      <c r="G3177" s="76"/>
      <c r="H3177" s="76"/>
      <c r="I3177" s="73" t="s">
        <v>366</v>
      </c>
      <c r="J3177" s="76"/>
    </row>
    <row r="3178">
      <c r="A3178" s="74">
        <v>3168.0</v>
      </c>
      <c r="B3178" s="73" t="s">
        <v>3580</v>
      </c>
      <c r="C3178" s="74">
        <v>9.0059049E8</v>
      </c>
      <c r="D3178" s="73" t="s">
        <v>3651</v>
      </c>
      <c r="E3178" s="72">
        <v>2.0</v>
      </c>
      <c r="F3178" s="75">
        <v>41661.0</v>
      </c>
      <c r="G3178" s="76"/>
      <c r="H3178" s="76"/>
      <c r="I3178" s="73" t="s">
        <v>366</v>
      </c>
      <c r="J3178" s="76"/>
    </row>
    <row r="3179">
      <c r="A3179" s="74">
        <v>3169.0</v>
      </c>
      <c r="B3179" s="73" t="s">
        <v>3580</v>
      </c>
      <c r="C3179" s="74">
        <v>9.00518505E8</v>
      </c>
      <c r="D3179" s="73" t="s">
        <v>3652</v>
      </c>
      <c r="E3179" s="72">
        <v>5.0</v>
      </c>
      <c r="F3179" s="75">
        <v>41663.0</v>
      </c>
      <c r="G3179" s="76"/>
      <c r="H3179" s="76"/>
      <c r="I3179" s="73" t="s">
        <v>366</v>
      </c>
      <c r="J3179" s="76"/>
    </row>
    <row r="3180">
      <c r="A3180" s="74">
        <v>3170.0</v>
      </c>
      <c r="B3180" s="73" t="s">
        <v>3580</v>
      </c>
      <c r="C3180" s="74">
        <v>9.0067889E8</v>
      </c>
      <c r="D3180" s="73" t="s">
        <v>3653</v>
      </c>
      <c r="E3180" s="72">
        <v>2.0</v>
      </c>
      <c r="F3180" s="75">
        <v>41667.0</v>
      </c>
      <c r="G3180" s="72">
        <v>2.0245500038525E13</v>
      </c>
      <c r="H3180" s="75">
        <v>45519.0</v>
      </c>
      <c r="I3180" s="73" t="s">
        <v>366</v>
      </c>
      <c r="J3180" s="76"/>
    </row>
    <row r="3181">
      <c r="A3181" s="74">
        <v>3171.0</v>
      </c>
      <c r="B3181" s="73" t="s">
        <v>3580</v>
      </c>
      <c r="C3181" s="74">
        <v>9.00532009E8</v>
      </c>
      <c r="D3181" s="73" t="s">
        <v>3654</v>
      </c>
      <c r="E3181" s="72">
        <v>22.0</v>
      </c>
      <c r="F3181" s="75">
        <v>41696.0</v>
      </c>
      <c r="G3181" s="76"/>
      <c r="H3181" s="76"/>
      <c r="I3181" s="73" t="s">
        <v>366</v>
      </c>
      <c r="J3181" s="76"/>
    </row>
    <row r="3182">
      <c r="A3182" s="74">
        <v>3172.0</v>
      </c>
      <c r="B3182" s="73" t="s">
        <v>3580</v>
      </c>
      <c r="C3182" s="74">
        <v>9.00250495E8</v>
      </c>
      <c r="D3182" s="73" t="s">
        <v>3655</v>
      </c>
      <c r="E3182" s="72">
        <v>23.0</v>
      </c>
      <c r="F3182" s="75">
        <v>41701.0</v>
      </c>
      <c r="G3182" s="76"/>
      <c r="H3182" s="76"/>
      <c r="I3182" s="73" t="s">
        <v>366</v>
      </c>
      <c r="J3182" s="76"/>
    </row>
    <row r="3183">
      <c r="A3183" s="74">
        <v>3173.0</v>
      </c>
      <c r="B3183" s="73" t="s">
        <v>3580</v>
      </c>
      <c r="C3183" s="74">
        <v>9.00574664E8</v>
      </c>
      <c r="D3183" s="73" t="s">
        <v>3656</v>
      </c>
      <c r="E3183" s="72">
        <v>30.0</v>
      </c>
      <c r="F3183" s="75">
        <v>41729.0</v>
      </c>
      <c r="G3183" s="76"/>
      <c r="H3183" s="76"/>
      <c r="I3183" s="73" t="s">
        <v>366</v>
      </c>
      <c r="J3183" s="76"/>
    </row>
    <row r="3184">
      <c r="A3184" s="74">
        <v>3174.0</v>
      </c>
      <c r="B3184" s="73" t="s">
        <v>3580</v>
      </c>
      <c r="C3184" s="74">
        <v>9.00642336E8</v>
      </c>
      <c r="D3184" s="73" t="s">
        <v>3657</v>
      </c>
      <c r="E3184" s="72">
        <v>31.0</v>
      </c>
      <c r="F3184" s="75">
        <v>41729.0</v>
      </c>
      <c r="G3184" s="76"/>
      <c r="H3184" s="76"/>
      <c r="I3184" s="73" t="s">
        <v>366</v>
      </c>
      <c r="J3184" s="76"/>
    </row>
    <row r="3185">
      <c r="A3185" s="74">
        <v>3175.0</v>
      </c>
      <c r="B3185" s="73" t="s">
        <v>3580</v>
      </c>
      <c r="C3185" s="74">
        <v>9.00688998E8</v>
      </c>
      <c r="D3185" s="73" t="s">
        <v>3658</v>
      </c>
      <c r="E3185" s="72">
        <v>39.0</v>
      </c>
      <c r="F3185" s="75">
        <v>41764.0</v>
      </c>
      <c r="G3185" s="72">
        <v>70.0</v>
      </c>
      <c r="H3185" s="77">
        <v>43039.0</v>
      </c>
      <c r="I3185" s="73" t="s">
        <v>366</v>
      </c>
      <c r="J3185" s="76"/>
    </row>
    <row r="3186">
      <c r="A3186" s="74">
        <v>3176.0</v>
      </c>
      <c r="B3186" s="73" t="s">
        <v>3580</v>
      </c>
      <c r="C3186" s="74">
        <v>9.00634842E8</v>
      </c>
      <c r="D3186" s="73" t="s">
        <v>3659</v>
      </c>
      <c r="E3186" s="72">
        <v>51.0</v>
      </c>
      <c r="F3186" s="75">
        <v>41796.0</v>
      </c>
      <c r="G3186" s="76"/>
      <c r="H3186" s="76"/>
      <c r="I3186" s="73" t="s">
        <v>366</v>
      </c>
      <c r="J3186" s="76"/>
    </row>
    <row r="3187">
      <c r="A3187" s="74">
        <v>3177.0</v>
      </c>
      <c r="B3187" s="73" t="s">
        <v>3580</v>
      </c>
      <c r="C3187" s="74">
        <v>9.00491758E8</v>
      </c>
      <c r="D3187" s="73" t="s">
        <v>3660</v>
      </c>
      <c r="E3187" s="72">
        <v>59.0</v>
      </c>
      <c r="F3187" s="75">
        <v>41816.0</v>
      </c>
      <c r="G3187" s="76"/>
      <c r="H3187" s="76"/>
      <c r="I3187" s="73" t="s">
        <v>366</v>
      </c>
      <c r="J3187" s="76"/>
    </row>
    <row r="3188">
      <c r="A3188" s="74">
        <v>3178.0</v>
      </c>
      <c r="B3188" s="73" t="s">
        <v>3580</v>
      </c>
      <c r="C3188" s="74">
        <v>9.00578129E8</v>
      </c>
      <c r="D3188" s="73" t="s">
        <v>3661</v>
      </c>
      <c r="E3188" s="72">
        <v>61.0</v>
      </c>
      <c r="F3188" s="75">
        <v>41816.0</v>
      </c>
      <c r="G3188" s="76"/>
      <c r="H3188" s="76"/>
      <c r="I3188" s="73" t="s">
        <v>366</v>
      </c>
      <c r="J3188" s="76"/>
    </row>
    <row r="3189">
      <c r="A3189" s="74">
        <v>3179.0</v>
      </c>
      <c r="B3189" s="73" t="s">
        <v>3580</v>
      </c>
      <c r="C3189" s="74">
        <v>8.00202828E8</v>
      </c>
      <c r="D3189" s="73" t="s">
        <v>3662</v>
      </c>
      <c r="E3189" s="72">
        <v>62.0</v>
      </c>
      <c r="F3189" s="75">
        <v>41817.0</v>
      </c>
      <c r="G3189" s="76"/>
      <c r="H3189" s="76"/>
      <c r="I3189" s="73" t="s">
        <v>366</v>
      </c>
      <c r="J3189" s="76"/>
    </row>
    <row r="3190">
      <c r="A3190" s="74">
        <v>3180.0</v>
      </c>
      <c r="B3190" s="73" t="s">
        <v>3580</v>
      </c>
      <c r="C3190" s="74">
        <v>9.00610036E8</v>
      </c>
      <c r="D3190" s="73" t="s">
        <v>3663</v>
      </c>
      <c r="E3190" s="72">
        <v>65.0</v>
      </c>
      <c r="F3190" s="75">
        <v>41836.0</v>
      </c>
      <c r="G3190" s="76"/>
      <c r="H3190" s="76"/>
      <c r="I3190" s="73" t="s">
        <v>366</v>
      </c>
      <c r="J3190" s="76"/>
    </row>
    <row r="3191">
      <c r="A3191" s="74">
        <v>3181.0</v>
      </c>
      <c r="B3191" s="73" t="s">
        <v>3580</v>
      </c>
      <c r="C3191" s="74">
        <v>9.00498085E8</v>
      </c>
      <c r="D3191" s="73" t="s">
        <v>3664</v>
      </c>
      <c r="E3191" s="72">
        <v>69.0</v>
      </c>
      <c r="F3191" s="75">
        <v>41856.0</v>
      </c>
      <c r="G3191" s="76"/>
      <c r="H3191" s="76"/>
      <c r="I3191" s="73" t="s">
        <v>366</v>
      </c>
      <c r="J3191" s="76"/>
    </row>
    <row r="3192">
      <c r="A3192" s="74">
        <v>3182.0</v>
      </c>
      <c r="B3192" s="73" t="s">
        <v>3580</v>
      </c>
      <c r="C3192" s="74">
        <v>9.00567256E8</v>
      </c>
      <c r="D3192" s="73" t="s">
        <v>3665</v>
      </c>
      <c r="E3192" s="72">
        <v>71.0</v>
      </c>
      <c r="F3192" s="75">
        <v>41862.0</v>
      </c>
      <c r="G3192" s="76"/>
      <c r="H3192" s="76"/>
      <c r="I3192" s="73" t="s">
        <v>366</v>
      </c>
      <c r="J3192" s="76"/>
    </row>
    <row r="3193">
      <c r="A3193" s="74">
        <v>3183.0</v>
      </c>
      <c r="B3193" s="73" t="s">
        <v>3580</v>
      </c>
      <c r="C3193" s="74">
        <v>9.00600633E8</v>
      </c>
      <c r="D3193" s="73" t="s">
        <v>3666</v>
      </c>
      <c r="E3193" s="72">
        <v>72.0</v>
      </c>
      <c r="F3193" s="75">
        <v>41863.0</v>
      </c>
      <c r="G3193" s="76"/>
      <c r="H3193" s="76"/>
      <c r="I3193" s="73" t="s">
        <v>366</v>
      </c>
      <c r="J3193" s="76"/>
    </row>
    <row r="3194">
      <c r="A3194" s="74">
        <v>3184.0</v>
      </c>
      <c r="B3194" s="73" t="s">
        <v>3580</v>
      </c>
      <c r="C3194" s="74">
        <v>9.00243327E8</v>
      </c>
      <c r="D3194" s="73" t="s">
        <v>3667</v>
      </c>
      <c r="E3194" s="72">
        <v>74.0</v>
      </c>
      <c r="F3194" s="75">
        <v>41871.0</v>
      </c>
      <c r="G3194" s="76"/>
      <c r="H3194" s="76"/>
      <c r="I3194" s="73" t="s">
        <v>366</v>
      </c>
      <c r="J3194" s="76"/>
    </row>
    <row r="3195">
      <c r="A3195" s="74">
        <v>3185.0</v>
      </c>
      <c r="B3195" s="73" t="s">
        <v>3580</v>
      </c>
      <c r="C3195" s="74">
        <v>9.00621426E8</v>
      </c>
      <c r="D3195" s="73" t="s">
        <v>3668</v>
      </c>
      <c r="E3195" s="72">
        <v>77.0</v>
      </c>
      <c r="F3195" s="75">
        <v>41877.0</v>
      </c>
      <c r="G3195" s="76"/>
      <c r="H3195" s="76"/>
      <c r="I3195" s="73" t="s">
        <v>366</v>
      </c>
      <c r="J3195" s="76"/>
    </row>
    <row r="3196">
      <c r="A3196" s="74">
        <v>3186.0</v>
      </c>
      <c r="B3196" s="73" t="s">
        <v>3580</v>
      </c>
      <c r="C3196" s="74">
        <v>9.00745363E8</v>
      </c>
      <c r="D3196" s="73" t="s">
        <v>3669</v>
      </c>
      <c r="E3196" s="72">
        <v>59.0</v>
      </c>
      <c r="F3196" s="75">
        <v>41880.0</v>
      </c>
      <c r="G3196" s="72">
        <v>142.0</v>
      </c>
      <c r="H3196" s="77">
        <v>43410.0</v>
      </c>
      <c r="I3196" s="73" t="s">
        <v>366</v>
      </c>
      <c r="J3196" s="76"/>
    </row>
    <row r="3197">
      <c r="A3197" s="74">
        <v>3187.0</v>
      </c>
      <c r="B3197" s="73" t="s">
        <v>3580</v>
      </c>
      <c r="C3197" s="74">
        <v>9.00673667E8</v>
      </c>
      <c r="D3197" s="73" t="s">
        <v>3670</v>
      </c>
      <c r="E3197" s="72">
        <v>80.0</v>
      </c>
      <c r="F3197" s="75">
        <v>41884.0</v>
      </c>
      <c r="G3197" s="76"/>
      <c r="H3197" s="76"/>
      <c r="I3197" s="73" t="s">
        <v>366</v>
      </c>
      <c r="J3197" s="76"/>
    </row>
    <row r="3198">
      <c r="A3198" s="74">
        <v>3188.0</v>
      </c>
      <c r="B3198" s="73" t="s">
        <v>3580</v>
      </c>
      <c r="C3198" s="74">
        <v>9.00683125E8</v>
      </c>
      <c r="D3198" s="73" t="s">
        <v>3671</v>
      </c>
      <c r="E3198" s="72">
        <v>81.0</v>
      </c>
      <c r="F3198" s="75">
        <v>41894.0</v>
      </c>
      <c r="G3198" s="76"/>
      <c r="H3198" s="76"/>
      <c r="I3198" s="73" t="s">
        <v>366</v>
      </c>
      <c r="J3198" s="76"/>
    </row>
    <row r="3199">
      <c r="A3199" s="74">
        <v>3189.0</v>
      </c>
      <c r="B3199" s="73" t="s">
        <v>3580</v>
      </c>
      <c r="C3199" s="74">
        <v>8.00079711E8</v>
      </c>
      <c r="D3199" s="73" t="s">
        <v>3672</v>
      </c>
      <c r="E3199" s="72">
        <v>89.0</v>
      </c>
      <c r="F3199" s="77">
        <v>41929.0</v>
      </c>
      <c r="G3199" s="76"/>
      <c r="H3199" s="76"/>
      <c r="I3199" s="73" t="s">
        <v>366</v>
      </c>
      <c r="J3199" s="76"/>
    </row>
    <row r="3200">
      <c r="A3200" s="74">
        <v>3190.0</v>
      </c>
      <c r="B3200" s="73" t="s">
        <v>3580</v>
      </c>
      <c r="C3200" s="74">
        <v>9.00771861E8</v>
      </c>
      <c r="D3200" s="73" t="s">
        <v>3673</v>
      </c>
      <c r="E3200" s="72">
        <v>95.0</v>
      </c>
      <c r="F3200" s="77">
        <v>41949.0</v>
      </c>
      <c r="G3200" s="76"/>
      <c r="H3200" s="76"/>
      <c r="I3200" s="73" t="s">
        <v>366</v>
      </c>
      <c r="J3200" s="76"/>
    </row>
    <row r="3201">
      <c r="A3201" s="74">
        <v>3191.0</v>
      </c>
      <c r="B3201" s="73" t="s">
        <v>3580</v>
      </c>
      <c r="C3201" s="74">
        <v>9.0057808E8</v>
      </c>
      <c r="D3201" s="73" t="s">
        <v>3674</v>
      </c>
      <c r="E3201" s="72">
        <v>98.0</v>
      </c>
      <c r="F3201" s="77">
        <v>41954.0</v>
      </c>
      <c r="G3201" s="76"/>
      <c r="H3201" s="76"/>
      <c r="I3201" s="73" t="s">
        <v>366</v>
      </c>
      <c r="J3201" s="76"/>
    </row>
    <row r="3202">
      <c r="A3202" s="74">
        <v>3192.0</v>
      </c>
      <c r="B3202" s="73" t="s">
        <v>3580</v>
      </c>
      <c r="C3202" s="74">
        <v>9.00533318E8</v>
      </c>
      <c r="D3202" s="73" t="s">
        <v>3675</v>
      </c>
      <c r="E3202" s="72">
        <v>105.0</v>
      </c>
      <c r="F3202" s="77">
        <v>41968.0</v>
      </c>
      <c r="G3202" s="76"/>
      <c r="H3202" s="76"/>
      <c r="I3202" s="73" t="s">
        <v>366</v>
      </c>
      <c r="J3202" s="76"/>
    </row>
    <row r="3203">
      <c r="A3203" s="74">
        <v>3193.0</v>
      </c>
      <c r="B3203" s="73" t="s">
        <v>3580</v>
      </c>
      <c r="C3203" s="74">
        <v>9.00733858E8</v>
      </c>
      <c r="D3203" s="73" t="s">
        <v>3676</v>
      </c>
      <c r="E3203" s="72">
        <v>104.0</v>
      </c>
      <c r="F3203" s="77">
        <v>41968.0</v>
      </c>
      <c r="G3203" s="72">
        <v>28.0</v>
      </c>
      <c r="H3203" s="75">
        <v>42195.0</v>
      </c>
      <c r="I3203" s="73" t="s">
        <v>366</v>
      </c>
      <c r="J3203" s="76"/>
    </row>
    <row r="3204">
      <c r="A3204" s="74">
        <v>3194.0</v>
      </c>
      <c r="B3204" s="73" t="s">
        <v>3580</v>
      </c>
      <c r="C3204" s="74">
        <v>9.00774182E8</v>
      </c>
      <c r="D3204" s="73" t="s">
        <v>3677</v>
      </c>
      <c r="E3204" s="72">
        <v>108.0</v>
      </c>
      <c r="F3204" s="77">
        <v>41983.0</v>
      </c>
      <c r="G3204" s="76"/>
      <c r="H3204" s="76"/>
      <c r="I3204" s="73" t="s">
        <v>366</v>
      </c>
      <c r="J3204" s="76"/>
    </row>
    <row r="3205">
      <c r="A3205" s="74">
        <v>3195.0</v>
      </c>
      <c r="B3205" s="73" t="s">
        <v>3580</v>
      </c>
      <c r="C3205" s="74">
        <v>9.00712251E8</v>
      </c>
      <c r="D3205" s="73" t="s">
        <v>3678</v>
      </c>
      <c r="E3205" s="72">
        <v>117.0</v>
      </c>
      <c r="F3205" s="77">
        <v>41996.0</v>
      </c>
      <c r="G3205" s="76"/>
      <c r="H3205" s="76"/>
      <c r="I3205" s="73" t="s">
        <v>366</v>
      </c>
      <c r="J3205" s="76"/>
    </row>
    <row r="3206">
      <c r="A3206" s="74">
        <v>3196.0</v>
      </c>
      <c r="B3206" s="73" t="s">
        <v>3580</v>
      </c>
      <c r="C3206" s="74">
        <v>9.0075065E8</v>
      </c>
      <c r="D3206" s="73" t="s">
        <v>3679</v>
      </c>
      <c r="E3206" s="72">
        <v>118.0</v>
      </c>
      <c r="F3206" s="77">
        <v>41996.0</v>
      </c>
      <c r="G3206" s="76"/>
      <c r="H3206" s="76"/>
      <c r="I3206" s="73" t="s">
        <v>366</v>
      </c>
      <c r="J3206" s="76"/>
    </row>
    <row r="3207">
      <c r="A3207" s="74">
        <v>3197.0</v>
      </c>
      <c r="B3207" s="73" t="s">
        <v>3580</v>
      </c>
      <c r="C3207" s="74">
        <v>9.00449312E8</v>
      </c>
      <c r="D3207" s="73" t="s">
        <v>3680</v>
      </c>
      <c r="E3207" s="72">
        <v>7.0</v>
      </c>
      <c r="F3207" s="75">
        <v>42040.0</v>
      </c>
      <c r="G3207" s="76"/>
      <c r="H3207" s="76"/>
      <c r="I3207" s="73" t="s">
        <v>366</v>
      </c>
      <c r="J3207" s="76"/>
    </row>
    <row r="3208">
      <c r="A3208" s="74">
        <v>3198.0</v>
      </c>
      <c r="B3208" s="73" t="s">
        <v>3580</v>
      </c>
      <c r="C3208" s="74">
        <v>9.0077406E8</v>
      </c>
      <c r="D3208" s="73" t="s">
        <v>3681</v>
      </c>
      <c r="E3208" s="72">
        <v>6.0</v>
      </c>
      <c r="F3208" s="75">
        <v>42040.0</v>
      </c>
      <c r="G3208" s="72">
        <v>2.0213040008225E13</v>
      </c>
      <c r="H3208" s="75">
        <v>44256.0</v>
      </c>
      <c r="I3208" s="73" t="s">
        <v>366</v>
      </c>
      <c r="J3208" s="76"/>
    </row>
    <row r="3209">
      <c r="A3209" s="74">
        <v>3199.0</v>
      </c>
      <c r="B3209" s="73" t="s">
        <v>3580</v>
      </c>
      <c r="C3209" s="74">
        <v>9.0040218E8</v>
      </c>
      <c r="D3209" s="73" t="s">
        <v>3682</v>
      </c>
      <c r="E3209" s="72">
        <v>10.0</v>
      </c>
      <c r="F3209" s="75">
        <v>42052.0</v>
      </c>
      <c r="G3209" s="76"/>
      <c r="H3209" s="76"/>
      <c r="I3209" s="73" t="s">
        <v>366</v>
      </c>
      <c r="J3209" s="76"/>
    </row>
    <row r="3210">
      <c r="A3210" s="74">
        <v>3200.0</v>
      </c>
      <c r="B3210" s="73" t="s">
        <v>3580</v>
      </c>
      <c r="C3210" s="74">
        <v>9.00787684E8</v>
      </c>
      <c r="D3210" s="73" t="s">
        <v>3683</v>
      </c>
      <c r="E3210" s="72">
        <v>9.0</v>
      </c>
      <c r="F3210" s="75">
        <v>42052.0</v>
      </c>
      <c r="G3210" s="76"/>
      <c r="H3210" s="76"/>
      <c r="I3210" s="73" t="s">
        <v>366</v>
      </c>
      <c r="J3210" s="76"/>
    </row>
    <row r="3211">
      <c r="A3211" s="74">
        <v>3201.0</v>
      </c>
      <c r="B3211" s="73" t="s">
        <v>3580</v>
      </c>
      <c r="C3211" s="74">
        <v>9.00558557E8</v>
      </c>
      <c r="D3211" s="73" t="s">
        <v>3684</v>
      </c>
      <c r="E3211" s="72">
        <v>11.0</v>
      </c>
      <c r="F3211" s="75">
        <v>42080.0</v>
      </c>
      <c r="G3211" s="76"/>
      <c r="H3211" s="76"/>
      <c r="I3211" s="73" t="s">
        <v>366</v>
      </c>
      <c r="J3211" s="76"/>
    </row>
    <row r="3212">
      <c r="A3212" s="74">
        <v>3202.0</v>
      </c>
      <c r="B3212" s="73" t="s">
        <v>3580</v>
      </c>
      <c r="C3212" s="74">
        <v>9.00795739E8</v>
      </c>
      <c r="D3212" s="73" t="s">
        <v>3685</v>
      </c>
      <c r="E3212" s="72">
        <v>17.0</v>
      </c>
      <c r="F3212" s="75">
        <v>42082.0</v>
      </c>
      <c r="G3212" s="76"/>
      <c r="H3212" s="76"/>
      <c r="I3212" s="73" t="s">
        <v>366</v>
      </c>
      <c r="J3212" s="76"/>
    </row>
    <row r="3213">
      <c r="A3213" s="74">
        <v>3203.0</v>
      </c>
      <c r="B3213" s="73" t="s">
        <v>3580</v>
      </c>
      <c r="C3213" s="74">
        <v>9.00016606E8</v>
      </c>
      <c r="D3213" s="73" t="s">
        <v>3686</v>
      </c>
      <c r="E3213" s="72">
        <v>18.0</v>
      </c>
      <c r="F3213" s="75">
        <v>42090.0</v>
      </c>
      <c r="G3213" s="72">
        <v>2.0215500052825E13</v>
      </c>
      <c r="H3213" s="77">
        <v>44505.0</v>
      </c>
      <c r="I3213" s="73" t="s">
        <v>366</v>
      </c>
      <c r="J3213" s="76"/>
    </row>
    <row r="3214">
      <c r="A3214" s="74">
        <v>3204.0</v>
      </c>
      <c r="B3214" s="73" t="s">
        <v>3580</v>
      </c>
      <c r="C3214" s="74">
        <v>9.00418511E8</v>
      </c>
      <c r="D3214" s="73" t="s">
        <v>3687</v>
      </c>
      <c r="E3214" s="72">
        <v>20.0</v>
      </c>
      <c r="F3214" s="75">
        <v>42090.0</v>
      </c>
      <c r="G3214" s="72">
        <v>2.0225500058625E13</v>
      </c>
      <c r="H3214" s="75">
        <v>42090.0</v>
      </c>
      <c r="I3214" s="73" t="s">
        <v>366</v>
      </c>
      <c r="J3214" s="76"/>
    </row>
    <row r="3215">
      <c r="A3215" s="74">
        <v>3205.0</v>
      </c>
      <c r="B3215" s="73" t="s">
        <v>3580</v>
      </c>
      <c r="C3215" s="74">
        <v>9.0078364E8</v>
      </c>
      <c r="D3215" s="73" t="s">
        <v>3688</v>
      </c>
      <c r="E3215" s="72">
        <v>21.0</v>
      </c>
      <c r="F3215" s="75">
        <v>42090.0</v>
      </c>
      <c r="G3215" s="76"/>
      <c r="H3215" s="76"/>
      <c r="I3215" s="73" t="s">
        <v>366</v>
      </c>
      <c r="J3215" s="76"/>
    </row>
    <row r="3216">
      <c r="A3216" s="74">
        <v>3206.0</v>
      </c>
      <c r="B3216" s="73" t="s">
        <v>3580</v>
      </c>
      <c r="C3216" s="74">
        <v>9.00785091E8</v>
      </c>
      <c r="D3216" s="73" t="s">
        <v>3689</v>
      </c>
      <c r="E3216" s="72">
        <v>20.0</v>
      </c>
      <c r="F3216" s="75">
        <v>42090.0</v>
      </c>
      <c r="G3216" s="76"/>
      <c r="H3216" s="76"/>
      <c r="I3216" s="73" t="s">
        <v>366</v>
      </c>
      <c r="J3216" s="76"/>
    </row>
    <row r="3217">
      <c r="A3217" s="85">
        <v>3207.0</v>
      </c>
      <c r="B3217" s="79" t="s">
        <v>3580</v>
      </c>
      <c r="C3217" s="80">
        <v>9.00388013E8</v>
      </c>
      <c r="D3217" s="79" t="s">
        <v>3690</v>
      </c>
      <c r="E3217" s="81">
        <v>24.0</v>
      </c>
      <c r="F3217" s="84">
        <v>42149.0</v>
      </c>
      <c r="G3217" s="83"/>
      <c r="H3217" s="83"/>
      <c r="I3217" s="73" t="s">
        <v>366</v>
      </c>
      <c r="J3217" s="76"/>
    </row>
    <row r="3218">
      <c r="A3218" s="74">
        <v>3208.0</v>
      </c>
      <c r="B3218" s="73" t="s">
        <v>3580</v>
      </c>
      <c r="C3218" s="74">
        <v>9.00743289E8</v>
      </c>
      <c r="D3218" s="73" t="s">
        <v>3691</v>
      </c>
      <c r="E3218" s="72">
        <v>27.0</v>
      </c>
      <c r="F3218" s="75">
        <v>42172.0</v>
      </c>
      <c r="G3218" s="76"/>
      <c r="H3218" s="76"/>
      <c r="I3218" s="73" t="s">
        <v>366</v>
      </c>
      <c r="J3218" s="76"/>
    </row>
    <row r="3219">
      <c r="A3219" s="74">
        <v>3209.0</v>
      </c>
      <c r="B3219" s="73" t="s">
        <v>3580</v>
      </c>
      <c r="C3219" s="74">
        <v>9.005758E8</v>
      </c>
      <c r="D3219" s="73" t="s">
        <v>3692</v>
      </c>
      <c r="E3219" s="72">
        <v>28.0</v>
      </c>
      <c r="F3219" s="75">
        <v>42173.0</v>
      </c>
      <c r="G3219" s="76"/>
      <c r="H3219" s="76"/>
      <c r="I3219" s="73" t="s">
        <v>366</v>
      </c>
      <c r="J3219" s="76"/>
    </row>
    <row r="3220">
      <c r="A3220" s="74">
        <v>3210.0</v>
      </c>
      <c r="B3220" s="73" t="s">
        <v>3580</v>
      </c>
      <c r="C3220" s="74">
        <v>9.00736061E8</v>
      </c>
      <c r="D3220" s="73" t="s">
        <v>3693</v>
      </c>
      <c r="E3220" s="72">
        <v>29.0</v>
      </c>
      <c r="F3220" s="75">
        <v>42173.0</v>
      </c>
      <c r="G3220" s="76"/>
      <c r="H3220" s="76"/>
      <c r="I3220" s="73" t="s">
        <v>366</v>
      </c>
      <c r="J3220" s="76"/>
    </row>
    <row r="3221">
      <c r="A3221" s="74">
        <v>3211.0</v>
      </c>
      <c r="B3221" s="73" t="s">
        <v>3580</v>
      </c>
      <c r="C3221" s="74">
        <v>9.0079394E8</v>
      </c>
      <c r="D3221" s="73" t="s">
        <v>3694</v>
      </c>
      <c r="E3221" s="72">
        <v>32.0</v>
      </c>
      <c r="F3221" s="75">
        <v>42212.0</v>
      </c>
      <c r="G3221" s="76"/>
      <c r="H3221" s="76"/>
      <c r="I3221" s="73" t="s">
        <v>366</v>
      </c>
      <c r="J3221" s="76"/>
    </row>
    <row r="3222">
      <c r="A3222" s="74">
        <v>3212.0</v>
      </c>
      <c r="B3222" s="73" t="s">
        <v>3580</v>
      </c>
      <c r="C3222" s="74">
        <v>8.22005333E8</v>
      </c>
      <c r="D3222" s="73" t="s">
        <v>3695</v>
      </c>
      <c r="E3222" s="72">
        <v>33.0</v>
      </c>
      <c r="F3222" s="75">
        <v>42222.0</v>
      </c>
      <c r="G3222" s="76"/>
      <c r="H3222" s="76"/>
      <c r="I3222" s="73" t="s">
        <v>366</v>
      </c>
      <c r="J3222" s="76"/>
    </row>
    <row r="3223">
      <c r="A3223" s="74">
        <v>3213.0</v>
      </c>
      <c r="B3223" s="73" t="s">
        <v>3580</v>
      </c>
      <c r="C3223" s="74">
        <v>9.00644994E8</v>
      </c>
      <c r="D3223" s="73" t="s">
        <v>3696</v>
      </c>
      <c r="E3223" s="72">
        <v>33.0</v>
      </c>
      <c r="F3223" s="75">
        <v>42222.0</v>
      </c>
      <c r="G3223" s="76"/>
      <c r="H3223" s="76"/>
      <c r="I3223" s="73" t="s">
        <v>366</v>
      </c>
      <c r="J3223" s="76"/>
    </row>
    <row r="3224">
      <c r="A3224" s="74">
        <v>3214.0</v>
      </c>
      <c r="B3224" s="73" t="s">
        <v>3580</v>
      </c>
      <c r="C3224" s="74">
        <v>9.00222718E8</v>
      </c>
      <c r="D3224" s="73" t="s">
        <v>3697</v>
      </c>
      <c r="E3224" s="72">
        <v>42.0</v>
      </c>
      <c r="F3224" s="75">
        <v>42277.0</v>
      </c>
      <c r="G3224" s="76"/>
      <c r="H3224" s="76"/>
      <c r="I3224" s="73" t="s">
        <v>366</v>
      </c>
      <c r="J3224" s="76"/>
    </row>
    <row r="3225">
      <c r="A3225" s="74">
        <v>3215.0</v>
      </c>
      <c r="B3225" s="73" t="s">
        <v>3580</v>
      </c>
      <c r="C3225" s="74">
        <v>9.0065906E8</v>
      </c>
      <c r="D3225" s="73" t="s">
        <v>3698</v>
      </c>
      <c r="E3225" s="72">
        <v>43.0</v>
      </c>
      <c r="F3225" s="77">
        <v>42299.0</v>
      </c>
      <c r="G3225" s="76"/>
      <c r="H3225" s="76"/>
      <c r="I3225" s="73" t="s">
        <v>366</v>
      </c>
      <c r="J3225" s="76"/>
    </row>
    <row r="3226">
      <c r="A3226" s="74">
        <v>3216.0</v>
      </c>
      <c r="B3226" s="73" t="s">
        <v>3580</v>
      </c>
      <c r="C3226" s="74">
        <v>9.00884009E8</v>
      </c>
      <c r="D3226" s="73" t="s">
        <v>3699</v>
      </c>
      <c r="E3226" s="72">
        <v>64.0</v>
      </c>
      <c r="F3226" s="77">
        <v>42306.0</v>
      </c>
      <c r="G3226" s="72">
        <v>72.0</v>
      </c>
      <c r="H3226" s="75">
        <v>43485.0</v>
      </c>
      <c r="I3226" s="73" t="s">
        <v>366</v>
      </c>
      <c r="J3226" s="76"/>
    </row>
    <row r="3227">
      <c r="A3227" s="74">
        <v>3217.0</v>
      </c>
      <c r="B3227" s="73" t="s">
        <v>3580</v>
      </c>
      <c r="C3227" s="74">
        <v>9.00485533E8</v>
      </c>
      <c r="D3227" s="73" t="s">
        <v>3700</v>
      </c>
      <c r="E3227" s="72">
        <v>46.0</v>
      </c>
      <c r="F3227" s="77">
        <v>42342.0</v>
      </c>
      <c r="G3227" s="76"/>
      <c r="H3227" s="76"/>
      <c r="I3227" s="73" t="s">
        <v>366</v>
      </c>
      <c r="J3227" s="76"/>
    </row>
    <row r="3228">
      <c r="A3228" s="74">
        <v>3218.0</v>
      </c>
      <c r="B3228" s="73" t="s">
        <v>3580</v>
      </c>
      <c r="C3228" s="74">
        <v>9.00824103E8</v>
      </c>
      <c r="D3228" s="73" t="s">
        <v>3701</v>
      </c>
      <c r="E3228" s="72">
        <v>50.0</v>
      </c>
      <c r="F3228" s="77">
        <v>42353.0</v>
      </c>
      <c r="G3228" s="76"/>
      <c r="H3228" s="76"/>
      <c r="I3228" s="73" t="s">
        <v>366</v>
      </c>
      <c r="J3228" s="76"/>
    </row>
    <row r="3229">
      <c r="A3229" s="74">
        <v>3219.0</v>
      </c>
      <c r="B3229" s="73" t="s">
        <v>3580</v>
      </c>
      <c r="C3229" s="74">
        <v>9.00902692E8</v>
      </c>
      <c r="D3229" s="73" t="s">
        <v>3702</v>
      </c>
      <c r="E3229" s="72">
        <v>91.0</v>
      </c>
      <c r="F3229" s="77">
        <v>42368.0</v>
      </c>
      <c r="G3229" s="72">
        <v>2.0225500038705E13</v>
      </c>
      <c r="H3229" s="75">
        <v>44748.0</v>
      </c>
      <c r="I3229" s="73" t="s">
        <v>366</v>
      </c>
      <c r="J3229" s="76"/>
    </row>
    <row r="3230">
      <c r="A3230" s="74">
        <v>3220.0</v>
      </c>
      <c r="B3230" s="73" t="s">
        <v>3580</v>
      </c>
      <c r="C3230" s="74">
        <v>9.0090405E8</v>
      </c>
      <c r="D3230" s="73" t="s">
        <v>3703</v>
      </c>
      <c r="E3230" s="72">
        <v>92.0</v>
      </c>
      <c r="F3230" s="77">
        <v>42368.0</v>
      </c>
      <c r="G3230" s="72">
        <v>94.0</v>
      </c>
      <c r="H3230" s="75">
        <v>43322.0</v>
      </c>
      <c r="I3230" s="73" t="s">
        <v>366</v>
      </c>
      <c r="J3230" s="76"/>
    </row>
    <row r="3231">
      <c r="A3231" s="74">
        <v>3221.0</v>
      </c>
      <c r="B3231" s="73" t="s">
        <v>3580</v>
      </c>
      <c r="C3231" s="74">
        <v>9.00504813E8</v>
      </c>
      <c r="D3231" s="73" t="s">
        <v>3704</v>
      </c>
      <c r="E3231" s="72">
        <v>3.0</v>
      </c>
      <c r="F3231" s="75">
        <v>42416.0</v>
      </c>
      <c r="G3231" s="76"/>
      <c r="H3231" s="76"/>
      <c r="I3231" s="73" t="s">
        <v>366</v>
      </c>
      <c r="J3231" s="76"/>
    </row>
    <row r="3232">
      <c r="A3232" s="74">
        <v>3222.0</v>
      </c>
      <c r="B3232" s="73" t="s">
        <v>3580</v>
      </c>
      <c r="C3232" s="74">
        <v>8.05025867E8</v>
      </c>
      <c r="D3232" s="73" t="s">
        <v>3705</v>
      </c>
      <c r="E3232" s="72">
        <v>6.0</v>
      </c>
      <c r="F3232" s="75">
        <v>42430.0</v>
      </c>
      <c r="G3232" s="76"/>
      <c r="H3232" s="76"/>
      <c r="I3232" s="73" t="s">
        <v>366</v>
      </c>
      <c r="J3232" s="76"/>
    </row>
    <row r="3233">
      <c r="A3233" s="74">
        <v>3223.0</v>
      </c>
      <c r="B3233" s="73" t="s">
        <v>3580</v>
      </c>
      <c r="C3233" s="74">
        <v>9.00896608E8</v>
      </c>
      <c r="D3233" s="73" t="s">
        <v>3706</v>
      </c>
      <c r="E3233" s="72">
        <v>9.0</v>
      </c>
      <c r="F3233" s="75">
        <v>42472.0</v>
      </c>
      <c r="G3233" s="76"/>
      <c r="H3233" s="76"/>
      <c r="I3233" s="73" t="s">
        <v>366</v>
      </c>
      <c r="J3233" s="76"/>
    </row>
    <row r="3234">
      <c r="A3234" s="74">
        <v>3224.0</v>
      </c>
      <c r="B3234" s="73" t="s">
        <v>3580</v>
      </c>
      <c r="C3234" s="74">
        <v>9.00788764E8</v>
      </c>
      <c r="D3234" s="73" t="s">
        <v>3707</v>
      </c>
      <c r="E3234" s="72">
        <v>10.0</v>
      </c>
      <c r="F3234" s="75">
        <v>42478.0</v>
      </c>
      <c r="G3234" s="76"/>
      <c r="H3234" s="76"/>
      <c r="I3234" s="73" t="s">
        <v>366</v>
      </c>
      <c r="J3234" s="76"/>
    </row>
    <row r="3235">
      <c r="A3235" s="74">
        <v>3225.0</v>
      </c>
      <c r="B3235" s="73" t="s">
        <v>3580</v>
      </c>
      <c r="C3235" s="74">
        <v>9.00132476E8</v>
      </c>
      <c r="D3235" s="73" t="s">
        <v>3708</v>
      </c>
      <c r="E3235" s="72">
        <v>12.0</v>
      </c>
      <c r="F3235" s="75">
        <v>42479.0</v>
      </c>
      <c r="G3235" s="76"/>
      <c r="H3235" s="76"/>
      <c r="I3235" s="73" t="s">
        <v>366</v>
      </c>
      <c r="J3235" s="76"/>
    </row>
    <row r="3236">
      <c r="A3236" s="74">
        <v>3226.0</v>
      </c>
      <c r="B3236" s="73" t="s">
        <v>3580</v>
      </c>
      <c r="C3236" s="74">
        <v>9.00896648E8</v>
      </c>
      <c r="D3236" s="73" t="s">
        <v>3709</v>
      </c>
      <c r="E3236" s="72">
        <v>16.0</v>
      </c>
      <c r="F3236" s="75">
        <v>42492.0</v>
      </c>
      <c r="G3236" s="76"/>
      <c r="H3236" s="76"/>
      <c r="I3236" s="73" t="s">
        <v>366</v>
      </c>
      <c r="J3236" s="76"/>
    </row>
    <row r="3237">
      <c r="A3237" s="74">
        <v>3227.0</v>
      </c>
      <c r="B3237" s="73" t="s">
        <v>3580</v>
      </c>
      <c r="C3237" s="74">
        <v>9.00597477E8</v>
      </c>
      <c r="D3237" s="73" t="s">
        <v>3710</v>
      </c>
      <c r="E3237" s="72">
        <v>17.0</v>
      </c>
      <c r="F3237" s="75">
        <v>42494.0</v>
      </c>
      <c r="G3237" s="72">
        <v>93.0</v>
      </c>
      <c r="H3237" s="75">
        <v>43657.0</v>
      </c>
      <c r="I3237" s="73" t="s">
        <v>366</v>
      </c>
      <c r="J3237" s="76"/>
    </row>
    <row r="3238">
      <c r="A3238" s="74">
        <v>3228.0</v>
      </c>
      <c r="B3238" s="73" t="s">
        <v>3580</v>
      </c>
      <c r="C3238" s="74">
        <v>9.0016171E8</v>
      </c>
      <c r="D3238" s="73" t="s">
        <v>3711</v>
      </c>
      <c r="E3238" s="72">
        <v>20.0</v>
      </c>
      <c r="F3238" s="75">
        <v>42496.0</v>
      </c>
      <c r="G3238" s="76"/>
      <c r="H3238" s="76"/>
      <c r="I3238" s="73" t="s">
        <v>366</v>
      </c>
      <c r="J3238" s="76"/>
    </row>
    <row r="3239">
      <c r="A3239" s="74">
        <v>3229.0</v>
      </c>
      <c r="B3239" s="73" t="s">
        <v>3580</v>
      </c>
      <c r="C3239" s="74">
        <v>9.00783997E8</v>
      </c>
      <c r="D3239" s="73" t="s">
        <v>3712</v>
      </c>
      <c r="E3239" s="72">
        <v>21.0</v>
      </c>
      <c r="F3239" s="75">
        <v>42496.0</v>
      </c>
      <c r="G3239" s="76"/>
      <c r="H3239" s="76"/>
      <c r="I3239" s="73" t="s">
        <v>366</v>
      </c>
      <c r="J3239" s="76"/>
    </row>
    <row r="3240">
      <c r="A3240" s="74">
        <v>3230.0</v>
      </c>
      <c r="B3240" s="73" t="s">
        <v>3580</v>
      </c>
      <c r="C3240" s="74">
        <v>9.00522599E8</v>
      </c>
      <c r="D3240" s="73" t="s">
        <v>3713</v>
      </c>
      <c r="E3240" s="72">
        <v>22.0</v>
      </c>
      <c r="F3240" s="75">
        <v>42500.0</v>
      </c>
      <c r="G3240" s="76"/>
      <c r="H3240" s="76"/>
      <c r="I3240" s="73" t="s">
        <v>366</v>
      </c>
      <c r="J3240" s="76"/>
    </row>
    <row r="3241">
      <c r="A3241" s="74">
        <v>3231.0</v>
      </c>
      <c r="B3241" s="73" t="s">
        <v>3580</v>
      </c>
      <c r="C3241" s="74">
        <v>8.12002995E8</v>
      </c>
      <c r="D3241" s="73" t="s">
        <v>3714</v>
      </c>
      <c r="E3241" s="72">
        <v>25.0</v>
      </c>
      <c r="F3241" s="75">
        <v>42510.0</v>
      </c>
      <c r="G3241" s="76"/>
      <c r="H3241" s="76"/>
      <c r="I3241" s="73" t="s">
        <v>366</v>
      </c>
      <c r="J3241" s="76"/>
    </row>
    <row r="3242">
      <c r="A3242" s="74">
        <v>3232.0</v>
      </c>
      <c r="B3242" s="73" t="s">
        <v>3580</v>
      </c>
      <c r="C3242" s="74">
        <v>8.3008598E8</v>
      </c>
      <c r="D3242" s="73" t="s">
        <v>3715</v>
      </c>
      <c r="E3242" s="72">
        <v>32.0</v>
      </c>
      <c r="F3242" s="75">
        <v>42548.0</v>
      </c>
      <c r="G3242" s="76"/>
      <c r="H3242" s="76"/>
      <c r="I3242" s="73" t="s">
        <v>366</v>
      </c>
      <c r="J3242" s="76"/>
    </row>
    <row r="3243">
      <c r="A3243" s="74">
        <v>3233.0</v>
      </c>
      <c r="B3243" s="73" t="s">
        <v>3580</v>
      </c>
      <c r="C3243" s="74">
        <v>9.00936006E8</v>
      </c>
      <c r="D3243" s="73" t="s">
        <v>3716</v>
      </c>
      <c r="E3243" s="72">
        <v>35.0</v>
      </c>
      <c r="F3243" s="75">
        <v>42551.0</v>
      </c>
      <c r="G3243" s="76"/>
      <c r="H3243" s="76"/>
      <c r="I3243" s="73" t="s">
        <v>366</v>
      </c>
      <c r="J3243" s="76"/>
    </row>
    <row r="3244">
      <c r="A3244" s="74">
        <v>3234.0</v>
      </c>
      <c r="B3244" s="73" t="s">
        <v>3580</v>
      </c>
      <c r="C3244" s="74">
        <v>9.00941283E8</v>
      </c>
      <c r="D3244" s="73" t="s">
        <v>3717</v>
      </c>
      <c r="E3244" s="72">
        <v>41.0</v>
      </c>
      <c r="F3244" s="75">
        <v>42579.0</v>
      </c>
      <c r="G3244" s="72">
        <v>2.0245500071573E13</v>
      </c>
      <c r="H3244" s="75">
        <v>45467.0</v>
      </c>
      <c r="I3244" s="73" t="s">
        <v>366</v>
      </c>
      <c r="J3244" s="76"/>
    </row>
    <row r="3245">
      <c r="A3245" s="74">
        <v>3235.0</v>
      </c>
      <c r="B3245" s="73" t="s">
        <v>3580</v>
      </c>
      <c r="C3245" s="74">
        <v>9.00915912E8</v>
      </c>
      <c r="D3245" s="73" t="s">
        <v>3718</v>
      </c>
      <c r="E3245" s="72">
        <v>43.0</v>
      </c>
      <c r="F3245" s="75">
        <v>42591.0</v>
      </c>
      <c r="G3245" s="76"/>
      <c r="H3245" s="76"/>
      <c r="I3245" s="73" t="s">
        <v>366</v>
      </c>
      <c r="J3245" s="76"/>
    </row>
    <row r="3246">
      <c r="A3246" s="74">
        <v>3236.0</v>
      </c>
      <c r="B3246" s="73" t="s">
        <v>3580</v>
      </c>
      <c r="C3246" s="74">
        <v>9.00639557E8</v>
      </c>
      <c r="D3246" s="73" t="s">
        <v>3719</v>
      </c>
      <c r="E3246" s="72">
        <v>3817.0</v>
      </c>
      <c r="F3246" s="75">
        <v>42619.0</v>
      </c>
      <c r="G3246" s="76"/>
      <c r="H3246" s="76"/>
      <c r="I3246" s="73" t="s">
        <v>366</v>
      </c>
      <c r="J3246" s="76"/>
    </row>
    <row r="3247">
      <c r="A3247" s="74">
        <v>3237.0</v>
      </c>
      <c r="B3247" s="73" t="s">
        <v>3580</v>
      </c>
      <c r="C3247" s="74">
        <v>9.00890075E8</v>
      </c>
      <c r="D3247" s="73" t="s">
        <v>3720</v>
      </c>
      <c r="E3247" s="72">
        <v>56.0</v>
      </c>
      <c r="F3247" s="75">
        <v>42640.0</v>
      </c>
      <c r="G3247" s="76"/>
      <c r="H3247" s="76"/>
      <c r="I3247" s="73" t="s">
        <v>366</v>
      </c>
      <c r="J3247" s="76"/>
    </row>
    <row r="3248">
      <c r="A3248" s="74">
        <v>3238.0</v>
      </c>
      <c r="B3248" s="73" t="s">
        <v>3580</v>
      </c>
      <c r="C3248" s="74">
        <v>9.00410895E8</v>
      </c>
      <c r="D3248" s="73" t="s">
        <v>3721</v>
      </c>
      <c r="E3248" s="72">
        <v>67.0</v>
      </c>
      <c r="F3248" s="77">
        <v>42675.0</v>
      </c>
      <c r="G3248" s="76"/>
      <c r="H3248" s="76"/>
      <c r="I3248" s="73" t="s">
        <v>366</v>
      </c>
      <c r="J3248" s="76"/>
    </row>
    <row r="3249">
      <c r="A3249" s="74">
        <v>3239.0</v>
      </c>
      <c r="B3249" s="73" t="s">
        <v>3580</v>
      </c>
      <c r="C3249" s="74">
        <v>9.00914311E8</v>
      </c>
      <c r="D3249" s="73" t="s">
        <v>3722</v>
      </c>
      <c r="E3249" s="72">
        <v>69.0</v>
      </c>
      <c r="F3249" s="77">
        <v>42698.0</v>
      </c>
      <c r="G3249" s="76"/>
      <c r="H3249" s="76"/>
      <c r="I3249" s="73" t="s">
        <v>366</v>
      </c>
      <c r="J3249" s="76"/>
    </row>
    <row r="3250">
      <c r="A3250" s="74">
        <v>3240.0</v>
      </c>
      <c r="B3250" s="73" t="s">
        <v>3580</v>
      </c>
      <c r="C3250" s="74">
        <v>9.00465075E8</v>
      </c>
      <c r="D3250" s="73" t="s">
        <v>3723</v>
      </c>
      <c r="E3250" s="72">
        <v>72.0</v>
      </c>
      <c r="F3250" s="77">
        <v>42703.0</v>
      </c>
      <c r="G3250" s="76"/>
      <c r="H3250" s="76"/>
      <c r="I3250" s="73" t="s">
        <v>366</v>
      </c>
      <c r="J3250" s="76"/>
    </row>
    <row r="3251">
      <c r="A3251" s="74">
        <v>3241.0</v>
      </c>
      <c r="B3251" s="73" t="s">
        <v>3580</v>
      </c>
      <c r="C3251" s="74">
        <v>9.00641316E8</v>
      </c>
      <c r="D3251" s="73" t="s">
        <v>3724</v>
      </c>
      <c r="E3251" s="72">
        <v>71.0</v>
      </c>
      <c r="F3251" s="77">
        <v>42703.0</v>
      </c>
      <c r="G3251" s="76"/>
      <c r="H3251" s="76"/>
      <c r="I3251" s="73" t="s">
        <v>366</v>
      </c>
      <c r="J3251" s="76"/>
    </row>
    <row r="3252">
      <c r="A3252" s="74">
        <v>3242.0</v>
      </c>
      <c r="B3252" s="73" t="s">
        <v>3580</v>
      </c>
      <c r="C3252" s="74">
        <v>9.00807899E8</v>
      </c>
      <c r="D3252" s="73" t="s">
        <v>3725</v>
      </c>
      <c r="E3252" s="72">
        <v>76.0</v>
      </c>
      <c r="F3252" s="77">
        <v>42720.0</v>
      </c>
      <c r="G3252" s="72">
        <v>2.02355E13</v>
      </c>
      <c r="H3252" s="75">
        <v>45181.0</v>
      </c>
      <c r="I3252" s="73" t="s">
        <v>366</v>
      </c>
      <c r="J3252" s="76"/>
    </row>
    <row r="3253">
      <c r="A3253" s="74">
        <v>3243.0</v>
      </c>
      <c r="B3253" s="73" t="s">
        <v>3580</v>
      </c>
      <c r="C3253" s="74">
        <v>9.00999428E8</v>
      </c>
      <c r="D3253" s="73" t="s">
        <v>3726</v>
      </c>
      <c r="E3253" s="72">
        <v>75.0</v>
      </c>
      <c r="F3253" s="77">
        <v>42720.0</v>
      </c>
      <c r="G3253" s="76"/>
      <c r="H3253" s="76"/>
      <c r="I3253" s="73" t="s">
        <v>366</v>
      </c>
      <c r="J3253" s="76"/>
    </row>
    <row r="3254">
      <c r="A3254" s="74">
        <v>3244.0</v>
      </c>
      <c r="B3254" s="73" t="s">
        <v>3580</v>
      </c>
      <c r="C3254" s="74">
        <v>9.0097803E8</v>
      </c>
      <c r="D3254" s="73" t="s">
        <v>3727</v>
      </c>
      <c r="E3254" s="72">
        <v>79.0</v>
      </c>
      <c r="F3254" s="77">
        <v>42727.0</v>
      </c>
      <c r="G3254" s="76"/>
      <c r="H3254" s="76"/>
      <c r="I3254" s="73" t="s">
        <v>366</v>
      </c>
      <c r="J3254" s="76"/>
    </row>
    <row r="3255">
      <c r="A3255" s="74">
        <v>3245.0</v>
      </c>
      <c r="B3255" s="73" t="s">
        <v>3580</v>
      </c>
      <c r="C3255" s="74">
        <v>9.01021964E8</v>
      </c>
      <c r="D3255" s="73" t="s">
        <v>3728</v>
      </c>
      <c r="E3255" s="72">
        <v>83.0</v>
      </c>
      <c r="F3255" s="77">
        <v>42733.0</v>
      </c>
      <c r="G3255" s="76"/>
      <c r="H3255" s="76"/>
      <c r="I3255" s="73" t="s">
        <v>366</v>
      </c>
      <c r="J3255" s="76"/>
    </row>
    <row r="3256">
      <c r="A3256" s="74">
        <v>3246.0</v>
      </c>
      <c r="B3256" s="73" t="s">
        <v>3580</v>
      </c>
      <c r="C3256" s="74">
        <v>9.00414454E8</v>
      </c>
      <c r="D3256" s="73" t="s">
        <v>3729</v>
      </c>
      <c r="E3256" s="72">
        <v>9.0</v>
      </c>
      <c r="F3256" s="75">
        <v>42803.0</v>
      </c>
      <c r="G3256" s="76"/>
      <c r="H3256" s="76"/>
      <c r="I3256" s="73" t="s">
        <v>366</v>
      </c>
      <c r="J3256" s="76"/>
    </row>
    <row r="3257">
      <c r="A3257" s="74">
        <v>3247.0</v>
      </c>
      <c r="B3257" s="73" t="s">
        <v>3580</v>
      </c>
      <c r="C3257" s="74">
        <v>9.00230078E8</v>
      </c>
      <c r="D3257" s="73" t="s">
        <v>3730</v>
      </c>
      <c r="E3257" s="72">
        <v>17.0</v>
      </c>
      <c r="F3257" s="75">
        <v>42830.0</v>
      </c>
      <c r="G3257" s="73" t="s">
        <v>3731</v>
      </c>
      <c r="H3257" s="73" t="s">
        <v>3732</v>
      </c>
      <c r="I3257" s="73" t="s">
        <v>366</v>
      </c>
      <c r="J3257" s="89" t="s">
        <v>3733</v>
      </c>
    </row>
    <row r="3258">
      <c r="A3258" s="74">
        <v>3248.0</v>
      </c>
      <c r="B3258" s="73" t="s">
        <v>3580</v>
      </c>
      <c r="C3258" s="74">
        <v>9.00487325E8</v>
      </c>
      <c r="D3258" s="73" t="s">
        <v>3734</v>
      </c>
      <c r="E3258" s="72">
        <v>23.0</v>
      </c>
      <c r="F3258" s="75">
        <v>42888.0</v>
      </c>
      <c r="G3258" s="76"/>
      <c r="H3258" s="76"/>
      <c r="I3258" s="73" t="s">
        <v>366</v>
      </c>
      <c r="J3258" s="76"/>
    </row>
    <row r="3259">
      <c r="A3259" s="74">
        <v>3249.0</v>
      </c>
      <c r="B3259" s="73" t="s">
        <v>3580</v>
      </c>
      <c r="C3259" s="74">
        <v>8.30065629E8</v>
      </c>
      <c r="D3259" s="73" t="s">
        <v>3735</v>
      </c>
      <c r="E3259" s="72">
        <v>44.0</v>
      </c>
      <c r="F3259" s="75">
        <v>42947.0</v>
      </c>
      <c r="G3259" s="76"/>
      <c r="H3259" s="76"/>
      <c r="I3259" s="73" t="s">
        <v>366</v>
      </c>
      <c r="J3259" s="76"/>
    </row>
    <row r="3260">
      <c r="A3260" s="74">
        <v>3250.0</v>
      </c>
      <c r="B3260" s="73" t="s">
        <v>3580</v>
      </c>
      <c r="C3260" s="74">
        <v>9.00254518E8</v>
      </c>
      <c r="D3260" s="73" t="s">
        <v>3736</v>
      </c>
      <c r="E3260" s="72">
        <v>40.0</v>
      </c>
      <c r="F3260" s="75">
        <v>42951.0</v>
      </c>
      <c r="G3260" s="72">
        <v>95.0</v>
      </c>
      <c r="H3260" s="75">
        <v>43322.0</v>
      </c>
      <c r="I3260" s="73" t="s">
        <v>366</v>
      </c>
      <c r="J3260" s="76"/>
    </row>
    <row r="3261">
      <c r="A3261" s="74">
        <v>3251.0</v>
      </c>
      <c r="B3261" s="73" t="s">
        <v>3580</v>
      </c>
      <c r="C3261" s="74">
        <v>8.30024999E8</v>
      </c>
      <c r="D3261" s="73" t="s">
        <v>3737</v>
      </c>
      <c r="E3261" s="72">
        <v>26.0</v>
      </c>
      <c r="F3261" s="75">
        <v>42975.0</v>
      </c>
      <c r="G3261" s="76"/>
      <c r="H3261" s="76"/>
      <c r="I3261" s="73" t="s">
        <v>366</v>
      </c>
      <c r="J3261" s="76"/>
    </row>
    <row r="3262">
      <c r="A3262" s="74">
        <v>3252.0</v>
      </c>
      <c r="B3262" s="73" t="s">
        <v>3580</v>
      </c>
      <c r="C3262" s="74">
        <v>9.00722031E8</v>
      </c>
      <c r="D3262" s="73" t="s">
        <v>3738</v>
      </c>
      <c r="E3262" s="72">
        <v>51.0</v>
      </c>
      <c r="F3262" s="75">
        <v>42978.0</v>
      </c>
      <c r="G3262" s="76"/>
      <c r="H3262" s="76"/>
      <c r="I3262" s="73" t="s">
        <v>366</v>
      </c>
      <c r="J3262" s="76"/>
    </row>
    <row r="3263">
      <c r="A3263" s="74">
        <v>3253.0</v>
      </c>
      <c r="B3263" s="73" t="s">
        <v>3580</v>
      </c>
      <c r="C3263" s="74">
        <v>9.00369943E8</v>
      </c>
      <c r="D3263" s="73" t="s">
        <v>3739</v>
      </c>
      <c r="E3263" s="72">
        <v>53.0</v>
      </c>
      <c r="F3263" s="75">
        <v>42983.0</v>
      </c>
      <c r="G3263" s="72">
        <v>2.0215500049985E13</v>
      </c>
      <c r="H3263" s="77">
        <v>44490.0</v>
      </c>
      <c r="I3263" s="73" t="s">
        <v>366</v>
      </c>
      <c r="J3263" s="76"/>
    </row>
    <row r="3264">
      <c r="A3264" s="74">
        <v>3254.0</v>
      </c>
      <c r="B3264" s="73" t="s">
        <v>3580</v>
      </c>
      <c r="C3264" s="74">
        <v>9.00539196E8</v>
      </c>
      <c r="D3264" s="73" t="s">
        <v>2982</v>
      </c>
      <c r="E3264" s="72">
        <v>627.0</v>
      </c>
      <c r="F3264" s="75">
        <v>42986.0</v>
      </c>
      <c r="G3264" s="76"/>
      <c r="H3264" s="76"/>
      <c r="I3264" s="73" t="s">
        <v>366</v>
      </c>
      <c r="J3264" s="76"/>
    </row>
    <row r="3265">
      <c r="A3265" s="74">
        <v>3255.0</v>
      </c>
      <c r="B3265" s="73" t="s">
        <v>3580</v>
      </c>
      <c r="C3265" s="74">
        <v>9.00336796E8</v>
      </c>
      <c r="D3265" s="73" t="s">
        <v>3740</v>
      </c>
      <c r="E3265" s="72">
        <v>509.0</v>
      </c>
      <c r="F3265" s="75">
        <v>42989.0</v>
      </c>
      <c r="G3265" s="72">
        <v>2.0225500055725E13</v>
      </c>
      <c r="H3265" s="75">
        <v>44819.0</v>
      </c>
      <c r="I3265" s="73" t="s">
        <v>366</v>
      </c>
      <c r="J3265" s="76"/>
    </row>
    <row r="3266">
      <c r="A3266" s="74">
        <v>3256.0</v>
      </c>
      <c r="B3266" s="73" t="s">
        <v>3580</v>
      </c>
      <c r="C3266" s="74">
        <v>9.00695298E8</v>
      </c>
      <c r="D3266" s="73" t="s">
        <v>3741</v>
      </c>
      <c r="E3266" s="72">
        <v>54.0</v>
      </c>
      <c r="F3266" s="75">
        <v>42992.0</v>
      </c>
      <c r="G3266" s="76"/>
      <c r="H3266" s="76"/>
      <c r="I3266" s="73" t="s">
        <v>366</v>
      </c>
      <c r="J3266" s="76"/>
    </row>
    <row r="3267">
      <c r="A3267" s="74">
        <v>3257.0</v>
      </c>
      <c r="B3267" s="73" t="s">
        <v>3580</v>
      </c>
      <c r="C3267" s="74">
        <v>9.01074456E8</v>
      </c>
      <c r="D3267" s="73" t="s">
        <v>3742</v>
      </c>
      <c r="E3267" s="72">
        <v>27.0</v>
      </c>
      <c r="F3267" s="75">
        <v>42993.0</v>
      </c>
      <c r="G3267" s="72">
        <v>2.0215500053265E13</v>
      </c>
      <c r="H3267" s="77">
        <v>44509.0</v>
      </c>
      <c r="I3267" s="73" t="s">
        <v>366</v>
      </c>
      <c r="J3267" s="76"/>
    </row>
    <row r="3268">
      <c r="A3268" s="74">
        <v>3258.0</v>
      </c>
      <c r="B3268" s="73" t="s">
        <v>3580</v>
      </c>
      <c r="C3268" s="74">
        <v>9.00971733E8</v>
      </c>
      <c r="D3268" s="73" t="s">
        <v>3743</v>
      </c>
      <c r="E3268" s="72">
        <v>55.0</v>
      </c>
      <c r="F3268" s="75">
        <v>42996.0</v>
      </c>
      <c r="G3268" s="76"/>
      <c r="H3268" s="76"/>
      <c r="I3268" s="73" t="s">
        <v>366</v>
      </c>
      <c r="J3268" s="76"/>
    </row>
    <row r="3269">
      <c r="A3269" s="85">
        <v>3259.0</v>
      </c>
      <c r="B3269" s="79" t="s">
        <v>3580</v>
      </c>
      <c r="C3269" s="80">
        <v>9.01075326E8</v>
      </c>
      <c r="D3269" s="79" t="s">
        <v>3744</v>
      </c>
      <c r="E3269" s="81">
        <v>59.0</v>
      </c>
      <c r="F3269" s="84">
        <v>42998.0</v>
      </c>
      <c r="G3269" s="83"/>
      <c r="H3269" s="83"/>
      <c r="I3269" s="73" t="s">
        <v>366</v>
      </c>
      <c r="J3269" s="76"/>
    </row>
    <row r="3270">
      <c r="A3270" s="74">
        <v>3260.0</v>
      </c>
      <c r="B3270" s="73" t="s">
        <v>3580</v>
      </c>
      <c r="C3270" s="74">
        <v>8.30057515E8</v>
      </c>
      <c r="D3270" s="73" t="s">
        <v>3745</v>
      </c>
      <c r="E3270" s="72">
        <v>65.0</v>
      </c>
      <c r="F3270" s="77">
        <v>43020.0</v>
      </c>
      <c r="G3270" s="76"/>
      <c r="H3270" s="76"/>
      <c r="I3270" s="73" t="s">
        <v>366</v>
      </c>
      <c r="J3270" s="76"/>
    </row>
    <row r="3271">
      <c r="A3271" s="74">
        <v>3261.0</v>
      </c>
      <c r="B3271" s="73" t="s">
        <v>3580</v>
      </c>
      <c r="C3271" s="74">
        <v>9.01067713E8</v>
      </c>
      <c r="D3271" s="73" t="s">
        <v>3746</v>
      </c>
      <c r="E3271" s="72">
        <v>68.0</v>
      </c>
      <c r="F3271" s="77">
        <v>43034.0</v>
      </c>
      <c r="G3271" s="72">
        <v>12.0</v>
      </c>
      <c r="H3271" s="75">
        <v>43880.0</v>
      </c>
      <c r="I3271" s="73" t="s">
        <v>366</v>
      </c>
      <c r="J3271" s="76"/>
    </row>
    <row r="3272">
      <c r="A3272" s="74">
        <v>3262.0</v>
      </c>
      <c r="B3272" s="73" t="s">
        <v>3580</v>
      </c>
      <c r="C3272" s="74">
        <v>9.00630779E8</v>
      </c>
      <c r="D3272" s="73" t="s">
        <v>3747</v>
      </c>
      <c r="E3272" s="72">
        <v>69.0</v>
      </c>
      <c r="F3272" s="77">
        <v>43039.0</v>
      </c>
      <c r="G3272" s="72">
        <v>2.024550004075E12</v>
      </c>
      <c r="H3272" s="75">
        <v>45328.0</v>
      </c>
      <c r="I3272" s="73" t="s">
        <v>366</v>
      </c>
      <c r="J3272" s="76"/>
    </row>
    <row r="3273">
      <c r="A3273" s="74">
        <v>3263.0</v>
      </c>
      <c r="B3273" s="73" t="s">
        <v>3580</v>
      </c>
      <c r="C3273" s="74">
        <v>9.00992583E8</v>
      </c>
      <c r="D3273" s="73" t="s">
        <v>3748</v>
      </c>
      <c r="E3273" s="72">
        <v>643.0</v>
      </c>
      <c r="F3273" s="77">
        <v>43055.0</v>
      </c>
      <c r="G3273" s="72">
        <v>2.0235500027095E13</v>
      </c>
      <c r="H3273" s="75">
        <v>45106.0</v>
      </c>
      <c r="I3273" s="73" t="s">
        <v>366</v>
      </c>
      <c r="J3273" s="76"/>
    </row>
    <row r="3274">
      <c r="A3274" s="74">
        <v>3264.0</v>
      </c>
      <c r="B3274" s="73" t="s">
        <v>3580</v>
      </c>
      <c r="C3274" s="74">
        <v>9.00970325E8</v>
      </c>
      <c r="D3274" s="73" t="s">
        <v>3749</v>
      </c>
      <c r="E3274" s="72">
        <v>98.0</v>
      </c>
      <c r="F3274" s="77">
        <v>43095.0</v>
      </c>
      <c r="G3274" s="76"/>
      <c r="H3274" s="76"/>
      <c r="I3274" s="73" t="s">
        <v>366</v>
      </c>
      <c r="J3274" s="76"/>
    </row>
    <row r="3275">
      <c r="A3275" s="74">
        <v>3265.0</v>
      </c>
      <c r="B3275" s="73" t="s">
        <v>3580</v>
      </c>
      <c r="C3275" s="74">
        <v>9.01121844E8</v>
      </c>
      <c r="D3275" s="73" t="s">
        <v>3750</v>
      </c>
      <c r="E3275" s="72">
        <v>16.0</v>
      </c>
      <c r="F3275" s="75">
        <v>43159.0</v>
      </c>
      <c r="G3275" s="76"/>
      <c r="H3275" s="76"/>
      <c r="I3275" s="73" t="s">
        <v>366</v>
      </c>
      <c r="J3275" s="76"/>
    </row>
    <row r="3276">
      <c r="A3276" s="74">
        <v>3266.0</v>
      </c>
      <c r="B3276" s="73" t="s">
        <v>3580</v>
      </c>
      <c r="C3276" s="74">
        <v>9.0085419E8</v>
      </c>
      <c r="D3276" s="73" t="s">
        <v>3751</v>
      </c>
      <c r="E3276" s="72">
        <v>20.0</v>
      </c>
      <c r="F3276" s="75">
        <v>43171.0</v>
      </c>
      <c r="G3276" s="76"/>
      <c r="H3276" s="76"/>
      <c r="I3276" s="73" t="s">
        <v>366</v>
      </c>
      <c r="J3276" s="76"/>
    </row>
    <row r="3277">
      <c r="A3277" s="74">
        <v>3267.0</v>
      </c>
      <c r="B3277" s="73" t="s">
        <v>3580</v>
      </c>
      <c r="C3277" s="74">
        <v>9.01163622E8</v>
      </c>
      <c r="D3277" s="73" t="s">
        <v>3752</v>
      </c>
      <c r="E3277" s="72">
        <v>25.0</v>
      </c>
      <c r="F3277" s="75">
        <v>43182.0</v>
      </c>
      <c r="G3277" s="72">
        <v>142.0</v>
      </c>
      <c r="H3277" s="77">
        <v>43794.0</v>
      </c>
      <c r="I3277" s="73" t="s">
        <v>366</v>
      </c>
      <c r="J3277" s="76"/>
    </row>
    <row r="3278">
      <c r="A3278" s="74">
        <v>3268.0</v>
      </c>
      <c r="B3278" s="73" t="s">
        <v>3580</v>
      </c>
      <c r="C3278" s="74">
        <v>9.01134358E8</v>
      </c>
      <c r="D3278" s="73" t="s">
        <v>3753</v>
      </c>
      <c r="E3278" s="72">
        <v>32.0</v>
      </c>
      <c r="F3278" s="75">
        <v>43213.0</v>
      </c>
      <c r="G3278" s="76"/>
      <c r="H3278" s="76"/>
      <c r="I3278" s="73" t="s">
        <v>366</v>
      </c>
      <c r="J3278" s="76"/>
    </row>
    <row r="3279">
      <c r="A3279" s="74">
        <v>3269.0</v>
      </c>
      <c r="B3279" s="73" t="s">
        <v>3580</v>
      </c>
      <c r="C3279" s="74">
        <v>9.01112194E8</v>
      </c>
      <c r="D3279" s="73" t="s">
        <v>3754</v>
      </c>
      <c r="E3279" s="72">
        <v>46.0</v>
      </c>
      <c r="F3279" s="75">
        <v>43235.0</v>
      </c>
      <c r="G3279" s="76"/>
      <c r="H3279" s="76"/>
      <c r="I3279" s="73" t="s">
        <v>366</v>
      </c>
      <c r="J3279" s="76"/>
    </row>
    <row r="3280">
      <c r="A3280" s="74">
        <v>3270.0</v>
      </c>
      <c r="B3280" s="73" t="s">
        <v>3580</v>
      </c>
      <c r="C3280" s="74">
        <v>9.01161471E8</v>
      </c>
      <c r="D3280" s="73" t="s">
        <v>3755</v>
      </c>
      <c r="E3280" s="72">
        <v>118.0</v>
      </c>
      <c r="F3280" s="75">
        <v>43250.0</v>
      </c>
      <c r="G3280" s="72">
        <v>77.0</v>
      </c>
      <c r="H3280" s="75">
        <v>43620.0</v>
      </c>
      <c r="I3280" s="73" t="s">
        <v>366</v>
      </c>
      <c r="J3280" s="76"/>
    </row>
    <row r="3281">
      <c r="A3281" s="74">
        <v>3271.0</v>
      </c>
      <c r="B3281" s="73" t="s">
        <v>3580</v>
      </c>
      <c r="C3281" s="74">
        <v>9.00538011E8</v>
      </c>
      <c r="D3281" s="73" t="s">
        <v>3756</v>
      </c>
      <c r="E3281" s="72">
        <v>63.0</v>
      </c>
      <c r="F3281" s="75">
        <v>43269.0</v>
      </c>
      <c r="G3281" s="76"/>
      <c r="H3281" s="76"/>
      <c r="I3281" s="73" t="s">
        <v>366</v>
      </c>
      <c r="J3281" s="76"/>
    </row>
    <row r="3282">
      <c r="A3282" s="74">
        <v>3272.0</v>
      </c>
      <c r="B3282" s="73" t="s">
        <v>3580</v>
      </c>
      <c r="C3282" s="74">
        <v>9.00613291E8</v>
      </c>
      <c r="D3282" s="73" t="s">
        <v>3757</v>
      </c>
      <c r="E3282" s="72">
        <v>85.0</v>
      </c>
      <c r="F3282" s="75">
        <v>43300.0</v>
      </c>
      <c r="G3282" s="76"/>
      <c r="H3282" s="76"/>
      <c r="I3282" s="73" t="s">
        <v>366</v>
      </c>
      <c r="J3282" s="76"/>
    </row>
    <row r="3283">
      <c r="A3283" s="74">
        <v>3273.0</v>
      </c>
      <c r="B3283" s="73" t="s">
        <v>3580</v>
      </c>
      <c r="C3283" s="74">
        <v>9.01159075E8</v>
      </c>
      <c r="D3283" s="73" t="s">
        <v>3758</v>
      </c>
      <c r="E3283" s="72">
        <v>92.0</v>
      </c>
      <c r="F3283" s="75">
        <v>43321.0</v>
      </c>
      <c r="G3283" s="76"/>
      <c r="H3283" s="76"/>
      <c r="I3283" s="73" t="s">
        <v>366</v>
      </c>
      <c r="J3283" s="76"/>
    </row>
    <row r="3284">
      <c r="A3284" s="74">
        <v>3274.0</v>
      </c>
      <c r="B3284" s="73" t="s">
        <v>3580</v>
      </c>
      <c r="C3284" s="74">
        <v>9.00018871E8</v>
      </c>
      <c r="D3284" s="73" t="s">
        <v>3759</v>
      </c>
      <c r="E3284" s="72">
        <v>104.0</v>
      </c>
      <c r="F3284" s="75">
        <v>43339.0</v>
      </c>
      <c r="G3284" s="76"/>
      <c r="H3284" s="76"/>
      <c r="I3284" s="73" t="s">
        <v>366</v>
      </c>
      <c r="J3284" s="76"/>
    </row>
    <row r="3285">
      <c r="A3285" s="74">
        <v>3275.0</v>
      </c>
      <c r="B3285" s="73" t="s">
        <v>3580</v>
      </c>
      <c r="C3285" s="74">
        <v>9.00090748E8</v>
      </c>
      <c r="D3285" s="73" t="s">
        <v>3760</v>
      </c>
      <c r="E3285" s="72">
        <v>105.0</v>
      </c>
      <c r="F3285" s="75">
        <v>43340.0</v>
      </c>
      <c r="G3285" s="76"/>
      <c r="H3285" s="76"/>
      <c r="I3285" s="73" t="s">
        <v>366</v>
      </c>
      <c r="J3285" s="76"/>
    </row>
    <row r="3286">
      <c r="A3286" s="74">
        <v>3276.0</v>
      </c>
      <c r="B3286" s="73" t="s">
        <v>3580</v>
      </c>
      <c r="C3286" s="74">
        <v>9.0122074E8</v>
      </c>
      <c r="D3286" s="73" t="s">
        <v>3761</v>
      </c>
      <c r="E3286" s="72">
        <v>241.0</v>
      </c>
      <c r="F3286" s="77">
        <v>43395.0</v>
      </c>
      <c r="G3286" s="76"/>
      <c r="H3286" s="76"/>
      <c r="I3286" s="73" t="s">
        <v>366</v>
      </c>
      <c r="J3286" s="76"/>
    </row>
    <row r="3287">
      <c r="A3287" s="74">
        <v>3277.0</v>
      </c>
      <c r="B3287" s="73" t="s">
        <v>3580</v>
      </c>
      <c r="C3287" s="74">
        <v>9.012085E8</v>
      </c>
      <c r="D3287" s="73" t="s">
        <v>3762</v>
      </c>
      <c r="E3287" s="72">
        <v>234.0</v>
      </c>
      <c r="F3287" s="77">
        <v>43405.0</v>
      </c>
      <c r="G3287" s="72">
        <v>91.0</v>
      </c>
      <c r="H3287" s="75">
        <v>43656.0</v>
      </c>
      <c r="I3287" s="73" t="s">
        <v>366</v>
      </c>
      <c r="J3287" s="76"/>
    </row>
    <row r="3288">
      <c r="A3288" s="74">
        <v>3278.0</v>
      </c>
      <c r="B3288" s="73" t="s">
        <v>3580</v>
      </c>
      <c r="C3288" s="74">
        <v>9.00923819E8</v>
      </c>
      <c r="D3288" s="73" t="s">
        <v>3763</v>
      </c>
      <c r="E3288" s="72">
        <v>141.0</v>
      </c>
      <c r="F3288" s="77">
        <v>43410.0</v>
      </c>
      <c r="G3288" s="76"/>
      <c r="H3288" s="76"/>
      <c r="I3288" s="73" t="s">
        <v>366</v>
      </c>
      <c r="J3288" s="76"/>
    </row>
    <row r="3289">
      <c r="A3289" s="74">
        <v>3279.0</v>
      </c>
      <c r="B3289" s="73" t="s">
        <v>3580</v>
      </c>
      <c r="C3289" s="74">
        <v>9.01220945E8</v>
      </c>
      <c r="D3289" s="73" t="s">
        <v>3764</v>
      </c>
      <c r="E3289" s="72">
        <v>256.0</v>
      </c>
      <c r="F3289" s="77">
        <v>43410.0</v>
      </c>
      <c r="G3289" s="72">
        <v>26.0</v>
      </c>
      <c r="H3289" s="75">
        <v>43901.0</v>
      </c>
      <c r="I3289" s="73" t="s">
        <v>366</v>
      </c>
      <c r="J3289" s="76"/>
    </row>
    <row r="3290">
      <c r="A3290" s="74">
        <v>3280.0</v>
      </c>
      <c r="B3290" s="73" t="s">
        <v>3580</v>
      </c>
      <c r="C3290" s="74">
        <v>8.22002628E8</v>
      </c>
      <c r="D3290" s="73" t="s">
        <v>3765</v>
      </c>
      <c r="E3290" s="72">
        <v>156.0</v>
      </c>
      <c r="F3290" s="77">
        <v>43444.0</v>
      </c>
      <c r="G3290" s="76"/>
      <c r="H3290" s="76"/>
      <c r="I3290" s="73" t="s">
        <v>366</v>
      </c>
      <c r="J3290" s="76"/>
    </row>
    <row r="3291">
      <c r="A3291" s="74">
        <v>3281.0</v>
      </c>
      <c r="B3291" s="73" t="s">
        <v>3580</v>
      </c>
      <c r="C3291" s="74">
        <v>9.01239506E8</v>
      </c>
      <c r="D3291" s="73" t="s">
        <v>3766</v>
      </c>
      <c r="E3291" s="72">
        <v>2.0</v>
      </c>
      <c r="F3291" s="75">
        <v>43479.0</v>
      </c>
      <c r="G3291" s="72">
        <v>2.0245500018675E13</v>
      </c>
      <c r="H3291" s="75">
        <v>45414.0</v>
      </c>
      <c r="I3291" s="73" t="s">
        <v>366</v>
      </c>
      <c r="J3291" s="76"/>
    </row>
    <row r="3292">
      <c r="A3292" s="74">
        <v>3282.0</v>
      </c>
      <c r="B3292" s="73" t="s">
        <v>3580</v>
      </c>
      <c r="C3292" s="74">
        <v>9.01236712E8</v>
      </c>
      <c r="D3292" s="73" t="s">
        <v>3767</v>
      </c>
      <c r="E3292" s="72">
        <v>3.0</v>
      </c>
      <c r="F3292" s="75">
        <v>43481.0</v>
      </c>
      <c r="G3292" s="76"/>
      <c r="H3292" s="76"/>
      <c r="I3292" s="73" t="s">
        <v>366</v>
      </c>
      <c r="J3292" s="76"/>
    </row>
    <row r="3293">
      <c r="A3293" s="74">
        <v>3283.0</v>
      </c>
      <c r="B3293" s="73" t="s">
        <v>3580</v>
      </c>
      <c r="C3293" s="74">
        <v>9.01238071E8</v>
      </c>
      <c r="D3293" s="73" t="s">
        <v>3768</v>
      </c>
      <c r="E3293" s="72">
        <v>5.0</v>
      </c>
      <c r="F3293" s="75">
        <v>43493.0</v>
      </c>
      <c r="G3293" s="76"/>
      <c r="H3293" s="76"/>
      <c r="I3293" s="73" t="s">
        <v>366</v>
      </c>
      <c r="J3293" s="76"/>
    </row>
    <row r="3294">
      <c r="A3294" s="74">
        <v>3284.0</v>
      </c>
      <c r="B3294" s="73" t="s">
        <v>3580</v>
      </c>
      <c r="C3294" s="74">
        <v>9.01234916E8</v>
      </c>
      <c r="D3294" s="73" t="s">
        <v>3769</v>
      </c>
      <c r="E3294" s="72">
        <v>33.0</v>
      </c>
      <c r="F3294" s="75">
        <v>43522.0</v>
      </c>
      <c r="G3294" s="72">
        <v>94.0</v>
      </c>
      <c r="H3294" s="75">
        <v>43657.0</v>
      </c>
      <c r="I3294" s="73" t="s">
        <v>366</v>
      </c>
      <c r="J3294" s="76"/>
    </row>
    <row r="3295">
      <c r="A3295" s="74">
        <v>3285.0</v>
      </c>
      <c r="B3295" s="73" t="s">
        <v>3580</v>
      </c>
      <c r="C3295" s="74">
        <v>9.00591441E8</v>
      </c>
      <c r="D3295" s="73" t="s">
        <v>3770</v>
      </c>
      <c r="E3295" s="72">
        <v>38.0</v>
      </c>
      <c r="F3295" s="75">
        <v>43525.0</v>
      </c>
      <c r="G3295" s="76"/>
      <c r="H3295" s="76"/>
      <c r="I3295" s="73" t="s">
        <v>366</v>
      </c>
      <c r="J3295" s="76"/>
    </row>
    <row r="3296">
      <c r="A3296" s="74">
        <v>3286.0</v>
      </c>
      <c r="B3296" s="73" t="s">
        <v>3580</v>
      </c>
      <c r="C3296" s="74">
        <v>9.00923512E8</v>
      </c>
      <c r="D3296" s="73" t="s">
        <v>3771</v>
      </c>
      <c r="E3296" s="72">
        <v>79.0</v>
      </c>
      <c r="F3296" s="75">
        <v>43628.0</v>
      </c>
      <c r="G3296" s="76"/>
      <c r="H3296" s="76"/>
      <c r="I3296" s="73" t="s">
        <v>366</v>
      </c>
      <c r="J3296" s="76"/>
    </row>
    <row r="3297">
      <c r="A3297" s="74">
        <v>3287.0</v>
      </c>
      <c r="B3297" s="73" t="s">
        <v>3580</v>
      </c>
      <c r="C3297" s="74">
        <v>9.01266061E8</v>
      </c>
      <c r="D3297" s="73" t="s">
        <v>3772</v>
      </c>
      <c r="E3297" s="72">
        <v>114.0</v>
      </c>
      <c r="F3297" s="75">
        <v>43679.0</v>
      </c>
      <c r="G3297" s="76"/>
      <c r="H3297" s="76"/>
      <c r="I3297" s="73" t="s">
        <v>366</v>
      </c>
      <c r="J3297" s="76"/>
    </row>
    <row r="3298">
      <c r="A3298" s="74">
        <v>3288.0</v>
      </c>
      <c r="B3298" s="73" t="s">
        <v>3580</v>
      </c>
      <c r="C3298" s="74">
        <v>9.01289113E8</v>
      </c>
      <c r="D3298" s="73" t="s">
        <v>3773</v>
      </c>
      <c r="E3298" s="72">
        <v>118.0</v>
      </c>
      <c r="F3298" s="75">
        <v>43679.0</v>
      </c>
      <c r="G3298" s="76"/>
      <c r="H3298" s="76"/>
      <c r="I3298" s="73" t="s">
        <v>366</v>
      </c>
      <c r="J3298" s="76"/>
    </row>
    <row r="3299">
      <c r="A3299" s="74">
        <v>3289.0</v>
      </c>
      <c r="B3299" s="73" t="s">
        <v>3580</v>
      </c>
      <c r="C3299" s="74">
        <v>9.01294467E8</v>
      </c>
      <c r="D3299" s="73" t="s">
        <v>3774</v>
      </c>
      <c r="E3299" s="72">
        <v>105.0</v>
      </c>
      <c r="F3299" s="75">
        <v>43707.0</v>
      </c>
      <c r="G3299" s="72">
        <v>2.0225500021985E13</v>
      </c>
      <c r="H3299" s="75">
        <v>44677.0</v>
      </c>
      <c r="I3299" s="73" t="s">
        <v>366</v>
      </c>
      <c r="J3299" s="76"/>
    </row>
    <row r="3300">
      <c r="A3300" s="74">
        <v>3290.0</v>
      </c>
      <c r="B3300" s="73" t="s">
        <v>3580</v>
      </c>
      <c r="C3300" s="74">
        <v>9.01311916E8</v>
      </c>
      <c r="D3300" s="73" t="s">
        <v>3775</v>
      </c>
      <c r="E3300" s="72">
        <v>150.0</v>
      </c>
      <c r="F3300" s="75">
        <v>43710.0</v>
      </c>
      <c r="G3300" s="72">
        <v>13.0</v>
      </c>
      <c r="H3300" s="75">
        <v>43886.0</v>
      </c>
      <c r="I3300" s="73" t="s">
        <v>366</v>
      </c>
      <c r="J3300" s="76"/>
    </row>
    <row r="3301">
      <c r="A3301" s="74">
        <v>3291.0</v>
      </c>
      <c r="B3301" s="73" t="s">
        <v>3580</v>
      </c>
      <c r="C3301" s="74">
        <v>9.01307941E8</v>
      </c>
      <c r="D3301" s="73" t="s">
        <v>3776</v>
      </c>
      <c r="E3301" s="72">
        <v>136.0</v>
      </c>
      <c r="F3301" s="77">
        <v>43777.0</v>
      </c>
      <c r="G3301" s="76"/>
      <c r="H3301" s="76"/>
      <c r="I3301" s="73" t="s">
        <v>366</v>
      </c>
      <c r="J3301" s="76"/>
    </row>
    <row r="3302">
      <c r="A3302" s="74">
        <v>3292.0</v>
      </c>
      <c r="B3302" s="73" t="s">
        <v>3580</v>
      </c>
      <c r="C3302" s="74">
        <v>9.0057886E8</v>
      </c>
      <c r="D3302" s="73" t="s">
        <v>3777</v>
      </c>
      <c r="E3302" s="72">
        <v>143.0</v>
      </c>
      <c r="F3302" s="77">
        <v>43795.0</v>
      </c>
      <c r="G3302" s="76"/>
      <c r="H3302" s="76"/>
      <c r="I3302" s="73" t="s">
        <v>366</v>
      </c>
      <c r="J3302" s="76"/>
    </row>
    <row r="3303">
      <c r="A3303" s="74">
        <v>3293.0</v>
      </c>
      <c r="B3303" s="73" t="s">
        <v>3580</v>
      </c>
      <c r="C3303" s="74">
        <v>9.01165951E8</v>
      </c>
      <c r="D3303" s="73" t="s">
        <v>3778</v>
      </c>
      <c r="E3303" s="72">
        <v>2.0</v>
      </c>
      <c r="F3303" s="75">
        <v>43854.0</v>
      </c>
      <c r="G3303" s="76"/>
      <c r="H3303" s="76"/>
      <c r="I3303" s="73" t="s">
        <v>366</v>
      </c>
      <c r="J3303" s="76"/>
    </row>
    <row r="3304">
      <c r="A3304" s="74">
        <v>3294.0</v>
      </c>
      <c r="B3304" s="73" t="s">
        <v>3580</v>
      </c>
      <c r="C3304" s="74">
        <v>9.00612563E8</v>
      </c>
      <c r="D3304" s="73" t="s">
        <v>3779</v>
      </c>
      <c r="E3304" s="72">
        <v>4.0</v>
      </c>
      <c r="F3304" s="75">
        <v>43861.0</v>
      </c>
      <c r="G3304" s="76"/>
      <c r="H3304" s="76"/>
      <c r="I3304" s="73" t="s">
        <v>366</v>
      </c>
      <c r="J3304" s="76"/>
    </row>
    <row r="3305">
      <c r="A3305" s="74">
        <v>3295.0</v>
      </c>
      <c r="B3305" s="73" t="s">
        <v>3580</v>
      </c>
      <c r="C3305" s="74">
        <v>9.00813603E8</v>
      </c>
      <c r="D3305" s="73" t="s">
        <v>3780</v>
      </c>
      <c r="E3305" s="72">
        <v>6.0</v>
      </c>
      <c r="F3305" s="75">
        <v>43871.0</v>
      </c>
      <c r="G3305" s="76"/>
      <c r="H3305" s="76"/>
      <c r="I3305" s="73" t="s">
        <v>366</v>
      </c>
      <c r="J3305" s="76"/>
    </row>
    <row r="3306">
      <c r="A3306" s="74">
        <v>3296.0</v>
      </c>
      <c r="B3306" s="73" t="s">
        <v>3580</v>
      </c>
      <c r="C3306" s="74">
        <v>9.01153967E8</v>
      </c>
      <c r="D3306" s="73" t="s">
        <v>3781</v>
      </c>
      <c r="E3306" s="72">
        <v>2.0203040002175E13</v>
      </c>
      <c r="F3306" s="75">
        <v>43956.0</v>
      </c>
      <c r="G3306" s="76"/>
      <c r="H3306" s="76"/>
      <c r="I3306" s="73" t="s">
        <v>366</v>
      </c>
      <c r="J3306" s="76"/>
    </row>
    <row r="3307">
      <c r="A3307" s="74">
        <v>3297.0</v>
      </c>
      <c r="B3307" s="73" t="s">
        <v>3580</v>
      </c>
      <c r="C3307" s="74">
        <v>9.01299905E8</v>
      </c>
      <c r="D3307" s="73" t="s">
        <v>3782</v>
      </c>
      <c r="E3307" s="72">
        <v>2.0203040001835E13</v>
      </c>
      <c r="F3307" s="75">
        <v>43980.0</v>
      </c>
      <c r="G3307" s="72">
        <v>2.02355E13</v>
      </c>
      <c r="H3307" s="77">
        <v>45274.0</v>
      </c>
      <c r="I3307" s="73" t="s">
        <v>366</v>
      </c>
      <c r="J3307" s="76"/>
    </row>
    <row r="3308">
      <c r="A3308" s="74">
        <v>3298.0</v>
      </c>
      <c r="B3308" s="73" t="s">
        <v>3580</v>
      </c>
      <c r="C3308" s="74">
        <v>9.0076916E8</v>
      </c>
      <c r="D3308" s="73" t="s">
        <v>3783</v>
      </c>
      <c r="E3308" s="72">
        <v>2.0203040006785E13</v>
      </c>
      <c r="F3308" s="75">
        <v>44006.0</v>
      </c>
      <c r="G3308" s="76"/>
      <c r="H3308" s="76"/>
      <c r="I3308" s="73" t="s">
        <v>366</v>
      </c>
      <c r="J3308" s="76"/>
    </row>
    <row r="3309">
      <c r="A3309" s="74">
        <v>3299.0</v>
      </c>
      <c r="B3309" s="73" t="s">
        <v>3580</v>
      </c>
      <c r="C3309" s="74">
        <v>9.01277926E8</v>
      </c>
      <c r="D3309" s="73" t="s">
        <v>3784</v>
      </c>
      <c r="E3309" s="72">
        <v>2.0203040006795E13</v>
      </c>
      <c r="F3309" s="75">
        <v>44006.0</v>
      </c>
      <c r="G3309" s="76"/>
      <c r="H3309" s="76"/>
      <c r="I3309" s="73" t="s">
        <v>366</v>
      </c>
      <c r="J3309" s="76"/>
    </row>
    <row r="3310">
      <c r="A3310" s="74">
        <v>3300.0</v>
      </c>
      <c r="B3310" s="73" t="s">
        <v>3580</v>
      </c>
      <c r="C3310" s="74">
        <v>9.0089447E8</v>
      </c>
      <c r="D3310" s="73" t="s">
        <v>3785</v>
      </c>
      <c r="E3310" s="72">
        <v>2.0203040010025E13</v>
      </c>
      <c r="F3310" s="75">
        <v>44046.0</v>
      </c>
      <c r="G3310" s="76"/>
      <c r="H3310" s="76"/>
      <c r="I3310" s="73" t="s">
        <v>366</v>
      </c>
      <c r="J3310" s="76"/>
    </row>
    <row r="3311">
      <c r="A3311" s="74">
        <v>3301.0</v>
      </c>
      <c r="B3311" s="73" t="s">
        <v>3580</v>
      </c>
      <c r="C3311" s="74">
        <v>9.01256089E8</v>
      </c>
      <c r="D3311" s="73" t="s">
        <v>3786</v>
      </c>
      <c r="E3311" s="72">
        <v>1222.0</v>
      </c>
      <c r="F3311" s="75">
        <v>44082.0</v>
      </c>
      <c r="G3311" s="72">
        <v>2.0225500054945E13</v>
      </c>
      <c r="H3311" s="75">
        <v>44816.0</v>
      </c>
      <c r="I3311" s="73" t="s">
        <v>366</v>
      </c>
      <c r="J3311" s="76"/>
    </row>
    <row r="3312">
      <c r="A3312" s="74">
        <v>3302.0</v>
      </c>
      <c r="B3312" s="73" t="s">
        <v>3580</v>
      </c>
      <c r="C3312" s="74">
        <v>9.00360605E8</v>
      </c>
      <c r="D3312" s="73" t="s">
        <v>3787</v>
      </c>
      <c r="E3312" s="72">
        <v>2.0203040016425E13</v>
      </c>
      <c r="F3312" s="77">
        <v>44124.0</v>
      </c>
      <c r="G3312" s="76"/>
      <c r="H3312" s="76"/>
      <c r="I3312" s="73" t="s">
        <v>366</v>
      </c>
      <c r="J3312" s="76"/>
    </row>
    <row r="3313">
      <c r="A3313" s="74">
        <v>3303.0</v>
      </c>
      <c r="B3313" s="73" t="s">
        <v>3580</v>
      </c>
      <c r="C3313" s="74">
        <v>1.76354451E8</v>
      </c>
      <c r="D3313" s="73" t="s">
        <v>3788</v>
      </c>
      <c r="E3313" s="72">
        <v>2.0203040025595E13</v>
      </c>
      <c r="F3313" s="77">
        <v>44166.0</v>
      </c>
      <c r="G3313" s="76"/>
      <c r="H3313" s="76"/>
      <c r="I3313" s="73" t="s">
        <v>366</v>
      </c>
      <c r="J3313" s="76"/>
    </row>
    <row r="3314">
      <c r="A3314" s="74">
        <v>3304.0</v>
      </c>
      <c r="B3314" s="73" t="s">
        <v>3580</v>
      </c>
      <c r="C3314" s="74">
        <v>9.0113072E8</v>
      </c>
      <c r="D3314" s="73" t="s">
        <v>3789</v>
      </c>
      <c r="E3314" s="72">
        <v>2.0203040026965E13</v>
      </c>
      <c r="F3314" s="77">
        <v>44169.0</v>
      </c>
      <c r="G3314" s="76"/>
      <c r="H3314" s="76"/>
      <c r="I3314" s="73" t="s">
        <v>366</v>
      </c>
      <c r="J3314" s="76"/>
    </row>
    <row r="3315">
      <c r="A3315" s="74">
        <v>3305.0</v>
      </c>
      <c r="B3315" s="73" t="s">
        <v>3580</v>
      </c>
      <c r="C3315" s="74">
        <v>9.01253965E8</v>
      </c>
      <c r="D3315" s="73" t="s">
        <v>3790</v>
      </c>
      <c r="E3315" s="72">
        <v>2.0203040028535E13</v>
      </c>
      <c r="F3315" s="77">
        <v>44176.0</v>
      </c>
      <c r="G3315" s="72">
        <v>2.0203E13</v>
      </c>
      <c r="H3315" s="75">
        <v>44056.0</v>
      </c>
      <c r="I3315" s="73" t="s">
        <v>366</v>
      </c>
      <c r="J3315" s="76"/>
    </row>
    <row r="3316">
      <c r="A3316" s="74">
        <v>3306.0</v>
      </c>
      <c r="B3316" s="73" t="s">
        <v>3580</v>
      </c>
      <c r="C3316" s="74">
        <v>9.00463663E8</v>
      </c>
      <c r="D3316" s="73" t="s">
        <v>3791</v>
      </c>
      <c r="E3316" s="72">
        <v>2.0203040028545E13</v>
      </c>
      <c r="F3316" s="77">
        <v>44186.0</v>
      </c>
      <c r="G3316" s="76"/>
      <c r="H3316" s="76"/>
      <c r="I3316" s="73" t="s">
        <v>366</v>
      </c>
      <c r="J3316" s="76"/>
    </row>
    <row r="3317">
      <c r="A3317" s="74">
        <v>3307.0</v>
      </c>
      <c r="B3317" s="73" t="s">
        <v>3580</v>
      </c>
      <c r="C3317" s="74">
        <v>9.01361891E8</v>
      </c>
      <c r="D3317" s="73" t="s">
        <v>3792</v>
      </c>
      <c r="E3317" s="72">
        <v>2.0203040034145E13</v>
      </c>
      <c r="F3317" s="77">
        <v>44194.0</v>
      </c>
      <c r="G3317" s="76"/>
      <c r="H3317" s="76"/>
      <c r="I3317" s="73" t="s">
        <v>366</v>
      </c>
      <c r="J3317" s="76"/>
    </row>
    <row r="3318">
      <c r="A3318" s="74">
        <v>3308.0</v>
      </c>
      <c r="B3318" s="73" t="s">
        <v>3580</v>
      </c>
      <c r="C3318" s="74">
        <v>9.01433939E8</v>
      </c>
      <c r="D3318" s="73" t="s">
        <v>3793</v>
      </c>
      <c r="E3318" s="72">
        <v>2.0213040000175E13</v>
      </c>
      <c r="F3318" s="75">
        <v>44200.0</v>
      </c>
      <c r="G3318" s="76"/>
      <c r="H3318" s="76"/>
      <c r="I3318" s="73" t="s">
        <v>366</v>
      </c>
      <c r="J3318" s="76"/>
    </row>
    <row r="3319">
      <c r="A3319" s="74">
        <v>3309.0</v>
      </c>
      <c r="B3319" s="73" t="s">
        <v>3580</v>
      </c>
      <c r="C3319" s="74">
        <v>9.00249101E8</v>
      </c>
      <c r="D3319" s="73" t="s">
        <v>3794</v>
      </c>
      <c r="E3319" s="72">
        <v>2.0213040001965E13</v>
      </c>
      <c r="F3319" s="75">
        <v>44216.0</v>
      </c>
      <c r="G3319" s="76"/>
      <c r="H3319" s="76"/>
      <c r="I3319" s="73" t="s">
        <v>366</v>
      </c>
      <c r="J3319" s="76"/>
    </row>
    <row r="3320">
      <c r="A3320" s="74">
        <v>3310.0</v>
      </c>
      <c r="B3320" s="73" t="s">
        <v>3580</v>
      </c>
      <c r="C3320" s="74">
        <v>9.01377453E8</v>
      </c>
      <c r="D3320" s="73" t="s">
        <v>3795</v>
      </c>
      <c r="E3320" s="72">
        <v>2.0213040003345E13</v>
      </c>
      <c r="F3320" s="75">
        <v>44224.0</v>
      </c>
      <c r="G3320" s="76"/>
      <c r="H3320" s="76"/>
      <c r="I3320" s="73" t="s">
        <v>366</v>
      </c>
      <c r="J3320" s="76"/>
    </row>
    <row r="3321">
      <c r="A3321" s="74">
        <v>3311.0</v>
      </c>
      <c r="B3321" s="73" t="s">
        <v>3580</v>
      </c>
      <c r="C3321" s="74">
        <v>9.00919743E8</v>
      </c>
      <c r="D3321" s="73" t="s">
        <v>3796</v>
      </c>
      <c r="E3321" s="72">
        <v>2.0213040006045E13</v>
      </c>
      <c r="F3321" s="75">
        <v>44243.0</v>
      </c>
      <c r="G3321" s="76"/>
      <c r="H3321" s="76"/>
      <c r="I3321" s="73" t="s">
        <v>366</v>
      </c>
      <c r="J3321" s="76"/>
    </row>
    <row r="3322">
      <c r="A3322" s="85">
        <v>3312.0</v>
      </c>
      <c r="B3322" s="79" t="s">
        <v>3580</v>
      </c>
      <c r="C3322" s="80">
        <v>9.01435813E8</v>
      </c>
      <c r="D3322" s="79" t="s">
        <v>3797</v>
      </c>
      <c r="E3322" s="81">
        <v>2.0213040076595E13</v>
      </c>
      <c r="F3322" s="84">
        <v>44252.0</v>
      </c>
      <c r="G3322" s="83"/>
      <c r="H3322" s="83"/>
      <c r="I3322" s="73" t="s">
        <v>366</v>
      </c>
      <c r="J3322" s="76"/>
    </row>
    <row r="3323">
      <c r="A3323" s="74">
        <v>3313.0</v>
      </c>
      <c r="B3323" s="73" t="s">
        <v>3580</v>
      </c>
      <c r="C3323" s="74">
        <v>9.00464554E8</v>
      </c>
      <c r="D3323" s="73" t="s">
        <v>1079</v>
      </c>
      <c r="E3323" s="72">
        <v>2.0213040009515E13</v>
      </c>
      <c r="F3323" s="75">
        <v>44263.0</v>
      </c>
      <c r="G3323" s="76"/>
      <c r="H3323" s="76"/>
      <c r="I3323" s="73" t="s">
        <v>366</v>
      </c>
      <c r="J3323" s="76"/>
    </row>
    <row r="3324">
      <c r="A3324" s="74">
        <v>3314.0</v>
      </c>
      <c r="B3324" s="73" t="s">
        <v>3580</v>
      </c>
      <c r="C3324" s="74">
        <v>9.01358073E8</v>
      </c>
      <c r="D3324" s="73" t="s">
        <v>3798</v>
      </c>
      <c r="E3324" s="72">
        <v>2.0213040009665E13</v>
      </c>
      <c r="F3324" s="75">
        <v>44264.0</v>
      </c>
      <c r="G3324" s="76"/>
      <c r="H3324" s="76"/>
      <c r="I3324" s="73" t="s">
        <v>366</v>
      </c>
      <c r="J3324" s="76"/>
    </row>
    <row r="3325">
      <c r="A3325" s="74">
        <v>3315.0</v>
      </c>
      <c r="B3325" s="73" t="s">
        <v>3580</v>
      </c>
      <c r="C3325" s="74">
        <v>9.01352382E8</v>
      </c>
      <c r="D3325" s="73" t="s">
        <v>3799</v>
      </c>
      <c r="E3325" s="72">
        <v>2.0213040010595E13</v>
      </c>
      <c r="F3325" s="75">
        <v>44266.0</v>
      </c>
      <c r="G3325" s="76"/>
      <c r="H3325" s="76"/>
      <c r="I3325" s="73" t="s">
        <v>366</v>
      </c>
      <c r="J3325" s="76"/>
    </row>
    <row r="3326">
      <c r="A3326" s="74">
        <v>3316.0</v>
      </c>
      <c r="B3326" s="73" t="s">
        <v>3580</v>
      </c>
      <c r="C3326" s="74">
        <v>9.01473978E8</v>
      </c>
      <c r="D3326" s="73" t="s">
        <v>3800</v>
      </c>
      <c r="E3326" s="72">
        <v>2.0212470020545E13</v>
      </c>
      <c r="F3326" s="75">
        <v>44334.0</v>
      </c>
      <c r="G3326" s="76"/>
      <c r="H3326" s="76"/>
      <c r="I3326" s="73" t="s">
        <v>366</v>
      </c>
      <c r="J3326" s="76"/>
    </row>
    <row r="3327">
      <c r="A3327" s="74">
        <v>3317.0</v>
      </c>
      <c r="B3327" s="73" t="s">
        <v>3580</v>
      </c>
      <c r="C3327" s="74">
        <v>9.01467061E8</v>
      </c>
      <c r="D3327" s="73" t="s">
        <v>3801</v>
      </c>
      <c r="E3327" s="72">
        <v>2.0212470021335E13</v>
      </c>
      <c r="F3327" s="75">
        <v>44340.0</v>
      </c>
      <c r="G3327" s="72">
        <v>2.0253040009415E13</v>
      </c>
      <c r="H3327" s="75">
        <v>45735.0</v>
      </c>
      <c r="I3327" s="73" t="s">
        <v>366</v>
      </c>
      <c r="J3327" s="73" t="s">
        <v>3802</v>
      </c>
    </row>
    <row r="3328">
      <c r="A3328" s="74">
        <v>3318.0</v>
      </c>
      <c r="B3328" s="73" t="s">
        <v>3580</v>
      </c>
      <c r="C3328" s="74">
        <v>9.01426974E8</v>
      </c>
      <c r="D3328" s="73" t="s">
        <v>3803</v>
      </c>
      <c r="E3328" s="72">
        <v>2.0213040022485E13</v>
      </c>
      <c r="F3328" s="75">
        <v>44348.0</v>
      </c>
      <c r="G3328" s="76"/>
      <c r="H3328" s="76"/>
      <c r="I3328" s="73" t="s">
        <v>366</v>
      </c>
      <c r="J3328" s="76"/>
    </row>
    <row r="3329">
      <c r="A3329" s="74">
        <v>3319.0</v>
      </c>
      <c r="B3329" s="73" t="s">
        <v>3580</v>
      </c>
      <c r="C3329" s="74">
        <v>9.01473716E8</v>
      </c>
      <c r="D3329" s="73" t="s">
        <v>3804</v>
      </c>
      <c r="E3329" s="72">
        <v>2.0213040024765E13</v>
      </c>
      <c r="F3329" s="75">
        <v>44362.0</v>
      </c>
      <c r="G3329" s="76"/>
      <c r="H3329" s="76"/>
      <c r="I3329" s="73" t="s">
        <v>366</v>
      </c>
      <c r="J3329" s="76"/>
    </row>
    <row r="3330">
      <c r="A3330" s="74">
        <v>3320.0</v>
      </c>
      <c r="B3330" s="73" t="s">
        <v>3580</v>
      </c>
      <c r="C3330" s="74">
        <v>9.00552846E8</v>
      </c>
      <c r="D3330" s="73" t="s">
        <v>3805</v>
      </c>
      <c r="E3330" s="72">
        <v>2.0213040034765E13</v>
      </c>
      <c r="F3330" s="75">
        <v>44418.0</v>
      </c>
      <c r="G3330" s="76"/>
      <c r="H3330" s="76"/>
      <c r="I3330" s="73" t="s">
        <v>366</v>
      </c>
      <c r="J3330" s="76"/>
    </row>
    <row r="3331">
      <c r="A3331" s="74">
        <v>3321.0</v>
      </c>
      <c r="B3331" s="73" t="s">
        <v>3580</v>
      </c>
      <c r="C3331" s="74">
        <v>9.01088607E8</v>
      </c>
      <c r="D3331" s="73" t="s">
        <v>3806</v>
      </c>
      <c r="E3331" s="72">
        <v>2.0213040034775E13</v>
      </c>
      <c r="F3331" s="75">
        <v>44418.0</v>
      </c>
      <c r="G3331" s="76"/>
      <c r="H3331" s="76"/>
      <c r="I3331" s="73" t="s">
        <v>366</v>
      </c>
      <c r="J3331" s="76"/>
    </row>
    <row r="3332">
      <c r="A3332" s="74">
        <v>3322.0</v>
      </c>
      <c r="B3332" s="73" t="s">
        <v>3580</v>
      </c>
      <c r="C3332" s="74">
        <v>8.22005127E8</v>
      </c>
      <c r="D3332" s="73" t="s">
        <v>3807</v>
      </c>
      <c r="E3332" s="72">
        <v>2.0213040039905E13</v>
      </c>
      <c r="F3332" s="75">
        <v>44447.0</v>
      </c>
      <c r="G3332" s="76"/>
      <c r="H3332" s="76"/>
      <c r="I3332" s="73" t="s">
        <v>366</v>
      </c>
      <c r="J3332" s="76"/>
    </row>
    <row r="3333">
      <c r="A3333" s="74">
        <v>3323.0</v>
      </c>
      <c r="B3333" s="73" t="s">
        <v>3580</v>
      </c>
      <c r="C3333" s="74">
        <v>8.30007737E8</v>
      </c>
      <c r="D3333" s="73" t="s">
        <v>3808</v>
      </c>
      <c r="E3333" s="72">
        <v>2.0213040042625E13</v>
      </c>
      <c r="F3333" s="77">
        <v>44470.0</v>
      </c>
      <c r="G3333" s="76"/>
      <c r="H3333" s="76"/>
      <c r="I3333" s="73" t="s">
        <v>366</v>
      </c>
      <c r="J3333" s="76"/>
    </row>
    <row r="3334">
      <c r="A3334" s="74">
        <v>3324.0</v>
      </c>
      <c r="B3334" s="73" t="s">
        <v>3580</v>
      </c>
      <c r="C3334" s="74">
        <v>9.00548653E8</v>
      </c>
      <c r="D3334" s="73" t="s">
        <v>3809</v>
      </c>
      <c r="E3334" s="72">
        <v>2.0215500046125E13</v>
      </c>
      <c r="F3334" s="77">
        <v>44474.0</v>
      </c>
      <c r="G3334" s="76"/>
      <c r="H3334" s="76"/>
      <c r="I3334" s="73" t="s">
        <v>366</v>
      </c>
      <c r="J3334" s="76"/>
    </row>
    <row r="3335">
      <c r="A3335" s="74">
        <v>3325.0</v>
      </c>
      <c r="B3335" s="73" t="s">
        <v>3580</v>
      </c>
      <c r="C3335" s="74">
        <v>9.01471487E8</v>
      </c>
      <c r="D3335" s="73" t="s">
        <v>3810</v>
      </c>
      <c r="E3335" s="72">
        <v>2.0215500050475E13</v>
      </c>
      <c r="F3335" s="77">
        <v>44494.0</v>
      </c>
      <c r="G3335" s="76"/>
      <c r="H3335" s="76"/>
      <c r="I3335" s="73" t="s">
        <v>366</v>
      </c>
      <c r="J3335" s="76"/>
    </row>
    <row r="3336">
      <c r="A3336" s="74">
        <v>3326.0</v>
      </c>
      <c r="B3336" s="73" t="s">
        <v>3580</v>
      </c>
      <c r="C3336" s="74">
        <v>9.00416116E8</v>
      </c>
      <c r="D3336" s="73" t="s">
        <v>3811</v>
      </c>
      <c r="E3336" s="72">
        <v>2.0215500056305E13</v>
      </c>
      <c r="F3336" s="77">
        <v>44524.0</v>
      </c>
      <c r="G3336" s="76"/>
      <c r="H3336" s="76"/>
      <c r="I3336" s="73" t="s">
        <v>366</v>
      </c>
      <c r="J3336" s="76"/>
    </row>
    <row r="3337">
      <c r="A3337" s="74">
        <v>3327.0</v>
      </c>
      <c r="B3337" s="73" t="s">
        <v>3580</v>
      </c>
      <c r="C3337" s="74">
        <v>9.00374364E8</v>
      </c>
      <c r="D3337" s="73" t="s">
        <v>3812</v>
      </c>
      <c r="E3337" s="72">
        <v>2.0215500057335E13</v>
      </c>
      <c r="F3337" s="77">
        <v>44530.0</v>
      </c>
      <c r="G3337" s="76"/>
      <c r="H3337" s="76"/>
      <c r="I3337" s="73" t="s">
        <v>366</v>
      </c>
      <c r="J3337" s="76"/>
    </row>
    <row r="3338">
      <c r="A3338" s="74">
        <v>3328.0</v>
      </c>
      <c r="B3338" s="73" t="s">
        <v>3580</v>
      </c>
      <c r="C3338" s="74">
        <v>9.01408698E8</v>
      </c>
      <c r="D3338" s="73" t="s">
        <v>3813</v>
      </c>
      <c r="E3338" s="72">
        <v>2.0225500032185E13</v>
      </c>
      <c r="F3338" s="75">
        <v>44719.0</v>
      </c>
      <c r="G3338" s="76"/>
      <c r="H3338" s="76"/>
      <c r="I3338" s="73" t="s">
        <v>366</v>
      </c>
      <c r="J3338" s="76"/>
    </row>
    <row r="3339">
      <c r="A3339" s="74">
        <v>3329.0</v>
      </c>
      <c r="B3339" s="73" t="s">
        <v>3580</v>
      </c>
      <c r="C3339" s="74">
        <v>9.01514628E8</v>
      </c>
      <c r="D3339" s="73" t="s">
        <v>3814</v>
      </c>
      <c r="E3339" s="72">
        <v>2.0222080048415E13</v>
      </c>
      <c r="F3339" s="75">
        <v>44791.0</v>
      </c>
      <c r="G3339" s="72">
        <v>2.0245500007435E13</v>
      </c>
      <c r="H3339" s="75">
        <v>45344.0</v>
      </c>
      <c r="I3339" s="73" t="s">
        <v>366</v>
      </c>
      <c r="J3339" s="76"/>
    </row>
    <row r="3340">
      <c r="A3340" s="74">
        <v>3330.0</v>
      </c>
      <c r="B3340" s="73" t="s">
        <v>3580</v>
      </c>
      <c r="C3340" s="74">
        <v>9.01613353E8</v>
      </c>
      <c r="D3340" s="73" t="s">
        <v>3815</v>
      </c>
      <c r="E3340" s="72">
        <v>2.0224250050165E13</v>
      </c>
      <c r="F3340" s="75">
        <v>44796.0</v>
      </c>
      <c r="G3340" s="72">
        <v>2.0245500054315E13</v>
      </c>
      <c r="H3340" s="77">
        <v>45603.0</v>
      </c>
      <c r="I3340" s="73" t="s">
        <v>366</v>
      </c>
      <c r="J3340" s="76"/>
    </row>
    <row r="3341">
      <c r="A3341" s="74">
        <v>3331.0</v>
      </c>
      <c r="B3341" s="73" t="s">
        <v>3580</v>
      </c>
      <c r="C3341" s="74">
        <v>1.12186654E8</v>
      </c>
      <c r="D3341" s="73" t="s">
        <v>3816</v>
      </c>
      <c r="E3341" s="72">
        <v>2.0225500069305E13</v>
      </c>
      <c r="F3341" s="77">
        <v>44883.0</v>
      </c>
      <c r="G3341" s="76"/>
      <c r="H3341" s="76"/>
      <c r="I3341" s="73" t="s">
        <v>366</v>
      </c>
      <c r="J3341" s="76"/>
    </row>
    <row r="3342">
      <c r="A3342" s="74">
        <v>3332.0</v>
      </c>
      <c r="B3342" s="73" t="s">
        <v>3580</v>
      </c>
      <c r="C3342" s="74">
        <v>9.01476848E8</v>
      </c>
      <c r="D3342" s="73" t="s">
        <v>3817</v>
      </c>
      <c r="E3342" s="72">
        <v>2.0225500073215E13</v>
      </c>
      <c r="F3342" s="77">
        <v>44897.0</v>
      </c>
      <c r="G3342" s="76"/>
      <c r="H3342" s="76"/>
      <c r="I3342" s="73" t="s">
        <v>366</v>
      </c>
      <c r="J3342" s="76"/>
    </row>
    <row r="3343">
      <c r="A3343" s="74">
        <v>3333.0</v>
      </c>
      <c r="B3343" s="73" t="s">
        <v>3580</v>
      </c>
      <c r="C3343" s="74">
        <v>9.00327307E8</v>
      </c>
      <c r="D3343" s="73" t="s">
        <v>3818</v>
      </c>
      <c r="E3343" s="72">
        <v>54.0</v>
      </c>
      <c r="F3343" s="77">
        <v>44906.0</v>
      </c>
      <c r="G3343" s="72">
        <v>2.0245500015435E13</v>
      </c>
      <c r="H3343" s="75">
        <v>45394.0</v>
      </c>
      <c r="I3343" s="73" t="s">
        <v>366</v>
      </c>
      <c r="J3343" s="76"/>
    </row>
    <row r="3344">
      <c r="A3344" s="74">
        <v>3334.0</v>
      </c>
      <c r="B3344" s="73" t="s">
        <v>3580</v>
      </c>
      <c r="C3344" s="74">
        <v>9.0108771E8</v>
      </c>
      <c r="D3344" s="73" t="s">
        <v>3819</v>
      </c>
      <c r="E3344" s="72">
        <v>2.0235500000935E13</v>
      </c>
      <c r="F3344" s="75">
        <v>44939.0</v>
      </c>
      <c r="G3344" s="76"/>
      <c r="H3344" s="76"/>
      <c r="I3344" s="73" t="s">
        <v>366</v>
      </c>
      <c r="J3344" s="76"/>
    </row>
    <row r="3345">
      <c r="A3345" s="74">
        <v>3335.0</v>
      </c>
      <c r="B3345" s="73" t="s">
        <v>3580</v>
      </c>
      <c r="C3345" s="74">
        <v>9.01145475E8</v>
      </c>
      <c r="D3345" s="73" t="s">
        <v>3820</v>
      </c>
      <c r="E3345" s="72">
        <v>2.0235500000965E13</v>
      </c>
      <c r="F3345" s="75">
        <v>44939.0</v>
      </c>
      <c r="G3345" s="76"/>
      <c r="H3345" s="76"/>
      <c r="I3345" s="73" t="s">
        <v>366</v>
      </c>
      <c r="J3345" s="76"/>
    </row>
    <row r="3346">
      <c r="A3346" s="74">
        <v>3336.0</v>
      </c>
      <c r="B3346" s="73" t="s">
        <v>3580</v>
      </c>
      <c r="C3346" s="74">
        <v>9.0155022E8</v>
      </c>
      <c r="D3346" s="73" t="s">
        <v>3821</v>
      </c>
      <c r="E3346" s="72">
        <v>2.02130001655E11</v>
      </c>
      <c r="F3346" s="75">
        <v>44944.0</v>
      </c>
      <c r="G3346" s="76"/>
      <c r="H3346" s="76"/>
      <c r="I3346" s="73" t="s">
        <v>366</v>
      </c>
      <c r="J3346" s="76"/>
    </row>
    <row r="3347">
      <c r="A3347" s="74">
        <v>3337.0</v>
      </c>
      <c r="B3347" s="73" t="s">
        <v>3580</v>
      </c>
      <c r="C3347" s="74">
        <v>9.00562598E8</v>
      </c>
      <c r="D3347" s="73" t="s">
        <v>3822</v>
      </c>
      <c r="E3347" s="72">
        <v>2.0235500004245E13</v>
      </c>
      <c r="F3347" s="75">
        <v>44963.0</v>
      </c>
      <c r="G3347" s="76"/>
      <c r="H3347" s="76"/>
      <c r="I3347" s="73" t="s">
        <v>366</v>
      </c>
      <c r="J3347" s="76"/>
    </row>
    <row r="3348">
      <c r="A3348" s="74">
        <v>3338.0</v>
      </c>
      <c r="B3348" s="73" t="s">
        <v>3580</v>
      </c>
      <c r="C3348" s="74">
        <v>9.01084957E8</v>
      </c>
      <c r="D3348" s="73" t="s">
        <v>3823</v>
      </c>
      <c r="E3348" s="72">
        <v>2.0235500005605E13</v>
      </c>
      <c r="F3348" s="75">
        <v>44972.0</v>
      </c>
      <c r="G3348" s="76"/>
      <c r="H3348" s="76"/>
      <c r="I3348" s="73" t="s">
        <v>366</v>
      </c>
      <c r="J3348" s="76"/>
    </row>
    <row r="3349">
      <c r="A3349" s="74">
        <v>3339.0</v>
      </c>
      <c r="B3349" s="73" t="s">
        <v>3580</v>
      </c>
      <c r="C3349" s="74">
        <v>9.01642807E8</v>
      </c>
      <c r="D3349" s="73" t="s">
        <v>3824</v>
      </c>
      <c r="E3349" s="72">
        <v>2.0234410006425E13</v>
      </c>
      <c r="F3349" s="75">
        <v>44977.0</v>
      </c>
      <c r="G3349" s="72">
        <v>2.0253040009245E13</v>
      </c>
      <c r="H3349" s="75">
        <v>45733.0</v>
      </c>
      <c r="I3349" s="73" t="s">
        <v>366</v>
      </c>
      <c r="J3349" s="73" t="s">
        <v>3825</v>
      </c>
    </row>
    <row r="3350">
      <c r="A3350" s="74">
        <v>3340.0</v>
      </c>
      <c r="B3350" s="73" t="s">
        <v>3580</v>
      </c>
      <c r="C3350" s="74">
        <v>1.12182459E8</v>
      </c>
      <c r="D3350" s="73" t="s">
        <v>3826</v>
      </c>
      <c r="E3350" s="72">
        <v>2.0235500006445E13</v>
      </c>
      <c r="F3350" s="75">
        <v>44977.0</v>
      </c>
      <c r="G3350" s="76"/>
      <c r="H3350" s="76"/>
      <c r="I3350" s="73" t="s">
        <v>366</v>
      </c>
      <c r="J3350" s="76"/>
    </row>
    <row r="3351">
      <c r="A3351" s="74">
        <v>3341.0</v>
      </c>
      <c r="B3351" s="73" t="s">
        <v>3580</v>
      </c>
      <c r="C3351" s="74">
        <v>9.01671193E8</v>
      </c>
      <c r="D3351" s="73" t="s">
        <v>3827</v>
      </c>
      <c r="E3351" s="72">
        <v>2.0232470011485E13</v>
      </c>
      <c r="F3351" s="75">
        <v>45002.0</v>
      </c>
      <c r="G3351" s="72">
        <v>2.0245500007425E13</v>
      </c>
      <c r="H3351" s="75">
        <v>45344.0</v>
      </c>
      <c r="I3351" s="73" t="s">
        <v>366</v>
      </c>
      <c r="J3351" s="76"/>
    </row>
    <row r="3352">
      <c r="A3352" s="74">
        <v>3342.0</v>
      </c>
      <c r="B3352" s="73" t="s">
        <v>3580</v>
      </c>
      <c r="C3352" s="74">
        <v>9.01671193E8</v>
      </c>
      <c r="D3352" s="73" t="s">
        <v>3828</v>
      </c>
      <c r="E3352" s="72">
        <v>2.0232470011485E13</v>
      </c>
      <c r="F3352" s="75">
        <v>45002.0</v>
      </c>
      <c r="G3352" s="72">
        <v>2.0245500022965E13</v>
      </c>
      <c r="H3352" s="75">
        <v>45527.0</v>
      </c>
      <c r="I3352" s="73" t="s">
        <v>366</v>
      </c>
      <c r="J3352" s="76"/>
    </row>
    <row r="3353">
      <c r="A3353" s="74">
        <v>3343.0</v>
      </c>
      <c r="B3353" s="73" t="s">
        <v>3580</v>
      </c>
      <c r="C3353" s="74">
        <v>9.01567198E8</v>
      </c>
      <c r="D3353" s="73" t="s">
        <v>3829</v>
      </c>
      <c r="E3353" s="72">
        <v>2.0235500013285E13</v>
      </c>
      <c r="F3353" s="75">
        <v>45014.0</v>
      </c>
      <c r="G3353" s="76"/>
      <c r="H3353" s="76"/>
      <c r="I3353" s="73" t="s">
        <v>366</v>
      </c>
      <c r="J3353" s="76"/>
    </row>
    <row r="3354">
      <c r="A3354" s="74">
        <v>3344.0</v>
      </c>
      <c r="B3354" s="73" t="s">
        <v>3580</v>
      </c>
      <c r="C3354" s="74">
        <v>9.01624432E8</v>
      </c>
      <c r="D3354" s="73" t="s">
        <v>3830</v>
      </c>
      <c r="E3354" s="72">
        <v>2.0235500013485E13</v>
      </c>
      <c r="F3354" s="75">
        <v>45015.0</v>
      </c>
      <c r="G3354" s="76"/>
      <c r="H3354" s="76"/>
      <c r="I3354" s="73" t="s">
        <v>366</v>
      </c>
      <c r="J3354" s="76"/>
    </row>
    <row r="3355">
      <c r="A3355" s="74">
        <v>3345.0</v>
      </c>
      <c r="B3355" s="73" t="s">
        <v>3580</v>
      </c>
      <c r="C3355" s="74">
        <v>9.01669882E8</v>
      </c>
      <c r="D3355" s="73" t="s">
        <v>3831</v>
      </c>
      <c r="E3355" s="72">
        <v>2.0232200016295E13</v>
      </c>
      <c r="F3355" s="75">
        <v>45041.0</v>
      </c>
      <c r="G3355" s="72">
        <v>2.0245500002235E13</v>
      </c>
      <c r="H3355" s="75">
        <v>45316.0</v>
      </c>
      <c r="I3355" s="73" t="s">
        <v>366</v>
      </c>
      <c r="J3355" s="76"/>
    </row>
    <row r="3356">
      <c r="A3356" s="74">
        <v>3346.0</v>
      </c>
      <c r="B3356" s="73" t="s">
        <v>3580</v>
      </c>
      <c r="C3356" s="74">
        <v>9.01700396E8</v>
      </c>
      <c r="D3356" s="73" t="s">
        <v>3832</v>
      </c>
      <c r="E3356" s="72">
        <v>2.0232200017635E13</v>
      </c>
      <c r="F3356" s="75">
        <v>45050.0</v>
      </c>
      <c r="G3356" s="72">
        <v>2.0245500002205E13</v>
      </c>
      <c r="H3356" s="75">
        <v>45315.0</v>
      </c>
      <c r="I3356" s="73" t="s">
        <v>366</v>
      </c>
      <c r="J3356" s="76"/>
    </row>
    <row r="3357">
      <c r="A3357" s="74">
        <v>3347.0</v>
      </c>
      <c r="B3357" s="73" t="s">
        <v>3580</v>
      </c>
      <c r="C3357" s="74">
        <v>9.00634111E8</v>
      </c>
      <c r="D3357" s="73" t="s">
        <v>3833</v>
      </c>
      <c r="E3357" s="72">
        <v>2.0235500037755E13</v>
      </c>
      <c r="F3357" s="75">
        <v>45173.0</v>
      </c>
      <c r="G3357" s="76"/>
      <c r="H3357" s="76"/>
      <c r="I3357" s="73" t="s">
        <v>366</v>
      </c>
      <c r="J3357" s="76"/>
    </row>
    <row r="3358">
      <c r="A3358" s="74">
        <v>3348.0</v>
      </c>
      <c r="B3358" s="73" t="s">
        <v>3580</v>
      </c>
      <c r="C3358" s="74">
        <v>9.01378769E8</v>
      </c>
      <c r="D3358" s="73" t="s">
        <v>3834</v>
      </c>
      <c r="E3358" s="72">
        <v>2.0235500040505E13</v>
      </c>
      <c r="F3358" s="75">
        <v>45189.0</v>
      </c>
      <c r="G3358" s="76"/>
      <c r="H3358" s="76"/>
      <c r="I3358" s="73" t="s">
        <v>366</v>
      </c>
      <c r="J3358" s="76"/>
    </row>
    <row r="3359">
      <c r="A3359" s="74">
        <v>3349.0</v>
      </c>
      <c r="B3359" s="73" t="s">
        <v>3580</v>
      </c>
      <c r="C3359" s="74">
        <v>8.22003375E8</v>
      </c>
      <c r="D3359" s="73" t="s">
        <v>3835</v>
      </c>
      <c r="E3359" s="72">
        <v>2.0233550041705E13</v>
      </c>
      <c r="F3359" s="75">
        <v>45195.0</v>
      </c>
      <c r="G3359" s="76"/>
      <c r="H3359" s="76"/>
      <c r="I3359" s="73" t="s">
        <v>366</v>
      </c>
      <c r="J3359" s="76"/>
    </row>
    <row r="3360">
      <c r="A3360" s="74">
        <v>3350.0</v>
      </c>
      <c r="B3360" s="73" t="s">
        <v>3580</v>
      </c>
      <c r="C3360" s="74">
        <v>9.01691703E8</v>
      </c>
      <c r="D3360" s="73" t="s">
        <v>3836</v>
      </c>
      <c r="E3360" s="72">
        <v>2.0235500044245E13</v>
      </c>
      <c r="F3360" s="77">
        <v>45211.0</v>
      </c>
      <c r="G3360" s="76"/>
      <c r="H3360" s="76"/>
      <c r="I3360" s="73" t="s">
        <v>366</v>
      </c>
      <c r="J3360" s="76"/>
    </row>
    <row r="3361">
      <c r="A3361" s="74">
        <v>3351.0</v>
      </c>
      <c r="B3361" s="73" t="s">
        <v>3580</v>
      </c>
      <c r="C3361" s="74">
        <v>9.01604939E8</v>
      </c>
      <c r="D3361" s="73" t="s">
        <v>3837</v>
      </c>
      <c r="E3361" s="72">
        <v>2.0235500045365E13</v>
      </c>
      <c r="F3361" s="77">
        <v>45219.0</v>
      </c>
      <c r="G3361" s="76"/>
      <c r="H3361" s="76"/>
      <c r="I3361" s="73" t="s">
        <v>366</v>
      </c>
      <c r="J3361" s="76"/>
    </row>
    <row r="3362">
      <c r="A3362" s="74">
        <v>3352.0</v>
      </c>
      <c r="B3362" s="73" t="s">
        <v>3580</v>
      </c>
      <c r="C3362" s="74">
        <v>8.00177854E8</v>
      </c>
      <c r="D3362" s="73" t="s">
        <v>3838</v>
      </c>
      <c r="E3362" s="72">
        <v>2.0235500049065E13</v>
      </c>
      <c r="F3362" s="77">
        <v>45244.0</v>
      </c>
      <c r="G3362" s="76"/>
      <c r="H3362" s="76"/>
      <c r="I3362" s="73" t="s">
        <v>366</v>
      </c>
      <c r="J3362" s="76"/>
    </row>
    <row r="3363">
      <c r="A3363" s="74">
        <v>3353.0</v>
      </c>
      <c r="B3363" s="73" t="s">
        <v>3580</v>
      </c>
      <c r="C3363" s="74">
        <v>9.01457406E8</v>
      </c>
      <c r="D3363" s="73" t="s">
        <v>3839</v>
      </c>
      <c r="E3363" s="72">
        <v>2.0233050049075E13</v>
      </c>
      <c r="F3363" s="77">
        <v>45244.0</v>
      </c>
      <c r="G3363" s="72">
        <v>2.0243040005975E13</v>
      </c>
      <c r="H3363" s="75">
        <v>45338.0</v>
      </c>
      <c r="I3363" s="73" t="s">
        <v>366</v>
      </c>
      <c r="J3363" s="76"/>
    </row>
    <row r="3364">
      <c r="A3364" s="74">
        <v>3354.0</v>
      </c>
      <c r="B3364" s="73" t="s">
        <v>3580</v>
      </c>
      <c r="C3364" s="74">
        <v>9.01641718E8</v>
      </c>
      <c r="D3364" s="73" t="s">
        <v>3840</v>
      </c>
      <c r="E3364" s="72">
        <v>2.0234410001855E13</v>
      </c>
      <c r="F3364" s="77">
        <v>45280.0</v>
      </c>
      <c r="G3364" s="72">
        <v>2.0245500020515E13</v>
      </c>
      <c r="H3364" s="75">
        <v>45421.0</v>
      </c>
      <c r="I3364" s="73" t="s">
        <v>366</v>
      </c>
      <c r="J3364" s="76"/>
    </row>
    <row r="3365">
      <c r="A3365" s="74">
        <v>3355.0</v>
      </c>
      <c r="B3365" s="73" t="s">
        <v>3580</v>
      </c>
      <c r="C3365" s="74">
        <v>9.00876056E8</v>
      </c>
      <c r="D3365" s="73" t="s">
        <v>3841</v>
      </c>
      <c r="E3365" s="72">
        <v>2.0235500057085E13</v>
      </c>
      <c r="F3365" s="77">
        <v>45281.0</v>
      </c>
      <c r="G3365" s="76"/>
      <c r="H3365" s="76"/>
      <c r="I3365" s="73" t="s">
        <v>366</v>
      </c>
      <c r="J3365" s="76"/>
    </row>
    <row r="3366">
      <c r="A3366" s="74">
        <v>3356.0</v>
      </c>
      <c r="B3366" s="73" t="s">
        <v>3580</v>
      </c>
      <c r="C3366" s="74">
        <v>9.00832083E8</v>
      </c>
      <c r="D3366" s="73" t="s">
        <v>3842</v>
      </c>
      <c r="E3366" s="72">
        <v>2.0245500025535E13</v>
      </c>
      <c r="F3366" s="75">
        <v>45449.0</v>
      </c>
      <c r="G3366" s="76"/>
      <c r="H3366" s="76"/>
      <c r="I3366" s="73" t="s">
        <v>366</v>
      </c>
      <c r="J3366" s="76"/>
    </row>
    <row r="3367">
      <c r="A3367" s="74">
        <v>3357.0</v>
      </c>
      <c r="B3367" s="73" t="s">
        <v>3580</v>
      </c>
      <c r="C3367" s="74">
        <v>9.01048372E8</v>
      </c>
      <c r="D3367" s="73" t="s">
        <v>3843</v>
      </c>
      <c r="E3367" s="72">
        <v>2.0245500036295E13</v>
      </c>
      <c r="F3367" s="75">
        <v>45506.0</v>
      </c>
      <c r="G3367" s="76"/>
      <c r="H3367" s="76"/>
      <c r="I3367" s="73" t="s">
        <v>366</v>
      </c>
      <c r="J3367" s="76"/>
    </row>
    <row r="3368">
      <c r="A3368" s="74">
        <v>3358.0</v>
      </c>
      <c r="B3368" s="73" t="s">
        <v>3580</v>
      </c>
      <c r="C3368" s="74">
        <v>9.01589293E8</v>
      </c>
      <c r="D3368" s="73" t="s">
        <v>3844</v>
      </c>
      <c r="E3368" s="72">
        <v>2.0245500048915E13</v>
      </c>
      <c r="F3368" s="77">
        <v>45574.0</v>
      </c>
      <c r="G3368" s="76"/>
      <c r="H3368" s="76"/>
      <c r="I3368" s="73" t="s">
        <v>366</v>
      </c>
      <c r="J3368" s="76"/>
    </row>
    <row r="3369">
      <c r="A3369" s="74">
        <v>3359.0</v>
      </c>
      <c r="B3369" s="73" t="s">
        <v>3580</v>
      </c>
      <c r="C3369" s="74">
        <v>9.01828158E8</v>
      </c>
      <c r="D3369" s="73" t="s">
        <v>3845</v>
      </c>
      <c r="E3369" s="72">
        <v>2.0245500048905E13</v>
      </c>
      <c r="F3369" s="77">
        <v>45574.0</v>
      </c>
      <c r="G3369" s="76"/>
      <c r="H3369" s="76"/>
      <c r="I3369" s="73" t="s">
        <v>366</v>
      </c>
      <c r="J3369" s="76"/>
    </row>
    <row r="3370">
      <c r="A3370" s="74">
        <v>3360.0</v>
      </c>
      <c r="B3370" s="73" t="s">
        <v>3580</v>
      </c>
      <c r="C3370" s="74">
        <v>9.01364114E8</v>
      </c>
      <c r="D3370" s="73" t="s">
        <v>3846</v>
      </c>
      <c r="E3370" s="72">
        <v>2.0245500050715E13</v>
      </c>
      <c r="F3370" s="77">
        <v>45583.0</v>
      </c>
      <c r="G3370" s="76"/>
      <c r="H3370" s="76"/>
      <c r="I3370" s="73" t="s">
        <v>366</v>
      </c>
      <c r="J3370" s="76"/>
    </row>
    <row r="3371">
      <c r="A3371" s="74">
        <v>3361.0</v>
      </c>
      <c r="B3371" s="73" t="s">
        <v>3580</v>
      </c>
      <c r="C3371" s="74">
        <v>9.00786344E8</v>
      </c>
      <c r="D3371" s="73" t="s">
        <v>3847</v>
      </c>
      <c r="E3371" s="72">
        <v>2.0245500051895E13</v>
      </c>
      <c r="F3371" s="77">
        <v>45588.0</v>
      </c>
      <c r="G3371" s="76"/>
      <c r="H3371" s="76"/>
      <c r="I3371" s="73" t="s">
        <v>366</v>
      </c>
      <c r="J3371" s="76"/>
    </row>
    <row r="3372">
      <c r="A3372" s="74">
        <v>3362.0</v>
      </c>
      <c r="B3372" s="73" t="s">
        <v>3580</v>
      </c>
      <c r="C3372" s="74">
        <v>9.0177199E8</v>
      </c>
      <c r="D3372" s="73" t="s">
        <v>3848</v>
      </c>
      <c r="E3372" s="72">
        <v>2.0245500063025E13</v>
      </c>
      <c r="F3372" s="77">
        <v>45646.0</v>
      </c>
      <c r="G3372" s="76"/>
      <c r="H3372" s="76"/>
      <c r="I3372" s="73" t="s">
        <v>366</v>
      </c>
      <c r="J3372" s="76"/>
    </row>
    <row r="3373">
      <c r="A3373" s="74">
        <v>3363.0</v>
      </c>
      <c r="B3373" s="73" t="s">
        <v>3580</v>
      </c>
      <c r="C3373" s="74">
        <v>9.01724718E8</v>
      </c>
      <c r="D3373" s="73" t="s">
        <v>3849</v>
      </c>
      <c r="E3373" s="72">
        <v>2.0253040009375E13</v>
      </c>
      <c r="F3373" s="75">
        <v>45735.0</v>
      </c>
      <c r="G3373" s="76"/>
      <c r="H3373" s="76"/>
      <c r="I3373" s="73" t="s">
        <v>366</v>
      </c>
      <c r="J3373" s="76"/>
    </row>
    <row r="3374">
      <c r="A3374" s="74">
        <v>3364.0</v>
      </c>
      <c r="B3374" s="73" t="s">
        <v>3580</v>
      </c>
      <c r="C3374" s="74">
        <v>8.30503352E8</v>
      </c>
      <c r="D3374" s="73" t="s">
        <v>3850</v>
      </c>
      <c r="E3374" s="72">
        <v>2.0253040009985E13</v>
      </c>
      <c r="F3374" s="75">
        <v>45737.0</v>
      </c>
      <c r="G3374" s="76"/>
      <c r="H3374" s="76"/>
      <c r="I3374" s="73" t="s">
        <v>366</v>
      </c>
      <c r="J3374" s="76"/>
    </row>
    <row r="3375">
      <c r="A3375" s="85">
        <v>3365.0</v>
      </c>
      <c r="B3375" s="79" t="s">
        <v>3580</v>
      </c>
      <c r="C3375" s="80">
        <v>9.01561445E8</v>
      </c>
      <c r="D3375" s="79" t="s">
        <v>3851</v>
      </c>
      <c r="E3375" s="81">
        <v>2.0253040013115E13</v>
      </c>
      <c r="F3375" s="84">
        <v>45755.0</v>
      </c>
      <c r="G3375" s="83"/>
      <c r="H3375" s="83"/>
      <c r="I3375" s="73" t="s">
        <v>366</v>
      </c>
      <c r="J3375" s="76"/>
    </row>
    <row r="3376">
      <c r="A3376" s="74">
        <v>3366.0</v>
      </c>
      <c r="B3376" s="73" t="s">
        <v>3580</v>
      </c>
      <c r="C3376" s="74">
        <v>9.01613268E8</v>
      </c>
      <c r="D3376" s="73" t="s">
        <v>3852</v>
      </c>
      <c r="E3376" s="72">
        <v>2.0253040016935E13</v>
      </c>
      <c r="F3376" s="75">
        <v>45784.0</v>
      </c>
      <c r="G3376" s="76"/>
      <c r="H3376" s="76"/>
      <c r="I3376" s="73" t="s">
        <v>366</v>
      </c>
      <c r="J3376" s="76"/>
    </row>
    <row r="3377">
      <c r="A3377" s="74">
        <v>3367.0</v>
      </c>
      <c r="B3377" s="73" t="s">
        <v>3580</v>
      </c>
      <c r="C3377" s="74">
        <v>9.01748902E8</v>
      </c>
      <c r="D3377" s="73" t="s">
        <v>3853</v>
      </c>
      <c r="E3377" s="72">
        <v>2.0253040022025E13</v>
      </c>
      <c r="F3377" s="75">
        <v>45817.0</v>
      </c>
      <c r="G3377" s="76"/>
      <c r="H3377" s="76"/>
      <c r="I3377" s="73" t="s">
        <v>366</v>
      </c>
      <c r="J3377" s="76"/>
    </row>
    <row r="3378">
      <c r="A3378" s="74">
        <v>3368.0</v>
      </c>
      <c r="B3378" s="73" t="s">
        <v>3580</v>
      </c>
      <c r="C3378" s="74">
        <v>9.01620148E8</v>
      </c>
      <c r="D3378" s="73" t="s">
        <v>3854</v>
      </c>
      <c r="E3378" s="72">
        <v>2.0253040023835E13</v>
      </c>
      <c r="F3378" s="75">
        <v>45825.0</v>
      </c>
      <c r="G3378" s="76"/>
      <c r="H3378" s="76"/>
      <c r="I3378" s="73" t="s">
        <v>366</v>
      </c>
      <c r="J3378" s="76"/>
    </row>
    <row r="3379">
      <c r="A3379" s="74">
        <v>3369.0</v>
      </c>
      <c r="B3379" s="73" t="s">
        <v>3580</v>
      </c>
      <c r="C3379" s="74">
        <v>9.00442548E8</v>
      </c>
      <c r="D3379" s="73" t="s">
        <v>3855</v>
      </c>
      <c r="E3379" s="72">
        <v>2.0253040028955E13</v>
      </c>
      <c r="F3379" s="75">
        <v>45861.0</v>
      </c>
      <c r="G3379" s="76"/>
      <c r="H3379" s="76"/>
      <c r="I3379" s="73" t="s">
        <v>366</v>
      </c>
      <c r="J3379" s="76"/>
    </row>
    <row r="3380">
      <c r="A3380" s="74">
        <v>3370.0</v>
      </c>
      <c r="B3380" s="73" t="s">
        <v>3580</v>
      </c>
      <c r="C3380" s="74">
        <v>9.01030627E8</v>
      </c>
      <c r="D3380" s="73" t="s">
        <v>3856</v>
      </c>
      <c r="E3380" s="72">
        <v>2.0253040030605E13</v>
      </c>
      <c r="F3380" s="75">
        <v>45874.0</v>
      </c>
      <c r="G3380" s="76"/>
      <c r="H3380" s="76"/>
      <c r="I3380" s="73" t="s">
        <v>366</v>
      </c>
      <c r="J3380" s="76"/>
    </row>
    <row r="3381">
      <c r="A3381" s="74">
        <v>3371.0</v>
      </c>
      <c r="B3381" s="73" t="s">
        <v>3580</v>
      </c>
      <c r="C3381" s="74">
        <v>9.01370626E8</v>
      </c>
      <c r="D3381" s="73" t="s">
        <v>3857</v>
      </c>
      <c r="E3381" s="72">
        <v>2.0253040031415E13</v>
      </c>
      <c r="F3381" s="75">
        <v>45880.0</v>
      </c>
      <c r="G3381" s="76"/>
      <c r="H3381" s="76"/>
      <c r="I3381" s="73" t="s">
        <v>366</v>
      </c>
      <c r="J3381" s="76"/>
    </row>
    <row r="3382">
      <c r="A3382" s="74">
        <v>3372.0</v>
      </c>
      <c r="B3382" s="73" t="s">
        <v>3580</v>
      </c>
      <c r="C3382" s="74">
        <v>9.0145239E8</v>
      </c>
      <c r="D3382" s="73" t="s">
        <v>3858</v>
      </c>
      <c r="E3382" s="72">
        <v>2.0253040035115E13</v>
      </c>
      <c r="F3382" s="75">
        <v>45898.0</v>
      </c>
      <c r="G3382" s="76"/>
      <c r="H3382" s="76"/>
      <c r="I3382" s="73" t="s">
        <v>366</v>
      </c>
      <c r="J3382" s="76"/>
    </row>
    <row r="3383">
      <c r="A3383" s="74">
        <v>3373.0</v>
      </c>
      <c r="B3383" s="73" t="s">
        <v>3859</v>
      </c>
      <c r="C3383" s="74">
        <v>8.1400194E8</v>
      </c>
      <c r="D3383" s="73" t="s">
        <v>3860</v>
      </c>
      <c r="E3383" s="72">
        <v>38.0</v>
      </c>
      <c r="F3383" s="75">
        <v>36250.0</v>
      </c>
      <c r="G3383" s="76"/>
      <c r="H3383" s="76"/>
      <c r="I3383" s="73" t="s">
        <v>366</v>
      </c>
      <c r="J3383" s="73" t="s">
        <v>3861</v>
      </c>
    </row>
    <row r="3384">
      <c r="A3384" s="74">
        <v>3374.0</v>
      </c>
      <c r="B3384" s="73" t="s">
        <v>3859</v>
      </c>
      <c r="C3384" s="74">
        <v>8.14001449E8</v>
      </c>
      <c r="D3384" s="73" t="s">
        <v>3862</v>
      </c>
      <c r="E3384" s="72">
        <v>46.0</v>
      </c>
      <c r="F3384" s="75">
        <v>36293.0</v>
      </c>
      <c r="G3384" s="76"/>
      <c r="H3384" s="76"/>
      <c r="I3384" s="73" t="s">
        <v>366</v>
      </c>
      <c r="J3384" s="76"/>
    </row>
    <row r="3385">
      <c r="A3385" s="74">
        <v>3375.0</v>
      </c>
      <c r="B3385" s="73" t="s">
        <v>3859</v>
      </c>
      <c r="C3385" s="74">
        <v>8.9120028E8</v>
      </c>
      <c r="D3385" s="73" t="s">
        <v>3863</v>
      </c>
      <c r="E3385" s="72">
        <v>120.0</v>
      </c>
      <c r="F3385" s="75">
        <v>36395.0</v>
      </c>
      <c r="G3385" s="76"/>
      <c r="H3385" s="76"/>
      <c r="I3385" s="73" t="s">
        <v>366</v>
      </c>
      <c r="J3385" s="76"/>
    </row>
    <row r="3386">
      <c r="A3386" s="74">
        <v>3376.0</v>
      </c>
      <c r="B3386" s="73" t="s">
        <v>3859</v>
      </c>
      <c r="C3386" s="74">
        <v>8.91201796E8</v>
      </c>
      <c r="D3386" s="73" t="s">
        <v>3864</v>
      </c>
      <c r="E3386" s="72">
        <v>1.0</v>
      </c>
      <c r="F3386" s="75">
        <v>37265.0</v>
      </c>
      <c r="G3386" s="76"/>
      <c r="H3386" s="76"/>
      <c r="I3386" s="73" t="s">
        <v>366</v>
      </c>
      <c r="J3386" s="76"/>
    </row>
    <row r="3387">
      <c r="A3387" s="74">
        <v>3377.0</v>
      </c>
      <c r="B3387" s="73" t="s">
        <v>3859</v>
      </c>
      <c r="C3387" s="74">
        <v>8.14001663E8</v>
      </c>
      <c r="D3387" s="73" t="s">
        <v>3865</v>
      </c>
      <c r="E3387" s="72">
        <v>15.0</v>
      </c>
      <c r="F3387" s="75">
        <v>37299.0</v>
      </c>
      <c r="G3387" s="76"/>
      <c r="H3387" s="76"/>
      <c r="I3387" s="73" t="s">
        <v>366</v>
      </c>
      <c r="J3387" s="76"/>
    </row>
    <row r="3388">
      <c r="A3388" s="74">
        <v>3378.0</v>
      </c>
      <c r="B3388" s="73" t="s">
        <v>3859</v>
      </c>
      <c r="C3388" s="74">
        <v>8.00225417E8</v>
      </c>
      <c r="D3388" s="73" t="s">
        <v>3866</v>
      </c>
      <c r="E3388" s="72">
        <v>50.0</v>
      </c>
      <c r="F3388" s="75">
        <v>37357.0</v>
      </c>
      <c r="G3388" s="76"/>
      <c r="H3388" s="76"/>
      <c r="I3388" s="73" t="s">
        <v>366</v>
      </c>
      <c r="J3388" s="73" t="s">
        <v>3867</v>
      </c>
    </row>
    <row r="3389">
      <c r="A3389" s="74">
        <v>3379.0</v>
      </c>
      <c r="B3389" s="73" t="s">
        <v>3859</v>
      </c>
      <c r="C3389" s="74">
        <v>8.91200138E8</v>
      </c>
      <c r="D3389" s="73" t="s">
        <v>3868</v>
      </c>
      <c r="E3389" s="72">
        <v>49.0</v>
      </c>
      <c r="F3389" s="75">
        <v>37357.0</v>
      </c>
      <c r="G3389" s="76"/>
      <c r="H3389" s="76"/>
      <c r="I3389" s="73" t="s">
        <v>366</v>
      </c>
      <c r="J3389" s="76"/>
    </row>
    <row r="3390">
      <c r="A3390" s="74">
        <v>3380.0</v>
      </c>
      <c r="B3390" s="73" t="s">
        <v>3859</v>
      </c>
      <c r="C3390" s="74">
        <v>8.91200645E8</v>
      </c>
      <c r="D3390" s="73" t="s">
        <v>3869</v>
      </c>
      <c r="E3390" s="72">
        <v>79.0</v>
      </c>
      <c r="F3390" s="75">
        <v>37365.0</v>
      </c>
      <c r="G3390" s="76"/>
      <c r="H3390" s="76"/>
      <c r="I3390" s="73" t="s">
        <v>366</v>
      </c>
      <c r="J3390" s="76"/>
    </row>
    <row r="3391">
      <c r="A3391" s="74">
        <v>3381.0</v>
      </c>
      <c r="B3391" s="73" t="s">
        <v>3859</v>
      </c>
      <c r="C3391" s="74">
        <v>8.00079619E8</v>
      </c>
      <c r="D3391" s="73" t="s">
        <v>3870</v>
      </c>
      <c r="E3391" s="72">
        <v>118.0</v>
      </c>
      <c r="F3391" s="75">
        <v>37403.0</v>
      </c>
      <c r="G3391" s="76"/>
      <c r="H3391" s="76"/>
      <c r="I3391" s="73" t="s">
        <v>366</v>
      </c>
      <c r="J3391" s="76"/>
    </row>
    <row r="3392">
      <c r="A3392" s="74">
        <v>3382.0</v>
      </c>
      <c r="B3392" s="73" t="s">
        <v>3859</v>
      </c>
      <c r="C3392" s="74">
        <v>8.37000785E8</v>
      </c>
      <c r="D3392" s="73" t="s">
        <v>3871</v>
      </c>
      <c r="E3392" s="72">
        <v>131.0</v>
      </c>
      <c r="F3392" s="75">
        <v>37446.0</v>
      </c>
      <c r="G3392" s="76"/>
      <c r="H3392" s="76"/>
      <c r="I3392" s="73" t="s">
        <v>366</v>
      </c>
      <c r="J3392" s="76"/>
    </row>
    <row r="3393">
      <c r="A3393" s="74">
        <v>3383.0</v>
      </c>
      <c r="B3393" s="73" t="s">
        <v>3859</v>
      </c>
      <c r="C3393" s="74">
        <v>8.14001156E8</v>
      </c>
      <c r="D3393" s="73" t="s">
        <v>3872</v>
      </c>
      <c r="E3393" s="72">
        <v>567.0</v>
      </c>
      <c r="F3393" s="75">
        <v>37459.0</v>
      </c>
      <c r="G3393" s="76"/>
      <c r="H3393" s="76"/>
      <c r="I3393" s="73" t="s">
        <v>366</v>
      </c>
      <c r="J3393" s="76"/>
    </row>
    <row r="3394">
      <c r="A3394" s="74">
        <v>3384.0</v>
      </c>
      <c r="B3394" s="73" t="s">
        <v>3859</v>
      </c>
      <c r="C3394" s="74">
        <v>8.91200183E8</v>
      </c>
      <c r="D3394" s="73" t="s">
        <v>3873</v>
      </c>
      <c r="E3394" s="72">
        <v>144.0</v>
      </c>
      <c r="F3394" s="75">
        <v>37467.0</v>
      </c>
      <c r="G3394" s="76"/>
      <c r="H3394" s="76"/>
      <c r="I3394" s="73" t="s">
        <v>366</v>
      </c>
      <c r="J3394" s="76"/>
    </row>
    <row r="3395">
      <c r="A3395" s="74">
        <v>3385.0</v>
      </c>
      <c r="B3395" s="73" t="s">
        <v>3859</v>
      </c>
      <c r="C3395" s="74">
        <v>8.91200308E8</v>
      </c>
      <c r="D3395" s="73" t="s">
        <v>3874</v>
      </c>
      <c r="E3395" s="72">
        <v>129.0</v>
      </c>
      <c r="F3395" s="77">
        <v>37943.0</v>
      </c>
      <c r="G3395" s="76"/>
      <c r="H3395" s="76"/>
      <c r="I3395" s="73" t="s">
        <v>366</v>
      </c>
      <c r="J3395" s="76"/>
    </row>
    <row r="3396">
      <c r="A3396" s="74">
        <v>3386.0</v>
      </c>
      <c r="B3396" s="73" t="s">
        <v>3859</v>
      </c>
      <c r="C3396" s="74">
        <v>8.00210758E8</v>
      </c>
      <c r="D3396" s="73" t="s">
        <v>3875</v>
      </c>
      <c r="E3396" s="72">
        <v>156.0</v>
      </c>
      <c r="F3396" s="77">
        <v>37977.0</v>
      </c>
      <c r="G3396" s="76"/>
      <c r="H3396" s="76"/>
      <c r="I3396" s="73" t="s">
        <v>366</v>
      </c>
      <c r="J3396" s="76"/>
    </row>
    <row r="3397">
      <c r="A3397" s="74">
        <v>3387.0</v>
      </c>
      <c r="B3397" s="73" t="s">
        <v>3859</v>
      </c>
      <c r="C3397" s="74">
        <v>8.14006788E8</v>
      </c>
      <c r="D3397" s="73" t="s">
        <v>3876</v>
      </c>
      <c r="E3397" s="72">
        <v>27.0</v>
      </c>
      <c r="F3397" s="75">
        <v>38107.0</v>
      </c>
      <c r="G3397" s="76"/>
      <c r="H3397" s="76"/>
      <c r="I3397" s="73" t="s">
        <v>366</v>
      </c>
      <c r="J3397" s="76"/>
    </row>
    <row r="3398">
      <c r="A3398" s="74">
        <v>3388.0</v>
      </c>
      <c r="B3398" s="73" t="s">
        <v>3859</v>
      </c>
      <c r="C3398" s="74">
        <v>8.3051482E8</v>
      </c>
      <c r="D3398" s="73" t="s">
        <v>3877</v>
      </c>
      <c r="E3398" s="72">
        <v>26.0</v>
      </c>
      <c r="F3398" s="75">
        <v>38463.0</v>
      </c>
      <c r="G3398" s="76"/>
      <c r="H3398" s="76"/>
      <c r="I3398" s="73" t="s">
        <v>366</v>
      </c>
      <c r="J3398" s="76"/>
    </row>
    <row r="3399">
      <c r="A3399" s="74">
        <v>3389.0</v>
      </c>
      <c r="B3399" s="73" t="s">
        <v>3859</v>
      </c>
      <c r="C3399" s="74">
        <v>8.46000406E8</v>
      </c>
      <c r="D3399" s="73" t="s">
        <v>3878</v>
      </c>
      <c r="E3399" s="72">
        <v>54.0</v>
      </c>
      <c r="F3399" s="75">
        <v>38586.0</v>
      </c>
      <c r="G3399" s="76"/>
      <c r="H3399" s="76"/>
      <c r="I3399" s="73" t="s">
        <v>366</v>
      </c>
      <c r="J3399" s="76"/>
    </row>
    <row r="3400">
      <c r="A3400" s="74">
        <v>3390.0</v>
      </c>
      <c r="B3400" s="73" t="s">
        <v>3859</v>
      </c>
      <c r="C3400" s="74">
        <v>8.4600423E8</v>
      </c>
      <c r="D3400" s="73" t="s">
        <v>3879</v>
      </c>
      <c r="E3400" s="72">
        <v>59.0</v>
      </c>
      <c r="F3400" s="75">
        <v>38600.0</v>
      </c>
      <c r="G3400" s="76"/>
      <c r="H3400" s="76"/>
      <c r="I3400" s="73" t="s">
        <v>366</v>
      </c>
      <c r="J3400" s="76"/>
    </row>
    <row r="3401">
      <c r="A3401" s="74">
        <v>3391.0</v>
      </c>
      <c r="B3401" s="73" t="s">
        <v>3859</v>
      </c>
      <c r="C3401" s="74">
        <v>1.29654473E8</v>
      </c>
      <c r="D3401" s="73" t="s">
        <v>3880</v>
      </c>
      <c r="E3401" s="72">
        <v>140.0</v>
      </c>
      <c r="F3401" s="77">
        <v>39013.0</v>
      </c>
      <c r="G3401" s="76"/>
      <c r="H3401" s="76"/>
      <c r="I3401" s="73" t="s">
        <v>366</v>
      </c>
      <c r="J3401" s="76"/>
    </row>
    <row r="3402">
      <c r="A3402" s="74">
        <v>3392.0</v>
      </c>
      <c r="B3402" s="73" t="s">
        <v>3859</v>
      </c>
      <c r="C3402" s="74">
        <v>8.46003495E8</v>
      </c>
      <c r="D3402" s="73" t="s">
        <v>3881</v>
      </c>
      <c r="E3402" s="72">
        <v>177.0</v>
      </c>
      <c r="F3402" s="77">
        <v>39064.0</v>
      </c>
      <c r="G3402" s="76"/>
      <c r="H3402" s="76"/>
      <c r="I3402" s="73" t="s">
        <v>366</v>
      </c>
      <c r="J3402" s="76"/>
    </row>
    <row r="3403">
      <c r="A3403" s="74">
        <v>3393.0</v>
      </c>
      <c r="B3403" s="73" t="s">
        <v>3859</v>
      </c>
      <c r="C3403" s="74">
        <v>9.00109959E8</v>
      </c>
      <c r="D3403" s="73" t="s">
        <v>3882</v>
      </c>
      <c r="E3403" s="72">
        <v>186.0</v>
      </c>
      <c r="F3403" s="77">
        <v>39072.0</v>
      </c>
      <c r="G3403" s="76"/>
      <c r="H3403" s="76"/>
      <c r="I3403" s="73" t="s">
        <v>366</v>
      </c>
      <c r="J3403" s="76"/>
    </row>
    <row r="3404">
      <c r="A3404" s="74">
        <v>3394.0</v>
      </c>
      <c r="B3404" s="73" t="s">
        <v>3859</v>
      </c>
      <c r="C3404" s="74">
        <v>8.11039772E8</v>
      </c>
      <c r="D3404" s="73" t="s">
        <v>3883</v>
      </c>
      <c r="E3404" s="72">
        <v>20.0</v>
      </c>
      <c r="F3404" s="75">
        <v>39121.0</v>
      </c>
      <c r="G3404" s="76"/>
      <c r="H3404" s="76"/>
      <c r="I3404" s="73" t="s">
        <v>366</v>
      </c>
      <c r="J3404" s="76"/>
    </row>
    <row r="3405">
      <c r="A3405" s="74">
        <v>3395.0</v>
      </c>
      <c r="B3405" s="73" t="s">
        <v>3859</v>
      </c>
      <c r="C3405" s="74">
        <v>9.00024672E8</v>
      </c>
      <c r="D3405" s="73" t="s">
        <v>3884</v>
      </c>
      <c r="E3405" s="72">
        <v>26.0</v>
      </c>
      <c r="F3405" s="75">
        <v>39134.0</v>
      </c>
      <c r="G3405" s="76"/>
      <c r="H3405" s="76"/>
      <c r="I3405" s="73" t="s">
        <v>366</v>
      </c>
      <c r="J3405" s="76"/>
    </row>
    <row r="3406">
      <c r="A3406" s="74">
        <v>3396.0</v>
      </c>
      <c r="B3406" s="73" t="s">
        <v>3859</v>
      </c>
      <c r="C3406" s="74">
        <v>9.00142679E8</v>
      </c>
      <c r="D3406" s="73" t="s">
        <v>3885</v>
      </c>
      <c r="E3406" s="72">
        <v>74.0</v>
      </c>
      <c r="F3406" s="75">
        <v>39230.0</v>
      </c>
      <c r="G3406" s="76"/>
      <c r="H3406" s="76"/>
      <c r="I3406" s="73" t="s">
        <v>366</v>
      </c>
      <c r="J3406" s="76"/>
    </row>
    <row r="3407">
      <c r="A3407" s="74">
        <v>3397.0</v>
      </c>
      <c r="B3407" s="73" t="s">
        <v>3859</v>
      </c>
      <c r="C3407" s="74">
        <v>9.00144097E8</v>
      </c>
      <c r="D3407" s="73" t="s">
        <v>3886</v>
      </c>
      <c r="E3407" s="72">
        <v>75.0</v>
      </c>
      <c r="F3407" s="75">
        <v>39230.0</v>
      </c>
      <c r="G3407" s="76"/>
      <c r="H3407" s="76"/>
      <c r="I3407" s="73" t="s">
        <v>366</v>
      </c>
      <c r="J3407" s="76"/>
    </row>
    <row r="3408">
      <c r="A3408" s="74">
        <v>3398.0</v>
      </c>
      <c r="B3408" s="73" t="s">
        <v>3859</v>
      </c>
      <c r="C3408" s="74">
        <v>9.0014495E8</v>
      </c>
      <c r="D3408" s="73" t="s">
        <v>3887</v>
      </c>
      <c r="E3408" s="72">
        <v>108.0</v>
      </c>
      <c r="F3408" s="75">
        <v>39302.0</v>
      </c>
      <c r="G3408" s="76"/>
      <c r="H3408" s="76"/>
      <c r="I3408" s="73" t="s">
        <v>366</v>
      </c>
      <c r="J3408" s="76"/>
    </row>
    <row r="3409">
      <c r="A3409" s="74">
        <v>3399.0</v>
      </c>
      <c r="B3409" s="73" t="s">
        <v>3859</v>
      </c>
      <c r="C3409" s="74">
        <v>9.00169861E8</v>
      </c>
      <c r="D3409" s="73" t="s">
        <v>3888</v>
      </c>
      <c r="E3409" s="72">
        <v>140.0</v>
      </c>
      <c r="F3409" s="75">
        <v>39336.0</v>
      </c>
      <c r="G3409" s="76"/>
      <c r="H3409" s="76"/>
      <c r="I3409" s="73" t="s">
        <v>366</v>
      </c>
      <c r="J3409" s="76"/>
    </row>
    <row r="3410">
      <c r="A3410" s="74">
        <v>3400.0</v>
      </c>
      <c r="B3410" s="73" t="s">
        <v>3859</v>
      </c>
      <c r="C3410" s="74">
        <v>8.46000297E8</v>
      </c>
      <c r="D3410" s="73" t="s">
        <v>3889</v>
      </c>
      <c r="E3410" s="72">
        <v>149.0</v>
      </c>
      <c r="F3410" s="75">
        <v>39351.0</v>
      </c>
      <c r="G3410" s="76"/>
      <c r="H3410" s="76"/>
      <c r="I3410" s="73" t="s">
        <v>366</v>
      </c>
      <c r="J3410" s="76"/>
    </row>
    <row r="3411">
      <c r="A3411" s="74">
        <v>3401.0</v>
      </c>
      <c r="B3411" s="73" t="s">
        <v>3859</v>
      </c>
      <c r="C3411" s="74">
        <v>9.00155843E8</v>
      </c>
      <c r="D3411" s="73" t="s">
        <v>3890</v>
      </c>
      <c r="E3411" s="72">
        <v>157.0</v>
      </c>
      <c r="F3411" s="77">
        <v>39371.0</v>
      </c>
      <c r="G3411" s="76"/>
      <c r="H3411" s="76"/>
      <c r="I3411" s="73" t="s">
        <v>366</v>
      </c>
      <c r="J3411" s="76"/>
    </row>
    <row r="3412">
      <c r="A3412" s="74">
        <v>3402.0</v>
      </c>
      <c r="B3412" s="73" t="s">
        <v>3859</v>
      </c>
      <c r="C3412" s="74">
        <v>9.00167384E8</v>
      </c>
      <c r="D3412" s="73" t="s">
        <v>3891</v>
      </c>
      <c r="E3412" s="72">
        <v>36.0</v>
      </c>
      <c r="F3412" s="75">
        <v>39503.0</v>
      </c>
      <c r="G3412" s="76"/>
      <c r="H3412" s="76"/>
      <c r="I3412" s="73" t="s">
        <v>366</v>
      </c>
      <c r="J3412" s="76"/>
    </row>
    <row r="3413">
      <c r="A3413" s="74">
        <v>3403.0</v>
      </c>
      <c r="B3413" s="73" t="s">
        <v>3859</v>
      </c>
      <c r="C3413" s="74">
        <v>9.00293142E8</v>
      </c>
      <c r="D3413" s="73" t="s">
        <v>3892</v>
      </c>
      <c r="E3413" s="72">
        <v>83.0</v>
      </c>
      <c r="F3413" s="75">
        <v>40070.0</v>
      </c>
      <c r="G3413" s="76"/>
      <c r="H3413" s="76"/>
      <c r="I3413" s="73" t="s">
        <v>366</v>
      </c>
      <c r="J3413" s="76"/>
    </row>
    <row r="3414">
      <c r="A3414" s="74">
        <v>3404.0</v>
      </c>
      <c r="B3414" s="73" t="s">
        <v>3859</v>
      </c>
      <c r="C3414" s="74">
        <v>9.00168467E8</v>
      </c>
      <c r="D3414" s="73" t="s">
        <v>3893</v>
      </c>
      <c r="E3414" s="72">
        <v>147.0</v>
      </c>
      <c r="F3414" s="77">
        <v>40480.0</v>
      </c>
      <c r="G3414" s="76"/>
      <c r="H3414" s="76"/>
      <c r="I3414" s="73" t="s">
        <v>366</v>
      </c>
      <c r="J3414" s="76"/>
    </row>
    <row r="3415">
      <c r="A3415" s="74">
        <v>3405.0</v>
      </c>
      <c r="B3415" s="73" t="s">
        <v>3859</v>
      </c>
      <c r="C3415" s="74">
        <v>9.00087921E8</v>
      </c>
      <c r="D3415" s="73" t="s">
        <v>3894</v>
      </c>
      <c r="E3415" s="72">
        <v>174.0</v>
      </c>
      <c r="F3415" s="77">
        <v>40533.0</v>
      </c>
      <c r="G3415" s="76"/>
      <c r="H3415" s="76"/>
      <c r="I3415" s="73" t="s">
        <v>366</v>
      </c>
      <c r="J3415" s="76"/>
    </row>
    <row r="3416">
      <c r="A3416" s="74">
        <v>3406.0</v>
      </c>
      <c r="B3416" s="73" t="s">
        <v>3859</v>
      </c>
      <c r="C3416" s="74">
        <v>9.00383669E8</v>
      </c>
      <c r="D3416" s="73" t="s">
        <v>3895</v>
      </c>
      <c r="E3416" s="72">
        <v>181.0</v>
      </c>
      <c r="F3416" s="77">
        <v>40540.0</v>
      </c>
      <c r="G3416" s="76"/>
      <c r="H3416" s="76"/>
      <c r="I3416" s="73" t="s">
        <v>366</v>
      </c>
      <c r="J3416" s="76"/>
    </row>
    <row r="3417">
      <c r="A3417" s="74">
        <v>3407.0</v>
      </c>
      <c r="B3417" s="73" t="s">
        <v>3859</v>
      </c>
      <c r="C3417" s="74">
        <v>9.00144307E8</v>
      </c>
      <c r="D3417" s="73" t="s">
        <v>3896</v>
      </c>
      <c r="E3417" s="72">
        <v>122.0</v>
      </c>
      <c r="F3417" s="75">
        <v>40653.0</v>
      </c>
      <c r="G3417" s="76"/>
      <c r="H3417" s="76"/>
      <c r="I3417" s="73" t="s">
        <v>366</v>
      </c>
      <c r="J3417" s="76"/>
    </row>
    <row r="3418">
      <c r="A3418" s="74">
        <v>3408.0</v>
      </c>
      <c r="B3418" s="73" t="s">
        <v>3859</v>
      </c>
      <c r="C3418" s="74">
        <v>9.00430187E8</v>
      </c>
      <c r="D3418" s="73" t="s">
        <v>3897</v>
      </c>
      <c r="E3418" s="72">
        <v>198.0</v>
      </c>
      <c r="F3418" s="75">
        <v>40713.0</v>
      </c>
      <c r="G3418" s="76"/>
      <c r="H3418" s="76"/>
      <c r="I3418" s="73" t="s">
        <v>366</v>
      </c>
      <c r="J3418" s="76"/>
    </row>
    <row r="3419">
      <c r="A3419" s="74">
        <v>3409.0</v>
      </c>
      <c r="B3419" s="73" t="s">
        <v>3859</v>
      </c>
      <c r="C3419" s="74">
        <v>9.00387134E8</v>
      </c>
      <c r="D3419" s="73" t="s">
        <v>3898</v>
      </c>
      <c r="E3419" s="72">
        <v>11.0</v>
      </c>
      <c r="F3419" s="75">
        <v>40938.0</v>
      </c>
      <c r="G3419" s="76"/>
      <c r="H3419" s="76"/>
      <c r="I3419" s="73" t="s">
        <v>366</v>
      </c>
      <c r="J3419" s="76"/>
    </row>
    <row r="3420">
      <c r="A3420" s="74">
        <v>3410.0</v>
      </c>
      <c r="B3420" s="73" t="s">
        <v>3859</v>
      </c>
      <c r="C3420" s="74">
        <v>8.4600056E8</v>
      </c>
      <c r="D3420" s="73" t="s">
        <v>3899</v>
      </c>
      <c r="E3420" s="72">
        <v>80.0</v>
      </c>
      <c r="F3420" s="75">
        <v>41061.0</v>
      </c>
      <c r="G3420" s="76"/>
      <c r="H3420" s="76"/>
      <c r="I3420" s="73" t="s">
        <v>366</v>
      </c>
      <c r="J3420" s="76"/>
    </row>
    <row r="3421">
      <c r="A3421" s="74">
        <v>3411.0</v>
      </c>
      <c r="B3421" s="73" t="s">
        <v>3859</v>
      </c>
      <c r="C3421" s="74">
        <v>8.00228363E8</v>
      </c>
      <c r="D3421" s="73" t="s">
        <v>3900</v>
      </c>
      <c r="E3421" s="72">
        <v>88.0</v>
      </c>
      <c r="F3421" s="75">
        <v>41072.0</v>
      </c>
      <c r="G3421" s="76"/>
      <c r="H3421" s="76"/>
      <c r="I3421" s="73" t="s">
        <v>366</v>
      </c>
      <c r="J3421" s="76"/>
    </row>
    <row r="3422">
      <c r="A3422" s="74">
        <v>3412.0</v>
      </c>
      <c r="B3422" s="73" t="s">
        <v>3859</v>
      </c>
      <c r="C3422" s="74">
        <v>8.46000733E8</v>
      </c>
      <c r="D3422" s="73" t="s">
        <v>3901</v>
      </c>
      <c r="E3422" s="72">
        <v>129.0</v>
      </c>
      <c r="F3422" s="77">
        <v>41183.0</v>
      </c>
      <c r="G3422" s="76"/>
      <c r="H3422" s="76"/>
      <c r="I3422" s="73" t="s">
        <v>366</v>
      </c>
      <c r="J3422" s="76"/>
    </row>
    <row r="3423">
      <c r="A3423" s="74">
        <v>3413.0</v>
      </c>
      <c r="B3423" s="73" t="s">
        <v>3859</v>
      </c>
      <c r="C3423" s="74">
        <v>9.0030603E8</v>
      </c>
      <c r="D3423" s="73" t="s">
        <v>3902</v>
      </c>
      <c r="E3423" s="72">
        <v>141.0</v>
      </c>
      <c r="F3423" s="77">
        <v>41204.0</v>
      </c>
      <c r="G3423" s="76"/>
      <c r="H3423" s="76"/>
      <c r="I3423" s="73" t="s">
        <v>366</v>
      </c>
      <c r="J3423" s="76"/>
    </row>
    <row r="3424">
      <c r="A3424" s="74">
        <v>3414.0</v>
      </c>
      <c r="B3424" s="73" t="s">
        <v>3859</v>
      </c>
      <c r="C3424" s="74">
        <v>8.00254161E8</v>
      </c>
      <c r="D3424" s="73" t="s">
        <v>3903</v>
      </c>
      <c r="E3424" s="72">
        <v>160.0</v>
      </c>
      <c r="F3424" s="77">
        <v>41240.0</v>
      </c>
      <c r="G3424" s="76"/>
      <c r="H3424" s="76"/>
      <c r="I3424" s="73" t="s">
        <v>366</v>
      </c>
      <c r="J3424" s="76"/>
    </row>
    <row r="3425">
      <c r="A3425" s="74">
        <v>3415.0</v>
      </c>
      <c r="B3425" s="73" t="s">
        <v>3859</v>
      </c>
      <c r="C3425" s="74">
        <v>8.0017703E8</v>
      </c>
      <c r="D3425" s="73" t="s">
        <v>3904</v>
      </c>
      <c r="E3425" s="72">
        <v>1.0</v>
      </c>
      <c r="F3425" s="75">
        <v>41277.0</v>
      </c>
      <c r="G3425" s="76"/>
      <c r="H3425" s="76"/>
      <c r="I3425" s="73" t="s">
        <v>366</v>
      </c>
      <c r="J3425" s="76"/>
    </row>
    <row r="3426">
      <c r="A3426" s="74">
        <v>3416.0</v>
      </c>
      <c r="B3426" s="73" t="s">
        <v>3859</v>
      </c>
      <c r="C3426" s="74">
        <v>9.00553613E8</v>
      </c>
      <c r="D3426" s="73" t="s">
        <v>3905</v>
      </c>
      <c r="E3426" s="72">
        <v>8.0</v>
      </c>
      <c r="F3426" s="75">
        <v>41306.0</v>
      </c>
      <c r="G3426" s="76"/>
      <c r="H3426" s="76"/>
      <c r="I3426" s="73" t="s">
        <v>366</v>
      </c>
      <c r="J3426" s="76"/>
    </row>
    <row r="3427">
      <c r="A3427" s="74">
        <v>3417.0</v>
      </c>
      <c r="B3427" s="73" t="s">
        <v>3859</v>
      </c>
      <c r="C3427" s="74">
        <v>9.00445632E8</v>
      </c>
      <c r="D3427" s="73" t="s">
        <v>3906</v>
      </c>
      <c r="E3427" s="72">
        <v>2.0</v>
      </c>
      <c r="F3427" s="75">
        <v>41334.0</v>
      </c>
      <c r="G3427" s="76"/>
      <c r="H3427" s="76"/>
      <c r="I3427" s="73" t="s">
        <v>366</v>
      </c>
      <c r="J3427" s="76"/>
    </row>
    <row r="3428">
      <c r="A3428" s="85">
        <v>3418.0</v>
      </c>
      <c r="B3428" s="79" t="s">
        <v>3859</v>
      </c>
      <c r="C3428" s="80">
        <v>9.00300213E8</v>
      </c>
      <c r="D3428" s="79" t="s">
        <v>3907</v>
      </c>
      <c r="E3428" s="81">
        <v>62.0</v>
      </c>
      <c r="F3428" s="84">
        <v>41416.0</v>
      </c>
      <c r="G3428" s="83"/>
      <c r="H3428" s="83"/>
      <c r="I3428" s="73" t="s">
        <v>366</v>
      </c>
      <c r="J3428" s="76"/>
    </row>
    <row r="3429">
      <c r="A3429" s="74">
        <v>3419.0</v>
      </c>
      <c r="B3429" s="73" t="s">
        <v>3859</v>
      </c>
      <c r="C3429" s="74">
        <v>9.00498308E8</v>
      </c>
      <c r="D3429" s="73" t="s">
        <v>3908</v>
      </c>
      <c r="E3429" s="72">
        <v>21.0</v>
      </c>
      <c r="F3429" s="75">
        <v>41419.0</v>
      </c>
      <c r="G3429" s="76"/>
      <c r="H3429" s="76"/>
      <c r="I3429" s="73" t="s">
        <v>366</v>
      </c>
      <c r="J3429" s="76"/>
    </row>
    <row r="3430">
      <c r="A3430" s="74">
        <v>3420.0</v>
      </c>
      <c r="B3430" s="73" t="s">
        <v>3859</v>
      </c>
      <c r="C3430" s="74">
        <v>9.0059056E8</v>
      </c>
      <c r="D3430" s="73" t="s">
        <v>3909</v>
      </c>
      <c r="E3430" s="72">
        <v>53.0</v>
      </c>
      <c r="F3430" s="75">
        <v>41491.0</v>
      </c>
      <c r="G3430" s="76"/>
      <c r="H3430" s="76"/>
      <c r="I3430" s="73" t="s">
        <v>366</v>
      </c>
      <c r="J3430" s="76"/>
    </row>
    <row r="3431">
      <c r="A3431" s="74">
        <v>3421.0</v>
      </c>
      <c r="B3431" s="73" t="s">
        <v>3859</v>
      </c>
      <c r="C3431" s="74">
        <v>9.0061518E8</v>
      </c>
      <c r="D3431" s="73" t="s">
        <v>3910</v>
      </c>
      <c r="E3431" s="72">
        <v>90.0</v>
      </c>
      <c r="F3431" s="75">
        <v>41514.0</v>
      </c>
      <c r="G3431" s="76"/>
      <c r="H3431" s="76"/>
      <c r="I3431" s="73" t="s">
        <v>366</v>
      </c>
      <c r="J3431" s="76"/>
    </row>
    <row r="3432">
      <c r="A3432" s="74">
        <v>3422.0</v>
      </c>
      <c r="B3432" s="73" t="s">
        <v>3859</v>
      </c>
      <c r="C3432" s="74">
        <v>9.00648775E8</v>
      </c>
      <c r="D3432" s="73" t="s">
        <v>3911</v>
      </c>
      <c r="E3432" s="72">
        <v>117.0</v>
      </c>
      <c r="F3432" s="77">
        <v>41598.0</v>
      </c>
      <c r="G3432" s="76"/>
      <c r="H3432" s="76"/>
      <c r="I3432" s="73" t="s">
        <v>366</v>
      </c>
      <c r="J3432" s="76"/>
    </row>
    <row r="3433">
      <c r="A3433" s="74">
        <v>3423.0</v>
      </c>
      <c r="B3433" s="73" t="s">
        <v>3859</v>
      </c>
      <c r="C3433" s="74">
        <v>9.00427862E8</v>
      </c>
      <c r="D3433" s="73" t="s">
        <v>3912</v>
      </c>
      <c r="E3433" s="72">
        <v>1.0</v>
      </c>
      <c r="F3433" s="75">
        <v>41641.0</v>
      </c>
      <c r="G3433" s="76"/>
      <c r="H3433" s="76"/>
      <c r="I3433" s="73" t="s">
        <v>366</v>
      </c>
      <c r="J3433" s="76"/>
    </row>
    <row r="3434">
      <c r="A3434" s="74">
        <v>3424.0</v>
      </c>
      <c r="B3434" s="73" t="s">
        <v>3859</v>
      </c>
      <c r="C3434" s="74">
        <v>9.00595584E8</v>
      </c>
      <c r="D3434" s="73" t="s">
        <v>3913</v>
      </c>
      <c r="E3434" s="72">
        <v>85.0</v>
      </c>
      <c r="F3434" s="75">
        <v>41806.0</v>
      </c>
      <c r="G3434" s="76"/>
      <c r="H3434" s="76"/>
      <c r="I3434" s="73" t="s">
        <v>366</v>
      </c>
      <c r="J3434" s="76"/>
    </row>
    <row r="3435">
      <c r="A3435" s="74">
        <v>3425.0</v>
      </c>
      <c r="B3435" s="73" t="s">
        <v>3859</v>
      </c>
      <c r="C3435" s="74">
        <v>9.00731158E8</v>
      </c>
      <c r="D3435" s="73" t="s">
        <v>3914</v>
      </c>
      <c r="E3435" s="72">
        <v>95.0</v>
      </c>
      <c r="F3435" s="75">
        <v>41844.0</v>
      </c>
      <c r="G3435" s="76"/>
      <c r="H3435" s="76"/>
      <c r="I3435" s="73" t="s">
        <v>366</v>
      </c>
      <c r="J3435" s="76"/>
    </row>
    <row r="3436">
      <c r="A3436" s="74">
        <v>3426.0</v>
      </c>
      <c r="B3436" s="73" t="s">
        <v>3859</v>
      </c>
      <c r="C3436" s="74">
        <v>9.00707326E8</v>
      </c>
      <c r="D3436" s="73" t="s">
        <v>3915</v>
      </c>
      <c r="E3436" s="72">
        <v>116.0</v>
      </c>
      <c r="F3436" s="75">
        <v>41879.0</v>
      </c>
      <c r="G3436" s="76"/>
      <c r="H3436" s="76"/>
      <c r="I3436" s="73" t="s">
        <v>366</v>
      </c>
      <c r="J3436" s="76"/>
    </row>
    <row r="3437">
      <c r="A3437" s="74">
        <v>3427.0</v>
      </c>
      <c r="B3437" s="73" t="s">
        <v>3859</v>
      </c>
      <c r="C3437" s="74">
        <v>9.00721501E8</v>
      </c>
      <c r="D3437" s="73" t="s">
        <v>3916</v>
      </c>
      <c r="E3437" s="72">
        <v>154.0</v>
      </c>
      <c r="F3437" s="77">
        <v>41932.0</v>
      </c>
      <c r="G3437" s="76"/>
      <c r="H3437" s="76"/>
      <c r="I3437" s="73" t="s">
        <v>366</v>
      </c>
      <c r="J3437" s="76"/>
    </row>
    <row r="3438">
      <c r="A3438" s="74">
        <v>3428.0</v>
      </c>
      <c r="B3438" s="73" t="s">
        <v>3859</v>
      </c>
      <c r="C3438" s="74">
        <v>9.00448607E8</v>
      </c>
      <c r="D3438" s="73" t="s">
        <v>3917</v>
      </c>
      <c r="E3438" s="72">
        <v>111.0</v>
      </c>
      <c r="F3438" s="75">
        <v>42212.0</v>
      </c>
      <c r="G3438" s="76"/>
      <c r="H3438" s="76"/>
      <c r="I3438" s="73" t="s">
        <v>366</v>
      </c>
      <c r="J3438" s="76"/>
    </row>
    <row r="3439">
      <c r="A3439" s="74">
        <v>3429.0</v>
      </c>
      <c r="B3439" s="73" t="s">
        <v>3859</v>
      </c>
      <c r="C3439" s="74">
        <v>9.00739483E8</v>
      </c>
      <c r="D3439" s="73" t="s">
        <v>3918</v>
      </c>
      <c r="E3439" s="72">
        <v>170.0</v>
      </c>
      <c r="F3439" s="77">
        <v>42313.0</v>
      </c>
      <c r="G3439" s="76"/>
      <c r="H3439" s="76"/>
      <c r="I3439" s="73" t="s">
        <v>366</v>
      </c>
      <c r="J3439" s="76"/>
    </row>
    <row r="3440">
      <c r="A3440" s="74">
        <v>3430.0</v>
      </c>
      <c r="B3440" s="73" t="s">
        <v>3859</v>
      </c>
      <c r="C3440" s="74">
        <v>8.00249053E8</v>
      </c>
      <c r="D3440" s="73" t="s">
        <v>3919</v>
      </c>
      <c r="E3440" s="72">
        <v>178.0</v>
      </c>
      <c r="F3440" s="77">
        <v>42331.0</v>
      </c>
      <c r="G3440" s="76"/>
      <c r="H3440" s="76"/>
      <c r="I3440" s="73" t="s">
        <v>366</v>
      </c>
      <c r="J3440" s="76"/>
    </row>
    <row r="3441">
      <c r="A3441" s="74">
        <v>3431.0</v>
      </c>
      <c r="B3441" s="73" t="s">
        <v>3859</v>
      </c>
      <c r="C3441" s="74">
        <v>9.00477056E8</v>
      </c>
      <c r="D3441" s="73" t="s">
        <v>3920</v>
      </c>
      <c r="E3441" s="72">
        <v>125.0</v>
      </c>
      <c r="F3441" s="75">
        <v>42634.0</v>
      </c>
      <c r="G3441" s="76"/>
      <c r="H3441" s="76"/>
      <c r="I3441" s="73" t="s">
        <v>366</v>
      </c>
      <c r="J3441" s="76"/>
    </row>
    <row r="3442">
      <c r="A3442" s="74">
        <v>3432.0</v>
      </c>
      <c r="B3442" s="73" t="s">
        <v>3859</v>
      </c>
      <c r="C3442" s="74">
        <v>9.00800908E8</v>
      </c>
      <c r="D3442" s="73" t="s">
        <v>3921</v>
      </c>
      <c r="E3442" s="72">
        <v>166.0</v>
      </c>
      <c r="F3442" s="77">
        <v>42698.0</v>
      </c>
      <c r="G3442" s="76"/>
      <c r="H3442" s="76"/>
      <c r="I3442" s="73" t="s">
        <v>366</v>
      </c>
      <c r="J3442" s="76"/>
    </row>
    <row r="3443">
      <c r="A3443" s="74">
        <v>3433.0</v>
      </c>
      <c r="B3443" s="73" t="s">
        <v>3859</v>
      </c>
      <c r="C3443" s="74">
        <v>9.00204962E8</v>
      </c>
      <c r="D3443" s="73" t="s">
        <v>3922</v>
      </c>
      <c r="E3443" s="72">
        <v>59.0</v>
      </c>
      <c r="F3443" s="75">
        <v>42810.0</v>
      </c>
      <c r="G3443" s="76"/>
      <c r="H3443" s="76"/>
      <c r="I3443" s="73" t="s">
        <v>366</v>
      </c>
      <c r="J3443" s="76"/>
    </row>
    <row r="3444">
      <c r="A3444" s="74">
        <v>3434.0</v>
      </c>
      <c r="B3444" s="73" t="s">
        <v>3859</v>
      </c>
      <c r="C3444" s="74">
        <v>9.01080564E8</v>
      </c>
      <c r="D3444" s="73" t="s">
        <v>3923</v>
      </c>
      <c r="E3444" s="72">
        <v>134.0</v>
      </c>
      <c r="F3444" s="75">
        <v>42964.0</v>
      </c>
      <c r="G3444" s="76"/>
      <c r="H3444" s="76"/>
      <c r="I3444" s="73" t="s">
        <v>366</v>
      </c>
      <c r="J3444" s="76"/>
    </row>
    <row r="3445">
      <c r="A3445" s="74">
        <v>3435.0</v>
      </c>
      <c r="B3445" s="73" t="s">
        <v>3859</v>
      </c>
      <c r="C3445" s="74">
        <v>9.00440009E8</v>
      </c>
      <c r="D3445" s="73" t="s">
        <v>3924</v>
      </c>
      <c r="E3445" s="72">
        <v>15.0</v>
      </c>
      <c r="F3445" s="75">
        <v>43129.0</v>
      </c>
      <c r="G3445" s="76"/>
      <c r="H3445" s="76"/>
      <c r="I3445" s="73" t="s">
        <v>366</v>
      </c>
      <c r="J3445" s="76"/>
    </row>
    <row r="3446">
      <c r="A3446" s="74">
        <v>3436.0</v>
      </c>
      <c r="B3446" s="73" t="s">
        <v>3859</v>
      </c>
      <c r="C3446" s="74">
        <v>9.00970644E8</v>
      </c>
      <c r="D3446" s="73" t="s">
        <v>3925</v>
      </c>
      <c r="E3446" s="72">
        <v>13.0</v>
      </c>
      <c r="F3446" s="75">
        <v>43129.0</v>
      </c>
      <c r="G3446" s="76"/>
      <c r="H3446" s="76"/>
      <c r="I3446" s="73" t="s">
        <v>366</v>
      </c>
      <c r="J3446" s="76"/>
    </row>
    <row r="3447">
      <c r="A3447" s="74">
        <v>3437.0</v>
      </c>
      <c r="B3447" s="73" t="s">
        <v>3859</v>
      </c>
      <c r="C3447" s="74">
        <v>9.00970644E8</v>
      </c>
      <c r="D3447" s="73" t="s">
        <v>3926</v>
      </c>
      <c r="E3447" s="72">
        <v>13.0</v>
      </c>
      <c r="F3447" s="75">
        <v>43129.0</v>
      </c>
      <c r="G3447" s="76"/>
      <c r="H3447" s="76"/>
      <c r="I3447" s="73" t="s">
        <v>366</v>
      </c>
      <c r="J3447" s="76"/>
    </row>
    <row r="3448">
      <c r="A3448" s="74">
        <v>3438.0</v>
      </c>
      <c r="B3448" s="73" t="s">
        <v>3859</v>
      </c>
      <c r="C3448" s="74">
        <v>9.00453853E8</v>
      </c>
      <c r="D3448" s="73" t="s">
        <v>3927</v>
      </c>
      <c r="E3448" s="72">
        <v>109.0</v>
      </c>
      <c r="F3448" s="75">
        <v>43264.0</v>
      </c>
      <c r="G3448" s="76"/>
      <c r="H3448" s="76"/>
      <c r="I3448" s="73" t="s">
        <v>366</v>
      </c>
      <c r="J3448" s="76"/>
    </row>
    <row r="3449">
      <c r="A3449" s="74">
        <v>3439.0</v>
      </c>
      <c r="B3449" s="73" t="s">
        <v>3859</v>
      </c>
      <c r="C3449" s="74">
        <v>8.00225417E8</v>
      </c>
      <c r="D3449" s="73" t="s">
        <v>3866</v>
      </c>
      <c r="E3449" s="72">
        <v>257.0</v>
      </c>
      <c r="F3449" s="77">
        <v>43462.0</v>
      </c>
      <c r="G3449" s="76"/>
      <c r="H3449" s="76"/>
      <c r="I3449" s="73" t="s">
        <v>366</v>
      </c>
      <c r="J3449" s="76"/>
    </row>
    <row r="3450">
      <c r="A3450" s="74">
        <v>3440.0</v>
      </c>
      <c r="B3450" s="73" t="s">
        <v>3859</v>
      </c>
      <c r="C3450" s="74">
        <v>9.01082916E8</v>
      </c>
      <c r="D3450" s="73" t="s">
        <v>3928</v>
      </c>
      <c r="E3450" s="72">
        <v>257.0</v>
      </c>
      <c r="F3450" s="77">
        <v>43462.0</v>
      </c>
      <c r="G3450" s="76"/>
      <c r="H3450" s="76"/>
      <c r="I3450" s="73" t="s">
        <v>366</v>
      </c>
      <c r="J3450" s="76"/>
    </row>
    <row r="3451">
      <c r="A3451" s="74">
        <v>3441.0</v>
      </c>
      <c r="B3451" s="73" t="s">
        <v>3859</v>
      </c>
      <c r="C3451" s="74">
        <v>9.00597714E8</v>
      </c>
      <c r="D3451" s="73" t="s">
        <v>3929</v>
      </c>
      <c r="E3451" s="72">
        <v>10.0</v>
      </c>
      <c r="F3451" s="75">
        <v>43476.0</v>
      </c>
      <c r="G3451" s="76"/>
      <c r="H3451" s="76"/>
      <c r="I3451" s="73" t="s">
        <v>366</v>
      </c>
      <c r="J3451" s="76"/>
    </row>
    <row r="3452">
      <c r="A3452" s="74">
        <v>3442.0</v>
      </c>
      <c r="B3452" s="73" t="s">
        <v>3859</v>
      </c>
      <c r="C3452" s="74">
        <v>9.01028218E8</v>
      </c>
      <c r="D3452" s="73" t="s">
        <v>3930</v>
      </c>
      <c r="E3452" s="72">
        <v>87.0</v>
      </c>
      <c r="F3452" s="75">
        <v>43608.0</v>
      </c>
      <c r="G3452" s="76"/>
      <c r="H3452" s="76"/>
      <c r="I3452" s="73" t="s">
        <v>366</v>
      </c>
      <c r="J3452" s="76"/>
    </row>
    <row r="3453">
      <c r="A3453" s="74">
        <v>3443.0</v>
      </c>
      <c r="B3453" s="73" t="s">
        <v>3859</v>
      </c>
      <c r="C3453" s="74">
        <v>9.01209765E8</v>
      </c>
      <c r="D3453" s="73" t="s">
        <v>3931</v>
      </c>
      <c r="E3453" s="72">
        <v>116.0</v>
      </c>
      <c r="F3453" s="75">
        <v>43658.0</v>
      </c>
      <c r="G3453" s="76"/>
      <c r="H3453" s="76"/>
      <c r="I3453" s="73" t="s">
        <v>366</v>
      </c>
      <c r="J3453" s="76"/>
    </row>
    <row r="3454">
      <c r="A3454" s="74">
        <v>3444.0</v>
      </c>
      <c r="B3454" s="73" t="s">
        <v>3859</v>
      </c>
      <c r="C3454" s="74">
        <v>8.14000064E8</v>
      </c>
      <c r="D3454" s="73" t="s">
        <v>3932</v>
      </c>
      <c r="E3454" s="72">
        <v>193.0</v>
      </c>
      <c r="F3454" s="77">
        <v>43797.0</v>
      </c>
      <c r="G3454" s="76"/>
      <c r="H3454" s="76"/>
      <c r="I3454" s="73" t="s">
        <v>366</v>
      </c>
      <c r="J3454" s="76"/>
    </row>
    <row r="3455">
      <c r="A3455" s="74">
        <v>3445.0</v>
      </c>
      <c r="B3455" s="73" t="s">
        <v>3859</v>
      </c>
      <c r="C3455" s="74">
        <v>9.00371082E8</v>
      </c>
      <c r="D3455" s="73" t="s">
        <v>3933</v>
      </c>
      <c r="E3455" s="72">
        <v>200.0</v>
      </c>
      <c r="F3455" s="77">
        <v>43809.0</v>
      </c>
      <c r="G3455" s="76"/>
      <c r="H3455" s="76"/>
      <c r="I3455" s="73" t="s">
        <v>366</v>
      </c>
      <c r="J3455" s="76"/>
    </row>
    <row r="3456">
      <c r="A3456" s="74">
        <v>3446.0</v>
      </c>
      <c r="B3456" s="73" t="s">
        <v>3859</v>
      </c>
      <c r="C3456" s="74">
        <v>9.0127731E8</v>
      </c>
      <c r="D3456" s="73" t="s">
        <v>3934</v>
      </c>
      <c r="E3456" s="72">
        <v>201.0</v>
      </c>
      <c r="F3456" s="77">
        <v>43830.0</v>
      </c>
      <c r="G3456" s="76"/>
      <c r="H3456" s="76"/>
      <c r="I3456" s="73" t="s">
        <v>366</v>
      </c>
      <c r="J3456" s="76"/>
    </row>
    <row r="3457">
      <c r="A3457" s="74">
        <v>3447.0</v>
      </c>
      <c r="B3457" s="73" t="s">
        <v>3859</v>
      </c>
      <c r="C3457" s="74">
        <v>9.01335987E8</v>
      </c>
      <c r="D3457" s="73" t="s">
        <v>3935</v>
      </c>
      <c r="E3457" s="72">
        <v>14.0</v>
      </c>
      <c r="F3457" s="75">
        <v>43854.0</v>
      </c>
      <c r="G3457" s="76"/>
      <c r="H3457" s="76"/>
      <c r="I3457" s="73" t="s">
        <v>366</v>
      </c>
      <c r="J3457" s="76"/>
    </row>
    <row r="3458">
      <c r="A3458" s="74">
        <v>3448.0</v>
      </c>
      <c r="B3458" s="73" t="s">
        <v>3859</v>
      </c>
      <c r="C3458" s="74">
        <v>9.00634786E8</v>
      </c>
      <c r="D3458" s="73" t="s">
        <v>3936</v>
      </c>
      <c r="E3458" s="72">
        <v>23.0</v>
      </c>
      <c r="F3458" s="75">
        <v>43866.0</v>
      </c>
      <c r="G3458" s="76"/>
      <c r="H3458" s="76"/>
      <c r="I3458" s="73" t="s">
        <v>366</v>
      </c>
      <c r="J3458" s="76"/>
    </row>
    <row r="3459">
      <c r="A3459" s="74">
        <v>3449.0</v>
      </c>
      <c r="B3459" s="73" t="s">
        <v>3859</v>
      </c>
      <c r="C3459" s="74">
        <v>9.01106514E8</v>
      </c>
      <c r="D3459" s="73" t="s">
        <v>3937</v>
      </c>
      <c r="E3459" s="72">
        <v>27.0</v>
      </c>
      <c r="F3459" s="75">
        <v>43872.0</v>
      </c>
      <c r="G3459" s="76"/>
      <c r="H3459" s="76"/>
      <c r="I3459" s="73" t="s">
        <v>366</v>
      </c>
      <c r="J3459" s="76"/>
    </row>
    <row r="3460">
      <c r="A3460" s="74">
        <v>3450.0</v>
      </c>
      <c r="B3460" s="73" t="s">
        <v>3859</v>
      </c>
      <c r="C3460" s="74">
        <v>9.01323603E8</v>
      </c>
      <c r="D3460" s="73" t="s">
        <v>3938</v>
      </c>
      <c r="E3460" s="72">
        <v>2.0203040002225E13</v>
      </c>
      <c r="F3460" s="75">
        <v>43956.0</v>
      </c>
      <c r="G3460" s="76"/>
      <c r="H3460" s="76"/>
      <c r="I3460" s="73" t="s">
        <v>366</v>
      </c>
      <c r="J3460" s="76"/>
    </row>
    <row r="3461">
      <c r="A3461" s="74">
        <v>3451.0</v>
      </c>
      <c r="B3461" s="73" t="s">
        <v>3859</v>
      </c>
      <c r="C3461" s="74">
        <v>9.0109094E8</v>
      </c>
      <c r="D3461" s="73" t="s">
        <v>3939</v>
      </c>
      <c r="E3461" s="72">
        <v>2.0203040002565E13</v>
      </c>
      <c r="F3461" s="75">
        <v>43959.0</v>
      </c>
      <c r="G3461" s="76"/>
      <c r="H3461" s="76"/>
      <c r="I3461" s="73" t="s">
        <v>366</v>
      </c>
      <c r="J3461" s="76"/>
    </row>
    <row r="3462">
      <c r="A3462" s="74">
        <v>3452.0</v>
      </c>
      <c r="B3462" s="73" t="s">
        <v>3859</v>
      </c>
      <c r="C3462" s="74">
        <v>9.0097879E8</v>
      </c>
      <c r="D3462" s="73" t="s">
        <v>3940</v>
      </c>
      <c r="E3462" s="72">
        <v>2.0203040005345E13</v>
      </c>
      <c r="F3462" s="75">
        <v>43987.0</v>
      </c>
      <c r="G3462" s="76"/>
      <c r="H3462" s="76"/>
      <c r="I3462" s="73" t="s">
        <v>366</v>
      </c>
      <c r="J3462" s="76"/>
    </row>
    <row r="3463">
      <c r="A3463" s="74">
        <v>3453.0</v>
      </c>
      <c r="B3463" s="73" t="s">
        <v>3859</v>
      </c>
      <c r="C3463" s="74">
        <v>9.01158922E8</v>
      </c>
      <c r="D3463" s="73" t="s">
        <v>3941</v>
      </c>
      <c r="E3463" s="72">
        <v>2.0203040008415E13</v>
      </c>
      <c r="F3463" s="75">
        <v>44025.0</v>
      </c>
      <c r="G3463" s="76"/>
      <c r="H3463" s="76"/>
      <c r="I3463" s="73" t="s">
        <v>366</v>
      </c>
      <c r="J3463" s="76"/>
    </row>
    <row r="3464">
      <c r="A3464" s="74">
        <v>3454.0</v>
      </c>
      <c r="B3464" s="73" t="s">
        <v>3859</v>
      </c>
      <c r="C3464" s="74">
        <v>9.01363236E8</v>
      </c>
      <c r="D3464" s="73" t="s">
        <v>3942</v>
      </c>
      <c r="E3464" s="72">
        <v>2.0203040012745E13</v>
      </c>
      <c r="F3464" s="75">
        <v>44096.0</v>
      </c>
      <c r="G3464" s="76"/>
      <c r="H3464" s="76"/>
      <c r="I3464" s="73" t="s">
        <v>366</v>
      </c>
      <c r="J3464" s="76"/>
    </row>
    <row r="3465">
      <c r="A3465" s="74">
        <v>3455.0</v>
      </c>
      <c r="B3465" s="73" t="s">
        <v>3859</v>
      </c>
      <c r="C3465" s="74">
        <v>9.01413832E8</v>
      </c>
      <c r="D3465" s="73" t="s">
        <v>3943</v>
      </c>
      <c r="E3465" s="72">
        <v>2.0203040023095E13</v>
      </c>
      <c r="F3465" s="77">
        <v>44154.0</v>
      </c>
      <c r="G3465" s="76"/>
      <c r="H3465" s="76"/>
      <c r="I3465" s="73" t="s">
        <v>366</v>
      </c>
      <c r="J3465" s="76"/>
    </row>
    <row r="3466">
      <c r="A3466" s="74">
        <v>3456.0</v>
      </c>
      <c r="B3466" s="73" t="s">
        <v>3859</v>
      </c>
      <c r="C3466" s="74">
        <v>9.01369093E8</v>
      </c>
      <c r="D3466" s="73" t="s">
        <v>3944</v>
      </c>
      <c r="E3466" s="72">
        <v>2.0203040024825E13</v>
      </c>
      <c r="F3466" s="77">
        <v>44162.0</v>
      </c>
      <c r="G3466" s="76"/>
      <c r="H3466" s="76"/>
      <c r="I3466" s="73" t="s">
        <v>366</v>
      </c>
      <c r="J3466" s="76"/>
    </row>
    <row r="3467">
      <c r="A3467" s="74">
        <v>3457.0</v>
      </c>
      <c r="B3467" s="73" t="s">
        <v>3859</v>
      </c>
      <c r="C3467" s="74">
        <v>9.0145044E8</v>
      </c>
      <c r="D3467" s="73" t="s">
        <v>3945</v>
      </c>
      <c r="E3467" s="72">
        <v>2.0213520022555E13</v>
      </c>
      <c r="F3467" s="75">
        <v>44349.0</v>
      </c>
      <c r="G3467" s="76"/>
      <c r="H3467" s="76"/>
      <c r="I3467" s="73" t="s">
        <v>366</v>
      </c>
      <c r="J3467" s="76"/>
    </row>
    <row r="3468">
      <c r="A3468" s="74">
        <v>3458.0</v>
      </c>
      <c r="B3468" s="73" t="s">
        <v>3859</v>
      </c>
      <c r="C3468" s="74">
        <v>9.00848793E8</v>
      </c>
      <c r="D3468" s="73" t="s">
        <v>3946</v>
      </c>
      <c r="E3468" s="72">
        <v>2.013520036635E12</v>
      </c>
      <c r="F3468" s="75">
        <v>44431.0</v>
      </c>
      <c r="G3468" s="76"/>
      <c r="H3468" s="76"/>
      <c r="I3468" s="73" t="s">
        <v>366</v>
      </c>
      <c r="J3468" s="76"/>
    </row>
    <row r="3469">
      <c r="A3469" s="74">
        <v>3459.0</v>
      </c>
      <c r="B3469" s="73" t="s">
        <v>3859</v>
      </c>
      <c r="C3469" s="74">
        <v>9.01467574E8</v>
      </c>
      <c r="D3469" s="73" t="s">
        <v>3947</v>
      </c>
      <c r="E3469" s="72">
        <v>2.0213520038745E13</v>
      </c>
      <c r="F3469" s="75">
        <v>44442.0</v>
      </c>
      <c r="G3469" s="76"/>
      <c r="H3469" s="76"/>
      <c r="I3469" s="73" t="s">
        <v>366</v>
      </c>
      <c r="J3469" s="76"/>
    </row>
    <row r="3470">
      <c r="A3470" s="74">
        <v>3460.0</v>
      </c>
      <c r="B3470" s="73" t="s">
        <v>3859</v>
      </c>
      <c r="C3470" s="74">
        <v>9.01431521E8</v>
      </c>
      <c r="D3470" s="73" t="s">
        <v>3948</v>
      </c>
      <c r="E3470" s="72">
        <v>2.0213520040625E13</v>
      </c>
      <c r="F3470" s="75">
        <v>44449.0</v>
      </c>
      <c r="G3470" s="76"/>
      <c r="H3470" s="76"/>
      <c r="I3470" s="73" t="s">
        <v>366</v>
      </c>
      <c r="J3470" s="76"/>
    </row>
    <row r="3471">
      <c r="A3471" s="74">
        <v>3461.0</v>
      </c>
      <c r="B3471" s="73" t="s">
        <v>3859</v>
      </c>
      <c r="C3471" s="74">
        <v>9.0099641E8</v>
      </c>
      <c r="D3471" s="73" t="s">
        <v>3949</v>
      </c>
      <c r="E3471" s="72">
        <v>2.0213520045595E13</v>
      </c>
      <c r="F3471" s="77">
        <v>44470.0</v>
      </c>
      <c r="G3471" s="76"/>
      <c r="H3471" s="76"/>
      <c r="I3471" s="73" t="s">
        <v>366</v>
      </c>
      <c r="J3471" s="76"/>
    </row>
    <row r="3472">
      <c r="A3472" s="74">
        <v>3462.0</v>
      </c>
      <c r="B3472" s="73" t="s">
        <v>3859</v>
      </c>
      <c r="C3472" s="74">
        <v>9.01452996E8</v>
      </c>
      <c r="D3472" s="73" t="s">
        <v>3950</v>
      </c>
      <c r="E3472" s="72">
        <v>2.0213520046545E13</v>
      </c>
      <c r="F3472" s="77">
        <v>44475.0</v>
      </c>
      <c r="G3472" s="76"/>
      <c r="H3472" s="76"/>
      <c r="I3472" s="73" t="s">
        <v>366</v>
      </c>
      <c r="J3472" s="76"/>
    </row>
    <row r="3473">
      <c r="A3473" s="74">
        <v>3463.0</v>
      </c>
      <c r="B3473" s="73" t="s">
        <v>3859</v>
      </c>
      <c r="C3473" s="74">
        <v>9.01336062E8</v>
      </c>
      <c r="D3473" s="73" t="s">
        <v>3951</v>
      </c>
      <c r="E3473" s="72">
        <v>2.0212470047955E13</v>
      </c>
      <c r="F3473" s="77">
        <v>44482.0</v>
      </c>
      <c r="G3473" s="76"/>
      <c r="H3473" s="76"/>
      <c r="I3473" s="73" t="s">
        <v>366</v>
      </c>
      <c r="J3473" s="76"/>
    </row>
    <row r="3474">
      <c r="A3474" s="74">
        <v>3464.0</v>
      </c>
      <c r="B3474" s="73" t="s">
        <v>3859</v>
      </c>
      <c r="C3474" s="74">
        <v>9.01003263E8</v>
      </c>
      <c r="D3474" s="73" t="s">
        <v>3952</v>
      </c>
      <c r="E3474" s="72">
        <v>2.0213520052085E13</v>
      </c>
      <c r="F3474" s="77">
        <v>44502.0</v>
      </c>
      <c r="G3474" s="76"/>
      <c r="H3474" s="76"/>
      <c r="I3474" s="73" t="s">
        <v>366</v>
      </c>
      <c r="J3474" s="76"/>
    </row>
    <row r="3475">
      <c r="A3475" s="74">
        <v>3465.0</v>
      </c>
      <c r="B3475" s="73" t="s">
        <v>3859</v>
      </c>
      <c r="C3475" s="74">
        <v>9.01427942E8</v>
      </c>
      <c r="D3475" s="73" t="s">
        <v>3953</v>
      </c>
      <c r="E3475" s="72">
        <v>2.0213520047595E13</v>
      </c>
      <c r="F3475" s="77">
        <v>44510.0</v>
      </c>
      <c r="G3475" s="76"/>
      <c r="H3475" s="76"/>
      <c r="I3475" s="73" t="s">
        <v>366</v>
      </c>
      <c r="J3475" s="76"/>
    </row>
    <row r="3476">
      <c r="A3476" s="74">
        <v>3466.0</v>
      </c>
      <c r="B3476" s="73" t="s">
        <v>3859</v>
      </c>
      <c r="C3476" s="74">
        <v>9.01533564E8</v>
      </c>
      <c r="D3476" s="73" t="s">
        <v>3954</v>
      </c>
      <c r="E3476" s="72">
        <v>2.0213520061345E13</v>
      </c>
      <c r="F3476" s="77">
        <v>44547.0</v>
      </c>
      <c r="G3476" s="76"/>
      <c r="H3476" s="76"/>
      <c r="I3476" s="73" t="s">
        <v>366</v>
      </c>
      <c r="J3476" s="76"/>
    </row>
    <row r="3477">
      <c r="A3477" s="74">
        <v>3467.0</v>
      </c>
      <c r="B3477" s="73" t="s">
        <v>3859</v>
      </c>
      <c r="C3477" s="74">
        <v>9.01462753E8</v>
      </c>
      <c r="D3477" s="73" t="s">
        <v>3955</v>
      </c>
      <c r="E3477" s="72">
        <v>2.0223520001385E13</v>
      </c>
      <c r="F3477" s="75">
        <v>44574.0</v>
      </c>
      <c r="G3477" s="76"/>
      <c r="H3477" s="76"/>
      <c r="I3477" s="73" t="s">
        <v>366</v>
      </c>
      <c r="J3477" s="76"/>
    </row>
    <row r="3478">
      <c r="A3478" s="74">
        <v>3468.0</v>
      </c>
      <c r="B3478" s="73" t="s">
        <v>3859</v>
      </c>
      <c r="C3478" s="74">
        <v>9.00781905E8</v>
      </c>
      <c r="D3478" s="73" t="s">
        <v>3956</v>
      </c>
      <c r="E3478" s="72">
        <v>2.0223520058365E13</v>
      </c>
      <c r="F3478" s="75">
        <v>44831.0</v>
      </c>
      <c r="G3478" s="76"/>
      <c r="H3478" s="76"/>
      <c r="I3478" s="73" t="s">
        <v>366</v>
      </c>
      <c r="J3478" s="76"/>
    </row>
    <row r="3479">
      <c r="A3479" s="74">
        <v>3469.0</v>
      </c>
      <c r="B3479" s="73" t="s">
        <v>3859</v>
      </c>
      <c r="C3479" s="74">
        <v>9.01205166E8</v>
      </c>
      <c r="D3479" s="73" t="s">
        <v>3957</v>
      </c>
      <c r="E3479" s="72">
        <v>2.0233520000425E13</v>
      </c>
      <c r="F3479" s="75">
        <v>44936.0</v>
      </c>
      <c r="G3479" s="76"/>
      <c r="H3479" s="76"/>
      <c r="I3479" s="73" t="s">
        <v>366</v>
      </c>
      <c r="J3479" s="76"/>
    </row>
    <row r="3480">
      <c r="A3480" s="74">
        <v>3470.0</v>
      </c>
      <c r="B3480" s="73" t="s">
        <v>3859</v>
      </c>
      <c r="C3480" s="74">
        <v>9.01660261E8</v>
      </c>
      <c r="D3480" s="73" t="s">
        <v>3958</v>
      </c>
      <c r="E3480" s="72">
        <v>2.0233520013375E13</v>
      </c>
      <c r="F3480" s="75">
        <v>45015.0</v>
      </c>
      <c r="G3480" s="76"/>
      <c r="H3480" s="76"/>
      <c r="I3480" s="73" t="s">
        <v>366</v>
      </c>
      <c r="J3480" s="76"/>
    </row>
    <row r="3481">
      <c r="A3481" s="85">
        <v>3471.0</v>
      </c>
      <c r="B3481" s="79" t="s">
        <v>3859</v>
      </c>
      <c r="C3481" s="80">
        <v>9.00545153E8</v>
      </c>
      <c r="D3481" s="79" t="s">
        <v>3959</v>
      </c>
      <c r="E3481" s="81">
        <v>2.0233520040757E13</v>
      </c>
      <c r="F3481" s="84">
        <v>45190.0</v>
      </c>
      <c r="G3481" s="83"/>
      <c r="H3481" s="83"/>
      <c r="I3481" s="73" t="s">
        <v>366</v>
      </c>
      <c r="J3481" s="76"/>
    </row>
    <row r="3482">
      <c r="A3482" s="74">
        <v>3472.0</v>
      </c>
      <c r="B3482" s="73" t="s">
        <v>3859</v>
      </c>
      <c r="C3482" s="74">
        <v>9.01652668E8</v>
      </c>
      <c r="D3482" s="73" t="s">
        <v>3960</v>
      </c>
      <c r="E3482" s="72">
        <v>2.0233520040045E13</v>
      </c>
      <c r="F3482" s="77">
        <v>45211.0</v>
      </c>
      <c r="G3482" s="76"/>
      <c r="H3482" s="76"/>
      <c r="I3482" s="73" t="s">
        <v>366</v>
      </c>
      <c r="J3482" s="76"/>
    </row>
    <row r="3483">
      <c r="A3483" s="74">
        <v>3473.0</v>
      </c>
      <c r="B3483" s="73" t="s">
        <v>3859</v>
      </c>
      <c r="C3483" s="74">
        <v>9.01658247E8</v>
      </c>
      <c r="D3483" s="73" t="s">
        <v>3961</v>
      </c>
      <c r="E3483" s="72">
        <v>2.0243520018545E13</v>
      </c>
      <c r="F3483" s="75">
        <v>45414.0</v>
      </c>
      <c r="G3483" s="76"/>
      <c r="H3483" s="76"/>
      <c r="I3483" s="73" t="s">
        <v>366</v>
      </c>
      <c r="J3483" s="76"/>
    </row>
    <row r="3484">
      <c r="A3484" s="74">
        <v>3474.0</v>
      </c>
      <c r="B3484" s="73" t="s">
        <v>3859</v>
      </c>
      <c r="C3484" s="74">
        <v>9.01623665E8</v>
      </c>
      <c r="D3484" s="73" t="s">
        <v>3962</v>
      </c>
      <c r="E3484" s="72">
        <v>2.0243520024785E13</v>
      </c>
      <c r="F3484" s="75">
        <v>45447.0</v>
      </c>
      <c r="G3484" s="76"/>
      <c r="H3484" s="76"/>
      <c r="I3484" s="73" t="s">
        <v>366</v>
      </c>
      <c r="J3484" s="76"/>
    </row>
    <row r="3485">
      <c r="A3485" s="74">
        <v>3475.0</v>
      </c>
      <c r="B3485" s="73" t="s">
        <v>3859</v>
      </c>
      <c r="C3485" s="74">
        <v>9.00162246E8</v>
      </c>
      <c r="D3485" s="73" t="s">
        <v>3963</v>
      </c>
      <c r="E3485" s="72">
        <v>2.0243520046705E13</v>
      </c>
      <c r="F3485" s="75">
        <v>45561.0</v>
      </c>
      <c r="G3485" s="76"/>
      <c r="H3485" s="76"/>
      <c r="I3485" s="73" t="s">
        <v>366</v>
      </c>
      <c r="J3485" s="76"/>
    </row>
    <row r="3486">
      <c r="A3486" s="74">
        <v>3476.0</v>
      </c>
      <c r="B3486" s="73" t="s">
        <v>3859</v>
      </c>
      <c r="C3486" s="74">
        <v>9.01858555E8</v>
      </c>
      <c r="D3486" s="73" t="s">
        <v>3964</v>
      </c>
      <c r="E3486" s="72">
        <v>2.0243520058105E13</v>
      </c>
      <c r="F3486" s="77">
        <v>45625.0</v>
      </c>
      <c r="G3486" s="76"/>
      <c r="H3486" s="76"/>
      <c r="I3486" s="73" t="s">
        <v>366</v>
      </c>
      <c r="J3486" s="76"/>
    </row>
    <row r="3487">
      <c r="A3487" s="74">
        <v>3477.0</v>
      </c>
      <c r="B3487" s="73" t="s">
        <v>3859</v>
      </c>
      <c r="C3487" s="74">
        <v>8.37000715E8</v>
      </c>
      <c r="D3487" s="73" t="s">
        <v>3965</v>
      </c>
      <c r="E3487" s="72">
        <v>2.0243520059225E13</v>
      </c>
      <c r="F3487" s="77">
        <v>45631.0</v>
      </c>
      <c r="G3487" s="76"/>
      <c r="H3487" s="76"/>
      <c r="I3487" s="73" t="s">
        <v>366</v>
      </c>
      <c r="J3487" s="76"/>
    </row>
    <row r="3488">
      <c r="A3488" s="74">
        <v>3478.0</v>
      </c>
      <c r="B3488" s="73" t="s">
        <v>3966</v>
      </c>
      <c r="C3488" s="74">
        <v>8.30025079E8</v>
      </c>
      <c r="D3488" s="73" t="s">
        <v>3967</v>
      </c>
      <c r="E3488" s="72">
        <v>1406.0</v>
      </c>
      <c r="F3488" s="75">
        <v>36378.0</v>
      </c>
      <c r="G3488" s="76"/>
      <c r="H3488" s="76"/>
      <c r="I3488" s="73" t="s">
        <v>366</v>
      </c>
      <c r="J3488" s="76"/>
    </row>
    <row r="3489">
      <c r="A3489" s="74">
        <v>3479.0</v>
      </c>
      <c r="B3489" s="73" t="s">
        <v>3966</v>
      </c>
      <c r="C3489" s="74">
        <v>8.00127676E8</v>
      </c>
      <c r="D3489" s="73" t="s">
        <v>3968</v>
      </c>
      <c r="E3489" s="72">
        <v>329.0</v>
      </c>
      <c r="F3489" s="75">
        <v>36419.0</v>
      </c>
      <c r="G3489" s="76"/>
      <c r="H3489" s="76"/>
      <c r="I3489" s="73" t="s">
        <v>366</v>
      </c>
      <c r="J3489" s="76"/>
    </row>
    <row r="3490">
      <c r="A3490" s="74">
        <v>3480.0</v>
      </c>
      <c r="B3490" s="73" t="s">
        <v>3966</v>
      </c>
      <c r="C3490" s="74">
        <v>8.00053099E8</v>
      </c>
      <c r="D3490" s="73" t="s">
        <v>3969</v>
      </c>
      <c r="E3490" s="72">
        <v>378.0</v>
      </c>
      <c r="F3490" s="77">
        <v>36461.0</v>
      </c>
      <c r="G3490" s="76"/>
      <c r="H3490" s="76"/>
      <c r="I3490" s="73" t="s">
        <v>366</v>
      </c>
      <c r="J3490" s="76"/>
    </row>
    <row r="3491">
      <c r="A3491" s="74">
        <v>3481.0</v>
      </c>
      <c r="B3491" s="73" t="s">
        <v>3966</v>
      </c>
      <c r="C3491" s="74">
        <v>8.00192215E8</v>
      </c>
      <c r="D3491" s="73" t="s">
        <v>3970</v>
      </c>
      <c r="E3491" s="72">
        <v>428.0</v>
      </c>
      <c r="F3491" s="77">
        <v>36503.0</v>
      </c>
      <c r="G3491" s="76"/>
      <c r="H3491" s="76"/>
      <c r="I3491" s="73" t="s">
        <v>366</v>
      </c>
      <c r="J3491" s="76"/>
    </row>
    <row r="3492">
      <c r="A3492" s="74">
        <v>3482.0</v>
      </c>
      <c r="B3492" s="73" t="s">
        <v>3966</v>
      </c>
      <c r="C3492" s="74">
        <v>8.00142252E8</v>
      </c>
      <c r="D3492" s="73" t="s">
        <v>3971</v>
      </c>
      <c r="E3492" s="72">
        <v>441.0</v>
      </c>
      <c r="F3492" s="77">
        <v>36507.0</v>
      </c>
      <c r="G3492" s="76"/>
      <c r="H3492" s="76"/>
      <c r="I3492" s="73" t="s">
        <v>366</v>
      </c>
      <c r="J3492" s="76"/>
    </row>
    <row r="3493">
      <c r="A3493" s="74">
        <v>3483.0</v>
      </c>
      <c r="B3493" s="73" t="s">
        <v>3966</v>
      </c>
      <c r="C3493" s="74">
        <v>8.00052062E8</v>
      </c>
      <c r="D3493" s="73" t="s">
        <v>3972</v>
      </c>
      <c r="E3493" s="72">
        <v>448.0</v>
      </c>
      <c r="F3493" s="77">
        <v>36511.0</v>
      </c>
      <c r="G3493" s="76"/>
      <c r="H3493" s="76"/>
      <c r="I3493" s="73" t="s">
        <v>366</v>
      </c>
      <c r="J3493" s="76"/>
    </row>
    <row r="3494">
      <c r="A3494" s="74">
        <v>3484.0</v>
      </c>
      <c r="B3494" s="73" t="s">
        <v>3966</v>
      </c>
      <c r="C3494" s="74">
        <v>8.90500446E8</v>
      </c>
      <c r="D3494" s="73" t="s">
        <v>3973</v>
      </c>
      <c r="E3494" s="72">
        <v>473.0</v>
      </c>
      <c r="F3494" s="77">
        <v>36523.0</v>
      </c>
      <c r="G3494" s="76"/>
      <c r="H3494" s="76"/>
      <c r="I3494" s="73" t="s">
        <v>366</v>
      </c>
      <c r="J3494" s="76"/>
    </row>
    <row r="3495">
      <c r="A3495" s="74">
        <v>3485.0</v>
      </c>
      <c r="B3495" s="73" t="s">
        <v>3966</v>
      </c>
      <c r="C3495" s="74">
        <v>1.75807623E8</v>
      </c>
      <c r="D3495" s="73" t="s">
        <v>3974</v>
      </c>
      <c r="E3495" s="72">
        <v>1.0</v>
      </c>
      <c r="F3495" s="75">
        <v>36530.0</v>
      </c>
      <c r="G3495" s="76"/>
      <c r="H3495" s="76"/>
      <c r="I3495" s="73" t="s">
        <v>366</v>
      </c>
      <c r="J3495" s="76"/>
    </row>
    <row r="3496">
      <c r="A3496" s="74">
        <v>3486.0</v>
      </c>
      <c r="B3496" s="73" t="s">
        <v>3966</v>
      </c>
      <c r="C3496" s="74">
        <v>8.90503013E8</v>
      </c>
      <c r="D3496" s="73" t="s">
        <v>3975</v>
      </c>
      <c r="E3496" s="72">
        <v>96.0</v>
      </c>
      <c r="F3496" s="75">
        <v>36613.0</v>
      </c>
      <c r="G3496" s="76"/>
      <c r="H3496" s="76"/>
      <c r="I3496" s="73" t="s">
        <v>366</v>
      </c>
      <c r="J3496" s="76"/>
    </row>
    <row r="3497">
      <c r="A3497" s="74">
        <v>3487.0</v>
      </c>
      <c r="B3497" s="73" t="s">
        <v>3966</v>
      </c>
      <c r="C3497" s="74">
        <v>8.90502748E8</v>
      </c>
      <c r="D3497" s="73" t="s">
        <v>3976</v>
      </c>
      <c r="E3497" s="72">
        <v>115.0</v>
      </c>
      <c r="F3497" s="75">
        <v>36634.0</v>
      </c>
      <c r="G3497" s="76"/>
      <c r="H3497" s="76"/>
      <c r="I3497" s="73" t="s">
        <v>366</v>
      </c>
      <c r="J3497" s="76"/>
    </row>
    <row r="3498">
      <c r="A3498" s="74">
        <v>3488.0</v>
      </c>
      <c r="B3498" s="73" t="s">
        <v>3966</v>
      </c>
      <c r="C3498" s="74">
        <v>8.60067802E8</v>
      </c>
      <c r="D3498" s="73" t="s">
        <v>3977</v>
      </c>
      <c r="E3498" s="72">
        <v>118.0</v>
      </c>
      <c r="F3498" s="75">
        <v>36642.0</v>
      </c>
      <c r="G3498" s="76"/>
      <c r="H3498" s="76"/>
      <c r="I3498" s="73" t="s">
        <v>366</v>
      </c>
      <c r="J3498" s="76"/>
    </row>
    <row r="3499">
      <c r="A3499" s="74">
        <v>3489.0</v>
      </c>
      <c r="B3499" s="73" t="s">
        <v>3966</v>
      </c>
      <c r="C3499" s="74">
        <v>8.8201147E8</v>
      </c>
      <c r="D3499" s="73" t="s">
        <v>3978</v>
      </c>
      <c r="E3499" s="72">
        <v>149.0</v>
      </c>
      <c r="F3499" s="75">
        <v>36676.0</v>
      </c>
      <c r="G3499" s="76"/>
      <c r="H3499" s="76"/>
      <c r="I3499" s="73" t="s">
        <v>366</v>
      </c>
      <c r="J3499" s="76"/>
    </row>
    <row r="3500">
      <c r="A3500" s="74">
        <v>3490.0</v>
      </c>
      <c r="B3500" s="73" t="s">
        <v>3966</v>
      </c>
      <c r="C3500" s="74">
        <v>8.00093126E8</v>
      </c>
      <c r="D3500" s="73" t="s">
        <v>3979</v>
      </c>
      <c r="E3500" s="72">
        <v>244.0</v>
      </c>
      <c r="F3500" s="75">
        <v>36714.0</v>
      </c>
      <c r="G3500" s="76"/>
      <c r="H3500" s="76"/>
      <c r="I3500" s="73" t="s">
        <v>366</v>
      </c>
      <c r="J3500" s="76"/>
    </row>
    <row r="3501">
      <c r="A3501" s="74">
        <v>3491.0</v>
      </c>
      <c r="B3501" s="73" t="s">
        <v>3966</v>
      </c>
      <c r="C3501" s="74">
        <v>8.90500388E8</v>
      </c>
      <c r="D3501" s="73" t="s">
        <v>3980</v>
      </c>
      <c r="E3501" s="72">
        <v>247.0</v>
      </c>
      <c r="F3501" s="75">
        <v>36734.0</v>
      </c>
      <c r="G3501" s="76"/>
      <c r="H3501" s="76"/>
      <c r="I3501" s="73" t="s">
        <v>366</v>
      </c>
      <c r="J3501" s="76"/>
    </row>
    <row r="3502">
      <c r="A3502" s="74">
        <v>3492.0</v>
      </c>
      <c r="B3502" s="73" t="s">
        <v>3966</v>
      </c>
      <c r="C3502" s="74">
        <v>8.07003748E8</v>
      </c>
      <c r="D3502" s="73" t="s">
        <v>3981</v>
      </c>
      <c r="E3502" s="72">
        <v>453.0</v>
      </c>
      <c r="F3502" s="77">
        <v>36888.0</v>
      </c>
      <c r="G3502" s="76"/>
      <c r="H3502" s="76"/>
      <c r="I3502" s="73" t="s">
        <v>366</v>
      </c>
      <c r="J3502" s="76"/>
    </row>
    <row r="3503">
      <c r="A3503" s="74">
        <v>3493.0</v>
      </c>
      <c r="B3503" s="73" t="s">
        <v>3966</v>
      </c>
      <c r="C3503" s="74">
        <v>8.90504145E8</v>
      </c>
      <c r="D3503" s="73" t="s">
        <v>3982</v>
      </c>
      <c r="E3503" s="72">
        <v>60.0</v>
      </c>
      <c r="F3503" s="75">
        <v>36973.0</v>
      </c>
      <c r="G3503" s="76"/>
      <c r="H3503" s="76"/>
      <c r="I3503" s="73" t="s">
        <v>366</v>
      </c>
      <c r="J3503" s="76"/>
    </row>
    <row r="3504">
      <c r="A3504" s="74">
        <v>3494.0</v>
      </c>
      <c r="B3504" s="73" t="s">
        <v>3966</v>
      </c>
      <c r="C3504" s="74">
        <v>8.07005607E8</v>
      </c>
      <c r="D3504" s="73" t="s">
        <v>3983</v>
      </c>
      <c r="E3504" s="72">
        <v>118.0</v>
      </c>
      <c r="F3504" s="75">
        <v>37011.0</v>
      </c>
      <c r="G3504" s="76"/>
      <c r="H3504" s="76"/>
      <c r="I3504" s="73" t="s">
        <v>366</v>
      </c>
      <c r="J3504" s="76"/>
    </row>
    <row r="3505">
      <c r="A3505" s="74">
        <v>3495.0</v>
      </c>
      <c r="B3505" s="73" t="s">
        <v>3966</v>
      </c>
      <c r="C3505" s="74">
        <v>8.00139648E8</v>
      </c>
      <c r="D3505" s="73" t="s">
        <v>3984</v>
      </c>
      <c r="E3505" s="72">
        <v>3582.0</v>
      </c>
      <c r="F3505" s="75">
        <v>37018.0</v>
      </c>
      <c r="G3505" s="76"/>
      <c r="H3505" s="76"/>
      <c r="I3505" s="73" t="s">
        <v>366</v>
      </c>
      <c r="J3505" s="76"/>
    </row>
    <row r="3506">
      <c r="A3506" s="74">
        <v>3496.0</v>
      </c>
      <c r="B3506" s="73" t="s">
        <v>3966</v>
      </c>
      <c r="C3506" s="74">
        <v>8.00118882E8</v>
      </c>
      <c r="D3506" s="73" t="s">
        <v>3985</v>
      </c>
      <c r="E3506" s="72">
        <v>198.0</v>
      </c>
      <c r="F3506" s="75">
        <v>37095.0</v>
      </c>
      <c r="G3506" s="76"/>
      <c r="H3506" s="76"/>
      <c r="I3506" s="73" t="s">
        <v>366</v>
      </c>
      <c r="J3506" s="76"/>
    </row>
    <row r="3507">
      <c r="A3507" s="74">
        <v>3497.0</v>
      </c>
      <c r="B3507" s="73" t="s">
        <v>3966</v>
      </c>
      <c r="C3507" s="74">
        <v>8.90500571E8</v>
      </c>
      <c r="D3507" s="73" t="s">
        <v>3986</v>
      </c>
      <c r="E3507" s="72">
        <v>199.0</v>
      </c>
      <c r="F3507" s="75">
        <v>37096.0</v>
      </c>
      <c r="G3507" s="76"/>
      <c r="H3507" s="76"/>
      <c r="I3507" s="73" t="s">
        <v>366</v>
      </c>
      <c r="J3507" s="76"/>
    </row>
    <row r="3508">
      <c r="A3508" s="74">
        <v>3498.0</v>
      </c>
      <c r="B3508" s="73" t="s">
        <v>3966</v>
      </c>
      <c r="C3508" s="74">
        <v>8.07004708E8</v>
      </c>
      <c r="D3508" s="73" t="s">
        <v>3987</v>
      </c>
      <c r="E3508" s="72">
        <v>248.0</v>
      </c>
      <c r="F3508" s="75">
        <v>37154.0</v>
      </c>
      <c r="G3508" s="76"/>
      <c r="H3508" s="76"/>
      <c r="I3508" s="73" t="s">
        <v>366</v>
      </c>
      <c r="J3508" s="76"/>
    </row>
    <row r="3509">
      <c r="A3509" s="74">
        <v>3499.0</v>
      </c>
      <c r="B3509" s="73" t="s">
        <v>3966</v>
      </c>
      <c r="C3509" s="74">
        <v>8.0700629E8</v>
      </c>
      <c r="D3509" s="73" t="s">
        <v>3988</v>
      </c>
      <c r="E3509" s="72">
        <v>283.0</v>
      </c>
      <c r="F3509" s="77">
        <v>37225.0</v>
      </c>
      <c r="G3509" s="76"/>
      <c r="H3509" s="76"/>
      <c r="I3509" s="73" t="s">
        <v>366</v>
      </c>
      <c r="J3509" s="76"/>
    </row>
    <row r="3510">
      <c r="A3510" s="74">
        <v>3500.0</v>
      </c>
      <c r="B3510" s="73" t="s">
        <v>3966</v>
      </c>
      <c r="C3510" s="74">
        <v>8.07005856E8</v>
      </c>
      <c r="D3510" s="73" t="s">
        <v>3989</v>
      </c>
      <c r="E3510" s="72">
        <v>289.0</v>
      </c>
      <c r="F3510" s="77">
        <v>37239.0</v>
      </c>
      <c r="G3510" s="76"/>
      <c r="H3510" s="76"/>
      <c r="I3510" s="73" t="s">
        <v>366</v>
      </c>
      <c r="J3510" s="76"/>
    </row>
    <row r="3511">
      <c r="A3511" s="74">
        <v>3501.0</v>
      </c>
      <c r="B3511" s="73" t="s">
        <v>3966</v>
      </c>
      <c r="C3511" s="74">
        <v>8.00214622E8</v>
      </c>
      <c r="D3511" s="73" t="s">
        <v>3990</v>
      </c>
      <c r="E3511" s="72">
        <v>313.0</v>
      </c>
      <c r="F3511" s="77">
        <v>37256.0</v>
      </c>
      <c r="G3511" s="76"/>
      <c r="H3511" s="76"/>
      <c r="I3511" s="73" t="s">
        <v>366</v>
      </c>
      <c r="J3511" s="76"/>
    </row>
    <row r="3512">
      <c r="A3512" s="74">
        <v>3502.0</v>
      </c>
      <c r="B3512" s="73" t="s">
        <v>3966</v>
      </c>
      <c r="C3512" s="74">
        <v>8.00195967E8</v>
      </c>
      <c r="D3512" s="73" t="s">
        <v>3991</v>
      </c>
      <c r="E3512" s="72">
        <v>13.0</v>
      </c>
      <c r="F3512" s="75">
        <v>37279.0</v>
      </c>
      <c r="G3512" s="76"/>
      <c r="H3512" s="76"/>
      <c r="I3512" s="73" t="s">
        <v>366</v>
      </c>
      <c r="J3512" s="76"/>
    </row>
    <row r="3513">
      <c r="A3513" s="74">
        <v>3503.0</v>
      </c>
      <c r="B3513" s="73" t="s">
        <v>3966</v>
      </c>
      <c r="C3513" s="74">
        <v>8.0401241E8</v>
      </c>
      <c r="D3513" s="73" t="s">
        <v>3992</v>
      </c>
      <c r="E3513" s="72">
        <v>214.0</v>
      </c>
      <c r="F3513" s="75">
        <v>37307.0</v>
      </c>
      <c r="G3513" s="76"/>
      <c r="H3513" s="76"/>
      <c r="I3513" s="73" t="s">
        <v>366</v>
      </c>
      <c r="J3513" s="76"/>
    </row>
    <row r="3514">
      <c r="A3514" s="74">
        <v>3504.0</v>
      </c>
      <c r="B3514" s="73" t="s">
        <v>3966</v>
      </c>
      <c r="C3514" s="74">
        <v>8.07004703E8</v>
      </c>
      <c r="D3514" s="73" t="s">
        <v>284</v>
      </c>
      <c r="E3514" s="72">
        <v>134.0</v>
      </c>
      <c r="F3514" s="75">
        <v>37376.0</v>
      </c>
      <c r="G3514" s="76"/>
      <c r="H3514" s="76"/>
      <c r="I3514" s="73" t="s">
        <v>366</v>
      </c>
      <c r="J3514" s="76"/>
    </row>
    <row r="3515">
      <c r="A3515" s="74">
        <v>3505.0</v>
      </c>
      <c r="B3515" s="73" t="s">
        <v>3966</v>
      </c>
      <c r="C3515" s="74">
        <v>8.00210764E8</v>
      </c>
      <c r="D3515" s="73" t="s">
        <v>3993</v>
      </c>
      <c r="E3515" s="72">
        <v>136.0</v>
      </c>
      <c r="F3515" s="75">
        <v>37382.0</v>
      </c>
      <c r="G3515" s="76"/>
      <c r="H3515" s="76"/>
      <c r="I3515" s="73" t="s">
        <v>366</v>
      </c>
      <c r="J3515" s="76"/>
    </row>
    <row r="3516">
      <c r="A3516" s="74">
        <v>3506.0</v>
      </c>
      <c r="B3516" s="73" t="s">
        <v>3966</v>
      </c>
      <c r="C3516" s="74">
        <v>8.90501793E8</v>
      </c>
      <c r="D3516" s="73" t="s">
        <v>3994</v>
      </c>
      <c r="E3516" s="72">
        <v>241.0</v>
      </c>
      <c r="F3516" s="75">
        <v>37469.0</v>
      </c>
      <c r="G3516" s="76"/>
      <c r="H3516" s="76"/>
      <c r="I3516" s="73" t="s">
        <v>366</v>
      </c>
      <c r="J3516" s="76"/>
    </row>
    <row r="3517">
      <c r="A3517" s="74">
        <v>3507.0</v>
      </c>
      <c r="B3517" s="73" t="s">
        <v>3966</v>
      </c>
      <c r="C3517" s="74">
        <v>8.00204862E8</v>
      </c>
      <c r="D3517" s="73" t="s">
        <v>3995</v>
      </c>
      <c r="E3517" s="72">
        <v>245.0</v>
      </c>
      <c r="F3517" s="75">
        <v>37480.0</v>
      </c>
      <c r="G3517" s="76"/>
      <c r="H3517" s="76"/>
      <c r="I3517" s="73" t="s">
        <v>366</v>
      </c>
      <c r="J3517" s="76"/>
    </row>
    <row r="3518">
      <c r="A3518" s="74">
        <v>3508.0</v>
      </c>
      <c r="B3518" s="73" t="s">
        <v>3966</v>
      </c>
      <c r="C3518" s="74">
        <v>8.07001153E8</v>
      </c>
      <c r="D3518" s="73" t="s">
        <v>3996</v>
      </c>
      <c r="E3518" s="72">
        <v>291.0</v>
      </c>
      <c r="F3518" s="77">
        <v>37536.0</v>
      </c>
      <c r="G3518" s="76"/>
      <c r="H3518" s="76"/>
      <c r="I3518" s="73" t="s">
        <v>366</v>
      </c>
      <c r="J3518" s="76"/>
    </row>
    <row r="3519">
      <c r="A3519" s="74">
        <v>3509.0</v>
      </c>
      <c r="B3519" s="73" t="s">
        <v>3966</v>
      </c>
      <c r="C3519" s="74">
        <v>8.92099421E8</v>
      </c>
      <c r="D3519" s="73" t="s">
        <v>3997</v>
      </c>
      <c r="E3519" s="72">
        <v>307.0</v>
      </c>
      <c r="F3519" s="77">
        <v>37559.0</v>
      </c>
      <c r="G3519" s="76"/>
      <c r="H3519" s="76"/>
      <c r="I3519" s="73" t="s">
        <v>366</v>
      </c>
      <c r="J3519" s="76"/>
    </row>
    <row r="3520">
      <c r="A3520" s="74">
        <v>3510.0</v>
      </c>
      <c r="B3520" s="73" t="s">
        <v>3966</v>
      </c>
      <c r="C3520" s="74">
        <v>8.90504369E8</v>
      </c>
      <c r="D3520" s="73" t="s">
        <v>3998</v>
      </c>
      <c r="E3520" s="72">
        <v>308.0</v>
      </c>
      <c r="F3520" s="77">
        <v>37567.0</v>
      </c>
      <c r="G3520" s="76"/>
      <c r="H3520" s="76"/>
      <c r="I3520" s="73" t="s">
        <v>366</v>
      </c>
      <c r="J3520" s="76"/>
    </row>
    <row r="3521">
      <c r="A3521" s="74">
        <v>3511.0</v>
      </c>
      <c r="B3521" s="73" t="s">
        <v>3966</v>
      </c>
      <c r="C3521" s="74">
        <v>8.25003671E8</v>
      </c>
      <c r="D3521" s="73" t="s">
        <v>3999</v>
      </c>
      <c r="E3521" s="72">
        <v>26.0</v>
      </c>
      <c r="F3521" s="77">
        <v>38341.0</v>
      </c>
      <c r="G3521" s="76"/>
      <c r="H3521" s="76"/>
      <c r="I3521" s="73" t="s">
        <v>366</v>
      </c>
      <c r="J3521" s="76"/>
    </row>
    <row r="3522">
      <c r="A3522" s="74">
        <v>3512.0</v>
      </c>
      <c r="B3522" s="73" t="s">
        <v>3966</v>
      </c>
      <c r="C3522" s="74">
        <v>8.07009034E8</v>
      </c>
      <c r="D3522" s="73" t="s">
        <v>4000</v>
      </c>
      <c r="E3522" s="72">
        <v>70.0</v>
      </c>
      <c r="F3522" s="75">
        <v>38974.0</v>
      </c>
      <c r="G3522" s="76"/>
      <c r="H3522" s="76"/>
      <c r="I3522" s="73" t="s">
        <v>366</v>
      </c>
      <c r="J3522" s="76"/>
    </row>
    <row r="3523">
      <c r="A3523" s="74">
        <v>3513.0</v>
      </c>
      <c r="B3523" s="73" t="s">
        <v>3966</v>
      </c>
      <c r="C3523" s="74">
        <v>8.60017106E8</v>
      </c>
      <c r="D3523" s="73" t="s">
        <v>4001</v>
      </c>
      <c r="E3523" s="72">
        <v>73.0</v>
      </c>
      <c r="F3523" s="77">
        <v>38992.0</v>
      </c>
      <c r="G3523" s="76"/>
      <c r="H3523" s="76"/>
      <c r="I3523" s="73" t="s">
        <v>366</v>
      </c>
      <c r="J3523" s="76"/>
    </row>
    <row r="3524">
      <c r="A3524" s="74">
        <v>3514.0</v>
      </c>
      <c r="B3524" s="73" t="s">
        <v>3966</v>
      </c>
      <c r="C3524" s="74">
        <v>8.30512105E8</v>
      </c>
      <c r="D3524" s="73" t="s">
        <v>4002</v>
      </c>
      <c r="E3524" s="72">
        <v>6.0</v>
      </c>
      <c r="F3524" s="75">
        <v>39104.0</v>
      </c>
      <c r="G3524" s="76"/>
      <c r="H3524" s="76"/>
      <c r="I3524" s="73" t="s">
        <v>366</v>
      </c>
      <c r="J3524" s="76"/>
    </row>
    <row r="3525">
      <c r="A3525" s="74">
        <v>3515.0</v>
      </c>
      <c r="B3525" s="73" t="s">
        <v>3966</v>
      </c>
      <c r="C3525" s="74">
        <v>8.07000124E8</v>
      </c>
      <c r="D3525" s="73" t="s">
        <v>4003</v>
      </c>
      <c r="E3525" s="72">
        <v>96.0</v>
      </c>
      <c r="F3525" s="77">
        <v>39409.0</v>
      </c>
      <c r="G3525" s="76"/>
      <c r="H3525" s="76"/>
      <c r="I3525" s="73" t="s">
        <v>366</v>
      </c>
      <c r="J3525" s="76"/>
    </row>
    <row r="3526">
      <c r="A3526" s="74">
        <v>3516.0</v>
      </c>
      <c r="B3526" s="73" t="s">
        <v>3966</v>
      </c>
      <c r="C3526" s="74">
        <v>8.0009311E8</v>
      </c>
      <c r="D3526" s="73" t="s">
        <v>4004</v>
      </c>
      <c r="E3526" s="72">
        <v>207.0</v>
      </c>
      <c r="F3526" s="75">
        <v>39693.0</v>
      </c>
      <c r="G3526" s="76"/>
      <c r="H3526" s="76"/>
      <c r="I3526" s="73" t="s">
        <v>366</v>
      </c>
      <c r="J3526" s="76"/>
    </row>
    <row r="3527">
      <c r="A3527" s="74">
        <v>3517.0</v>
      </c>
      <c r="B3527" s="73" t="s">
        <v>3966</v>
      </c>
      <c r="C3527" s="74">
        <v>9.00220335E8</v>
      </c>
      <c r="D3527" s="73" t="s">
        <v>4005</v>
      </c>
      <c r="E3527" s="72">
        <v>2.0</v>
      </c>
      <c r="F3527" s="75">
        <v>40207.0</v>
      </c>
      <c r="G3527" s="76"/>
      <c r="H3527" s="76"/>
      <c r="I3527" s="73" t="s">
        <v>366</v>
      </c>
      <c r="J3527" s="76"/>
    </row>
    <row r="3528">
      <c r="A3528" s="74">
        <v>3518.0</v>
      </c>
      <c r="B3528" s="73" t="s">
        <v>3966</v>
      </c>
      <c r="C3528" s="74">
        <v>9.00384949E8</v>
      </c>
      <c r="D3528" s="73" t="s">
        <v>4006</v>
      </c>
      <c r="E3528" s="72">
        <v>34.0</v>
      </c>
      <c r="F3528" s="77">
        <v>40508.0</v>
      </c>
      <c r="G3528" s="76"/>
      <c r="H3528" s="76"/>
      <c r="I3528" s="73" t="s">
        <v>366</v>
      </c>
      <c r="J3528" s="76"/>
    </row>
    <row r="3529">
      <c r="A3529" s="74">
        <v>3519.0</v>
      </c>
      <c r="B3529" s="73" t="s">
        <v>3966</v>
      </c>
      <c r="C3529" s="74">
        <v>9.00326576E8</v>
      </c>
      <c r="D3529" s="73" t="s">
        <v>4007</v>
      </c>
      <c r="E3529" s="72">
        <v>37.0</v>
      </c>
      <c r="F3529" s="77">
        <v>40513.0</v>
      </c>
      <c r="G3529" s="76"/>
      <c r="H3529" s="76"/>
      <c r="I3529" s="73" t="s">
        <v>366</v>
      </c>
      <c r="J3529" s="76"/>
    </row>
    <row r="3530">
      <c r="A3530" s="74">
        <v>3520.0</v>
      </c>
      <c r="B3530" s="73" t="s">
        <v>3966</v>
      </c>
      <c r="C3530" s="74">
        <v>9.00488172E8</v>
      </c>
      <c r="D3530" s="73" t="s">
        <v>4008</v>
      </c>
      <c r="E3530" s="72">
        <v>7.0</v>
      </c>
      <c r="F3530" s="75">
        <v>41053.0</v>
      </c>
      <c r="G3530" s="76"/>
      <c r="H3530" s="76"/>
      <c r="I3530" s="73" t="s">
        <v>366</v>
      </c>
      <c r="J3530" s="76"/>
    </row>
    <row r="3531">
      <c r="A3531" s="74">
        <v>3521.0</v>
      </c>
      <c r="B3531" s="73" t="s">
        <v>3966</v>
      </c>
      <c r="C3531" s="74">
        <v>9.00459526E8</v>
      </c>
      <c r="D3531" s="73" t="s">
        <v>4009</v>
      </c>
      <c r="E3531" s="72">
        <v>20.0</v>
      </c>
      <c r="F3531" s="75">
        <v>41152.0</v>
      </c>
      <c r="G3531" s="76"/>
      <c r="H3531" s="76"/>
      <c r="I3531" s="73" t="s">
        <v>366</v>
      </c>
      <c r="J3531" s="76"/>
    </row>
    <row r="3532">
      <c r="A3532" s="74">
        <v>3522.0</v>
      </c>
      <c r="B3532" s="73" t="s">
        <v>3966</v>
      </c>
      <c r="C3532" s="74">
        <v>9.00518175E8</v>
      </c>
      <c r="D3532" s="73" t="s">
        <v>4010</v>
      </c>
      <c r="E3532" s="72">
        <v>5.0</v>
      </c>
      <c r="F3532" s="75">
        <v>41365.0</v>
      </c>
      <c r="G3532" s="76"/>
      <c r="H3532" s="76"/>
      <c r="I3532" s="73" t="s">
        <v>366</v>
      </c>
      <c r="J3532" s="76"/>
    </row>
    <row r="3533">
      <c r="A3533" s="74">
        <v>3523.0</v>
      </c>
      <c r="B3533" s="73" t="s">
        <v>3966</v>
      </c>
      <c r="C3533" s="74">
        <v>9.00488107E8</v>
      </c>
      <c r="D3533" s="73" t="s">
        <v>4011</v>
      </c>
      <c r="E3533" s="72">
        <v>32.0</v>
      </c>
      <c r="F3533" s="75">
        <v>41374.0</v>
      </c>
      <c r="G3533" s="76"/>
      <c r="H3533" s="76"/>
      <c r="I3533" s="73" t="s">
        <v>366</v>
      </c>
      <c r="J3533" s="76"/>
    </row>
    <row r="3534">
      <c r="A3534" s="85">
        <v>3524.0</v>
      </c>
      <c r="B3534" s="79" t="s">
        <v>3966</v>
      </c>
      <c r="C3534" s="80">
        <v>9.00566303E8</v>
      </c>
      <c r="D3534" s="79" t="s">
        <v>4012</v>
      </c>
      <c r="E3534" s="81">
        <v>16.0</v>
      </c>
      <c r="F3534" s="84">
        <v>41501.0</v>
      </c>
      <c r="G3534" s="83"/>
      <c r="H3534" s="83"/>
      <c r="I3534" s="73" t="s">
        <v>366</v>
      </c>
      <c r="J3534" s="76"/>
    </row>
    <row r="3535">
      <c r="A3535" s="74">
        <v>3525.0</v>
      </c>
      <c r="B3535" s="98" t="s">
        <v>3966</v>
      </c>
      <c r="C3535" s="74">
        <v>9.00605651E8</v>
      </c>
      <c r="D3535" s="73" t="s">
        <v>4013</v>
      </c>
      <c r="E3535" s="72">
        <v>311.0</v>
      </c>
      <c r="F3535" s="75">
        <v>41521.0</v>
      </c>
      <c r="G3535" s="76"/>
      <c r="H3535" s="76"/>
      <c r="I3535" s="73" t="s">
        <v>366</v>
      </c>
      <c r="J3535" s="76"/>
    </row>
    <row r="3536">
      <c r="A3536" s="74">
        <v>3526.0</v>
      </c>
      <c r="B3536" s="98" t="s">
        <v>3966</v>
      </c>
      <c r="C3536" s="74">
        <v>9.00642256E8</v>
      </c>
      <c r="D3536" s="73" t="s">
        <v>4014</v>
      </c>
      <c r="E3536" s="72">
        <v>20.0</v>
      </c>
      <c r="F3536" s="77">
        <v>41550.0</v>
      </c>
      <c r="G3536" s="76"/>
      <c r="H3536" s="76"/>
      <c r="I3536" s="73" t="s">
        <v>366</v>
      </c>
      <c r="J3536" s="76"/>
    </row>
    <row r="3537">
      <c r="A3537" s="74">
        <v>3527.0</v>
      </c>
      <c r="B3537" s="98" t="s">
        <v>3966</v>
      </c>
      <c r="C3537" s="74">
        <v>9.00648031E8</v>
      </c>
      <c r="D3537" s="73" t="s">
        <v>4015</v>
      </c>
      <c r="E3537" s="72">
        <v>21.0</v>
      </c>
      <c r="F3537" s="77">
        <v>41570.0</v>
      </c>
      <c r="G3537" s="76"/>
      <c r="H3537" s="76"/>
      <c r="I3537" s="73" t="s">
        <v>366</v>
      </c>
      <c r="J3537" s="76"/>
    </row>
    <row r="3538">
      <c r="A3538" s="74">
        <v>3528.0</v>
      </c>
      <c r="B3538" s="98" t="s">
        <v>3966</v>
      </c>
      <c r="C3538" s="74">
        <v>9.00636833E8</v>
      </c>
      <c r="D3538" s="73" t="s">
        <v>4016</v>
      </c>
      <c r="E3538" s="72">
        <v>22.0</v>
      </c>
      <c r="F3538" s="77">
        <v>41571.0</v>
      </c>
      <c r="G3538" s="76"/>
      <c r="H3538" s="76"/>
      <c r="I3538" s="73" t="s">
        <v>366</v>
      </c>
      <c r="J3538" s="76"/>
    </row>
    <row r="3539">
      <c r="A3539" s="74">
        <v>3529.0</v>
      </c>
      <c r="B3539" s="98" t="s">
        <v>3966</v>
      </c>
      <c r="C3539" s="74">
        <v>9.00025406E8</v>
      </c>
      <c r="D3539" s="73" t="s">
        <v>4017</v>
      </c>
      <c r="E3539" s="72">
        <v>1.0</v>
      </c>
      <c r="F3539" s="75">
        <v>41646.0</v>
      </c>
      <c r="G3539" s="76"/>
      <c r="H3539" s="76"/>
      <c r="I3539" s="73" t="s">
        <v>366</v>
      </c>
      <c r="J3539" s="76"/>
    </row>
    <row r="3540">
      <c r="A3540" s="74">
        <v>3530.0</v>
      </c>
      <c r="B3540" s="98" t="s">
        <v>3966</v>
      </c>
      <c r="C3540" s="74">
        <v>9.00673455E8</v>
      </c>
      <c r="D3540" s="73" t="s">
        <v>4018</v>
      </c>
      <c r="E3540" s="72">
        <v>2.0</v>
      </c>
      <c r="F3540" s="75">
        <v>41670.0</v>
      </c>
      <c r="G3540" s="76"/>
      <c r="H3540" s="76"/>
      <c r="I3540" s="73" t="s">
        <v>366</v>
      </c>
      <c r="J3540" s="76"/>
    </row>
    <row r="3541">
      <c r="A3541" s="74">
        <v>3531.0</v>
      </c>
      <c r="B3541" s="98" t="s">
        <v>3966</v>
      </c>
      <c r="C3541" s="74">
        <v>9.00703118E8</v>
      </c>
      <c r="D3541" s="73" t="s">
        <v>4019</v>
      </c>
      <c r="E3541" s="72">
        <v>26.0</v>
      </c>
      <c r="F3541" s="75">
        <v>41752.0</v>
      </c>
      <c r="G3541" s="76"/>
      <c r="H3541" s="76"/>
      <c r="I3541" s="73" t="s">
        <v>366</v>
      </c>
      <c r="J3541" s="76"/>
    </row>
    <row r="3542">
      <c r="A3542" s="74">
        <v>3532.0</v>
      </c>
      <c r="B3542" s="98" t="s">
        <v>3966</v>
      </c>
      <c r="C3542" s="74">
        <v>9.00722608E8</v>
      </c>
      <c r="D3542" s="73" t="s">
        <v>4020</v>
      </c>
      <c r="E3542" s="72">
        <v>16.0</v>
      </c>
      <c r="F3542" s="75">
        <v>41814.0</v>
      </c>
      <c r="G3542" s="76"/>
      <c r="H3542" s="76"/>
      <c r="I3542" s="73" t="s">
        <v>366</v>
      </c>
      <c r="J3542" s="76"/>
    </row>
    <row r="3543">
      <c r="A3543" s="74">
        <v>3533.0</v>
      </c>
      <c r="B3543" s="98" t="s">
        <v>3966</v>
      </c>
      <c r="C3543" s="74">
        <v>9.00719398E8</v>
      </c>
      <c r="D3543" s="73" t="s">
        <v>4021</v>
      </c>
      <c r="E3543" s="72">
        <v>264.0</v>
      </c>
      <c r="F3543" s="75">
        <v>41878.0</v>
      </c>
      <c r="G3543" s="76"/>
      <c r="H3543" s="76"/>
      <c r="I3543" s="73" t="s">
        <v>366</v>
      </c>
      <c r="J3543" s="76"/>
    </row>
    <row r="3544">
      <c r="A3544" s="74">
        <v>3534.0</v>
      </c>
      <c r="B3544" s="98" t="s">
        <v>3966</v>
      </c>
      <c r="C3544" s="74">
        <v>9.00853391E8</v>
      </c>
      <c r="D3544" s="73" t="s">
        <v>4022</v>
      </c>
      <c r="E3544" s="72">
        <v>39.0</v>
      </c>
      <c r="F3544" s="75">
        <v>42194.0</v>
      </c>
      <c r="G3544" s="76"/>
      <c r="H3544" s="76"/>
      <c r="I3544" s="73" t="s">
        <v>366</v>
      </c>
      <c r="J3544" s="76"/>
    </row>
    <row r="3545">
      <c r="A3545" s="74">
        <v>3535.0</v>
      </c>
      <c r="B3545" s="98" t="s">
        <v>3966</v>
      </c>
      <c r="C3545" s="74">
        <v>9.00743001E8</v>
      </c>
      <c r="D3545" s="73" t="s">
        <v>4023</v>
      </c>
      <c r="E3545" s="72">
        <v>24.0</v>
      </c>
      <c r="F3545" s="77">
        <v>42366.0</v>
      </c>
      <c r="G3545" s="76"/>
      <c r="H3545" s="76"/>
      <c r="I3545" s="73" t="s">
        <v>366</v>
      </c>
      <c r="J3545" s="76"/>
    </row>
    <row r="3546">
      <c r="A3546" s="74">
        <v>3536.0</v>
      </c>
      <c r="B3546" s="98" t="s">
        <v>3966</v>
      </c>
      <c r="C3546" s="74">
        <v>9.00986346E8</v>
      </c>
      <c r="D3546" s="73" t="s">
        <v>4024</v>
      </c>
      <c r="E3546" s="72">
        <v>20.0</v>
      </c>
      <c r="F3546" s="77">
        <v>42663.0</v>
      </c>
      <c r="G3546" s="76"/>
      <c r="H3546" s="76"/>
      <c r="I3546" s="73" t="s">
        <v>366</v>
      </c>
      <c r="J3546" s="76"/>
    </row>
    <row r="3547">
      <c r="A3547" s="74">
        <v>3537.0</v>
      </c>
      <c r="B3547" s="98" t="s">
        <v>3966</v>
      </c>
      <c r="C3547" s="74">
        <v>9.01002164E8</v>
      </c>
      <c r="D3547" s="73" t="s">
        <v>4025</v>
      </c>
      <c r="E3547" s="72">
        <v>10.0</v>
      </c>
      <c r="F3547" s="75">
        <v>42831.0</v>
      </c>
      <c r="G3547" s="76"/>
      <c r="H3547" s="76"/>
      <c r="I3547" s="73" t="s">
        <v>366</v>
      </c>
      <c r="J3547" s="76"/>
    </row>
    <row r="3548">
      <c r="A3548" s="74">
        <v>3538.0</v>
      </c>
      <c r="B3548" s="98" t="s">
        <v>3966</v>
      </c>
      <c r="C3548" s="74">
        <v>9.01162035E8</v>
      </c>
      <c r="D3548" s="73" t="s">
        <v>4026</v>
      </c>
      <c r="E3548" s="72">
        <v>117.0</v>
      </c>
      <c r="F3548" s="75">
        <v>43197.0</v>
      </c>
      <c r="G3548" s="76"/>
      <c r="H3548" s="76"/>
      <c r="I3548" s="73" t="s">
        <v>366</v>
      </c>
      <c r="J3548" s="76"/>
    </row>
    <row r="3549">
      <c r="A3549" s="74">
        <v>3539.0</v>
      </c>
      <c r="B3549" s="98" t="s">
        <v>3966</v>
      </c>
      <c r="C3549" s="74">
        <v>9.00641692E8</v>
      </c>
      <c r="D3549" s="73" t="s">
        <v>4027</v>
      </c>
      <c r="E3549" s="72">
        <v>729.0</v>
      </c>
      <c r="F3549" s="75">
        <v>43308.0</v>
      </c>
      <c r="G3549" s="76"/>
      <c r="H3549" s="76"/>
      <c r="I3549" s="73" t="s">
        <v>366</v>
      </c>
      <c r="J3549" s="76"/>
    </row>
    <row r="3550">
      <c r="A3550" s="74">
        <v>3540.0</v>
      </c>
      <c r="B3550" s="98" t="s">
        <v>3966</v>
      </c>
      <c r="C3550" s="74">
        <v>9.00964249E8</v>
      </c>
      <c r="D3550" s="73" t="s">
        <v>4028</v>
      </c>
      <c r="E3550" s="72">
        <v>52.0</v>
      </c>
      <c r="F3550" s="77">
        <v>43381.0</v>
      </c>
      <c r="G3550" s="76"/>
      <c r="H3550" s="76"/>
      <c r="I3550" s="73" t="s">
        <v>366</v>
      </c>
      <c r="J3550" s="76"/>
    </row>
    <row r="3551">
      <c r="A3551" s="74">
        <v>3541.0</v>
      </c>
      <c r="B3551" s="98" t="s">
        <v>3966</v>
      </c>
      <c r="C3551" s="74">
        <v>9.00947436E8</v>
      </c>
      <c r="D3551" s="73" t="s">
        <v>4029</v>
      </c>
      <c r="E3551" s="72">
        <v>69.0</v>
      </c>
      <c r="F3551" s="77">
        <v>43464.0</v>
      </c>
      <c r="G3551" s="76"/>
      <c r="H3551" s="76"/>
      <c r="I3551" s="73" t="s">
        <v>366</v>
      </c>
      <c r="J3551" s="76"/>
    </row>
    <row r="3552">
      <c r="A3552" s="74">
        <v>3542.0</v>
      </c>
      <c r="B3552" s="98" t="s">
        <v>3966</v>
      </c>
      <c r="C3552" s="74">
        <v>9.00920156E8</v>
      </c>
      <c r="D3552" s="73" t="s">
        <v>4030</v>
      </c>
      <c r="E3552" s="72">
        <v>15.0</v>
      </c>
      <c r="F3552" s="75">
        <v>43537.0</v>
      </c>
      <c r="G3552" s="76"/>
      <c r="H3552" s="76"/>
      <c r="I3552" s="73" t="s">
        <v>366</v>
      </c>
      <c r="J3552" s="76"/>
    </row>
    <row r="3553">
      <c r="A3553" s="74">
        <v>3543.0</v>
      </c>
      <c r="B3553" s="98" t="s">
        <v>3966</v>
      </c>
      <c r="C3553" s="74">
        <v>9.01268364E8</v>
      </c>
      <c r="D3553" s="73" t="s">
        <v>4031</v>
      </c>
      <c r="E3553" s="72">
        <v>23.0</v>
      </c>
      <c r="F3553" s="75">
        <v>43566.0</v>
      </c>
      <c r="G3553" s="76"/>
      <c r="H3553" s="76"/>
      <c r="I3553" s="73" t="s">
        <v>366</v>
      </c>
      <c r="J3553" s="76"/>
    </row>
    <row r="3554">
      <c r="A3554" s="74">
        <v>3544.0</v>
      </c>
      <c r="B3554" s="98" t="s">
        <v>3966</v>
      </c>
      <c r="C3554" s="74">
        <v>9.00949428E8</v>
      </c>
      <c r="D3554" s="73" t="s">
        <v>4032</v>
      </c>
      <c r="E3554" s="72">
        <v>31.0</v>
      </c>
      <c r="F3554" s="75">
        <v>43643.0</v>
      </c>
      <c r="G3554" s="76"/>
      <c r="H3554" s="76"/>
      <c r="I3554" s="73" t="s">
        <v>366</v>
      </c>
      <c r="J3554" s="76"/>
    </row>
    <row r="3555">
      <c r="A3555" s="74">
        <v>3545.0</v>
      </c>
      <c r="B3555" s="98" t="s">
        <v>3966</v>
      </c>
      <c r="C3555" s="74">
        <v>9.00188373E8</v>
      </c>
      <c r="D3555" s="73" t="s">
        <v>4033</v>
      </c>
      <c r="E3555" s="72">
        <v>33.0</v>
      </c>
      <c r="F3555" s="75">
        <v>43661.0</v>
      </c>
      <c r="G3555" s="76"/>
      <c r="H3555" s="76"/>
      <c r="I3555" s="73" t="s">
        <v>366</v>
      </c>
      <c r="J3555" s="76"/>
    </row>
    <row r="3556">
      <c r="A3556" s="74">
        <v>3546.0</v>
      </c>
      <c r="B3556" s="98" t="s">
        <v>3966</v>
      </c>
      <c r="C3556" s="74">
        <v>9.01073199E8</v>
      </c>
      <c r="D3556" s="73" t="s">
        <v>4034</v>
      </c>
      <c r="E3556" s="72">
        <v>34.0</v>
      </c>
      <c r="F3556" s="75">
        <v>43663.0</v>
      </c>
      <c r="G3556" s="76"/>
      <c r="H3556" s="76"/>
      <c r="I3556" s="73" t="s">
        <v>366</v>
      </c>
      <c r="J3556" s="76"/>
    </row>
    <row r="3557">
      <c r="A3557" s="74">
        <v>3547.0</v>
      </c>
      <c r="B3557" s="98" t="s">
        <v>3966</v>
      </c>
      <c r="C3557" s="74">
        <v>9.01330237E8</v>
      </c>
      <c r="D3557" s="73" t="s">
        <v>4035</v>
      </c>
      <c r="E3557" s="72">
        <v>64.0</v>
      </c>
      <c r="F3557" s="77">
        <v>43784.0</v>
      </c>
      <c r="G3557" s="76"/>
      <c r="H3557" s="76"/>
      <c r="I3557" s="73" t="s">
        <v>366</v>
      </c>
      <c r="J3557" s="76"/>
    </row>
    <row r="3558">
      <c r="A3558" s="74">
        <v>3548.0</v>
      </c>
      <c r="B3558" s="98" t="s">
        <v>3966</v>
      </c>
      <c r="C3558" s="74">
        <v>9.01300473E8</v>
      </c>
      <c r="D3558" s="73" t="s">
        <v>4036</v>
      </c>
      <c r="E3558" s="72">
        <v>73.0</v>
      </c>
      <c r="F3558" s="77">
        <v>43810.0</v>
      </c>
      <c r="G3558" s="76"/>
      <c r="H3558" s="76"/>
      <c r="I3558" s="73" t="s">
        <v>366</v>
      </c>
      <c r="J3558" s="76"/>
    </row>
    <row r="3559">
      <c r="A3559" s="74">
        <v>3549.0</v>
      </c>
      <c r="B3559" s="98" t="s">
        <v>3966</v>
      </c>
      <c r="C3559" s="74">
        <v>9.01226663E8</v>
      </c>
      <c r="D3559" s="73" t="s">
        <v>4037</v>
      </c>
      <c r="E3559" s="72">
        <v>75.0</v>
      </c>
      <c r="F3559" s="77">
        <v>43818.0</v>
      </c>
      <c r="G3559" s="76"/>
      <c r="H3559" s="76"/>
      <c r="I3559" s="73" t="s">
        <v>366</v>
      </c>
      <c r="J3559" s="76"/>
    </row>
    <row r="3560">
      <c r="A3560" s="74">
        <v>3550.0</v>
      </c>
      <c r="B3560" s="98" t="s">
        <v>3966</v>
      </c>
      <c r="C3560" s="74">
        <v>9.0035766E8</v>
      </c>
      <c r="D3560" s="73" t="s">
        <v>4038</v>
      </c>
      <c r="E3560" s="72">
        <v>253.0</v>
      </c>
      <c r="F3560" s="77">
        <v>43826.0</v>
      </c>
      <c r="G3560" s="76"/>
      <c r="H3560" s="76"/>
      <c r="I3560" s="73" t="s">
        <v>366</v>
      </c>
      <c r="J3560" s="76"/>
    </row>
    <row r="3561">
      <c r="A3561" s="74">
        <v>3551.0</v>
      </c>
      <c r="B3561" s="98" t="s">
        <v>3966</v>
      </c>
      <c r="C3561" s="74">
        <v>9.01251228E8</v>
      </c>
      <c r="D3561" s="73" t="s">
        <v>4039</v>
      </c>
      <c r="E3561" s="72">
        <v>570.0</v>
      </c>
      <c r="F3561" s="75">
        <v>44239.0</v>
      </c>
      <c r="G3561" s="76"/>
      <c r="H3561" s="76"/>
      <c r="I3561" s="73" t="s">
        <v>366</v>
      </c>
      <c r="J3561" s="76"/>
    </row>
    <row r="3562">
      <c r="A3562" s="74">
        <v>3552.0</v>
      </c>
      <c r="B3562" s="98" t="s">
        <v>3966</v>
      </c>
      <c r="C3562" s="74">
        <v>8.07009216E8</v>
      </c>
      <c r="D3562" s="73" t="s">
        <v>4040</v>
      </c>
      <c r="E3562" s="72">
        <v>2818.0</v>
      </c>
      <c r="F3562" s="75">
        <v>44384.0</v>
      </c>
      <c r="G3562" s="76"/>
      <c r="H3562" s="76"/>
      <c r="I3562" s="73" t="s">
        <v>366</v>
      </c>
      <c r="J3562" s="76"/>
    </row>
    <row r="3563">
      <c r="A3563" s="74">
        <v>3553.0</v>
      </c>
      <c r="B3563" s="98" t="s">
        <v>3966</v>
      </c>
      <c r="C3563" s="74">
        <v>9.01469296E8</v>
      </c>
      <c r="D3563" s="73" t="s">
        <v>4041</v>
      </c>
      <c r="E3563" s="72">
        <v>28905.0</v>
      </c>
      <c r="F3563" s="75">
        <v>44389.0</v>
      </c>
      <c r="G3563" s="76"/>
      <c r="H3563" s="76"/>
      <c r="I3563" s="73" t="s">
        <v>366</v>
      </c>
      <c r="J3563" s="76"/>
    </row>
    <row r="3564">
      <c r="A3564" s="74">
        <v>3554.0</v>
      </c>
      <c r="B3564" s="98" t="s">
        <v>3966</v>
      </c>
      <c r="C3564" s="74">
        <v>9.01384782E8</v>
      </c>
      <c r="D3564" s="73" t="s">
        <v>4042</v>
      </c>
      <c r="E3564" s="72">
        <v>47535.0</v>
      </c>
      <c r="F3564" s="77">
        <v>44480.0</v>
      </c>
      <c r="G3564" s="76"/>
      <c r="H3564" s="76"/>
      <c r="I3564" s="73" t="s">
        <v>366</v>
      </c>
      <c r="J3564" s="76"/>
    </row>
    <row r="3565">
      <c r="A3565" s="74">
        <v>3555.0</v>
      </c>
      <c r="B3565" s="98" t="s">
        <v>3966</v>
      </c>
      <c r="C3565" s="74">
        <v>9.01020771E8</v>
      </c>
      <c r="D3565" s="73" t="s">
        <v>4043</v>
      </c>
      <c r="E3565" s="72">
        <v>51965.0</v>
      </c>
      <c r="F3565" s="77">
        <v>44502.0</v>
      </c>
      <c r="G3565" s="76"/>
      <c r="H3565" s="76"/>
      <c r="I3565" s="73" t="s">
        <v>366</v>
      </c>
      <c r="J3565" s="76"/>
    </row>
    <row r="3566">
      <c r="A3566" s="74">
        <v>3556.0</v>
      </c>
      <c r="B3566" s="98" t="s">
        <v>3966</v>
      </c>
      <c r="C3566" s="74">
        <v>9.0148346E8</v>
      </c>
      <c r="D3566" s="73" t="s">
        <v>4044</v>
      </c>
      <c r="E3566" s="72">
        <v>56375.0</v>
      </c>
      <c r="F3566" s="77">
        <v>44524.0</v>
      </c>
      <c r="G3566" s="76"/>
      <c r="H3566" s="76"/>
      <c r="I3566" s="73" t="s">
        <v>366</v>
      </c>
      <c r="J3566" s="76"/>
    </row>
    <row r="3567">
      <c r="A3567" s="74">
        <v>3557.0</v>
      </c>
      <c r="B3567" s="98" t="s">
        <v>3966</v>
      </c>
      <c r="C3567" s="74">
        <v>9.01480309E8</v>
      </c>
      <c r="D3567" s="73" t="s">
        <v>4045</v>
      </c>
      <c r="E3567" s="72">
        <v>62855.0</v>
      </c>
      <c r="F3567" s="77">
        <v>44554.0</v>
      </c>
      <c r="G3567" s="76"/>
      <c r="H3567" s="76"/>
      <c r="I3567" s="73" t="s">
        <v>366</v>
      </c>
      <c r="J3567" s="76"/>
    </row>
    <row r="3568">
      <c r="A3568" s="74">
        <v>3558.0</v>
      </c>
      <c r="B3568" s="98" t="s">
        <v>3966</v>
      </c>
      <c r="C3568" s="74">
        <v>9.00928315E8</v>
      </c>
      <c r="D3568" s="73" t="s">
        <v>4046</v>
      </c>
      <c r="E3568" s="72">
        <v>63055.0</v>
      </c>
      <c r="F3568" s="77">
        <v>44557.0</v>
      </c>
      <c r="G3568" s="76"/>
      <c r="H3568" s="76"/>
      <c r="I3568" s="73" t="s">
        <v>366</v>
      </c>
      <c r="J3568" s="76"/>
    </row>
    <row r="3569">
      <c r="A3569" s="74">
        <v>3559.0</v>
      </c>
      <c r="B3569" s="98" t="s">
        <v>3966</v>
      </c>
      <c r="C3569" s="74">
        <v>9.01289681E8</v>
      </c>
      <c r="D3569" s="73" t="s">
        <v>4047</v>
      </c>
      <c r="E3569" s="72">
        <v>63955.0</v>
      </c>
      <c r="F3569" s="77">
        <v>44559.0</v>
      </c>
      <c r="G3569" s="76"/>
      <c r="H3569" s="76"/>
      <c r="I3569" s="73" t="s">
        <v>366</v>
      </c>
      <c r="J3569" s="76"/>
    </row>
    <row r="3570">
      <c r="A3570" s="74">
        <v>3560.0</v>
      </c>
      <c r="B3570" s="98" t="s">
        <v>3966</v>
      </c>
      <c r="C3570" s="74">
        <v>9.0104506E8</v>
      </c>
      <c r="D3570" s="73" t="s">
        <v>4048</v>
      </c>
      <c r="E3570" s="72">
        <v>8285.0</v>
      </c>
      <c r="F3570" s="75">
        <v>44610.0</v>
      </c>
      <c r="G3570" s="76"/>
      <c r="H3570" s="76"/>
      <c r="I3570" s="73" t="s">
        <v>366</v>
      </c>
      <c r="J3570" s="76"/>
    </row>
    <row r="3571">
      <c r="A3571" s="74">
        <v>3561.0</v>
      </c>
      <c r="B3571" s="98" t="s">
        <v>3966</v>
      </c>
      <c r="C3571" s="74">
        <v>9.01565557E8</v>
      </c>
      <c r="D3571" s="73" t="s">
        <v>4049</v>
      </c>
      <c r="E3571" s="72">
        <v>10915.0</v>
      </c>
      <c r="F3571" s="75">
        <v>44624.0</v>
      </c>
      <c r="G3571" s="76"/>
      <c r="H3571" s="76"/>
      <c r="I3571" s="73" t="s">
        <v>366</v>
      </c>
      <c r="J3571" s="76"/>
    </row>
    <row r="3572">
      <c r="A3572" s="74">
        <v>3562.0</v>
      </c>
      <c r="B3572" s="98" t="s">
        <v>3966</v>
      </c>
      <c r="C3572" s="74">
        <v>8.00173666E8</v>
      </c>
      <c r="D3572" s="73" t="s">
        <v>4050</v>
      </c>
      <c r="E3572" s="72">
        <v>17025.0</v>
      </c>
      <c r="F3572" s="75">
        <v>44651.0</v>
      </c>
      <c r="G3572" s="76"/>
      <c r="H3572" s="76"/>
      <c r="I3572" s="73" t="s">
        <v>366</v>
      </c>
      <c r="J3572" s="76"/>
    </row>
    <row r="3573">
      <c r="A3573" s="74">
        <v>3563.0</v>
      </c>
      <c r="B3573" s="98" t="s">
        <v>3966</v>
      </c>
      <c r="C3573" s="74">
        <v>9.014025E8</v>
      </c>
      <c r="D3573" s="73" t="s">
        <v>4051</v>
      </c>
      <c r="E3573" s="72">
        <v>23985.0</v>
      </c>
      <c r="F3573" s="75">
        <v>44685.0</v>
      </c>
      <c r="G3573" s="76"/>
      <c r="H3573" s="76"/>
      <c r="I3573" s="73" t="s">
        <v>366</v>
      </c>
      <c r="J3573" s="76"/>
    </row>
    <row r="3574">
      <c r="A3574" s="74">
        <v>3564.0</v>
      </c>
      <c r="B3574" s="98" t="s">
        <v>3966</v>
      </c>
      <c r="C3574" s="74">
        <v>9.01269586E8</v>
      </c>
      <c r="D3574" s="73" t="s">
        <v>4052</v>
      </c>
      <c r="E3574" s="72">
        <v>42885.0</v>
      </c>
      <c r="F3574" s="75">
        <v>44767.0</v>
      </c>
      <c r="G3574" s="76"/>
      <c r="H3574" s="76"/>
      <c r="I3574" s="73" t="s">
        <v>366</v>
      </c>
      <c r="J3574" s="76"/>
    </row>
    <row r="3575">
      <c r="A3575" s="74">
        <v>3565.0</v>
      </c>
      <c r="B3575" s="98" t="s">
        <v>3966</v>
      </c>
      <c r="C3575" s="74">
        <v>8.07000949E8</v>
      </c>
      <c r="D3575" s="73" t="s">
        <v>4053</v>
      </c>
      <c r="E3575" s="72">
        <v>49745.0</v>
      </c>
      <c r="F3575" s="75">
        <v>44795.0</v>
      </c>
      <c r="G3575" s="76"/>
      <c r="H3575" s="76"/>
      <c r="I3575" s="73" t="s">
        <v>366</v>
      </c>
      <c r="J3575" s="76"/>
    </row>
    <row r="3576">
      <c r="A3576" s="74">
        <v>3566.0</v>
      </c>
      <c r="B3576" s="98" t="s">
        <v>3966</v>
      </c>
      <c r="C3576" s="74">
        <v>8.00132312E8</v>
      </c>
      <c r="D3576" s="73" t="s">
        <v>4054</v>
      </c>
      <c r="E3576" s="72">
        <v>58725.0</v>
      </c>
      <c r="F3576" s="75">
        <v>44832.0</v>
      </c>
      <c r="G3576" s="76"/>
      <c r="H3576" s="76"/>
      <c r="I3576" s="73" t="s">
        <v>366</v>
      </c>
      <c r="J3576" s="76"/>
    </row>
    <row r="3577">
      <c r="A3577" s="74">
        <v>3567.0</v>
      </c>
      <c r="B3577" s="98" t="s">
        <v>3966</v>
      </c>
      <c r="C3577" s="74">
        <v>9.01422577E8</v>
      </c>
      <c r="D3577" s="73" t="s">
        <v>4055</v>
      </c>
      <c r="E3577" s="72">
        <v>68605.0</v>
      </c>
      <c r="F3577" s="77">
        <v>44881.0</v>
      </c>
      <c r="G3577" s="76"/>
      <c r="H3577" s="76"/>
      <c r="I3577" s="73" t="s">
        <v>366</v>
      </c>
      <c r="J3577" s="76"/>
    </row>
    <row r="3578">
      <c r="A3578" s="74">
        <v>3568.0</v>
      </c>
      <c r="B3578" s="98" t="s">
        <v>3966</v>
      </c>
      <c r="C3578" s="74">
        <v>9.01359996E8</v>
      </c>
      <c r="D3578" s="73" t="s">
        <v>4056</v>
      </c>
      <c r="E3578" s="72">
        <v>77835.0</v>
      </c>
      <c r="F3578" s="77">
        <v>44921.0</v>
      </c>
      <c r="G3578" s="76"/>
      <c r="H3578" s="76"/>
      <c r="I3578" s="73" t="s">
        <v>366</v>
      </c>
      <c r="J3578" s="76"/>
    </row>
    <row r="3579">
      <c r="A3579" s="74">
        <v>3569.0</v>
      </c>
      <c r="B3579" s="98" t="s">
        <v>3966</v>
      </c>
      <c r="C3579" s="74">
        <v>9.00304587E8</v>
      </c>
      <c r="D3579" s="73" t="s">
        <v>4057</v>
      </c>
      <c r="E3579" s="72">
        <v>9235.0</v>
      </c>
      <c r="F3579" s="75">
        <v>44981.0</v>
      </c>
      <c r="G3579" s="76"/>
      <c r="H3579" s="76"/>
      <c r="I3579" s="73" t="s">
        <v>366</v>
      </c>
      <c r="J3579" s="76"/>
    </row>
    <row r="3580">
      <c r="A3580" s="74">
        <v>3570.0</v>
      </c>
      <c r="B3580" s="98" t="s">
        <v>3966</v>
      </c>
      <c r="C3580" s="74">
        <v>9.01600305E8</v>
      </c>
      <c r="D3580" s="73" t="s">
        <v>4058</v>
      </c>
      <c r="E3580" s="72">
        <v>8745.0</v>
      </c>
      <c r="F3580" s="75">
        <v>44988.0</v>
      </c>
      <c r="G3580" s="76"/>
      <c r="H3580" s="76"/>
      <c r="I3580" s="73" t="s">
        <v>366</v>
      </c>
      <c r="J3580" s="76"/>
    </row>
    <row r="3581">
      <c r="A3581" s="74">
        <v>3571.0</v>
      </c>
      <c r="B3581" s="98" t="s">
        <v>3966</v>
      </c>
      <c r="C3581" s="74">
        <v>9.00458781E8</v>
      </c>
      <c r="D3581" s="73" t="s">
        <v>4059</v>
      </c>
      <c r="E3581" s="72">
        <v>10555.0</v>
      </c>
      <c r="F3581" s="75">
        <v>44999.0</v>
      </c>
      <c r="G3581" s="76"/>
      <c r="H3581" s="76"/>
      <c r="I3581" s="73" t="s">
        <v>366</v>
      </c>
      <c r="J3581" s="76"/>
    </row>
    <row r="3582">
      <c r="A3582" s="74">
        <v>3572.0</v>
      </c>
      <c r="B3582" s="98" t="s">
        <v>3966</v>
      </c>
      <c r="C3582" s="74">
        <v>9.01374416E8</v>
      </c>
      <c r="D3582" s="73" t="s">
        <v>4060</v>
      </c>
      <c r="E3582" s="72">
        <v>14575.0</v>
      </c>
      <c r="F3582" s="75">
        <v>45028.0</v>
      </c>
      <c r="G3582" s="76"/>
      <c r="H3582" s="76"/>
      <c r="I3582" s="73" t="s">
        <v>366</v>
      </c>
      <c r="J3582" s="76"/>
    </row>
    <row r="3583">
      <c r="A3583" s="74">
        <v>3573.0</v>
      </c>
      <c r="B3583" s="98" t="s">
        <v>3966</v>
      </c>
      <c r="C3583" s="74">
        <v>9.00860753E8</v>
      </c>
      <c r="D3583" s="73" t="s">
        <v>4061</v>
      </c>
      <c r="E3583" s="72">
        <v>17955.0</v>
      </c>
      <c r="F3583" s="75">
        <v>45051.0</v>
      </c>
      <c r="G3583" s="76"/>
      <c r="H3583" s="76"/>
      <c r="I3583" s="73" t="s">
        <v>366</v>
      </c>
      <c r="J3583" s="76"/>
    </row>
    <row r="3584">
      <c r="A3584" s="74">
        <v>3574.0</v>
      </c>
      <c r="B3584" s="98" t="s">
        <v>3966</v>
      </c>
      <c r="C3584" s="74">
        <v>9.01339868E8</v>
      </c>
      <c r="D3584" s="73" t="s">
        <v>4062</v>
      </c>
      <c r="E3584" s="72">
        <v>27365.0</v>
      </c>
      <c r="F3584" s="75">
        <v>45107.0</v>
      </c>
      <c r="G3584" s="76"/>
      <c r="H3584" s="76"/>
      <c r="I3584" s="73" t="s">
        <v>366</v>
      </c>
      <c r="J3584" s="76"/>
    </row>
    <row r="3585">
      <c r="A3585" s="74">
        <v>3575.0</v>
      </c>
      <c r="B3585" s="98" t="s">
        <v>3966</v>
      </c>
      <c r="C3585" s="74">
        <v>9.01466288E8</v>
      </c>
      <c r="D3585" s="73" t="s">
        <v>4063</v>
      </c>
      <c r="E3585" s="72">
        <v>27945.0</v>
      </c>
      <c r="F3585" s="75">
        <v>45112.0</v>
      </c>
      <c r="G3585" s="76"/>
      <c r="H3585" s="76"/>
      <c r="I3585" s="73" t="s">
        <v>366</v>
      </c>
      <c r="J3585" s="76"/>
    </row>
    <row r="3586">
      <c r="A3586" s="74">
        <v>3576.0</v>
      </c>
      <c r="B3586" s="98" t="s">
        <v>3966</v>
      </c>
      <c r="C3586" s="74">
        <v>9.01696666E8</v>
      </c>
      <c r="D3586" s="73" t="s">
        <v>4064</v>
      </c>
      <c r="E3586" s="72">
        <v>30566.0</v>
      </c>
      <c r="F3586" s="75">
        <v>45126.0</v>
      </c>
      <c r="G3586" s="76"/>
      <c r="H3586" s="76"/>
      <c r="I3586" s="73" t="s">
        <v>366</v>
      </c>
      <c r="J3586" s="76"/>
    </row>
    <row r="3587">
      <c r="A3587" s="85">
        <v>3577.0</v>
      </c>
      <c r="B3587" s="99" t="s">
        <v>3966</v>
      </c>
      <c r="C3587" s="80">
        <v>9.00749324E8</v>
      </c>
      <c r="D3587" s="79" t="s">
        <v>4065</v>
      </c>
      <c r="E3587" s="81">
        <v>32935.0</v>
      </c>
      <c r="F3587" s="84">
        <v>45140.0</v>
      </c>
      <c r="G3587" s="83"/>
      <c r="H3587" s="83"/>
      <c r="I3587" s="73" t="s">
        <v>366</v>
      </c>
      <c r="J3587" s="76"/>
    </row>
    <row r="3588">
      <c r="A3588" s="74">
        <v>3578.0</v>
      </c>
      <c r="B3588" s="73" t="s">
        <v>3966</v>
      </c>
      <c r="C3588" s="74">
        <v>9.01711918E8</v>
      </c>
      <c r="D3588" s="73" t="s">
        <v>4066</v>
      </c>
      <c r="E3588" s="72">
        <v>36025.0</v>
      </c>
      <c r="F3588" s="75">
        <v>45161.0</v>
      </c>
      <c r="G3588" s="76"/>
      <c r="H3588" s="76"/>
      <c r="I3588" s="73" t="s">
        <v>366</v>
      </c>
      <c r="J3588" s="76"/>
    </row>
    <row r="3589">
      <c r="A3589" s="74">
        <v>3579.0</v>
      </c>
      <c r="B3589" s="73" t="s">
        <v>3966</v>
      </c>
      <c r="C3589" s="74">
        <v>9.01726024E8</v>
      </c>
      <c r="D3589" s="73" t="s">
        <v>4067</v>
      </c>
      <c r="E3589" s="72">
        <v>36095.0</v>
      </c>
      <c r="F3589" s="75">
        <v>45161.0</v>
      </c>
      <c r="G3589" s="76"/>
      <c r="H3589" s="76"/>
      <c r="I3589" s="73" t="s">
        <v>366</v>
      </c>
      <c r="J3589" s="76"/>
    </row>
    <row r="3590">
      <c r="A3590" s="74">
        <v>3580.0</v>
      </c>
      <c r="B3590" s="73" t="s">
        <v>3966</v>
      </c>
      <c r="C3590" s="74">
        <v>9.01290378E8</v>
      </c>
      <c r="D3590" s="73" t="s">
        <v>4068</v>
      </c>
      <c r="E3590" s="72">
        <v>43625.0</v>
      </c>
      <c r="F3590" s="77">
        <v>45209.0</v>
      </c>
      <c r="G3590" s="76"/>
      <c r="H3590" s="76"/>
      <c r="I3590" s="73" t="s">
        <v>366</v>
      </c>
      <c r="J3590" s="76"/>
    </row>
    <row r="3591">
      <c r="A3591" s="74">
        <v>3581.0</v>
      </c>
      <c r="B3591" s="73" t="s">
        <v>3966</v>
      </c>
      <c r="C3591" s="74">
        <v>8.34001969E8</v>
      </c>
      <c r="D3591" s="73" t="s">
        <v>4069</v>
      </c>
      <c r="E3591" s="72">
        <v>46775.0</v>
      </c>
      <c r="F3591" s="77">
        <v>45229.0</v>
      </c>
      <c r="G3591" s="76"/>
      <c r="H3591" s="76"/>
      <c r="I3591" s="73" t="s">
        <v>366</v>
      </c>
      <c r="J3591" s="76"/>
    </row>
    <row r="3592">
      <c r="A3592" s="74">
        <v>3582.0</v>
      </c>
      <c r="B3592" s="73" t="s">
        <v>3966</v>
      </c>
      <c r="C3592" s="74">
        <v>9.0157661E8</v>
      </c>
      <c r="D3592" s="73" t="s">
        <v>4070</v>
      </c>
      <c r="E3592" s="72">
        <v>48345.0</v>
      </c>
      <c r="F3592" s="77">
        <v>45238.0</v>
      </c>
      <c r="G3592" s="76"/>
      <c r="H3592" s="76"/>
      <c r="I3592" s="73" t="s">
        <v>366</v>
      </c>
      <c r="J3592" s="76"/>
    </row>
    <row r="3593">
      <c r="A3593" s="74">
        <v>3583.0</v>
      </c>
      <c r="B3593" s="73" t="s">
        <v>3966</v>
      </c>
      <c r="C3593" s="74">
        <v>9.00938641E8</v>
      </c>
      <c r="D3593" s="73" t="s">
        <v>4071</v>
      </c>
      <c r="E3593" s="72">
        <v>48615.0</v>
      </c>
      <c r="F3593" s="77">
        <v>45239.0</v>
      </c>
      <c r="G3593" s="76"/>
      <c r="H3593" s="76"/>
      <c r="I3593" s="73" t="s">
        <v>366</v>
      </c>
      <c r="J3593" s="76"/>
    </row>
    <row r="3594">
      <c r="A3594" s="74">
        <v>3584.0</v>
      </c>
      <c r="B3594" s="73" t="s">
        <v>3966</v>
      </c>
      <c r="C3594" s="74">
        <v>9.01088268E8</v>
      </c>
      <c r="D3594" s="73" t="s">
        <v>4072</v>
      </c>
      <c r="E3594" s="72">
        <v>53265.0</v>
      </c>
      <c r="F3594" s="77">
        <v>45266.0</v>
      </c>
      <c r="G3594" s="76"/>
      <c r="H3594" s="76"/>
      <c r="I3594" s="73" t="s">
        <v>366</v>
      </c>
      <c r="J3594" s="76"/>
    </row>
    <row r="3595">
      <c r="A3595" s="74">
        <v>3585.0</v>
      </c>
      <c r="B3595" s="73" t="s">
        <v>3966</v>
      </c>
      <c r="C3595" s="74">
        <v>9.01173365E8</v>
      </c>
      <c r="D3595" s="73" t="s">
        <v>4073</v>
      </c>
      <c r="E3595" s="72">
        <v>5675.0</v>
      </c>
      <c r="F3595" s="75">
        <v>45336.0</v>
      </c>
      <c r="G3595" s="76"/>
      <c r="H3595" s="76"/>
      <c r="I3595" s="73" t="s">
        <v>366</v>
      </c>
      <c r="J3595" s="76"/>
    </row>
    <row r="3596">
      <c r="A3596" s="74">
        <v>3586.0</v>
      </c>
      <c r="B3596" s="73" t="s">
        <v>3966</v>
      </c>
      <c r="C3596" s="74">
        <v>9.01759572E8</v>
      </c>
      <c r="D3596" s="73" t="s">
        <v>4074</v>
      </c>
      <c r="E3596" s="72">
        <v>10785.0</v>
      </c>
      <c r="F3596" s="75">
        <v>45365.0</v>
      </c>
      <c r="G3596" s="76"/>
      <c r="H3596" s="76"/>
      <c r="I3596" s="73" t="s">
        <v>366</v>
      </c>
      <c r="J3596" s="76"/>
    </row>
    <row r="3597">
      <c r="A3597" s="74">
        <v>3587.0</v>
      </c>
      <c r="B3597" s="73" t="s">
        <v>3966</v>
      </c>
      <c r="C3597" s="74">
        <v>9.00940888E8</v>
      </c>
      <c r="D3597" s="73" t="s">
        <v>4075</v>
      </c>
      <c r="E3597" s="72">
        <v>11525.0</v>
      </c>
      <c r="F3597" s="75">
        <v>45371.0</v>
      </c>
      <c r="G3597" s="76"/>
      <c r="H3597" s="76"/>
      <c r="I3597" s="73" t="s">
        <v>366</v>
      </c>
      <c r="J3597" s="76"/>
    </row>
    <row r="3598">
      <c r="A3598" s="74">
        <v>3588.0</v>
      </c>
      <c r="B3598" s="73" t="s">
        <v>3966</v>
      </c>
      <c r="C3598" s="74">
        <v>9.01789723E8</v>
      </c>
      <c r="D3598" s="73" t="s">
        <v>4076</v>
      </c>
      <c r="E3598" s="72">
        <v>20475.0</v>
      </c>
      <c r="F3598" s="75">
        <v>45421.0</v>
      </c>
      <c r="G3598" s="76"/>
      <c r="H3598" s="76"/>
      <c r="I3598" s="73" t="s">
        <v>366</v>
      </c>
      <c r="J3598" s="76"/>
    </row>
    <row r="3599">
      <c r="A3599" s="74">
        <v>3589.0</v>
      </c>
      <c r="B3599" s="73" t="s">
        <v>3966</v>
      </c>
      <c r="C3599" s="74">
        <v>9.01826675E8</v>
      </c>
      <c r="D3599" s="73" t="s">
        <v>4077</v>
      </c>
      <c r="E3599" s="72">
        <v>28365.0</v>
      </c>
      <c r="F3599" s="75">
        <v>45437.0</v>
      </c>
      <c r="G3599" s="76"/>
      <c r="H3599" s="76"/>
      <c r="I3599" s="73" t="s">
        <v>366</v>
      </c>
      <c r="J3599" s="76"/>
    </row>
    <row r="3600">
      <c r="A3600" s="74">
        <v>3590.0</v>
      </c>
      <c r="B3600" s="73" t="s">
        <v>3966</v>
      </c>
      <c r="C3600" s="74">
        <v>9.01446653E8</v>
      </c>
      <c r="D3600" s="73" t="s">
        <v>4078</v>
      </c>
      <c r="E3600" s="72">
        <v>23375.0</v>
      </c>
      <c r="F3600" s="75">
        <v>45439.0</v>
      </c>
      <c r="G3600" s="76"/>
      <c r="H3600" s="76"/>
      <c r="I3600" s="73" t="s">
        <v>366</v>
      </c>
      <c r="J3600" s="76"/>
    </row>
    <row r="3601">
      <c r="A3601" s="74">
        <v>3591.0</v>
      </c>
      <c r="B3601" s="73" t="s">
        <v>3966</v>
      </c>
      <c r="C3601" s="74">
        <v>9.01757182E8</v>
      </c>
      <c r="D3601" s="73" t="s">
        <v>4079</v>
      </c>
      <c r="E3601" s="72">
        <v>26725.0</v>
      </c>
      <c r="F3601" s="75">
        <v>45457.0</v>
      </c>
      <c r="G3601" s="76"/>
      <c r="H3601" s="76"/>
      <c r="I3601" s="73" t="s">
        <v>366</v>
      </c>
      <c r="J3601" s="76"/>
    </row>
    <row r="3602">
      <c r="A3602" s="74">
        <v>3592.0</v>
      </c>
      <c r="B3602" s="73" t="s">
        <v>3966</v>
      </c>
      <c r="C3602" s="74">
        <v>9.01816371E8</v>
      </c>
      <c r="D3602" s="73" t="s">
        <v>4080</v>
      </c>
      <c r="E3602" s="72">
        <v>29835.0</v>
      </c>
      <c r="F3602" s="75">
        <v>45471.0</v>
      </c>
      <c r="G3602" s="76"/>
      <c r="H3602" s="76"/>
      <c r="I3602" s="73" t="s">
        <v>366</v>
      </c>
      <c r="J3602" s="76"/>
    </row>
    <row r="3603">
      <c r="A3603" s="74">
        <v>3593.0</v>
      </c>
      <c r="B3603" s="73" t="s">
        <v>3966</v>
      </c>
      <c r="C3603" s="74">
        <v>9.01666161E8</v>
      </c>
      <c r="D3603" s="73" t="s">
        <v>4081</v>
      </c>
      <c r="E3603" s="72">
        <v>33215.0</v>
      </c>
      <c r="F3603" s="75">
        <v>45492.0</v>
      </c>
      <c r="G3603" s="76"/>
      <c r="H3603" s="76"/>
      <c r="I3603" s="73" t="s">
        <v>366</v>
      </c>
      <c r="J3603" s="76"/>
    </row>
    <row r="3604">
      <c r="A3604" s="74">
        <v>3594.0</v>
      </c>
      <c r="B3604" s="73" t="s">
        <v>3966</v>
      </c>
      <c r="C3604" s="74">
        <v>9.01802848E8</v>
      </c>
      <c r="D3604" s="73" t="s">
        <v>4082</v>
      </c>
      <c r="E3604" s="72">
        <v>47815.0</v>
      </c>
      <c r="F3604" s="77">
        <v>45567.0</v>
      </c>
      <c r="G3604" s="76"/>
      <c r="H3604" s="76"/>
      <c r="I3604" s="73" t="s">
        <v>366</v>
      </c>
      <c r="J3604" s="76"/>
    </row>
    <row r="3605">
      <c r="A3605" s="74">
        <v>3595.0</v>
      </c>
      <c r="B3605" s="73" t="s">
        <v>3966</v>
      </c>
      <c r="C3605" s="74">
        <v>9.01344156E8</v>
      </c>
      <c r="D3605" s="73" t="s">
        <v>4083</v>
      </c>
      <c r="E3605" s="72">
        <v>47955.0</v>
      </c>
      <c r="F3605" s="77">
        <v>45568.0</v>
      </c>
      <c r="G3605" s="76"/>
      <c r="H3605" s="76"/>
      <c r="I3605" s="73" t="s">
        <v>366</v>
      </c>
      <c r="J3605" s="76"/>
    </row>
    <row r="3606">
      <c r="A3606" s="74">
        <v>3596.0</v>
      </c>
      <c r="B3606" s="73" t="s">
        <v>3966</v>
      </c>
      <c r="C3606" s="74">
        <v>9.01442579E8</v>
      </c>
      <c r="D3606" s="73" t="s">
        <v>4084</v>
      </c>
      <c r="E3606" s="72">
        <v>47925.0</v>
      </c>
      <c r="F3606" s="77">
        <v>45568.0</v>
      </c>
      <c r="G3606" s="76"/>
      <c r="H3606" s="76"/>
      <c r="I3606" s="73" t="s">
        <v>366</v>
      </c>
      <c r="J3606" s="76"/>
    </row>
    <row r="3607">
      <c r="A3607" s="74">
        <v>3597.0</v>
      </c>
      <c r="B3607" s="73" t="s">
        <v>3966</v>
      </c>
      <c r="C3607" s="74">
        <v>9.01866559E8</v>
      </c>
      <c r="D3607" s="73" t="s">
        <v>4085</v>
      </c>
      <c r="E3607" s="72">
        <v>56605.0</v>
      </c>
      <c r="F3607" s="77">
        <v>45615.0</v>
      </c>
      <c r="G3607" s="76"/>
      <c r="H3607" s="76"/>
      <c r="I3607" s="73" t="s">
        <v>366</v>
      </c>
      <c r="J3607" s="76"/>
    </row>
    <row r="3608">
      <c r="A3608" s="74">
        <v>3598.0</v>
      </c>
      <c r="B3608" s="73" t="s">
        <v>3966</v>
      </c>
      <c r="C3608" s="74">
        <v>9.00325261E8</v>
      </c>
      <c r="D3608" s="73" t="s">
        <v>4086</v>
      </c>
      <c r="E3608" s="72">
        <v>59125.0</v>
      </c>
      <c r="F3608" s="77">
        <v>45630.0</v>
      </c>
      <c r="G3608" s="76"/>
      <c r="H3608" s="76"/>
      <c r="I3608" s="73" t="s">
        <v>366</v>
      </c>
      <c r="J3608" s="76"/>
    </row>
    <row r="3609">
      <c r="A3609" s="74">
        <v>3599.0</v>
      </c>
      <c r="B3609" s="73" t="s">
        <v>3966</v>
      </c>
      <c r="C3609" s="74">
        <v>9.00191479E8</v>
      </c>
      <c r="D3609" s="73" t="s">
        <v>4087</v>
      </c>
      <c r="E3609" s="72">
        <v>59335.0</v>
      </c>
      <c r="F3609" s="77">
        <v>45631.0</v>
      </c>
      <c r="G3609" s="76"/>
      <c r="H3609" s="76"/>
      <c r="I3609" s="73" t="s">
        <v>366</v>
      </c>
      <c r="J3609" s="76"/>
    </row>
    <row r="3610">
      <c r="A3610" s="74">
        <v>3600.0</v>
      </c>
      <c r="B3610" s="73" t="s">
        <v>3966</v>
      </c>
      <c r="C3610" s="74">
        <v>9.01823285E8</v>
      </c>
      <c r="D3610" s="73" t="s">
        <v>4088</v>
      </c>
      <c r="E3610" s="72">
        <v>63215.0</v>
      </c>
      <c r="F3610" s="77">
        <v>45649.0</v>
      </c>
      <c r="G3610" s="76"/>
      <c r="H3610" s="76"/>
      <c r="I3610" s="73" t="s">
        <v>366</v>
      </c>
      <c r="J3610" s="76"/>
    </row>
    <row r="3611">
      <c r="A3611" s="74">
        <v>3601.0</v>
      </c>
      <c r="B3611" s="73" t="s">
        <v>4089</v>
      </c>
      <c r="C3611" s="74">
        <v>8.900012E8</v>
      </c>
      <c r="D3611" s="73" t="s">
        <v>4090</v>
      </c>
      <c r="E3611" s="72">
        <v>143.0</v>
      </c>
      <c r="F3611" s="77">
        <v>37246.0</v>
      </c>
      <c r="G3611" s="76"/>
      <c r="H3611" s="76"/>
      <c r="I3611" s="73" t="s">
        <v>366</v>
      </c>
      <c r="J3611" s="76"/>
    </row>
    <row r="3612">
      <c r="A3612" s="74">
        <v>3602.0</v>
      </c>
      <c r="B3612" s="73" t="s">
        <v>4089</v>
      </c>
      <c r="C3612" s="74">
        <v>8.90000496E8</v>
      </c>
      <c r="D3612" s="73" t="s">
        <v>4091</v>
      </c>
      <c r="E3612" s="72">
        <v>1.0</v>
      </c>
      <c r="F3612" s="75">
        <v>37264.0</v>
      </c>
      <c r="G3612" s="76"/>
      <c r="H3612" s="76"/>
      <c r="I3612" s="73" t="s">
        <v>366</v>
      </c>
      <c r="J3612" s="76"/>
    </row>
    <row r="3613">
      <c r="A3613" s="74">
        <v>3603.0</v>
      </c>
      <c r="B3613" s="73" t="s">
        <v>4089</v>
      </c>
      <c r="C3613" s="74">
        <v>8.90000442E8</v>
      </c>
      <c r="D3613" s="73" t="s">
        <v>4092</v>
      </c>
      <c r="E3613" s="72">
        <v>15.0</v>
      </c>
      <c r="F3613" s="75">
        <v>37306.0</v>
      </c>
      <c r="G3613" s="76"/>
      <c r="H3613" s="76"/>
      <c r="I3613" s="73" t="s">
        <v>366</v>
      </c>
      <c r="J3613" s="76"/>
    </row>
    <row r="3614">
      <c r="A3614" s="74">
        <v>3604.0</v>
      </c>
      <c r="B3614" s="73" t="s">
        <v>4089</v>
      </c>
      <c r="C3614" s="74">
        <v>8.01004063E8</v>
      </c>
      <c r="D3614" s="73" t="s">
        <v>4093</v>
      </c>
      <c r="E3614" s="72">
        <v>90.0</v>
      </c>
      <c r="F3614" s="77">
        <v>37574.0</v>
      </c>
      <c r="G3614" s="76"/>
      <c r="H3614" s="76"/>
      <c r="I3614" s="73" t="s">
        <v>366</v>
      </c>
      <c r="J3614" s="76"/>
    </row>
    <row r="3615">
      <c r="A3615" s="74">
        <v>3605.0</v>
      </c>
      <c r="B3615" s="73" t="s">
        <v>4089</v>
      </c>
      <c r="C3615" s="74">
        <v>9.0006578E8</v>
      </c>
      <c r="D3615" s="73" t="s">
        <v>4094</v>
      </c>
      <c r="E3615" s="72">
        <v>32.0</v>
      </c>
      <c r="F3615" s="75">
        <v>38860.0</v>
      </c>
      <c r="G3615" s="76"/>
      <c r="H3615" s="76"/>
      <c r="I3615" s="73" t="s">
        <v>366</v>
      </c>
      <c r="J3615" s="76"/>
    </row>
    <row r="3616">
      <c r="A3616" s="74">
        <v>3606.0</v>
      </c>
      <c r="B3616" s="73" t="s">
        <v>4089</v>
      </c>
      <c r="C3616" s="74">
        <v>8.30066459E8</v>
      </c>
      <c r="D3616" s="73" t="s">
        <v>4095</v>
      </c>
      <c r="E3616" s="72">
        <v>6.0</v>
      </c>
      <c r="F3616" s="75">
        <v>39220.0</v>
      </c>
      <c r="G3616" s="76"/>
      <c r="H3616" s="76"/>
      <c r="I3616" s="73" t="s">
        <v>366</v>
      </c>
      <c r="J3616" s="76"/>
    </row>
    <row r="3617">
      <c r="A3617" s="74">
        <v>3607.0</v>
      </c>
      <c r="B3617" s="73" t="s">
        <v>4089</v>
      </c>
      <c r="C3617" s="74">
        <v>8.30507493E8</v>
      </c>
      <c r="D3617" s="73" t="s">
        <v>4096</v>
      </c>
      <c r="E3617" s="72">
        <v>10.0</v>
      </c>
      <c r="F3617" s="75">
        <v>39297.0</v>
      </c>
      <c r="G3617" s="76"/>
      <c r="H3617" s="76"/>
      <c r="I3617" s="73" t="s">
        <v>366</v>
      </c>
      <c r="J3617" s="76"/>
    </row>
    <row r="3618">
      <c r="A3618" s="74">
        <v>3608.0</v>
      </c>
      <c r="B3618" s="73" t="s">
        <v>4089</v>
      </c>
      <c r="C3618" s="74">
        <v>8.16007544E8</v>
      </c>
      <c r="D3618" s="73" t="s">
        <v>4097</v>
      </c>
      <c r="E3618" s="72">
        <v>31.0</v>
      </c>
      <c r="F3618" s="75">
        <v>40753.0</v>
      </c>
      <c r="G3618" s="76"/>
      <c r="H3618" s="76"/>
      <c r="I3618" s="73" t="s">
        <v>366</v>
      </c>
      <c r="J3618" s="76"/>
    </row>
    <row r="3619">
      <c r="A3619" s="74">
        <v>3609.0</v>
      </c>
      <c r="B3619" s="73" t="s">
        <v>4089</v>
      </c>
      <c r="C3619" s="74">
        <v>9.00629916E8</v>
      </c>
      <c r="D3619" s="73" t="s">
        <v>4098</v>
      </c>
      <c r="E3619" s="72">
        <v>68.0</v>
      </c>
      <c r="F3619" s="77">
        <v>41551.0</v>
      </c>
      <c r="G3619" s="76"/>
      <c r="H3619" s="76"/>
      <c r="I3619" s="73" t="s">
        <v>366</v>
      </c>
      <c r="J3619" s="76"/>
    </row>
    <row r="3620">
      <c r="A3620" s="74">
        <v>3610.0</v>
      </c>
      <c r="B3620" s="73" t="s">
        <v>4089</v>
      </c>
      <c r="C3620" s="74">
        <v>8.01003349E8</v>
      </c>
      <c r="D3620" s="73" t="s">
        <v>4099</v>
      </c>
      <c r="E3620" s="72">
        <v>29.0</v>
      </c>
      <c r="F3620" s="77">
        <v>41565.0</v>
      </c>
      <c r="G3620" s="76"/>
      <c r="H3620" s="76"/>
      <c r="I3620" s="73" t="s">
        <v>366</v>
      </c>
      <c r="J3620" s="76"/>
    </row>
    <row r="3621">
      <c r="A3621" s="74">
        <v>3611.0</v>
      </c>
      <c r="B3621" s="73" t="s">
        <v>4089</v>
      </c>
      <c r="C3621" s="74">
        <v>9.01081991E8</v>
      </c>
      <c r="D3621" s="73" t="s">
        <v>4100</v>
      </c>
      <c r="E3621" s="72">
        <v>31.0</v>
      </c>
      <c r="F3621" s="75">
        <v>42961.0</v>
      </c>
      <c r="G3621" s="76"/>
      <c r="H3621" s="76"/>
      <c r="I3621" s="73" t="s">
        <v>366</v>
      </c>
      <c r="J3621" s="76"/>
    </row>
    <row r="3622">
      <c r="A3622" s="74">
        <v>3612.0</v>
      </c>
      <c r="B3622" s="73" t="s">
        <v>4089</v>
      </c>
      <c r="C3622" s="74">
        <v>9.00690739E8</v>
      </c>
      <c r="D3622" s="73" t="s">
        <v>4101</v>
      </c>
      <c r="E3622" s="72">
        <v>9.0</v>
      </c>
      <c r="F3622" s="75">
        <v>43151.0</v>
      </c>
      <c r="G3622" s="76"/>
      <c r="H3622" s="76"/>
      <c r="I3622" s="73" t="s">
        <v>366</v>
      </c>
      <c r="J3622" s="76"/>
    </row>
    <row r="3623">
      <c r="A3623" s="74">
        <v>3613.0</v>
      </c>
      <c r="B3623" s="73" t="s">
        <v>4089</v>
      </c>
      <c r="C3623" s="74">
        <v>9.0115427E8</v>
      </c>
      <c r="D3623" s="73" t="s">
        <v>4102</v>
      </c>
      <c r="E3623" s="72">
        <v>661.0</v>
      </c>
      <c r="F3623" s="77">
        <v>43761.0</v>
      </c>
      <c r="G3623" s="76"/>
      <c r="H3623" s="76"/>
      <c r="I3623" s="73" t="s">
        <v>366</v>
      </c>
      <c r="J3623" s="76"/>
    </row>
    <row r="3624">
      <c r="A3624" s="74">
        <v>3614.0</v>
      </c>
      <c r="B3624" s="73" t="s">
        <v>4089</v>
      </c>
      <c r="C3624" s="74">
        <v>9.01143427E8</v>
      </c>
      <c r="D3624" s="73" t="s">
        <v>4103</v>
      </c>
      <c r="E3624" s="72">
        <v>4.0</v>
      </c>
      <c r="F3624" s="75">
        <v>43873.0</v>
      </c>
      <c r="G3624" s="76"/>
      <c r="H3624" s="76"/>
      <c r="I3624" s="73" t="s">
        <v>366</v>
      </c>
      <c r="J3624" s="76"/>
    </row>
    <row r="3625">
      <c r="A3625" s="74">
        <v>3615.0</v>
      </c>
      <c r="B3625" s="73" t="s">
        <v>4104</v>
      </c>
      <c r="C3625" s="74">
        <v>8.91400592E8</v>
      </c>
      <c r="D3625" s="73" t="s">
        <v>4105</v>
      </c>
      <c r="E3625" s="72">
        <v>49.0</v>
      </c>
      <c r="F3625" s="75">
        <v>37043.0</v>
      </c>
      <c r="G3625" s="76"/>
      <c r="H3625" s="76"/>
      <c r="I3625" s="73" t="s">
        <v>366</v>
      </c>
      <c r="J3625" s="76"/>
    </row>
    <row r="3626">
      <c r="A3626" s="74">
        <v>3616.0</v>
      </c>
      <c r="B3626" s="73" t="s">
        <v>4104</v>
      </c>
      <c r="C3626" s="74">
        <v>8.00150037E8</v>
      </c>
      <c r="D3626" s="73" t="s">
        <v>4106</v>
      </c>
      <c r="E3626" s="72">
        <v>58.0</v>
      </c>
      <c r="F3626" s="75">
        <v>37050.0</v>
      </c>
      <c r="G3626" s="76"/>
      <c r="H3626" s="76"/>
      <c r="I3626" s="73" t="s">
        <v>366</v>
      </c>
      <c r="J3626" s="76"/>
    </row>
    <row r="3627">
      <c r="A3627" s="74">
        <v>3617.0</v>
      </c>
      <c r="B3627" s="73" t="s">
        <v>4104</v>
      </c>
      <c r="C3627" s="74">
        <v>8.9000044E8</v>
      </c>
      <c r="D3627" s="73" t="s">
        <v>4107</v>
      </c>
      <c r="E3627" s="72">
        <v>102.0</v>
      </c>
      <c r="F3627" s="75">
        <v>37131.0</v>
      </c>
      <c r="G3627" s="76"/>
      <c r="H3627" s="76"/>
      <c r="I3627" s="73" t="s">
        <v>366</v>
      </c>
      <c r="J3627" s="76"/>
    </row>
    <row r="3628">
      <c r="A3628" s="74">
        <v>3618.0</v>
      </c>
      <c r="B3628" s="73" t="s">
        <v>4104</v>
      </c>
      <c r="C3628" s="74">
        <v>8.91902733E8</v>
      </c>
      <c r="D3628" s="73" t="s">
        <v>4108</v>
      </c>
      <c r="E3628" s="72">
        <v>50.0</v>
      </c>
      <c r="F3628" s="75">
        <v>37135.0</v>
      </c>
      <c r="G3628" s="76"/>
      <c r="H3628" s="76"/>
      <c r="I3628" s="73" t="s">
        <v>366</v>
      </c>
      <c r="J3628" s="76"/>
    </row>
    <row r="3629">
      <c r="A3629" s="74">
        <v>3619.0</v>
      </c>
      <c r="B3629" s="73" t="s">
        <v>4104</v>
      </c>
      <c r="C3629" s="74">
        <v>8.00045305E8</v>
      </c>
      <c r="D3629" s="73" t="s">
        <v>4109</v>
      </c>
      <c r="E3629" s="72">
        <v>97.0</v>
      </c>
      <c r="F3629" s="75">
        <v>37161.0</v>
      </c>
      <c r="G3629" s="76"/>
      <c r="H3629" s="76"/>
      <c r="I3629" s="73" t="s">
        <v>366</v>
      </c>
      <c r="J3629" s="76"/>
    </row>
    <row r="3630">
      <c r="A3630" s="74">
        <v>3620.0</v>
      </c>
      <c r="B3630" s="73" t="s">
        <v>4104</v>
      </c>
      <c r="C3630" s="74">
        <v>8.00100945E8</v>
      </c>
      <c r="D3630" s="73" t="s">
        <v>4110</v>
      </c>
      <c r="E3630" s="72">
        <v>98.0</v>
      </c>
      <c r="F3630" s="75">
        <v>37161.0</v>
      </c>
      <c r="G3630" s="76"/>
      <c r="H3630" s="76"/>
      <c r="I3630" s="73" t="s">
        <v>366</v>
      </c>
      <c r="J3630" s="76"/>
    </row>
    <row r="3631">
      <c r="A3631" s="74">
        <v>3621.0</v>
      </c>
      <c r="B3631" s="73" t="s">
        <v>4104</v>
      </c>
      <c r="C3631" s="74">
        <v>8.16005671E8</v>
      </c>
      <c r="D3631" s="73" t="s">
        <v>4111</v>
      </c>
      <c r="E3631" s="72">
        <v>119.0</v>
      </c>
      <c r="F3631" s="77">
        <v>37195.0</v>
      </c>
      <c r="G3631" s="76"/>
      <c r="H3631" s="76"/>
      <c r="I3631" s="73" t="s">
        <v>366</v>
      </c>
      <c r="J3631" s="76"/>
    </row>
    <row r="3632">
      <c r="A3632" s="74">
        <v>3622.0</v>
      </c>
      <c r="B3632" s="73" t="s">
        <v>4104</v>
      </c>
      <c r="C3632" s="74">
        <v>8.16005766E8</v>
      </c>
      <c r="D3632" s="73" t="s">
        <v>4112</v>
      </c>
      <c r="E3632" s="72">
        <v>118.0</v>
      </c>
      <c r="F3632" s="77">
        <v>37195.0</v>
      </c>
      <c r="G3632" s="76"/>
      <c r="H3632" s="76"/>
      <c r="I3632" s="73" t="s">
        <v>366</v>
      </c>
      <c r="J3632" s="76"/>
    </row>
    <row r="3633">
      <c r="A3633" s="74">
        <v>3623.0</v>
      </c>
      <c r="B3633" s="73" t="s">
        <v>4104</v>
      </c>
      <c r="C3633" s="74">
        <v>8.16002963E8</v>
      </c>
      <c r="D3633" s="73" t="s">
        <v>4113</v>
      </c>
      <c r="E3633" s="72">
        <v>23.0</v>
      </c>
      <c r="F3633" s="75">
        <v>37330.0</v>
      </c>
      <c r="G3633" s="76"/>
      <c r="H3633" s="76"/>
      <c r="I3633" s="73" t="s">
        <v>366</v>
      </c>
      <c r="J3633" s="76"/>
    </row>
    <row r="3634">
      <c r="A3634" s="74">
        <v>3624.0</v>
      </c>
      <c r="B3634" s="73" t="s">
        <v>4104</v>
      </c>
      <c r="C3634" s="74">
        <v>8.00187017E8</v>
      </c>
      <c r="D3634" s="73" t="s">
        <v>4114</v>
      </c>
      <c r="E3634" s="72">
        <v>206.0</v>
      </c>
      <c r="F3634" s="77">
        <v>37536.0</v>
      </c>
      <c r="G3634" s="76"/>
      <c r="H3634" s="76"/>
      <c r="I3634" s="73" t="s">
        <v>366</v>
      </c>
      <c r="J3634" s="76"/>
    </row>
    <row r="3635">
      <c r="A3635" s="74">
        <v>3625.0</v>
      </c>
      <c r="B3635" s="73" t="s">
        <v>4104</v>
      </c>
      <c r="C3635" s="74">
        <v>1.52527296E8</v>
      </c>
      <c r="D3635" s="73" t="s">
        <v>4115</v>
      </c>
      <c r="E3635" s="72">
        <v>211.0</v>
      </c>
      <c r="F3635" s="77">
        <v>37550.0</v>
      </c>
      <c r="G3635" s="76"/>
      <c r="H3635" s="76"/>
      <c r="I3635" s="73" t="s">
        <v>366</v>
      </c>
      <c r="J3635" s="76"/>
    </row>
    <row r="3636">
      <c r="A3636" s="74">
        <v>3626.0</v>
      </c>
      <c r="B3636" s="73" t="s">
        <v>4104</v>
      </c>
      <c r="C3636" s="74">
        <v>8.00253093E8</v>
      </c>
      <c r="D3636" s="73" t="s">
        <v>4116</v>
      </c>
      <c r="E3636" s="72">
        <v>219.0</v>
      </c>
      <c r="F3636" s="77">
        <v>37561.0</v>
      </c>
      <c r="G3636" s="76"/>
      <c r="H3636" s="76"/>
      <c r="I3636" s="73" t="s">
        <v>366</v>
      </c>
      <c r="J3636" s="76"/>
    </row>
    <row r="3637">
      <c r="A3637" s="74">
        <v>3627.0</v>
      </c>
      <c r="B3637" s="73" t="s">
        <v>4104</v>
      </c>
      <c r="C3637" s="74">
        <v>8.16007146E8</v>
      </c>
      <c r="D3637" s="73" t="s">
        <v>4117</v>
      </c>
      <c r="E3637" s="72">
        <v>49.0</v>
      </c>
      <c r="F3637" s="75">
        <v>37725.0</v>
      </c>
      <c r="G3637" s="76"/>
      <c r="H3637" s="76"/>
      <c r="I3637" s="73" t="s">
        <v>366</v>
      </c>
      <c r="J3637" s="76"/>
    </row>
    <row r="3638">
      <c r="A3638" s="74">
        <v>3628.0</v>
      </c>
      <c r="B3638" s="73" t="s">
        <v>4104</v>
      </c>
      <c r="C3638" s="74">
        <v>8.04014832E8</v>
      </c>
      <c r="D3638" s="73" t="s">
        <v>4118</v>
      </c>
      <c r="E3638" s="72">
        <v>603.0</v>
      </c>
      <c r="F3638" s="75">
        <v>37859.0</v>
      </c>
      <c r="G3638" s="76"/>
      <c r="H3638" s="76"/>
      <c r="I3638" s="73" t="s">
        <v>366</v>
      </c>
      <c r="J3638" s="76"/>
    </row>
    <row r="3639">
      <c r="A3639" s="74">
        <v>3629.0</v>
      </c>
      <c r="B3639" s="73" t="s">
        <v>4104</v>
      </c>
      <c r="C3639" s="74">
        <v>8.30508962E8</v>
      </c>
      <c r="D3639" s="73" t="s">
        <v>4119</v>
      </c>
      <c r="E3639" s="72">
        <v>16.0</v>
      </c>
      <c r="F3639" s="75">
        <v>38421.0</v>
      </c>
      <c r="G3639" s="76"/>
      <c r="H3639" s="76"/>
      <c r="I3639" s="73" t="s">
        <v>366</v>
      </c>
      <c r="J3639" s="76"/>
    </row>
    <row r="3640">
      <c r="A3640" s="85">
        <v>3630.0</v>
      </c>
      <c r="B3640" s="79" t="s">
        <v>4104</v>
      </c>
      <c r="C3640" s="80">
        <v>9.0008193E8</v>
      </c>
      <c r="D3640" s="79" t="s">
        <v>4120</v>
      </c>
      <c r="E3640" s="81">
        <v>68.0</v>
      </c>
      <c r="F3640" s="84">
        <v>38973.0</v>
      </c>
      <c r="G3640" s="83"/>
      <c r="H3640" s="83"/>
      <c r="I3640" s="73" t="s">
        <v>366</v>
      </c>
      <c r="J3640" s="76"/>
    </row>
    <row r="3641">
      <c r="A3641" s="74">
        <v>3631.0</v>
      </c>
      <c r="B3641" s="73" t="s">
        <v>4104</v>
      </c>
      <c r="C3641" s="74">
        <v>8.91401699E8</v>
      </c>
      <c r="D3641" s="73" t="s">
        <v>4121</v>
      </c>
      <c r="E3641" s="72">
        <v>104.0</v>
      </c>
      <c r="F3641" s="77">
        <v>39052.0</v>
      </c>
      <c r="G3641" s="76"/>
      <c r="H3641" s="76"/>
      <c r="I3641" s="73" t="s">
        <v>366</v>
      </c>
      <c r="J3641" s="76"/>
    </row>
    <row r="3642">
      <c r="A3642" s="74">
        <v>3632.0</v>
      </c>
      <c r="B3642" s="73" t="s">
        <v>4104</v>
      </c>
      <c r="C3642" s="74">
        <v>9.00150406E8</v>
      </c>
      <c r="D3642" s="73" t="s">
        <v>4122</v>
      </c>
      <c r="E3642" s="72">
        <v>11.0</v>
      </c>
      <c r="F3642" s="77">
        <v>40120.0</v>
      </c>
      <c r="G3642" s="76"/>
      <c r="H3642" s="76"/>
      <c r="I3642" s="73" t="s">
        <v>366</v>
      </c>
      <c r="J3642" s="76"/>
    </row>
    <row r="3643">
      <c r="A3643" s="74">
        <v>3633.0</v>
      </c>
      <c r="B3643" s="73" t="s">
        <v>4104</v>
      </c>
      <c r="C3643" s="74">
        <v>9.00261246E8</v>
      </c>
      <c r="D3643" s="73" t="s">
        <v>4123</v>
      </c>
      <c r="E3643" s="72">
        <v>14.0</v>
      </c>
      <c r="F3643" s="77">
        <v>40175.0</v>
      </c>
      <c r="G3643" s="76"/>
      <c r="H3643" s="76"/>
      <c r="I3643" s="73" t="s">
        <v>366</v>
      </c>
      <c r="J3643" s="76"/>
    </row>
    <row r="3644">
      <c r="A3644" s="74">
        <v>3634.0</v>
      </c>
      <c r="B3644" s="73" t="s">
        <v>4104</v>
      </c>
      <c r="C3644" s="74">
        <v>8.16007641E8</v>
      </c>
      <c r="D3644" s="73" t="s">
        <v>4124</v>
      </c>
      <c r="E3644" s="72">
        <v>13.0</v>
      </c>
      <c r="F3644" s="75">
        <v>40695.0</v>
      </c>
      <c r="G3644" s="76"/>
      <c r="H3644" s="76"/>
      <c r="I3644" s="73" t="s">
        <v>366</v>
      </c>
      <c r="J3644" s="76"/>
    </row>
    <row r="3645">
      <c r="A3645" s="74">
        <v>3635.0</v>
      </c>
      <c r="B3645" s="73" t="s">
        <v>4104</v>
      </c>
      <c r="C3645" s="74">
        <v>9.00386317E8</v>
      </c>
      <c r="D3645" s="73" t="s">
        <v>4125</v>
      </c>
      <c r="E3645" s="72">
        <v>58.0</v>
      </c>
      <c r="F3645" s="75">
        <v>40746.0</v>
      </c>
      <c r="G3645" s="76"/>
      <c r="H3645" s="76"/>
      <c r="I3645" s="73" t="s">
        <v>366</v>
      </c>
      <c r="J3645" s="76"/>
    </row>
    <row r="3646">
      <c r="A3646" s="74">
        <v>3636.0</v>
      </c>
      <c r="B3646" s="73" t="s">
        <v>4104</v>
      </c>
      <c r="C3646" s="74">
        <v>9.00113487E8</v>
      </c>
      <c r="D3646" s="73" t="s">
        <v>4126</v>
      </c>
      <c r="E3646" s="72">
        <v>9.0</v>
      </c>
      <c r="F3646" s="75">
        <v>41145.0</v>
      </c>
      <c r="G3646" s="76"/>
      <c r="H3646" s="76"/>
      <c r="I3646" s="73" t="s">
        <v>366</v>
      </c>
      <c r="J3646" s="76"/>
    </row>
    <row r="3647">
      <c r="A3647" s="74">
        <v>3637.0</v>
      </c>
      <c r="B3647" s="73" t="s">
        <v>4104</v>
      </c>
      <c r="C3647" s="74">
        <v>9.00690627E8</v>
      </c>
      <c r="D3647" s="73" t="s">
        <v>4127</v>
      </c>
      <c r="E3647" s="72">
        <v>50.0</v>
      </c>
      <c r="F3647" s="75">
        <v>41771.0</v>
      </c>
      <c r="G3647" s="76"/>
      <c r="H3647" s="76"/>
      <c r="I3647" s="73" t="s">
        <v>366</v>
      </c>
      <c r="J3647" s="76"/>
    </row>
    <row r="3648">
      <c r="A3648" s="74">
        <v>3638.0</v>
      </c>
      <c r="B3648" s="73" t="s">
        <v>4104</v>
      </c>
      <c r="C3648" s="74">
        <v>9.00743745E8</v>
      </c>
      <c r="D3648" s="73" t="s">
        <v>4128</v>
      </c>
      <c r="E3648" s="72">
        <v>12.0</v>
      </c>
      <c r="F3648" s="75">
        <v>41870.0</v>
      </c>
      <c r="G3648" s="76"/>
      <c r="H3648" s="76"/>
      <c r="I3648" s="73" t="s">
        <v>366</v>
      </c>
      <c r="J3648" s="76"/>
    </row>
    <row r="3649">
      <c r="A3649" s="74">
        <v>3639.0</v>
      </c>
      <c r="B3649" s="73" t="s">
        <v>4104</v>
      </c>
      <c r="C3649" s="74">
        <v>9.00316025E8</v>
      </c>
      <c r="D3649" s="73" t="s">
        <v>4129</v>
      </c>
      <c r="E3649" s="72">
        <v>20.0</v>
      </c>
      <c r="F3649" s="77">
        <v>41988.0</v>
      </c>
      <c r="G3649" s="76"/>
      <c r="H3649" s="76"/>
      <c r="I3649" s="73" t="s">
        <v>366</v>
      </c>
      <c r="J3649" s="76"/>
    </row>
    <row r="3650">
      <c r="A3650" s="74">
        <v>3640.0</v>
      </c>
      <c r="B3650" s="73" t="s">
        <v>4104</v>
      </c>
      <c r="C3650" s="74">
        <v>8.16003607E8</v>
      </c>
      <c r="D3650" s="73" t="s">
        <v>4130</v>
      </c>
      <c r="E3650" s="72">
        <v>7.0</v>
      </c>
      <c r="F3650" s="75">
        <v>42228.0</v>
      </c>
      <c r="G3650" s="76"/>
      <c r="H3650" s="76"/>
      <c r="I3650" s="73" t="s">
        <v>366</v>
      </c>
      <c r="J3650" s="76"/>
    </row>
    <row r="3651">
      <c r="A3651" s="74">
        <v>3641.0</v>
      </c>
      <c r="B3651" s="73" t="s">
        <v>4104</v>
      </c>
      <c r="C3651" s="74">
        <v>9.00153278E8</v>
      </c>
      <c r="D3651" s="73" t="s">
        <v>4131</v>
      </c>
      <c r="E3651" s="72">
        <v>8.0</v>
      </c>
      <c r="F3651" s="75">
        <v>42234.0</v>
      </c>
      <c r="G3651" s="76"/>
      <c r="H3651" s="76"/>
      <c r="I3651" s="73" t="s">
        <v>366</v>
      </c>
      <c r="J3651" s="76"/>
    </row>
    <row r="3652">
      <c r="A3652" s="74">
        <v>3642.0</v>
      </c>
      <c r="B3652" s="73" t="s">
        <v>4104</v>
      </c>
      <c r="C3652" s="74">
        <v>9.0084895E8</v>
      </c>
      <c r="D3652" s="73" t="s">
        <v>4132</v>
      </c>
      <c r="E3652" s="72">
        <v>56.0</v>
      </c>
      <c r="F3652" s="75">
        <v>42240.0</v>
      </c>
      <c r="G3652" s="76"/>
      <c r="H3652" s="76"/>
      <c r="I3652" s="73" t="s">
        <v>366</v>
      </c>
      <c r="J3652" s="76"/>
    </row>
    <row r="3653">
      <c r="A3653" s="74">
        <v>3643.0</v>
      </c>
      <c r="B3653" s="73" t="s">
        <v>4104</v>
      </c>
      <c r="C3653" s="74">
        <v>9.00873303E8</v>
      </c>
      <c r="D3653" s="73" t="s">
        <v>4133</v>
      </c>
      <c r="E3653" s="72">
        <v>9.0</v>
      </c>
      <c r="F3653" s="75">
        <v>42486.0</v>
      </c>
      <c r="G3653" s="76"/>
      <c r="H3653" s="76"/>
      <c r="I3653" s="73" t="s">
        <v>366</v>
      </c>
      <c r="J3653" s="76"/>
    </row>
    <row r="3654">
      <c r="A3654" s="74">
        <v>3644.0</v>
      </c>
      <c r="B3654" s="73" t="s">
        <v>4104</v>
      </c>
      <c r="C3654" s="74">
        <v>9.00310208E8</v>
      </c>
      <c r="D3654" s="73" t="s">
        <v>4134</v>
      </c>
      <c r="E3654" s="72">
        <v>25.0</v>
      </c>
      <c r="F3654" s="75">
        <v>42614.0</v>
      </c>
      <c r="G3654" s="76"/>
      <c r="H3654" s="76"/>
      <c r="I3654" s="73" t="s">
        <v>366</v>
      </c>
      <c r="J3654" s="76"/>
    </row>
    <row r="3655">
      <c r="A3655" s="74">
        <v>3645.0</v>
      </c>
      <c r="B3655" s="73" t="s">
        <v>4104</v>
      </c>
      <c r="C3655" s="74">
        <v>9.00871522E8</v>
      </c>
      <c r="D3655" s="73" t="s">
        <v>4135</v>
      </c>
      <c r="E3655" s="72">
        <v>42.0</v>
      </c>
      <c r="F3655" s="77">
        <v>42734.0</v>
      </c>
      <c r="G3655" s="76"/>
      <c r="H3655" s="76"/>
      <c r="I3655" s="73" t="s">
        <v>366</v>
      </c>
      <c r="J3655" s="76"/>
    </row>
    <row r="3656">
      <c r="A3656" s="74">
        <v>3646.0</v>
      </c>
      <c r="B3656" s="73" t="s">
        <v>4104</v>
      </c>
      <c r="C3656" s="74">
        <v>9.0067641E8</v>
      </c>
      <c r="D3656" s="73" t="s">
        <v>4136</v>
      </c>
      <c r="E3656" s="72">
        <v>51.0</v>
      </c>
      <c r="F3656" s="75">
        <v>42950.0</v>
      </c>
      <c r="G3656" s="76"/>
      <c r="H3656" s="76"/>
      <c r="I3656" s="73" t="s">
        <v>366</v>
      </c>
      <c r="J3656" s="76"/>
    </row>
    <row r="3657">
      <c r="A3657" s="74">
        <v>3647.0</v>
      </c>
      <c r="B3657" s="73" t="s">
        <v>4104</v>
      </c>
      <c r="C3657" s="74">
        <v>9.00029748E8</v>
      </c>
      <c r="D3657" s="73" t="s">
        <v>4137</v>
      </c>
      <c r="E3657" s="72">
        <v>55.0</v>
      </c>
      <c r="F3657" s="77">
        <v>43796.0</v>
      </c>
      <c r="G3657" s="76"/>
      <c r="H3657" s="76"/>
      <c r="I3657" s="73" t="s">
        <v>366</v>
      </c>
      <c r="J3657" s="76"/>
    </row>
    <row r="3658">
      <c r="A3658" s="74">
        <v>3648.0</v>
      </c>
      <c r="B3658" s="73" t="s">
        <v>4104</v>
      </c>
      <c r="C3658" s="74">
        <v>9.01298569E8</v>
      </c>
      <c r="D3658" s="73" t="s">
        <v>4138</v>
      </c>
      <c r="E3658" s="72">
        <v>2.0203040015225E13</v>
      </c>
      <c r="F3658" s="77">
        <v>44117.0</v>
      </c>
      <c r="G3658" s="76"/>
      <c r="H3658" s="76"/>
      <c r="I3658" s="73" t="s">
        <v>366</v>
      </c>
      <c r="J3658" s="76"/>
    </row>
    <row r="3659">
      <c r="A3659" s="74">
        <v>3649.0</v>
      </c>
      <c r="B3659" s="73" t="s">
        <v>4104</v>
      </c>
      <c r="C3659" s="74">
        <v>9.01363766E8</v>
      </c>
      <c r="D3659" s="73" t="s">
        <v>4139</v>
      </c>
      <c r="E3659" s="72">
        <v>2.0203040015675E13</v>
      </c>
      <c r="F3659" s="77">
        <v>44118.0</v>
      </c>
      <c r="G3659" s="76"/>
      <c r="H3659" s="76"/>
      <c r="I3659" s="73" t="s">
        <v>366</v>
      </c>
      <c r="J3659" s="76"/>
    </row>
    <row r="3660">
      <c r="A3660" s="74">
        <v>3650.0</v>
      </c>
      <c r="B3660" s="73" t="s">
        <v>4104</v>
      </c>
      <c r="C3660" s="74">
        <v>9.0072445E8</v>
      </c>
      <c r="D3660" s="73" t="s">
        <v>4140</v>
      </c>
      <c r="E3660" s="72">
        <v>2.0203040034425E13</v>
      </c>
      <c r="F3660" s="77">
        <v>44196.0</v>
      </c>
      <c r="G3660" s="76"/>
      <c r="H3660" s="76"/>
      <c r="I3660" s="73" t="s">
        <v>366</v>
      </c>
      <c r="J3660" s="76"/>
    </row>
    <row r="3661">
      <c r="A3661" s="74">
        <v>3651.0</v>
      </c>
      <c r="B3661" s="73" t="s">
        <v>4104</v>
      </c>
      <c r="C3661" s="74">
        <v>9.01447844E8</v>
      </c>
      <c r="D3661" s="73" t="s">
        <v>4141</v>
      </c>
      <c r="E3661" s="72">
        <v>2.0213040028665E13</v>
      </c>
      <c r="F3661" s="75">
        <v>44386.0</v>
      </c>
      <c r="G3661" s="76"/>
      <c r="H3661" s="76"/>
      <c r="I3661" s="73" t="s">
        <v>366</v>
      </c>
      <c r="J3661" s="76"/>
    </row>
    <row r="3662">
      <c r="A3662" s="74">
        <v>3652.0</v>
      </c>
      <c r="B3662" s="73" t="s">
        <v>4104</v>
      </c>
      <c r="C3662" s="74">
        <v>9.00909701E8</v>
      </c>
      <c r="D3662" s="73" t="s">
        <v>4142</v>
      </c>
      <c r="E3662" s="72">
        <v>2.0213040035815E13</v>
      </c>
      <c r="F3662" s="75">
        <v>44425.0</v>
      </c>
      <c r="G3662" s="76"/>
      <c r="H3662" s="76"/>
      <c r="I3662" s="73" t="s">
        <v>366</v>
      </c>
      <c r="J3662" s="76"/>
    </row>
    <row r="3663">
      <c r="A3663" s="74">
        <v>3653.0</v>
      </c>
      <c r="B3663" s="73" t="s">
        <v>4104</v>
      </c>
      <c r="C3663" s="74">
        <v>9.00217957E8</v>
      </c>
      <c r="D3663" s="73" t="s">
        <v>4143</v>
      </c>
      <c r="E3663" s="72">
        <v>2.0213660050005E13</v>
      </c>
      <c r="F3663" s="77">
        <v>44490.0</v>
      </c>
      <c r="G3663" s="76"/>
      <c r="H3663" s="76"/>
      <c r="I3663" s="73" t="s">
        <v>366</v>
      </c>
      <c r="J3663" s="76"/>
    </row>
    <row r="3664">
      <c r="A3664" s="74">
        <v>3654.0</v>
      </c>
      <c r="B3664" s="73" t="s">
        <v>4104</v>
      </c>
      <c r="C3664" s="74">
        <v>9.01461295E8</v>
      </c>
      <c r="D3664" s="73" t="s">
        <v>4144</v>
      </c>
      <c r="E3664" s="72">
        <v>2.0213660050255E13</v>
      </c>
      <c r="F3664" s="77">
        <v>44491.0</v>
      </c>
      <c r="G3664" s="76"/>
      <c r="H3664" s="76"/>
      <c r="I3664" s="73" t="s">
        <v>366</v>
      </c>
      <c r="J3664" s="76"/>
    </row>
    <row r="3665">
      <c r="A3665" s="74">
        <v>3655.0</v>
      </c>
      <c r="B3665" s="73" t="s">
        <v>4104</v>
      </c>
      <c r="C3665" s="74">
        <v>9.01602153E8</v>
      </c>
      <c r="D3665" s="73" t="s">
        <v>4145</v>
      </c>
      <c r="E3665" s="72">
        <v>2.0223660050825E13</v>
      </c>
      <c r="F3665" s="75">
        <v>44798.0</v>
      </c>
      <c r="G3665" s="76"/>
      <c r="H3665" s="76"/>
      <c r="I3665" s="73" t="s">
        <v>366</v>
      </c>
      <c r="J3665" s="76"/>
    </row>
    <row r="3666">
      <c r="A3666" s="74">
        <v>3656.0</v>
      </c>
      <c r="B3666" s="73" t="s">
        <v>4104</v>
      </c>
      <c r="C3666" s="74">
        <v>9.0167078E8</v>
      </c>
      <c r="D3666" s="73" t="s">
        <v>4146</v>
      </c>
      <c r="E3666" s="72">
        <v>2.0233660013875E13</v>
      </c>
      <c r="F3666" s="75">
        <v>45019.0</v>
      </c>
      <c r="G3666" s="76"/>
      <c r="H3666" s="76"/>
      <c r="I3666" s="73" t="s">
        <v>366</v>
      </c>
      <c r="J3666" s="76"/>
    </row>
    <row r="3667">
      <c r="A3667" s="74">
        <v>3657.0</v>
      </c>
      <c r="B3667" s="73" t="s">
        <v>4104</v>
      </c>
      <c r="C3667" s="74">
        <v>9.01737845E8</v>
      </c>
      <c r="D3667" s="73" t="s">
        <v>4147</v>
      </c>
      <c r="E3667" s="72">
        <v>2.0243660018135E13</v>
      </c>
      <c r="F3667" s="75">
        <v>45411.0</v>
      </c>
      <c r="G3667" s="76"/>
      <c r="H3667" s="76"/>
      <c r="I3667" s="73" t="s">
        <v>366</v>
      </c>
      <c r="J3667" s="76"/>
    </row>
    <row r="3668">
      <c r="A3668" s="74">
        <v>3658.0</v>
      </c>
      <c r="B3668" s="73" t="s">
        <v>4104</v>
      </c>
      <c r="C3668" s="74">
        <v>9.01144854E8</v>
      </c>
      <c r="D3668" s="73" t="s">
        <v>4148</v>
      </c>
      <c r="E3668" s="72">
        <v>2.0243660019465E13</v>
      </c>
      <c r="F3668" s="75">
        <v>45418.0</v>
      </c>
      <c r="G3668" s="76"/>
      <c r="H3668" s="76"/>
      <c r="I3668" s="73" t="s">
        <v>366</v>
      </c>
      <c r="J3668" s="76"/>
    </row>
    <row r="3669">
      <c r="A3669" s="74">
        <v>3659.0</v>
      </c>
      <c r="B3669" s="73" t="s">
        <v>4104</v>
      </c>
      <c r="C3669" s="74">
        <v>9.01839505E8</v>
      </c>
      <c r="D3669" s="73" t="s">
        <v>4149</v>
      </c>
      <c r="E3669" s="72">
        <v>2.0243660065085E13</v>
      </c>
      <c r="F3669" s="77">
        <v>45657.0</v>
      </c>
      <c r="G3669" s="76"/>
      <c r="H3669" s="76"/>
      <c r="I3669" s="73" t="s">
        <v>366</v>
      </c>
      <c r="J3669" s="76"/>
    </row>
    <row r="3670">
      <c r="A3670" s="74">
        <v>3660.0</v>
      </c>
      <c r="B3670" s="73" t="s">
        <v>4104</v>
      </c>
      <c r="C3670" s="74">
        <v>9.01892029E8</v>
      </c>
      <c r="D3670" s="73" t="s">
        <v>4150</v>
      </c>
      <c r="E3670" s="72">
        <v>2.0243660065105E13</v>
      </c>
      <c r="F3670" s="77">
        <v>45657.0</v>
      </c>
      <c r="G3670" s="76"/>
      <c r="H3670" s="76"/>
      <c r="I3670" s="73" t="s">
        <v>366</v>
      </c>
      <c r="J3670" s="76"/>
    </row>
    <row r="3671">
      <c r="A3671" s="74">
        <v>3661.0</v>
      </c>
      <c r="B3671" s="73" t="s">
        <v>4104</v>
      </c>
      <c r="C3671" s="74">
        <v>9.01633984E8</v>
      </c>
      <c r="D3671" s="73" t="s">
        <v>4151</v>
      </c>
      <c r="E3671" s="72">
        <v>2.0253040002095E13</v>
      </c>
      <c r="F3671" s="75">
        <v>45686.0</v>
      </c>
      <c r="G3671" s="76"/>
      <c r="H3671" s="76"/>
      <c r="I3671" s="73" t="s">
        <v>366</v>
      </c>
      <c r="J3671" s="76"/>
    </row>
    <row r="3672">
      <c r="A3672" s="76"/>
      <c r="B3672" s="73" t="s">
        <v>4104</v>
      </c>
      <c r="C3672" s="74">
        <v>9.01823411E8</v>
      </c>
      <c r="D3672" s="73" t="s">
        <v>4152</v>
      </c>
      <c r="E3672" s="72">
        <v>2.0253040022405E13</v>
      </c>
      <c r="F3672" s="75">
        <v>45819.0</v>
      </c>
      <c r="G3672" s="76"/>
      <c r="H3672" s="76"/>
      <c r="I3672" s="73" t="s">
        <v>366</v>
      </c>
      <c r="J3672" s="76"/>
    </row>
    <row r="3673">
      <c r="A3673" s="74">
        <v>3662.0</v>
      </c>
      <c r="B3673" s="73" t="s">
        <v>4153</v>
      </c>
      <c r="C3673" s="74">
        <v>8.00197456E8</v>
      </c>
      <c r="D3673" s="73" t="s">
        <v>4154</v>
      </c>
      <c r="E3673" s="72">
        <v>348.0</v>
      </c>
      <c r="F3673" s="77">
        <v>36437.0</v>
      </c>
      <c r="G3673" s="76"/>
      <c r="H3673" s="76"/>
      <c r="I3673" s="73" t="s">
        <v>366</v>
      </c>
      <c r="J3673" s="76"/>
    </row>
    <row r="3674">
      <c r="A3674" s="74">
        <v>3663.0</v>
      </c>
      <c r="B3674" s="73" t="s">
        <v>4153</v>
      </c>
      <c r="C3674" s="74">
        <v>8.90200928E8</v>
      </c>
      <c r="D3674" s="73" t="s">
        <v>4155</v>
      </c>
      <c r="E3674" s="72">
        <v>7.0</v>
      </c>
      <c r="F3674" s="75">
        <v>36553.0</v>
      </c>
      <c r="G3674" s="76"/>
      <c r="H3674" s="76"/>
      <c r="I3674" s="73" t="s">
        <v>366</v>
      </c>
      <c r="J3674" s="76"/>
    </row>
    <row r="3675">
      <c r="A3675" s="74">
        <v>3664.0</v>
      </c>
      <c r="B3675" s="73" t="s">
        <v>4153</v>
      </c>
      <c r="C3675" s="74">
        <v>8.90200854E8</v>
      </c>
      <c r="D3675" s="73" t="s">
        <v>4156</v>
      </c>
      <c r="E3675" s="72">
        <v>2117.0</v>
      </c>
      <c r="F3675" s="75">
        <v>36699.0</v>
      </c>
      <c r="G3675" s="76"/>
      <c r="H3675" s="76"/>
      <c r="I3675" s="73" t="s">
        <v>366</v>
      </c>
      <c r="J3675" s="76"/>
    </row>
    <row r="3676">
      <c r="A3676" s="74">
        <v>3665.0</v>
      </c>
      <c r="B3676" s="73" t="s">
        <v>4153</v>
      </c>
      <c r="C3676" s="74">
        <v>8.60403163E8</v>
      </c>
      <c r="D3676" s="73" t="s">
        <v>4157</v>
      </c>
      <c r="E3676" s="72">
        <v>113.0</v>
      </c>
      <c r="F3676" s="75">
        <v>36706.0</v>
      </c>
      <c r="G3676" s="76"/>
      <c r="H3676" s="76"/>
      <c r="I3676" s="73" t="s">
        <v>366</v>
      </c>
      <c r="J3676" s="76"/>
    </row>
    <row r="3677">
      <c r="A3677" s="74">
        <v>3666.0</v>
      </c>
      <c r="B3677" s="73" t="s">
        <v>4153</v>
      </c>
      <c r="C3677" s="74">
        <v>8.00013912E8</v>
      </c>
      <c r="D3677" s="73" t="s">
        <v>4158</v>
      </c>
      <c r="E3677" s="72">
        <v>229.0</v>
      </c>
      <c r="F3677" s="77">
        <v>36808.0</v>
      </c>
      <c r="G3677" s="76"/>
      <c r="H3677" s="76"/>
      <c r="I3677" s="73" t="s">
        <v>366</v>
      </c>
      <c r="J3677" s="76"/>
    </row>
    <row r="3678">
      <c r="A3678" s="74">
        <v>3667.0</v>
      </c>
      <c r="B3678" s="73" t="s">
        <v>4153</v>
      </c>
      <c r="C3678" s="74">
        <v>8.0400447E8</v>
      </c>
      <c r="D3678" s="73" t="s">
        <v>4159</v>
      </c>
      <c r="E3678" s="72">
        <v>230.0</v>
      </c>
      <c r="F3678" s="77">
        <v>36808.0</v>
      </c>
      <c r="G3678" s="76"/>
      <c r="H3678" s="76"/>
      <c r="I3678" s="73" t="s">
        <v>366</v>
      </c>
      <c r="J3678" s="76"/>
    </row>
    <row r="3679">
      <c r="A3679" s="74">
        <v>3668.0</v>
      </c>
      <c r="B3679" s="73" t="s">
        <v>4153</v>
      </c>
      <c r="C3679" s="74">
        <v>8.90201509E8</v>
      </c>
      <c r="D3679" s="73" t="s">
        <v>4160</v>
      </c>
      <c r="E3679" s="72">
        <v>252.0</v>
      </c>
      <c r="F3679" s="77">
        <v>36823.0</v>
      </c>
      <c r="G3679" s="76"/>
      <c r="H3679" s="76"/>
      <c r="I3679" s="73" t="s">
        <v>366</v>
      </c>
      <c r="J3679" s="76"/>
    </row>
    <row r="3680">
      <c r="A3680" s="74">
        <v>3669.0</v>
      </c>
      <c r="B3680" s="73" t="s">
        <v>4153</v>
      </c>
      <c r="C3680" s="74">
        <v>8.04000927E8</v>
      </c>
      <c r="D3680" s="73" t="s">
        <v>4161</v>
      </c>
      <c r="E3680" s="72">
        <v>88.0</v>
      </c>
      <c r="F3680" s="75">
        <v>36951.0</v>
      </c>
      <c r="G3680" s="76"/>
      <c r="H3680" s="76"/>
      <c r="I3680" s="73" t="s">
        <v>366</v>
      </c>
      <c r="J3680" s="76"/>
    </row>
    <row r="3681">
      <c r="A3681" s="74">
        <v>3670.0</v>
      </c>
      <c r="B3681" s="73" t="s">
        <v>4153</v>
      </c>
      <c r="C3681" s="74">
        <v>8.04008314E8</v>
      </c>
      <c r="D3681" s="73" t="s">
        <v>4162</v>
      </c>
      <c r="E3681" s="72">
        <v>134.0</v>
      </c>
      <c r="F3681" s="75">
        <v>36979.0</v>
      </c>
      <c r="G3681" s="76"/>
      <c r="H3681" s="76"/>
      <c r="I3681" s="73" t="s">
        <v>366</v>
      </c>
      <c r="J3681" s="76"/>
    </row>
    <row r="3682">
      <c r="A3682" s="74">
        <v>3671.0</v>
      </c>
      <c r="B3682" s="73" t="s">
        <v>4153</v>
      </c>
      <c r="C3682" s="74">
        <v>8.04009702E8</v>
      </c>
      <c r="D3682" s="73" t="s">
        <v>4163</v>
      </c>
      <c r="E3682" s="72">
        <v>137.0</v>
      </c>
      <c r="F3682" s="75">
        <v>36980.0</v>
      </c>
      <c r="G3682" s="76"/>
      <c r="H3682" s="76"/>
      <c r="I3682" s="73" t="s">
        <v>366</v>
      </c>
      <c r="J3682" s="76"/>
    </row>
    <row r="3683">
      <c r="A3683" s="74">
        <v>3672.0</v>
      </c>
      <c r="B3683" s="73" t="s">
        <v>4153</v>
      </c>
      <c r="C3683" s="74">
        <v>8.90206517E8</v>
      </c>
      <c r="D3683" s="73" t="s">
        <v>4164</v>
      </c>
      <c r="E3683" s="72">
        <v>173.0</v>
      </c>
      <c r="F3683" s="75">
        <v>37018.0</v>
      </c>
      <c r="G3683" s="76"/>
      <c r="H3683" s="76"/>
      <c r="I3683" s="73" t="s">
        <v>366</v>
      </c>
      <c r="J3683" s="76"/>
    </row>
    <row r="3684">
      <c r="A3684" s="74">
        <v>3673.0</v>
      </c>
      <c r="B3684" s="73" t="s">
        <v>4153</v>
      </c>
      <c r="C3684" s="74">
        <v>8.90200219E8</v>
      </c>
      <c r="D3684" s="73" t="s">
        <v>4165</v>
      </c>
      <c r="E3684" s="72">
        <v>258.0</v>
      </c>
      <c r="F3684" s="75">
        <v>37063.0</v>
      </c>
      <c r="G3684" s="76"/>
      <c r="H3684" s="76"/>
      <c r="I3684" s="73" t="s">
        <v>366</v>
      </c>
      <c r="J3684" s="76"/>
    </row>
    <row r="3685">
      <c r="A3685" s="74">
        <v>3674.0</v>
      </c>
      <c r="B3685" s="73" t="s">
        <v>4153</v>
      </c>
      <c r="C3685" s="74">
        <v>8.90207572E8</v>
      </c>
      <c r="D3685" s="73" t="s">
        <v>4166</v>
      </c>
      <c r="E3685" s="72">
        <v>257.0</v>
      </c>
      <c r="F3685" s="75">
        <v>37063.0</v>
      </c>
      <c r="G3685" s="76"/>
      <c r="H3685" s="76"/>
      <c r="I3685" s="73" t="s">
        <v>366</v>
      </c>
      <c r="J3685" s="76"/>
    </row>
    <row r="3686">
      <c r="A3686" s="74">
        <v>3675.0</v>
      </c>
      <c r="B3686" s="73" t="s">
        <v>4153</v>
      </c>
      <c r="C3686" s="74">
        <v>8.90211546E8</v>
      </c>
      <c r="D3686" s="73" t="s">
        <v>4167</v>
      </c>
      <c r="E3686" s="72">
        <v>260.0</v>
      </c>
      <c r="F3686" s="75">
        <v>37063.0</v>
      </c>
      <c r="G3686" s="76"/>
      <c r="H3686" s="76"/>
      <c r="I3686" s="73" t="s">
        <v>366</v>
      </c>
      <c r="J3686" s="76"/>
    </row>
    <row r="3687">
      <c r="A3687" s="74">
        <v>3676.0</v>
      </c>
      <c r="B3687" s="73" t="s">
        <v>4153</v>
      </c>
      <c r="C3687" s="74">
        <v>8.90203838E8</v>
      </c>
      <c r="D3687" s="73" t="s">
        <v>4168</v>
      </c>
      <c r="E3687" s="72">
        <v>273.0</v>
      </c>
      <c r="F3687" s="75">
        <v>37070.0</v>
      </c>
      <c r="G3687" s="76"/>
      <c r="H3687" s="76"/>
      <c r="I3687" s="73" t="s">
        <v>366</v>
      </c>
      <c r="J3687" s="76"/>
    </row>
    <row r="3688">
      <c r="A3688" s="74">
        <v>3677.0</v>
      </c>
      <c r="B3688" s="73" t="s">
        <v>4153</v>
      </c>
      <c r="C3688" s="74">
        <v>8.9020778E8</v>
      </c>
      <c r="D3688" s="73" t="s">
        <v>4169</v>
      </c>
      <c r="E3688" s="72">
        <v>272.0</v>
      </c>
      <c r="F3688" s="75">
        <v>37070.0</v>
      </c>
      <c r="G3688" s="76"/>
      <c r="H3688" s="76"/>
      <c r="I3688" s="73" t="s">
        <v>366</v>
      </c>
      <c r="J3688" s="76"/>
    </row>
    <row r="3689">
      <c r="A3689" s="74">
        <v>3678.0</v>
      </c>
      <c r="B3689" s="73" t="s">
        <v>4153</v>
      </c>
      <c r="C3689" s="74">
        <v>8.90270738E8</v>
      </c>
      <c r="D3689" s="73" t="s">
        <v>4170</v>
      </c>
      <c r="E3689" s="72">
        <v>271.0</v>
      </c>
      <c r="F3689" s="75">
        <v>37070.0</v>
      </c>
      <c r="G3689" s="76"/>
      <c r="H3689" s="76"/>
      <c r="I3689" s="73" t="s">
        <v>366</v>
      </c>
      <c r="J3689" s="76"/>
    </row>
    <row r="3690">
      <c r="A3690" s="74">
        <v>3679.0</v>
      </c>
      <c r="B3690" s="73" t="s">
        <v>4153</v>
      </c>
      <c r="C3690" s="74">
        <v>8.90203507E8</v>
      </c>
      <c r="D3690" s="73" t="s">
        <v>4171</v>
      </c>
      <c r="E3690" s="72">
        <v>381.0</v>
      </c>
      <c r="F3690" s="75">
        <v>37158.0</v>
      </c>
      <c r="G3690" s="76"/>
      <c r="H3690" s="76"/>
      <c r="I3690" s="73" t="s">
        <v>366</v>
      </c>
      <c r="J3690" s="76"/>
    </row>
    <row r="3691">
      <c r="A3691" s="74">
        <v>3680.0</v>
      </c>
      <c r="B3691" s="73" t="s">
        <v>4153</v>
      </c>
      <c r="C3691" s="74">
        <v>8.00050634E8</v>
      </c>
      <c r="D3691" s="73" t="s">
        <v>4172</v>
      </c>
      <c r="E3691" s="72">
        <v>447.0</v>
      </c>
      <c r="F3691" s="77">
        <v>37189.0</v>
      </c>
      <c r="G3691" s="76"/>
      <c r="H3691" s="76"/>
      <c r="I3691" s="73" t="s">
        <v>366</v>
      </c>
      <c r="J3691" s="76"/>
    </row>
    <row r="3692">
      <c r="A3692" s="74">
        <v>3681.0</v>
      </c>
      <c r="B3692" s="73" t="s">
        <v>4153</v>
      </c>
      <c r="C3692" s="74">
        <v>8.90201056E8</v>
      </c>
      <c r="D3692" s="73" t="s">
        <v>4173</v>
      </c>
      <c r="E3692" s="72">
        <v>500.0</v>
      </c>
      <c r="F3692" s="77">
        <v>37214.0</v>
      </c>
      <c r="G3692" s="76"/>
      <c r="H3692" s="76"/>
      <c r="I3692" s="73" t="s">
        <v>366</v>
      </c>
      <c r="J3692" s="76"/>
    </row>
    <row r="3693">
      <c r="A3693" s="85">
        <v>3682.0</v>
      </c>
      <c r="B3693" s="79" t="s">
        <v>4153</v>
      </c>
      <c r="C3693" s="80">
        <v>8.30087927E8</v>
      </c>
      <c r="D3693" s="79" t="s">
        <v>4174</v>
      </c>
      <c r="E3693" s="81">
        <v>5097.0</v>
      </c>
      <c r="F3693" s="82">
        <v>37223.0</v>
      </c>
      <c r="G3693" s="83"/>
      <c r="H3693" s="83"/>
      <c r="I3693" s="73" t="s">
        <v>366</v>
      </c>
      <c r="J3693" s="76"/>
    </row>
    <row r="3694">
      <c r="A3694" s="74">
        <v>3683.0</v>
      </c>
      <c r="B3694" s="73" t="s">
        <v>4153</v>
      </c>
      <c r="C3694" s="74">
        <v>8.00041503E8</v>
      </c>
      <c r="D3694" s="73" t="s">
        <v>4175</v>
      </c>
      <c r="E3694" s="72">
        <v>594.0</v>
      </c>
      <c r="F3694" s="77">
        <v>37251.0</v>
      </c>
      <c r="G3694" s="76"/>
      <c r="H3694" s="76"/>
      <c r="I3694" s="73" t="s">
        <v>366</v>
      </c>
      <c r="J3694" s="76"/>
    </row>
    <row r="3695">
      <c r="A3695" s="74">
        <v>3684.0</v>
      </c>
      <c r="B3695" s="73" t="s">
        <v>4153</v>
      </c>
      <c r="C3695" s="74">
        <v>8.90211325E8</v>
      </c>
      <c r="D3695" s="73" t="s">
        <v>4176</v>
      </c>
      <c r="E3695" s="72">
        <v>105.0</v>
      </c>
      <c r="F3695" s="75">
        <v>37285.0</v>
      </c>
      <c r="G3695" s="76"/>
      <c r="H3695" s="76"/>
      <c r="I3695" s="73" t="s">
        <v>366</v>
      </c>
      <c r="J3695" s="76"/>
    </row>
    <row r="3696">
      <c r="A3696" s="74">
        <v>3685.0</v>
      </c>
      <c r="B3696" s="73" t="s">
        <v>4153</v>
      </c>
      <c r="C3696" s="74">
        <v>8.90200211E8</v>
      </c>
      <c r="D3696" s="73" t="s">
        <v>4177</v>
      </c>
      <c r="E3696" s="72">
        <v>219.0</v>
      </c>
      <c r="F3696" s="75">
        <v>37308.0</v>
      </c>
      <c r="G3696" s="76"/>
      <c r="H3696" s="76"/>
      <c r="I3696" s="73" t="s">
        <v>366</v>
      </c>
      <c r="J3696" s="76"/>
    </row>
    <row r="3697">
      <c r="A3697" s="74">
        <v>3686.0</v>
      </c>
      <c r="B3697" s="73" t="s">
        <v>4153</v>
      </c>
      <c r="C3697" s="74">
        <v>8.90200218E8</v>
      </c>
      <c r="D3697" s="73" t="s">
        <v>4178</v>
      </c>
      <c r="E3697" s="72">
        <v>221.0</v>
      </c>
      <c r="F3697" s="75">
        <v>37309.0</v>
      </c>
      <c r="G3697" s="76"/>
      <c r="H3697" s="76"/>
      <c r="I3697" s="73" t="s">
        <v>366</v>
      </c>
      <c r="J3697" s="76"/>
    </row>
    <row r="3698">
      <c r="A3698" s="74">
        <v>3687.0</v>
      </c>
      <c r="B3698" s="73" t="s">
        <v>4153</v>
      </c>
      <c r="C3698" s="74">
        <v>8.00167958E8</v>
      </c>
      <c r="D3698" s="73" t="s">
        <v>4179</v>
      </c>
      <c r="E3698" s="72">
        <v>257.0</v>
      </c>
      <c r="F3698" s="75">
        <v>37319.0</v>
      </c>
      <c r="G3698" s="76"/>
      <c r="H3698" s="76"/>
      <c r="I3698" s="73" t="s">
        <v>366</v>
      </c>
      <c r="J3698" s="76"/>
    </row>
    <row r="3699">
      <c r="A3699" s="74">
        <v>3688.0</v>
      </c>
      <c r="B3699" s="73" t="s">
        <v>4153</v>
      </c>
      <c r="C3699" s="74">
        <v>8.3009708E8</v>
      </c>
      <c r="D3699" s="73" t="s">
        <v>4180</v>
      </c>
      <c r="E3699" s="72">
        <v>265.0</v>
      </c>
      <c r="F3699" s="75">
        <v>37326.0</v>
      </c>
      <c r="G3699" s="76"/>
      <c r="H3699" s="76"/>
      <c r="I3699" s="73" t="s">
        <v>366</v>
      </c>
      <c r="J3699" s="76"/>
    </row>
    <row r="3700">
      <c r="A3700" s="74">
        <v>3689.0</v>
      </c>
      <c r="B3700" s="73" t="s">
        <v>4153</v>
      </c>
      <c r="C3700" s="74">
        <v>8.90505451E8</v>
      </c>
      <c r="D3700" s="73" t="s">
        <v>4181</v>
      </c>
      <c r="E3700" s="72">
        <v>335.0</v>
      </c>
      <c r="F3700" s="75">
        <v>37334.0</v>
      </c>
      <c r="G3700" s="76"/>
      <c r="H3700" s="76"/>
      <c r="I3700" s="73" t="s">
        <v>366</v>
      </c>
      <c r="J3700" s="76"/>
    </row>
    <row r="3701">
      <c r="A3701" s="74">
        <v>3690.0</v>
      </c>
      <c r="B3701" s="73" t="s">
        <v>4153</v>
      </c>
      <c r="C3701" s="74">
        <v>8.07006082E8</v>
      </c>
      <c r="D3701" s="73" t="s">
        <v>4182</v>
      </c>
      <c r="E3701" s="72">
        <v>225.0</v>
      </c>
      <c r="F3701" s="75">
        <v>37449.0</v>
      </c>
      <c r="G3701" s="76"/>
      <c r="H3701" s="76"/>
      <c r="I3701" s="73" t="s">
        <v>366</v>
      </c>
      <c r="J3701" s="76"/>
    </row>
    <row r="3702">
      <c r="A3702" s="74">
        <v>3691.0</v>
      </c>
      <c r="B3702" s="73" t="s">
        <v>4153</v>
      </c>
      <c r="C3702" s="74">
        <v>8.04012181E8</v>
      </c>
      <c r="D3702" s="73" t="s">
        <v>4183</v>
      </c>
      <c r="E3702" s="72">
        <v>1174.0</v>
      </c>
      <c r="F3702" s="75">
        <v>37469.0</v>
      </c>
      <c r="G3702" s="76"/>
      <c r="H3702" s="76"/>
      <c r="I3702" s="73" t="s">
        <v>366</v>
      </c>
      <c r="J3702" s="76"/>
    </row>
    <row r="3703">
      <c r="A3703" s="74">
        <v>3692.0</v>
      </c>
      <c r="B3703" s="73" t="s">
        <v>4153</v>
      </c>
      <c r="C3703" s="74">
        <v>8.90200856E8</v>
      </c>
      <c r="D3703" s="73" t="s">
        <v>4184</v>
      </c>
      <c r="E3703" s="72">
        <v>1175.0</v>
      </c>
      <c r="F3703" s="75">
        <v>37469.0</v>
      </c>
      <c r="G3703" s="76"/>
      <c r="H3703" s="76"/>
      <c r="I3703" s="73" t="s">
        <v>366</v>
      </c>
      <c r="J3703" s="76"/>
    </row>
    <row r="3704">
      <c r="A3704" s="74">
        <v>3693.0</v>
      </c>
      <c r="B3704" s="73" t="s">
        <v>4153</v>
      </c>
      <c r="C3704" s="74">
        <v>8.04012872E8</v>
      </c>
      <c r="D3704" s="73" t="s">
        <v>4185</v>
      </c>
      <c r="E3704" s="72">
        <v>1230.0</v>
      </c>
      <c r="F3704" s="75">
        <v>37490.0</v>
      </c>
      <c r="G3704" s="76"/>
      <c r="H3704" s="76"/>
      <c r="I3704" s="73" t="s">
        <v>366</v>
      </c>
      <c r="J3704" s="76"/>
    </row>
    <row r="3705">
      <c r="A3705" s="74">
        <v>3694.0</v>
      </c>
      <c r="B3705" s="73" t="s">
        <v>4153</v>
      </c>
      <c r="C3705" s="74">
        <v>8.00054919E8</v>
      </c>
      <c r="D3705" s="73" t="s">
        <v>4186</v>
      </c>
      <c r="E3705" s="72">
        <v>1442.0</v>
      </c>
      <c r="F3705" s="75">
        <v>37529.0</v>
      </c>
      <c r="G3705" s="76"/>
      <c r="H3705" s="76"/>
      <c r="I3705" s="73" t="s">
        <v>366</v>
      </c>
      <c r="J3705" s="76"/>
    </row>
    <row r="3706">
      <c r="A3706" s="74">
        <v>3695.0</v>
      </c>
      <c r="B3706" s="73" t="s">
        <v>4153</v>
      </c>
      <c r="C3706" s="74">
        <v>8.9020086E8</v>
      </c>
      <c r="D3706" s="73" t="s">
        <v>4187</v>
      </c>
      <c r="E3706" s="72">
        <v>1506.0</v>
      </c>
      <c r="F3706" s="77">
        <v>37539.0</v>
      </c>
      <c r="G3706" s="76"/>
      <c r="H3706" s="76"/>
      <c r="I3706" s="73" t="s">
        <v>366</v>
      </c>
      <c r="J3706" s="76"/>
    </row>
    <row r="3707">
      <c r="A3707" s="74">
        <v>3696.0</v>
      </c>
      <c r="B3707" s="73" t="s">
        <v>4153</v>
      </c>
      <c r="C3707" s="74">
        <v>8.04013454E8</v>
      </c>
      <c r="D3707" s="73" t="s">
        <v>4188</v>
      </c>
      <c r="E3707" s="72">
        <v>417.0</v>
      </c>
      <c r="F3707" s="75">
        <v>37687.0</v>
      </c>
      <c r="G3707" s="76"/>
      <c r="H3707" s="76"/>
      <c r="I3707" s="73" t="s">
        <v>366</v>
      </c>
      <c r="J3707" s="76"/>
    </row>
    <row r="3708">
      <c r="A3708" s="74">
        <v>3697.0</v>
      </c>
      <c r="B3708" s="73" t="s">
        <v>4153</v>
      </c>
      <c r="C3708" s="74">
        <v>8.00072446E8</v>
      </c>
      <c r="D3708" s="73" t="s">
        <v>4189</v>
      </c>
      <c r="E3708" s="72">
        <v>607.0</v>
      </c>
      <c r="F3708" s="75">
        <v>37860.0</v>
      </c>
      <c r="G3708" s="76"/>
      <c r="H3708" s="76"/>
      <c r="I3708" s="73" t="s">
        <v>366</v>
      </c>
      <c r="J3708" s="76"/>
    </row>
    <row r="3709">
      <c r="A3709" s="74">
        <v>3698.0</v>
      </c>
      <c r="B3709" s="73" t="s">
        <v>4153</v>
      </c>
      <c r="C3709" s="74">
        <v>8.30104563E8</v>
      </c>
      <c r="D3709" s="73" t="s">
        <v>4190</v>
      </c>
      <c r="E3709" s="72">
        <v>2327.0</v>
      </c>
      <c r="F3709" s="77">
        <v>37914.0</v>
      </c>
      <c r="G3709" s="76"/>
      <c r="H3709" s="76"/>
      <c r="I3709" s="73" t="s">
        <v>366</v>
      </c>
      <c r="J3709" s="76"/>
    </row>
    <row r="3710">
      <c r="A3710" s="74">
        <v>3699.0</v>
      </c>
      <c r="B3710" s="73" t="s">
        <v>4153</v>
      </c>
      <c r="C3710" s="74">
        <v>8.30509769E8</v>
      </c>
      <c r="D3710" s="73" t="s">
        <v>4191</v>
      </c>
      <c r="E3710" s="72">
        <v>1.0</v>
      </c>
      <c r="F3710" s="75">
        <v>38358.0</v>
      </c>
      <c r="G3710" s="76"/>
      <c r="H3710" s="76"/>
      <c r="I3710" s="73" t="s">
        <v>366</v>
      </c>
      <c r="J3710" s="76"/>
    </row>
    <row r="3711">
      <c r="A3711" s="74">
        <v>3700.0</v>
      </c>
      <c r="B3711" s="73" t="s">
        <v>4153</v>
      </c>
      <c r="C3711" s="74">
        <v>8.30509871E8</v>
      </c>
      <c r="D3711" s="73" t="s">
        <v>4192</v>
      </c>
      <c r="E3711" s="72">
        <v>22.0</v>
      </c>
      <c r="F3711" s="75">
        <v>38448.0</v>
      </c>
      <c r="G3711" s="76"/>
      <c r="H3711" s="76"/>
      <c r="I3711" s="73" t="s">
        <v>366</v>
      </c>
      <c r="J3711" s="76"/>
    </row>
    <row r="3712">
      <c r="A3712" s="74">
        <v>3701.0</v>
      </c>
      <c r="B3712" s="73" t="s">
        <v>4153</v>
      </c>
      <c r="C3712" s="74">
        <v>8.30511485E8</v>
      </c>
      <c r="D3712" s="73" t="s">
        <v>4193</v>
      </c>
      <c r="E3712" s="72">
        <v>152.0</v>
      </c>
      <c r="F3712" s="75">
        <v>38518.0</v>
      </c>
      <c r="G3712" s="76"/>
      <c r="H3712" s="76"/>
      <c r="I3712" s="73" t="s">
        <v>366</v>
      </c>
      <c r="J3712" s="76"/>
    </row>
    <row r="3713">
      <c r="A3713" s="74">
        <v>3702.0</v>
      </c>
      <c r="B3713" s="73" t="s">
        <v>4153</v>
      </c>
      <c r="C3713" s="74">
        <v>8.90200951E8</v>
      </c>
      <c r="D3713" s="73" t="s">
        <v>4194</v>
      </c>
      <c r="E3713" s="72">
        <v>175.0</v>
      </c>
      <c r="F3713" s="75">
        <v>38590.0</v>
      </c>
      <c r="G3713" s="76"/>
      <c r="H3713" s="76"/>
      <c r="I3713" s="73" t="s">
        <v>366</v>
      </c>
      <c r="J3713" s="76"/>
    </row>
    <row r="3714">
      <c r="A3714" s="74">
        <v>3703.0</v>
      </c>
      <c r="B3714" s="73" t="s">
        <v>4153</v>
      </c>
      <c r="C3714" s="74">
        <v>9.00032152E8</v>
      </c>
      <c r="D3714" s="73" t="s">
        <v>4195</v>
      </c>
      <c r="E3714" s="72">
        <v>4.0</v>
      </c>
      <c r="F3714" s="75">
        <v>38742.0</v>
      </c>
      <c r="G3714" s="76"/>
      <c r="H3714" s="76"/>
      <c r="I3714" s="73" t="s">
        <v>366</v>
      </c>
      <c r="J3714" s="76"/>
    </row>
    <row r="3715">
      <c r="A3715" s="74">
        <v>3704.0</v>
      </c>
      <c r="B3715" s="73" t="s">
        <v>4153</v>
      </c>
      <c r="C3715" s="74">
        <v>9.00070135E8</v>
      </c>
      <c r="D3715" s="73" t="s">
        <v>4196</v>
      </c>
      <c r="E3715" s="72">
        <v>22.0</v>
      </c>
      <c r="F3715" s="75">
        <v>38807.0</v>
      </c>
      <c r="G3715" s="76"/>
      <c r="H3715" s="76"/>
      <c r="I3715" s="73" t="s">
        <v>366</v>
      </c>
      <c r="J3715" s="76"/>
    </row>
    <row r="3716">
      <c r="A3716" s="74">
        <v>3705.0</v>
      </c>
      <c r="B3716" s="73" t="s">
        <v>4153</v>
      </c>
      <c r="C3716" s="74">
        <v>9.00068426E8</v>
      </c>
      <c r="D3716" s="73" t="s">
        <v>4197</v>
      </c>
      <c r="E3716" s="72">
        <v>53.0</v>
      </c>
      <c r="F3716" s="75">
        <v>38902.0</v>
      </c>
      <c r="G3716" s="76"/>
      <c r="H3716" s="76"/>
      <c r="I3716" s="73" t="s">
        <v>366</v>
      </c>
      <c r="J3716" s="76"/>
    </row>
    <row r="3717">
      <c r="A3717" s="74">
        <v>3706.0</v>
      </c>
      <c r="B3717" s="73" t="s">
        <v>4153</v>
      </c>
      <c r="C3717" s="74">
        <v>9.00142693E8</v>
      </c>
      <c r="D3717" s="73" t="s">
        <v>4198</v>
      </c>
      <c r="E3717" s="72">
        <v>390.0</v>
      </c>
      <c r="F3717" s="75">
        <v>39344.0</v>
      </c>
      <c r="G3717" s="76"/>
      <c r="H3717" s="76"/>
      <c r="I3717" s="73" t="s">
        <v>366</v>
      </c>
      <c r="J3717" s="76"/>
    </row>
    <row r="3718">
      <c r="A3718" s="74">
        <v>3707.0</v>
      </c>
      <c r="B3718" s="73" t="s">
        <v>4153</v>
      </c>
      <c r="C3718" s="74">
        <v>9.00140252E8</v>
      </c>
      <c r="D3718" s="73" t="s">
        <v>4199</v>
      </c>
      <c r="E3718" s="72">
        <v>115.0</v>
      </c>
      <c r="F3718" s="77">
        <v>39363.0</v>
      </c>
      <c r="G3718" s="76"/>
      <c r="H3718" s="76"/>
      <c r="I3718" s="73" t="s">
        <v>366</v>
      </c>
      <c r="J3718" s="76"/>
    </row>
    <row r="3719">
      <c r="A3719" s="74">
        <v>3708.0</v>
      </c>
      <c r="B3719" s="73" t="s">
        <v>4153</v>
      </c>
      <c r="C3719" s="74">
        <v>9.00164687E8</v>
      </c>
      <c r="D3719" s="73" t="s">
        <v>4200</v>
      </c>
      <c r="E3719" s="72">
        <v>139.0</v>
      </c>
      <c r="F3719" s="77">
        <v>39412.0</v>
      </c>
      <c r="G3719" s="76"/>
      <c r="H3719" s="76"/>
      <c r="I3719" s="73" t="s">
        <v>366</v>
      </c>
      <c r="J3719" s="76"/>
    </row>
    <row r="3720">
      <c r="A3720" s="74">
        <v>3709.0</v>
      </c>
      <c r="B3720" s="73" t="s">
        <v>4153</v>
      </c>
      <c r="C3720" s="74">
        <v>9.00132317E8</v>
      </c>
      <c r="D3720" s="73" t="s">
        <v>4201</v>
      </c>
      <c r="E3720" s="72">
        <v>10.0</v>
      </c>
      <c r="F3720" s="75">
        <v>39479.0</v>
      </c>
      <c r="G3720" s="76"/>
      <c r="H3720" s="76"/>
      <c r="I3720" s="73" t="s">
        <v>366</v>
      </c>
      <c r="J3720" s="76"/>
    </row>
    <row r="3721">
      <c r="A3721" s="74">
        <v>3710.0</v>
      </c>
      <c r="B3721" s="73" t="s">
        <v>4153</v>
      </c>
      <c r="C3721" s="74">
        <v>9.00153377E8</v>
      </c>
      <c r="D3721" s="73" t="s">
        <v>4202</v>
      </c>
      <c r="E3721" s="72">
        <v>67.0</v>
      </c>
      <c r="F3721" s="75">
        <v>39686.0</v>
      </c>
      <c r="G3721" s="76"/>
      <c r="H3721" s="76"/>
      <c r="I3721" s="73" t="s">
        <v>366</v>
      </c>
      <c r="J3721" s="76"/>
    </row>
    <row r="3722">
      <c r="A3722" s="74">
        <v>3711.0</v>
      </c>
      <c r="B3722" s="73" t="s">
        <v>4153</v>
      </c>
      <c r="C3722" s="74">
        <v>9.00188106E8</v>
      </c>
      <c r="D3722" s="73" t="s">
        <v>4203</v>
      </c>
      <c r="E3722" s="72">
        <v>125.0</v>
      </c>
      <c r="F3722" s="75">
        <v>39694.0</v>
      </c>
      <c r="G3722" s="76"/>
      <c r="H3722" s="76"/>
      <c r="I3722" s="73" t="s">
        <v>366</v>
      </c>
      <c r="J3722" s="76"/>
    </row>
    <row r="3723">
      <c r="A3723" s="74">
        <v>3712.0</v>
      </c>
      <c r="B3723" s="73" t="s">
        <v>4153</v>
      </c>
      <c r="C3723" s="74">
        <v>8.04015528E8</v>
      </c>
      <c r="D3723" s="73" t="s">
        <v>4204</v>
      </c>
      <c r="E3723" s="72">
        <v>19.0</v>
      </c>
      <c r="F3723" s="75">
        <v>39972.0</v>
      </c>
      <c r="G3723" s="76"/>
      <c r="H3723" s="76"/>
      <c r="I3723" s="73" t="s">
        <v>366</v>
      </c>
      <c r="J3723" s="76"/>
    </row>
    <row r="3724">
      <c r="A3724" s="74">
        <v>3713.0</v>
      </c>
      <c r="B3724" s="73" t="s">
        <v>4153</v>
      </c>
      <c r="C3724" s="74">
        <v>9.00294478E8</v>
      </c>
      <c r="D3724" s="73" t="s">
        <v>4205</v>
      </c>
      <c r="E3724" s="72">
        <v>23.0</v>
      </c>
      <c r="F3724" s="75">
        <v>40003.0</v>
      </c>
      <c r="G3724" s="76"/>
      <c r="H3724" s="76"/>
      <c r="I3724" s="73" t="s">
        <v>366</v>
      </c>
      <c r="J3724" s="76"/>
    </row>
    <row r="3725">
      <c r="A3725" s="74">
        <v>3714.0</v>
      </c>
      <c r="B3725" s="73" t="s">
        <v>4153</v>
      </c>
      <c r="C3725" s="74">
        <v>9.00223792E8</v>
      </c>
      <c r="D3725" s="73" t="s">
        <v>4206</v>
      </c>
      <c r="E3725" s="72">
        <v>22.0</v>
      </c>
      <c r="F3725" s="75">
        <v>40038.0</v>
      </c>
      <c r="G3725" s="76"/>
      <c r="H3725" s="76"/>
      <c r="I3725" s="73" t="s">
        <v>366</v>
      </c>
      <c r="J3725" s="76"/>
    </row>
    <row r="3726">
      <c r="A3726" s="74">
        <v>3715.0</v>
      </c>
      <c r="B3726" s="73" t="s">
        <v>4153</v>
      </c>
      <c r="C3726" s="74">
        <v>9.00304613E8</v>
      </c>
      <c r="D3726" s="73" t="s">
        <v>4207</v>
      </c>
      <c r="E3726" s="72">
        <v>32.0</v>
      </c>
      <c r="F3726" s="75">
        <v>40074.0</v>
      </c>
      <c r="G3726" s="76"/>
      <c r="H3726" s="76"/>
      <c r="I3726" s="73" t="s">
        <v>366</v>
      </c>
      <c r="J3726" s="76"/>
    </row>
    <row r="3727">
      <c r="A3727" s="74">
        <v>3716.0</v>
      </c>
      <c r="B3727" s="73" t="s">
        <v>4153</v>
      </c>
      <c r="C3727" s="74">
        <v>9.0030517E8</v>
      </c>
      <c r="D3727" s="73" t="s">
        <v>4208</v>
      </c>
      <c r="E3727" s="72">
        <v>46.0</v>
      </c>
      <c r="F3727" s="77">
        <v>40123.0</v>
      </c>
      <c r="G3727" s="76"/>
      <c r="H3727" s="76"/>
      <c r="I3727" s="73" t="s">
        <v>366</v>
      </c>
      <c r="J3727" s="76"/>
    </row>
    <row r="3728">
      <c r="A3728" s="74">
        <v>3717.0</v>
      </c>
      <c r="B3728" s="73" t="s">
        <v>4153</v>
      </c>
      <c r="C3728" s="74">
        <v>9.00293552E8</v>
      </c>
      <c r="D3728" s="73" t="s">
        <v>4209</v>
      </c>
      <c r="E3728" s="72">
        <v>52.0</v>
      </c>
      <c r="F3728" s="77">
        <v>40147.0</v>
      </c>
      <c r="G3728" s="76"/>
      <c r="H3728" s="76"/>
      <c r="I3728" s="73" t="s">
        <v>366</v>
      </c>
      <c r="J3728" s="76"/>
    </row>
    <row r="3729">
      <c r="A3729" s="74">
        <v>3718.0</v>
      </c>
      <c r="B3729" s="73" t="s">
        <v>4153</v>
      </c>
      <c r="C3729" s="74">
        <v>9.00311473E8</v>
      </c>
      <c r="D3729" s="73" t="s">
        <v>4210</v>
      </c>
      <c r="E3729" s="72">
        <v>14.0</v>
      </c>
      <c r="F3729" s="75">
        <v>40245.0</v>
      </c>
      <c r="G3729" s="76"/>
      <c r="H3729" s="76"/>
      <c r="I3729" s="73" t="s">
        <v>366</v>
      </c>
      <c r="J3729" s="76"/>
    </row>
    <row r="3730">
      <c r="A3730" s="74">
        <v>3719.0</v>
      </c>
      <c r="B3730" s="73" t="s">
        <v>4153</v>
      </c>
      <c r="C3730" s="74">
        <v>9.00296359E8</v>
      </c>
      <c r="D3730" s="73" t="s">
        <v>4211</v>
      </c>
      <c r="E3730" s="72">
        <v>21.0</v>
      </c>
      <c r="F3730" s="75">
        <v>40266.0</v>
      </c>
      <c r="G3730" s="76"/>
      <c r="H3730" s="76"/>
      <c r="I3730" s="73" t="s">
        <v>366</v>
      </c>
      <c r="J3730" s="76"/>
    </row>
    <row r="3731">
      <c r="A3731" s="74">
        <v>3720.0</v>
      </c>
      <c r="B3731" s="73" t="s">
        <v>4153</v>
      </c>
      <c r="C3731" s="74">
        <v>9.00390413E8</v>
      </c>
      <c r="D3731" s="73" t="s">
        <v>4212</v>
      </c>
      <c r="E3731" s="72">
        <v>56.0</v>
      </c>
      <c r="F3731" s="77">
        <v>40515.0</v>
      </c>
      <c r="G3731" s="76"/>
      <c r="H3731" s="76"/>
      <c r="I3731" s="73" t="s">
        <v>366</v>
      </c>
      <c r="J3731" s="76"/>
    </row>
    <row r="3732">
      <c r="A3732" s="74">
        <v>3721.0</v>
      </c>
      <c r="B3732" s="73" t="s">
        <v>4153</v>
      </c>
      <c r="C3732" s="74">
        <v>8.04011684E8</v>
      </c>
      <c r="D3732" s="73" t="s">
        <v>4213</v>
      </c>
      <c r="E3732" s="72">
        <v>58.0</v>
      </c>
      <c r="F3732" s="77">
        <v>40519.0</v>
      </c>
      <c r="G3732" s="76"/>
      <c r="H3732" s="76"/>
      <c r="I3732" s="73" t="s">
        <v>366</v>
      </c>
      <c r="J3732" s="76"/>
    </row>
    <row r="3733">
      <c r="A3733" s="74">
        <v>3722.0</v>
      </c>
      <c r="B3733" s="73" t="s">
        <v>4153</v>
      </c>
      <c r="C3733" s="74">
        <v>9.00314413E8</v>
      </c>
      <c r="D3733" s="73" t="s">
        <v>4214</v>
      </c>
      <c r="E3733" s="72">
        <v>66.0</v>
      </c>
      <c r="F3733" s="77">
        <v>40529.0</v>
      </c>
      <c r="G3733" s="76"/>
      <c r="H3733" s="76"/>
      <c r="I3733" s="73" t="s">
        <v>366</v>
      </c>
      <c r="J3733" s="76"/>
    </row>
    <row r="3734">
      <c r="A3734" s="74">
        <v>3723.0</v>
      </c>
      <c r="B3734" s="73" t="s">
        <v>4153</v>
      </c>
      <c r="C3734" s="74">
        <v>9.00380315E8</v>
      </c>
      <c r="D3734" s="73" t="s">
        <v>4215</v>
      </c>
      <c r="E3734" s="72">
        <v>2.0</v>
      </c>
      <c r="F3734" s="75">
        <v>40556.0</v>
      </c>
      <c r="G3734" s="76"/>
      <c r="H3734" s="76"/>
      <c r="I3734" s="73" t="s">
        <v>366</v>
      </c>
      <c r="J3734" s="76"/>
    </row>
    <row r="3735">
      <c r="A3735" s="74">
        <v>3724.0</v>
      </c>
      <c r="B3735" s="73" t="s">
        <v>4153</v>
      </c>
      <c r="C3735" s="74">
        <v>9.00400128E8</v>
      </c>
      <c r="D3735" s="73" t="s">
        <v>4216</v>
      </c>
      <c r="E3735" s="72">
        <v>9.0</v>
      </c>
      <c r="F3735" s="75">
        <v>40590.0</v>
      </c>
      <c r="G3735" s="76"/>
      <c r="H3735" s="76"/>
      <c r="I3735" s="73" t="s">
        <v>366</v>
      </c>
      <c r="J3735" s="76"/>
    </row>
    <row r="3736">
      <c r="A3736" s="74">
        <v>3725.0</v>
      </c>
      <c r="B3736" s="73" t="s">
        <v>4153</v>
      </c>
      <c r="C3736" s="74">
        <v>9.00402011E8</v>
      </c>
      <c r="D3736" s="73" t="s">
        <v>4217</v>
      </c>
      <c r="E3736" s="72">
        <v>38.0</v>
      </c>
      <c r="F3736" s="75">
        <v>40666.0</v>
      </c>
      <c r="G3736" s="76"/>
      <c r="H3736" s="76"/>
      <c r="I3736" s="73" t="s">
        <v>366</v>
      </c>
      <c r="J3736" s="76"/>
    </row>
    <row r="3737">
      <c r="A3737" s="74">
        <v>3726.0</v>
      </c>
      <c r="B3737" s="73" t="s">
        <v>4153</v>
      </c>
      <c r="C3737" s="74">
        <v>8.04015967E8</v>
      </c>
      <c r="D3737" s="73" t="s">
        <v>4218</v>
      </c>
      <c r="E3737" s="72">
        <v>39.0</v>
      </c>
      <c r="F3737" s="75">
        <v>40669.0</v>
      </c>
      <c r="G3737" s="76"/>
      <c r="H3737" s="76"/>
      <c r="I3737" s="73" t="s">
        <v>366</v>
      </c>
      <c r="J3737" s="76"/>
    </row>
    <row r="3738">
      <c r="A3738" s="74">
        <v>3727.0</v>
      </c>
      <c r="B3738" s="73" t="s">
        <v>4153</v>
      </c>
      <c r="C3738" s="74">
        <v>9.00415321E8</v>
      </c>
      <c r="D3738" s="73" t="s">
        <v>4219</v>
      </c>
      <c r="E3738" s="72">
        <v>41.0</v>
      </c>
      <c r="F3738" s="75">
        <v>40673.0</v>
      </c>
      <c r="G3738" s="76"/>
      <c r="H3738" s="76"/>
      <c r="I3738" s="73" t="s">
        <v>366</v>
      </c>
      <c r="J3738" s="76"/>
    </row>
    <row r="3739">
      <c r="A3739" s="74">
        <v>3728.0</v>
      </c>
      <c r="B3739" s="73" t="s">
        <v>4153</v>
      </c>
      <c r="C3739" s="74">
        <v>8.04014058E8</v>
      </c>
      <c r="D3739" s="73" t="s">
        <v>4220</v>
      </c>
      <c r="E3739" s="72">
        <v>51.0</v>
      </c>
      <c r="F3739" s="75">
        <v>40682.0</v>
      </c>
      <c r="G3739" s="76"/>
      <c r="H3739" s="76"/>
      <c r="I3739" s="73" t="s">
        <v>366</v>
      </c>
      <c r="J3739" s="76"/>
    </row>
    <row r="3740">
      <c r="A3740" s="74">
        <v>3729.0</v>
      </c>
      <c r="B3740" s="73" t="s">
        <v>4153</v>
      </c>
      <c r="C3740" s="74">
        <v>9.00164715E8</v>
      </c>
      <c r="D3740" s="73" t="s">
        <v>4221</v>
      </c>
      <c r="E3740" s="72">
        <v>53.0</v>
      </c>
      <c r="F3740" s="75">
        <v>40690.0</v>
      </c>
      <c r="G3740" s="76"/>
      <c r="H3740" s="76"/>
      <c r="I3740" s="73" t="s">
        <v>366</v>
      </c>
      <c r="J3740" s="76"/>
    </row>
    <row r="3741">
      <c r="A3741" s="74">
        <v>3730.0</v>
      </c>
      <c r="B3741" s="73" t="s">
        <v>4153</v>
      </c>
      <c r="C3741" s="74">
        <v>9.00282784E8</v>
      </c>
      <c r="D3741" s="73" t="s">
        <v>4222</v>
      </c>
      <c r="E3741" s="72">
        <v>69.0</v>
      </c>
      <c r="F3741" s="75">
        <v>40756.0</v>
      </c>
      <c r="G3741" s="76"/>
      <c r="H3741" s="76"/>
      <c r="I3741" s="73" t="s">
        <v>366</v>
      </c>
      <c r="J3741" s="76"/>
    </row>
    <row r="3742">
      <c r="A3742" s="74">
        <v>3731.0</v>
      </c>
      <c r="B3742" s="73" t="s">
        <v>4153</v>
      </c>
      <c r="C3742" s="74">
        <v>8.29003597E8</v>
      </c>
      <c r="D3742" s="73" t="s">
        <v>4223</v>
      </c>
      <c r="E3742" s="72">
        <v>83.0</v>
      </c>
      <c r="F3742" s="75">
        <v>40781.0</v>
      </c>
      <c r="G3742" s="76"/>
      <c r="H3742" s="76"/>
      <c r="I3742" s="73" t="s">
        <v>366</v>
      </c>
      <c r="J3742" s="76"/>
    </row>
    <row r="3743">
      <c r="A3743" s="74">
        <v>3732.0</v>
      </c>
      <c r="B3743" s="73" t="s">
        <v>4153</v>
      </c>
      <c r="C3743" s="74">
        <v>9.00458003E8</v>
      </c>
      <c r="D3743" s="73" t="s">
        <v>4224</v>
      </c>
      <c r="E3743" s="72">
        <v>94.0</v>
      </c>
      <c r="F3743" s="75">
        <v>40786.0</v>
      </c>
      <c r="G3743" s="76"/>
      <c r="H3743" s="76"/>
      <c r="I3743" s="73" t="s">
        <v>366</v>
      </c>
      <c r="J3743" s="76"/>
    </row>
    <row r="3744">
      <c r="A3744" s="74">
        <v>3733.0</v>
      </c>
      <c r="B3744" s="73" t="s">
        <v>4153</v>
      </c>
      <c r="C3744" s="74">
        <v>9.00458313E8</v>
      </c>
      <c r="D3744" s="73" t="s">
        <v>4225</v>
      </c>
      <c r="E3744" s="72">
        <v>92.0</v>
      </c>
      <c r="F3744" s="75">
        <v>40786.0</v>
      </c>
      <c r="G3744" s="76"/>
      <c r="H3744" s="76"/>
      <c r="I3744" s="73" t="s">
        <v>366</v>
      </c>
      <c r="J3744" s="76"/>
    </row>
    <row r="3745">
      <c r="A3745" s="74">
        <v>3734.0</v>
      </c>
      <c r="B3745" s="73" t="s">
        <v>4153</v>
      </c>
      <c r="C3745" s="74">
        <v>9.00476173E8</v>
      </c>
      <c r="D3745" s="73" t="s">
        <v>4226</v>
      </c>
      <c r="E3745" s="72">
        <v>52.0</v>
      </c>
      <c r="F3745" s="77">
        <v>40905.0</v>
      </c>
      <c r="G3745" s="76"/>
      <c r="H3745" s="76"/>
      <c r="I3745" s="73" t="s">
        <v>366</v>
      </c>
      <c r="J3745" s="76"/>
    </row>
    <row r="3746">
      <c r="A3746" s="85">
        <v>3735.0</v>
      </c>
      <c r="B3746" s="79" t="s">
        <v>4153</v>
      </c>
      <c r="C3746" s="80">
        <v>9.00418887E8</v>
      </c>
      <c r="D3746" s="79" t="s">
        <v>4227</v>
      </c>
      <c r="E3746" s="81">
        <v>9.0</v>
      </c>
      <c r="F3746" s="84">
        <v>40961.0</v>
      </c>
      <c r="G3746" s="83"/>
      <c r="H3746" s="83"/>
      <c r="I3746" s="73" t="s">
        <v>366</v>
      </c>
      <c r="J3746" s="76"/>
    </row>
    <row r="3747">
      <c r="A3747" s="74">
        <v>3736.0</v>
      </c>
      <c r="B3747" s="73" t="s">
        <v>4153</v>
      </c>
      <c r="C3747" s="74">
        <v>9.00428258E8</v>
      </c>
      <c r="D3747" s="73" t="s">
        <v>4228</v>
      </c>
      <c r="E3747" s="72">
        <v>25.0</v>
      </c>
      <c r="F3747" s="75">
        <v>40998.0</v>
      </c>
      <c r="G3747" s="76"/>
      <c r="H3747" s="76"/>
      <c r="I3747" s="73" t="s">
        <v>366</v>
      </c>
      <c r="J3747" s="76"/>
    </row>
    <row r="3748">
      <c r="A3748" s="74">
        <v>3737.0</v>
      </c>
      <c r="B3748" s="73" t="s">
        <v>4153</v>
      </c>
      <c r="C3748" s="74">
        <v>9.00501496E8</v>
      </c>
      <c r="D3748" s="73" t="s">
        <v>4229</v>
      </c>
      <c r="E3748" s="72">
        <v>42.0</v>
      </c>
      <c r="F3748" s="75">
        <v>41045.0</v>
      </c>
      <c r="G3748" s="76"/>
      <c r="H3748" s="76"/>
      <c r="I3748" s="73" t="s">
        <v>366</v>
      </c>
      <c r="J3748" s="76"/>
    </row>
    <row r="3749">
      <c r="A3749" s="74">
        <v>3738.0</v>
      </c>
      <c r="B3749" s="73" t="s">
        <v>4153</v>
      </c>
      <c r="C3749" s="74">
        <v>8.90203789E8</v>
      </c>
      <c r="D3749" s="73" t="s">
        <v>4230</v>
      </c>
      <c r="E3749" s="72">
        <v>63.0</v>
      </c>
      <c r="F3749" s="75">
        <v>41096.0</v>
      </c>
      <c r="G3749" s="76"/>
      <c r="H3749" s="76"/>
      <c r="I3749" s="73" t="s">
        <v>366</v>
      </c>
      <c r="J3749" s="76"/>
    </row>
    <row r="3750">
      <c r="A3750" s="74">
        <v>3739.0</v>
      </c>
      <c r="B3750" s="73" t="s">
        <v>4153</v>
      </c>
      <c r="C3750" s="74">
        <v>8.1103172E8</v>
      </c>
      <c r="D3750" s="73" t="s">
        <v>4231</v>
      </c>
      <c r="E3750" s="72">
        <v>65.0</v>
      </c>
      <c r="F3750" s="75">
        <v>41100.0</v>
      </c>
      <c r="G3750" s="76"/>
      <c r="H3750" s="76"/>
      <c r="I3750" s="73" t="s">
        <v>366</v>
      </c>
      <c r="J3750" s="76"/>
    </row>
    <row r="3751">
      <c r="A3751" s="74">
        <v>3740.0</v>
      </c>
      <c r="B3751" s="73" t="s">
        <v>4153</v>
      </c>
      <c r="C3751" s="74">
        <v>9.00323559E8</v>
      </c>
      <c r="D3751" s="73" t="s">
        <v>4232</v>
      </c>
      <c r="E3751" s="72">
        <v>69.0</v>
      </c>
      <c r="F3751" s="75">
        <v>41114.0</v>
      </c>
      <c r="G3751" s="76"/>
      <c r="H3751" s="76"/>
      <c r="I3751" s="73" t="s">
        <v>366</v>
      </c>
      <c r="J3751" s="76"/>
    </row>
    <row r="3752">
      <c r="A3752" s="74">
        <v>3741.0</v>
      </c>
      <c r="B3752" s="73" t="s">
        <v>4153</v>
      </c>
      <c r="C3752" s="74">
        <v>9.0015159E8</v>
      </c>
      <c r="D3752" s="73" t="s">
        <v>4233</v>
      </c>
      <c r="E3752" s="72">
        <v>81.0</v>
      </c>
      <c r="F3752" s="75">
        <v>41157.0</v>
      </c>
      <c r="G3752" s="76"/>
      <c r="H3752" s="76"/>
      <c r="I3752" s="73" t="s">
        <v>366</v>
      </c>
      <c r="J3752" s="76"/>
    </row>
    <row r="3753">
      <c r="A3753" s="74">
        <v>3742.0</v>
      </c>
      <c r="B3753" s="73" t="s">
        <v>4153</v>
      </c>
      <c r="C3753" s="74">
        <v>8.90211768E8</v>
      </c>
      <c r="D3753" s="73" t="s">
        <v>4234</v>
      </c>
      <c r="E3753" s="72">
        <v>82.0</v>
      </c>
      <c r="F3753" s="75">
        <v>41162.0</v>
      </c>
      <c r="G3753" s="76"/>
      <c r="H3753" s="76"/>
      <c r="I3753" s="73" t="s">
        <v>366</v>
      </c>
      <c r="J3753" s="76"/>
    </row>
    <row r="3754">
      <c r="A3754" s="74">
        <v>3743.0</v>
      </c>
      <c r="B3754" s="73" t="s">
        <v>4153</v>
      </c>
      <c r="C3754" s="74">
        <v>9.0038044E8</v>
      </c>
      <c r="D3754" s="73" t="s">
        <v>4235</v>
      </c>
      <c r="E3754" s="72">
        <v>87.0</v>
      </c>
      <c r="F3754" s="75">
        <v>41179.0</v>
      </c>
      <c r="G3754" s="76"/>
      <c r="H3754" s="76"/>
      <c r="I3754" s="73" t="s">
        <v>366</v>
      </c>
      <c r="J3754" s="76"/>
    </row>
    <row r="3755">
      <c r="A3755" s="74">
        <v>3744.0</v>
      </c>
      <c r="B3755" s="73" t="s">
        <v>4153</v>
      </c>
      <c r="C3755" s="74">
        <v>9.00150987E8</v>
      </c>
      <c r="D3755" s="73" t="s">
        <v>4236</v>
      </c>
      <c r="E3755" s="72">
        <v>111.0</v>
      </c>
      <c r="F3755" s="77">
        <v>41260.0</v>
      </c>
      <c r="G3755" s="76"/>
      <c r="H3755" s="76"/>
      <c r="I3755" s="73" t="s">
        <v>366</v>
      </c>
      <c r="J3755" s="76"/>
    </row>
    <row r="3756">
      <c r="A3756" s="74">
        <v>3745.0</v>
      </c>
      <c r="B3756" s="73" t="s">
        <v>4153</v>
      </c>
      <c r="C3756" s="74">
        <v>8.00149076E8</v>
      </c>
      <c r="D3756" s="73" t="s">
        <v>4237</v>
      </c>
      <c r="E3756" s="72">
        <v>115.0</v>
      </c>
      <c r="F3756" s="77">
        <v>41264.0</v>
      </c>
      <c r="G3756" s="76"/>
      <c r="H3756" s="76"/>
      <c r="I3756" s="73" t="s">
        <v>366</v>
      </c>
      <c r="J3756" s="76"/>
    </row>
    <row r="3757">
      <c r="A3757" s="74">
        <v>3746.0</v>
      </c>
      <c r="B3757" s="73" t="s">
        <v>4153</v>
      </c>
      <c r="C3757" s="74">
        <v>8.290031E8</v>
      </c>
      <c r="D3757" s="73" t="s">
        <v>4238</v>
      </c>
      <c r="E3757" s="72">
        <v>118.0</v>
      </c>
      <c r="F3757" s="77">
        <v>41274.0</v>
      </c>
      <c r="G3757" s="76"/>
      <c r="H3757" s="76"/>
      <c r="I3757" s="73" t="s">
        <v>366</v>
      </c>
      <c r="J3757" s="76"/>
    </row>
    <row r="3758">
      <c r="A3758" s="74">
        <v>3747.0</v>
      </c>
      <c r="B3758" s="73" t="s">
        <v>4153</v>
      </c>
      <c r="C3758" s="74">
        <v>9.00388246E8</v>
      </c>
      <c r="D3758" s="73" t="s">
        <v>4239</v>
      </c>
      <c r="E3758" s="72">
        <v>119.0</v>
      </c>
      <c r="F3758" s="77">
        <v>41274.0</v>
      </c>
      <c r="G3758" s="76"/>
      <c r="H3758" s="76"/>
      <c r="I3758" s="73" t="s">
        <v>366</v>
      </c>
      <c r="J3758" s="76"/>
    </row>
    <row r="3759">
      <c r="A3759" s="74">
        <v>3748.0</v>
      </c>
      <c r="B3759" s="73" t="s">
        <v>4153</v>
      </c>
      <c r="C3759" s="74">
        <v>9.00549359E8</v>
      </c>
      <c r="D3759" s="73" t="s">
        <v>4240</v>
      </c>
      <c r="E3759" s="72">
        <v>3.0</v>
      </c>
      <c r="F3759" s="75">
        <v>41283.0</v>
      </c>
      <c r="G3759" s="76"/>
      <c r="H3759" s="76"/>
      <c r="I3759" s="73" t="s">
        <v>366</v>
      </c>
      <c r="J3759" s="76"/>
    </row>
    <row r="3760">
      <c r="A3760" s="74">
        <v>3749.0</v>
      </c>
      <c r="B3760" s="73" t="s">
        <v>4153</v>
      </c>
      <c r="C3760" s="74">
        <v>9.00544631E8</v>
      </c>
      <c r="D3760" s="73" t="s">
        <v>4241</v>
      </c>
      <c r="E3760" s="72">
        <v>7.0</v>
      </c>
      <c r="F3760" s="75">
        <v>41312.0</v>
      </c>
      <c r="G3760" s="76"/>
      <c r="H3760" s="76"/>
      <c r="I3760" s="73" t="s">
        <v>366</v>
      </c>
      <c r="J3760" s="76"/>
    </row>
    <row r="3761">
      <c r="A3761" s="74">
        <v>3750.0</v>
      </c>
      <c r="B3761" s="73" t="s">
        <v>4153</v>
      </c>
      <c r="C3761" s="74">
        <v>9.00383454E8</v>
      </c>
      <c r="D3761" s="73" t="s">
        <v>4242</v>
      </c>
      <c r="E3761" s="72">
        <v>9.0</v>
      </c>
      <c r="F3761" s="75">
        <v>41316.0</v>
      </c>
      <c r="G3761" s="76"/>
      <c r="H3761" s="76"/>
      <c r="I3761" s="73" t="s">
        <v>366</v>
      </c>
      <c r="J3761" s="76"/>
    </row>
    <row r="3762">
      <c r="A3762" s="74">
        <v>3751.0</v>
      </c>
      <c r="B3762" s="73" t="s">
        <v>4153</v>
      </c>
      <c r="C3762" s="74">
        <v>9.00338774E8</v>
      </c>
      <c r="D3762" s="73" t="s">
        <v>4243</v>
      </c>
      <c r="E3762" s="72">
        <v>12.0</v>
      </c>
      <c r="F3762" s="75">
        <v>41319.0</v>
      </c>
      <c r="G3762" s="76"/>
      <c r="H3762" s="76"/>
      <c r="I3762" s="73" t="s">
        <v>366</v>
      </c>
      <c r="J3762" s="76"/>
    </row>
    <row r="3763">
      <c r="A3763" s="74">
        <v>3752.0</v>
      </c>
      <c r="B3763" s="73" t="s">
        <v>4153</v>
      </c>
      <c r="C3763" s="74">
        <v>9.00582036E8</v>
      </c>
      <c r="D3763" s="73" t="s">
        <v>4244</v>
      </c>
      <c r="E3763" s="72">
        <v>10.0</v>
      </c>
      <c r="F3763" s="75">
        <v>41319.0</v>
      </c>
      <c r="G3763" s="76"/>
      <c r="H3763" s="76"/>
      <c r="I3763" s="73" t="s">
        <v>366</v>
      </c>
      <c r="J3763" s="76"/>
    </row>
    <row r="3764">
      <c r="A3764" s="74">
        <v>3753.0</v>
      </c>
      <c r="B3764" s="73" t="s">
        <v>4153</v>
      </c>
      <c r="C3764" s="74">
        <v>9.00586622E8</v>
      </c>
      <c r="D3764" s="73" t="s">
        <v>4245</v>
      </c>
      <c r="E3764" s="72">
        <v>15.0</v>
      </c>
      <c r="F3764" s="75">
        <v>41323.0</v>
      </c>
      <c r="G3764" s="76"/>
      <c r="H3764" s="76"/>
      <c r="I3764" s="73" t="s">
        <v>366</v>
      </c>
      <c r="J3764" s="76"/>
    </row>
    <row r="3765">
      <c r="A3765" s="74">
        <v>3754.0</v>
      </c>
      <c r="B3765" s="73" t="s">
        <v>4153</v>
      </c>
      <c r="C3765" s="74">
        <v>9.00584113E8</v>
      </c>
      <c r="D3765" s="73" t="s">
        <v>4246</v>
      </c>
      <c r="E3765" s="72">
        <v>22.0</v>
      </c>
      <c r="F3765" s="75">
        <v>41348.0</v>
      </c>
      <c r="G3765" s="76"/>
      <c r="H3765" s="76"/>
      <c r="I3765" s="73" t="s">
        <v>366</v>
      </c>
      <c r="J3765" s="76"/>
    </row>
    <row r="3766">
      <c r="A3766" s="74">
        <v>3755.0</v>
      </c>
      <c r="B3766" s="73" t="s">
        <v>4153</v>
      </c>
      <c r="C3766" s="74">
        <v>9.00605597E8</v>
      </c>
      <c r="D3766" s="73" t="s">
        <v>4247</v>
      </c>
      <c r="E3766" s="72">
        <v>48.0</v>
      </c>
      <c r="F3766" s="75">
        <v>41469.0</v>
      </c>
      <c r="G3766" s="76"/>
      <c r="H3766" s="76"/>
      <c r="I3766" s="73" t="s">
        <v>366</v>
      </c>
      <c r="J3766" s="76"/>
    </row>
    <row r="3767">
      <c r="A3767" s="74">
        <v>3756.0</v>
      </c>
      <c r="B3767" s="73" t="s">
        <v>4153</v>
      </c>
      <c r="C3767" s="74">
        <v>8.29000288E8</v>
      </c>
      <c r="D3767" s="73" t="s">
        <v>4248</v>
      </c>
      <c r="E3767" s="72">
        <v>29.0</v>
      </c>
      <c r="F3767" s="75">
        <v>41486.0</v>
      </c>
      <c r="G3767" s="76"/>
      <c r="H3767" s="76"/>
      <c r="I3767" s="73" t="s">
        <v>366</v>
      </c>
      <c r="J3767" s="76"/>
    </row>
    <row r="3768">
      <c r="A3768" s="74">
        <v>3757.0</v>
      </c>
      <c r="B3768" s="73" t="s">
        <v>4153</v>
      </c>
      <c r="C3768" s="74">
        <v>9.00590909E8</v>
      </c>
      <c r="D3768" s="73" t="s">
        <v>4249</v>
      </c>
      <c r="E3768" s="72">
        <v>55.0</v>
      </c>
      <c r="F3768" s="75">
        <v>41509.0</v>
      </c>
      <c r="G3768" s="76"/>
      <c r="H3768" s="76"/>
      <c r="I3768" s="73" t="s">
        <v>366</v>
      </c>
      <c r="J3768" s="76"/>
    </row>
    <row r="3769">
      <c r="A3769" s="74">
        <v>3758.0</v>
      </c>
      <c r="B3769" s="73" t="s">
        <v>4153</v>
      </c>
      <c r="C3769" s="74">
        <v>8.29002427E8</v>
      </c>
      <c r="D3769" s="73" t="s">
        <v>4250</v>
      </c>
      <c r="E3769" s="72">
        <v>70.0</v>
      </c>
      <c r="F3769" s="77">
        <v>41604.0</v>
      </c>
      <c r="G3769" s="76"/>
      <c r="H3769" s="76"/>
      <c r="I3769" s="73" t="s">
        <v>366</v>
      </c>
      <c r="J3769" s="76"/>
    </row>
    <row r="3770">
      <c r="A3770" s="74">
        <v>3759.0</v>
      </c>
      <c r="B3770" s="73" t="s">
        <v>4153</v>
      </c>
      <c r="C3770" s="74">
        <v>8.00172659E8</v>
      </c>
      <c r="D3770" s="73" t="s">
        <v>4251</v>
      </c>
      <c r="E3770" s="72">
        <v>73.0</v>
      </c>
      <c r="F3770" s="77">
        <v>41607.0</v>
      </c>
      <c r="G3770" s="76"/>
      <c r="H3770" s="76"/>
      <c r="I3770" s="73" t="s">
        <v>366</v>
      </c>
      <c r="J3770" s="76"/>
    </row>
    <row r="3771">
      <c r="A3771" s="74">
        <v>3760.0</v>
      </c>
      <c r="B3771" s="73" t="s">
        <v>4153</v>
      </c>
      <c r="C3771" s="74">
        <v>9.00605404E8</v>
      </c>
      <c r="D3771" s="73" t="s">
        <v>4252</v>
      </c>
      <c r="E3771" s="72">
        <v>77.0</v>
      </c>
      <c r="F3771" s="77">
        <v>41631.0</v>
      </c>
      <c r="G3771" s="76"/>
      <c r="H3771" s="76"/>
      <c r="I3771" s="73" t="s">
        <v>366</v>
      </c>
      <c r="J3771" s="76"/>
    </row>
    <row r="3772">
      <c r="A3772" s="74">
        <v>3761.0</v>
      </c>
      <c r="B3772" s="73" t="s">
        <v>4153</v>
      </c>
      <c r="C3772" s="74">
        <v>9.00673967E8</v>
      </c>
      <c r="D3772" s="73" t="s">
        <v>4253</v>
      </c>
      <c r="E3772" s="72">
        <v>10.0</v>
      </c>
      <c r="F3772" s="75">
        <v>41684.0</v>
      </c>
      <c r="G3772" s="76"/>
      <c r="H3772" s="76"/>
      <c r="I3772" s="73" t="s">
        <v>366</v>
      </c>
      <c r="J3772" s="76"/>
    </row>
    <row r="3773">
      <c r="A3773" s="74">
        <v>3762.0</v>
      </c>
      <c r="B3773" s="73" t="s">
        <v>4153</v>
      </c>
      <c r="C3773" s="74">
        <v>9.00302936E8</v>
      </c>
      <c r="D3773" s="73" t="s">
        <v>4254</v>
      </c>
      <c r="E3773" s="72">
        <v>12.0</v>
      </c>
      <c r="F3773" s="75">
        <v>41691.0</v>
      </c>
      <c r="G3773" s="76"/>
      <c r="H3773" s="76"/>
      <c r="I3773" s="73" t="s">
        <v>366</v>
      </c>
      <c r="J3773" s="76"/>
    </row>
    <row r="3774">
      <c r="A3774" s="74">
        <v>3763.0</v>
      </c>
      <c r="B3774" s="73" t="s">
        <v>4153</v>
      </c>
      <c r="C3774" s="74">
        <v>9.0062505E8</v>
      </c>
      <c r="D3774" s="73" t="s">
        <v>4255</v>
      </c>
      <c r="E3774" s="72">
        <v>16.0</v>
      </c>
      <c r="F3774" s="75">
        <v>41695.0</v>
      </c>
      <c r="G3774" s="76"/>
      <c r="H3774" s="76"/>
      <c r="I3774" s="73" t="s">
        <v>366</v>
      </c>
      <c r="J3774" s="76"/>
    </row>
    <row r="3775">
      <c r="A3775" s="74">
        <v>3764.0</v>
      </c>
      <c r="B3775" s="73" t="s">
        <v>4153</v>
      </c>
      <c r="C3775" s="74">
        <v>9.00651376E8</v>
      </c>
      <c r="D3775" s="73" t="s">
        <v>4256</v>
      </c>
      <c r="E3775" s="72">
        <v>15.0</v>
      </c>
      <c r="F3775" s="75">
        <v>41695.0</v>
      </c>
      <c r="G3775" s="76"/>
      <c r="H3775" s="76"/>
      <c r="I3775" s="73" t="s">
        <v>366</v>
      </c>
      <c r="J3775" s="76"/>
    </row>
    <row r="3776">
      <c r="A3776" s="74">
        <v>3765.0</v>
      </c>
      <c r="B3776" s="73" t="s">
        <v>4153</v>
      </c>
      <c r="C3776" s="74">
        <v>9.00405709E8</v>
      </c>
      <c r="D3776" s="73" t="s">
        <v>4257</v>
      </c>
      <c r="E3776" s="72">
        <v>19.0</v>
      </c>
      <c r="F3776" s="75">
        <v>41701.0</v>
      </c>
      <c r="G3776" s="76"/>
      <c r="H3776" s="76"/>
      <c r="I3776" s="73" t="s">
        <v>366</v>
      </c>
      <c r="J3776" s="76"/>
    </row>
    <row r="3777">
      <c r="A3777" s="74">
        <v>3766.0</v>
      </c>
      <c r="B3777" s="73" t="s">
        <v>4153</v>
      </c>
      <c r="C3777" s="74">
        <v>9.00421576E8</v>
      </c>
      <c r="D3777" s="73" t="s">
        <v>4258</v>
      </c>
      <c r="E3777" s="72">
        <v>20.0</v>
      </c>
      <c r="F3777" s="75">
        <v>41701.0</v>
      </c>
      <c r="G3777" s="76"/>
      <c r="H3777" s="76"/>
      <c r="I3777" s="73" t="s">
        <v>366</v>
      </c>
      <c r="J3777" s="76"/>
    </row>
    <row r="3778">
      <c r="A3778" s="74">
        <v>3767.0</v>
      </c>
      <c r="B3778" s="73" t="s">
        <v>4153</v>
      </c>
      <c r="C3778" s="74">
        <v>8.0400155E8</v>
      </c>
      <c r="D3778" s="73" t="s">
        <v>4259</v>
      </c>
      <c r="E3778" s="72">
        <v>22.0</v>
      </c>
      <c r="F3778" s="75">
        <v>41703.0</v>
      </c>
      <c r="G3778" s="76"/>
      <c r="H3778" s="76"/>
      <c r="I3778" s="73" t="s">
        <v>366</v>
      </c>
      <c r="J3778" s="76"/>
    </row>
    <row r="3779">
      <c r="A3779" s="74">
        <v>3768.0</v>
      </c>
      <c r="B3779" s="73" t="s">
        <v>4153</v>
      </c>
      <c r="C3779" s="74">
        <v>9.00703118E8</v>
      </c>
      <c r="D3779" s="73" t="s">
        <v>4260</v>
      </c>
      <c r="E3779" s="72">
        <v>26.0</v>
      </c>
      <c r="F3779" s="75">
        <v>41752.0</v>
      </c>
      <c r="G3779" s="76"/>
      <c r="H3779" s="76"/>
      <c r="I3779" s="73" t="s">
        <v>366</v>
      </c>
      <c r="J3779" s="76"/>
    </row>
    <row r="3780">
      <c r="A3780" s="74">
        <v>3769.0</v>
      </c>
      <c r="B3780" s="73" t="s">
        <v>4153</v>
      </c>
      <c r="C3780" s="74">
        <v>9.00342501E8</v>
      </c>
      <c r="D3780" s="73" t="s">
        <v>4261</v>
      </c>
      <c r="E3780" s="72">
        <v>41.0</v>
      </c>
      <c r="F3780" s="75">
        <v>41802.0</v>
      </c>
      <c r="G3780" s="76"/>
      <c r="H3780" s="76"/>
      <c r="I3780" s="73" t="s">
        <v>366</v>
      </c>
      <c r="J3780" s="76"/>
    </row>
    <row r="3781">
      <c r="A3781" s="74">
        <v>3770.0</v>
      </c>
      <c r="B3781" s="73" t="s">
        <v>4153</v>
      </c>
      <c r="C3781" s="74">
        <v>9.00642973E8</v>
      </c>
      <c r="D3781" s="73" t="s">
        <v>4262</v>
      </c>
      <c r="E3781" s="72">
        <v>40.0</v>
      </c>
      <c r="F3781" s="75">
        <v>41802.0</v>
      </c>
      <c r="G3781" s="76"/>
      <c r="H3781" s="76"/>
      <c r="I3781" s="73" t="s">
        <v>366</v>
      </c>
      <c r="J3781" s="76"/>
    </row>
    <row r="3782">
      <c r="A3782" s="74">
        <v>3771.0</v>
      </c>
      <c r="B3782" s="73" t="s">
        <v>4153</v>
      </c>
      <c r="C3782" s="74">
        <v>8.29003956E8</v>
      </c>
      <c r="D3782" s="73" t="s">
        <v>4263</v>
      </c>
      <c r="E3782" s="72">
        <v>42.0</v>
      </c>
      <c r="F3782" s="75">
        <v>41806.0</v>
      </c>
      <c r="G3782" s="76"/>
      <c r="H3782" s="76"/>
      <c r="I3782" s="73" t="s">
        <v>366</v>
      </c>
      <c r="J3782" s="76"/>
    </row>
    <row r="3783">
      <c r="A3783" s="74">
        <v>3772.0</v>
      </c>
      <c r="B3783" s="73" t="s">
        <v>4153</v>
      </c>
      <c r="C3783" s="74">
        <v>8.2900421E8</v>
      </c>
      <c r="D3783" s="73" t="s">
        <v>4264</v>
      </c>
      <c r="E3783" s="72">
        <v>50.0</v>
      </c>
      <c r="F3783" s="75">
        <v>41852.0</v>
      </c>
      <c r="G3783" s="76"/>
      <c r="H3783" s="76"/>
      <c r="I3783" s="73" t="s">
        <v>366</v>
      </c>
      <c r="J3783" s="76"/>
    </row>
    <row r="3784">
      <c r="A3784" s="74">
        <v>3773.0</v>
      </c>
      <c r="B3784" s="73" t="s">
        <v>4153</v>
      </c>
      <c r="C3784" s="74">
        <v>9.00719398E8</v>
      </c>
      <c r="D3784" s="73" t="s">
        <v>4021</v>
      </c>
      <c r="E3784" s="72">
        <v>264.0</v>
      </c>
      <c r="F3784" s="75">
        <v>41878.0</v>
      </c>
      <c r="G3784" s="76"/>
      <c r="H3784" s="76"/>
      <c r="I3784" s="73" t="s">
        <v>366</v>
      </c>
      <c r="J3784" s="76"/>
    </row>
    <row r="3785">
      <c r="A3785" s="74">
        <v>3774.0</v>
      </c>
      <c r="B3785" s="73" t="s">
        <v>4153</v>
      </c>
      <c r="C3785" s="74">
        <v>9.00683726E8</v>
      </c>
      <c r="D3785" s="73" t="s">
        <v>4265</v>
      </c>
      <c r="E3785" s="72">
        <v>61.0</v>
      </c>
      <c r="F3785" s="75">
        <v>41892.0</v>
      </c>
      <c r="G3785" s="76"/>
      <c r="H3785" s="76"/>
      <c r="I3785" s="73" t="s">
        <v>366</v>
      </c>
      <c r="J3785" s="76"/>
    </row>
    <row r="3786">
      <c r="A3786" s="74">
        <v>3775.0</v>
      </c>
      <c r="B3786" s="73" t="s">
        <v>4153</v>
      </c>
      <c r="C3786" s="74">
        <v>9.00537516E8</v>
      </c>
      <c r="D3786" s="73" t="s">
        <v>4266</v>
      </c>
      <c r="E3786" s="72">
        <v>67.0</v>
      </c>
      <c r="F3786" s="75">
        <v>41912.0</v>
      </c>
      <c r="G3786" s="76"/>
      <c r="H3786" s="76"/>
      <c r="I3786" s="73" t="s">
        <v>366</v>
      </c>
      <c r="J3786" s="76"/>
    </row>
    <row r="3787">
      <c r="A3787" s="74">
        <v>3776.0</v>
      </c>
      <c r="B3787" s="73" t="s">
        <v>4153</v>
      </c>
      <c r="C3787" s="74">
        <v>9.00396512E8</v>
      </c>
      <c r="D3787" s="73" t="s">
        <v>4267</v>
      </c>
      <c r="E3787" s="72">
        <v>72.0</v>
      </c>
      <c r="F3787" s="77">
        <v>41919.0</v>
      </c>
      <c r="G3787" s="76"/>
      <c r="H3787" s="76"/>
      <c r="I3787" s="73" t="s">
        <v>366</v>
      </c>
      <c r="J3787" s="76"/>
    </row>
    <row r="3788">
      <c r="A3788" s="74">
        <v>3777.0</v>
      </c>
      <c r="B3788" s="73" t="s">
        <v>4153</v>
      </c>
      <c r="C3788" s="74">
        <v>9.00528739E8</v>
      </c>
      <c r="D3788" s="73" t="s">
        <v>4268</v>
      </c>
      <c r="E3788" s="72">
        <v>86.0</v>
      </c>
      <c r="F3788" s="77">
        <v>41950.0</v>
      </c>
      <c r="G3788" s="76"/>
      <c r="H3788" s="76"/>
      <c r="I3788" s="73" t="s">
        <v>366</v>
      </c>
      <c r="J3788" s="76"/>
    </row>
    <row r="3789">
      <c r="A3789" s="74">
        <v>3778.0</v>
      </c>
      <c r="B3789" s="73" t="s">
        <v>4153</v>
      </c>
      <c r="C3789" s="74">
        <v>9.00327957E8</v>
      </c>
      <c r="D3789" s="73" t="s">
        <v>4269</v>
      </c>
      <c r="E3789" s="72">
        <v>92.0</v>
      </c>
      <c r="F3789" s="77">
        <v>41963.0</v>
      </c>
      <c r="G3789" s="76"/>
      <c r="H3789" s="76"/>
      <c r="I3789" s="73" t="s">
        <v>366</v>
      </c>
      <c r="J3789" s="76"/>
    </row>
    <row r="3790">
      <c r="A3790" s="74">
        <v>3779.0</v>
      </c>
      <c r="B3790" s="73" t="s">
        <v>4153</v>
      </c>
      <c r="C3790" s="74">
        <v>9.00327137E8</v>
      </c>
      <c r="D3790" s="73" t="s">
        <v>4270</v>
      </c>
      <c r="E3790" s="72">
        <v>94.0</v>
      </c>
      <c r="F3790" s="77">
        <v>41976.0</v>
      </c>
      <c r="G3790" s="76"/>
      <c r="H3790" s="76"/>
      <c r="I3790" s="73" t="s">
        <v>366</v>
      </c>
      <c r="J3790" s="76"/>
    </row>
    <row r="3791">
      <c r="A3791" s="74">
        <v>3780.0</v>
      </c>
      <c r="B3791" s="73" t="s">
        <v>4153</v>
      </c>
      <c r="C3791" s="74">
        <v>9.00529397E8</v>
      </c>
      <c r="D3791" s="73" t="s">
        <v>4271</v>
      </c>
      <c r="E3791" s="72">
        <v>93.0</v>
      </c>
      <c r="F3791" s="77">
        <v>41976.0</v>
      </c>
      <c r="G3791" s="76"/>
      <c r="H3791" s="76"/>
      <c r="I3791" s="73" t="s">
        <v>366</v>
      </c>
      <c r="J3791" s="76"/>
    </row>
    <row r="3792">
      <c r="A3792" s="74">
        <v>3781.0</v>
      </c>
      <c r="B3792" s="73" t="s">
        <v>4153</v>
      </c>
      <c r="C3792" s="74">
        <v>9.00599509E8</v>
      </c>
      <c r="D3792" s="73" t="s">
        <v>4272</v>
      </c>
      <c r="E3792" s="72">
        <v>96.0</v>
      </c>
      <c r="F3792" s="77">
        <v>41985.0</v>
      </c>
      <c r="G3792" s="76"/>
      <c r="H3792" s="76"/>
      <c r="I3792" s="73" t="s">
        <v>366</v>
      </c>
      <c r="J3792" s="76"/>
    </row>
    <row r="3793">
      <c r="A3793" s="74">
        <v>3782.0</v>
      </c>
      <c r="B3793" s="73" t="s">
        <v>4153</v>
      </c>
      <c r="C3793" s="74">
        <v>9.00298394E8</v>
      </c>
      <c r="D3793" s="73" t="s">
        <v>4273</v>
      </c>
      <c r="E3793" s="72">
        <v>97.0</v>
      </c>
      <c r="F3793" s="77">
        <v>41990.0</v>
      </c>
      <c r="G3793" s="76"/>
      <c r="H3793" s="76"/>
      <c r="I3793" s="73" t="s">
        <v>366</v>
      </c>
      <c r="J3793" s="76"/>
    </row>
    <row r="3794">
      <c r="A3794" s="74">
        <v>3783.0</v>
      </c>
      <c r="B3794" s="73" t="s">
        <v>4153</v>
      </c>
      <c r="C3794" s="74">
        <v>9.00771728E8</v>
      </c>
      <c r="D3794" s="73" t="s">
        <v>4274</v>
      </c>
      <c r="E3794" s="72">
        <v>104.0</v>
      </c>
      <c r="F3794" s="77">
        <v>41996.0</v>
      </c>
      <c r="G3794" s="76"/>
      <c r="H3794" s="76"/>
      <c r="I3794" s="73" t="s">
        <v>366</v>
      </c>
      <c r="J3794" s="76"/>
    </row>
    <row r="3795">
      <c r="A3795" s="74">
        <v>3784.0</v>
      </c>
      <c r="B3795" s="73" t="s">
        <v>4153</v>
      </c>
      <c r="C3795" s="74">
        <v>6.34562099E8</v>
      </c>
      <c r="D3795" s="73" t="s">
        <v>4275</v>
      </c>
      <c r="E3795" s="72">
        <v>106.0</v>
      </c>
      <c r="F3795" s="77">
        <v>41999.0</v>
      </c>
      <c r="G3795" s="76"/>
      <c r="H3795" s="76"/>
      <c r="I3795" s="73" t="s">
        <v>366</v>
      </c>
      <c r="J3795" s="76"/>
    </row>
    <row r="3796">
      <c r="A3796" s="74">
        <v>3785.0</v>
      </c>
      <c r="B3796" s="73" t="s">
        <v>4153</v>
      </c>
      <c r="C3796" s="74">
        <v>9.00784932E8</v>
      </c>
      <c r="D3796" s="73" t="s">
        <v>4276</v>
      </c>
      <c r="E3796" s="72">
        <v>107.0</v>
      </c>
      <c r="F3796" s="77">
        <v>42003.0</v>
      </c>
      <c r="G3796" s="76"/>
      <c r="H3796" s="76"/>
      <c r="I3796" s="73" t="s">
        <v>366</v>
      </c>
      <c r="J3796" s="76"/>
    </row>
    <row r="3797">
      <c r="A3797" s="74">
        <v>3786.0</v>
      </c>
      <c r="B3797" s="73" t="s">
        <v>4153</v>
      </c>
      <c r="C3797" s="74">
        <v>9.00541354E8</v>
      </c>
      <c r="D3797" s="73" t="s">
        <v>4277</v>
      </c>
      <c r="E3797" s="72">
        <v>7.0</v>
      </c>
      <c r="F3797" s="75">
        <v>42031.0</v>
      </c>
      <c r="G3797" s="76"/>
      <c r="H3797" s="76"/>
      <c r="I3797" s="73" t="s">
        <v>366</v>
      </c>
      <c r="J3797" s="76"/>
    </row>
    <row r="3798">
      <c r="A3798" s="74">
        <v>3787.0</v>
      </c>
      <c r="B3798" s="73" t="s">
        <v>4153</v>
      </c>
      <c r="C3798" s="74">
        <v>9.00562508E8</v>
      </c>
      <c r="D3798" s="73" t="s">
        <v>4278</v>
      </c>
      <c r="E3798" s="72">
        <v>8.0</v>
      </c>
      <c r="F3798" s="75">
        <v>42032.0</v>
      </c>
      <c r="G3798" s="76"/>
      <c r="H3798" s="76"/>
      <c r="I3798" s="73" t="s">
        <v>366</v>
      </c>
      <c r="J3798" s="76"/>
    </row>
    <row r="3799">
      <c r="A3799" s="85">
        <v>3788.0</v>
      </c>
      <c r="B3799" s="79" t="s">
        <v>4153</v>
      </c>
      <c r="C3799" s="80">
        <v>9.00591035E8</v>
      </c>
      <c r="D3799" s="79" t="s">
        <v>4279</v>
      </c>
      <c r="E3799" s="81">
        <v>16.0</v>
      </c>
      <c r="F3799" s="84">
        <v>42048.0</v>
      </c>
      <c r="G3799" s="83"/>
      <c r="H3799" s="83"/>
      <c r="I3799" s="73" t="s">
        <v>366</v>
      </c>
      <c r="J3799" s="76"/>
    </row>
    <row r="3800">
      <c r="A3800" s="74">
        <v>3789.0</v>
      </c>
      <c r="B3800" s="73" t="s">
        <v>4153</v>
      </c>
      <c r="C3800" s="74">
        <v>9.00564771E8</v>
      </c>
      <c r="D3800" s="73" t="s">
        <v>4280</v>
      </c>
      <c r="E3800" s="72">
        <v>18.0</v>
      </c>
      <c r="F3800" s="75">
        <v>42055.0</v>
      </c>
      <c r="G3800" s="76"/>
      <c r="H3800" s="76"/>
      <c r="I3800" s="73" t="s">
        <v>366</v>
      </c>
      <c r="J3800" s="76"/>
    </row>
    <row r="3801">
      <c r="A3801" s="74">
        <v>3790.0</v>
      </c>
      <c r="B3801" s="73" t="s">
        <v>4153</v>
      </c>
      <c r="C3801" s="74">
        <v>9.0076587E8</v>
      </c>
      <c r="D3801" s="73" t="s">
        <v>4281</v>
      </c>
      <c r="E3801" s="72">
        <v>19.0</v>
      </c>
      <c r="F3801" s="75">
        <v>42055.0</v>
      </c>
      <c r="G3801" s="76"/>
      <c r="H3801" s="76"/>
      <c r="I3801" s="73" t="s">
        <v>366</v>
      </c>
      <c r="J3801" s="76"/>
    </row>
    <row r="3802">
      <c r="A3802" s="74">
        <v>3791.0</v>
      </c>
      <c r="B3802" s="73" t="s">
        <v>4153</v>
      </c>
      <c r="C3802" s="74">
        <v>8.29003927E8</v>
      </c>
      <c r="D3802" s="73" t="s">
        <v>4282</v>
      </c>
      <c r="E3802" s="72">
        <v>25.0</v>
      </c>
      <c r="F3802" s="75">
        <v>42064.0</v>
      </c>
      <c r="G3802" s="76"/>
      <c r="H3802" s="76"/>
      <c r="I3802" s="73" t="s">
        <v>366</v>
      </c>
      <c r="J3802" s="76"/>
    </row>
    <row r="3803">
      <c r="A3803" s="74">
        <v>3792.0</v>
      </c>
      <c r="B3803" s="73" t="s">
        <v>4153</v>
      </c>
      <c r="C3803" s="74">
        <v>8.90270191E8</v>
      </c>
      <c r="D3803" s="73" t="s">
        <v>4283</v>
      </c>
      <c r="E3803" s="72">
        <v>24.0</v>
      </c>
      <c r="F3803" s="75">
        <v>42064.0</v>
      </c>
      <c r="G3803" s="76"/>
      <c r="H3803" s="76"/>
      <c r="I3803" s="73" t="s">
        <v>366</v>
      </c>
      <c r="J3803" s="76"/>
    </row>
    <row r="3804">
      <c r="A3804" s="74">
        <v>3793.0</v>
      </c>
      <c r="B3804" s="73" t="s">
        <v>4153</v>
      </c>
      <c r="C3804" s="74">
        <v>9.00773684E8</v>
      </c>
      <c r="D3804" s="73" t="s">
        <v>4284</v>
      </c>
      <c r="E3804" s="72">
        <v>45.0</v>
      </c>
      <c r="F3804" s="75">
        <v>42212.0</v>
      </c>
      <c r="G3804" s="76"/>
      <c r="H3804" s="76"/>
      <c r="I3804" s="73" t="s">
        <v>366</v>
      </c>
      <c r="J3804" s="76"/>
    </row>
    <row r="3805">
      <c r="A3805" s="74">
        <v>3794.0</v>
      </c>
      <c r="B3805" s="73" t="s">
        <v>4153</v>
      </c>
      <c r="C3805" s="74">
        <v>9.00827148E8</v>
      </c>
      <c r="D3805" s="73" t="s">
        <v>4285</v>
      </c>
      <c r="E3805" s="72">
        <v>60.0</v>
      </c>
      <c r="F3805" s="77">
        <v>42285.0</v>
      </c>
      <c r="G3805" s="76"/>
      <c r="H3805" s="76"/>
      <c r="I3805" s="73" t="s">
        <v>366</v>
      </c>
      <c r="J3805" s="76"/>
    </row>
    <row r="3806">
      <c r="A3806" s="74">
        <v>3795.0</v>
      </c>
      <c r="B3806" s="73" t="s">
        <v>4153</v>
      </c>
      <c r="C3806" s="74">
        <v>9.00651316E8</v>
      </c>
      <c r="D3806" s="73" t="s">
        <v>4286</v>
      </c>
      <c r="E3806" s="100" t="s">
        <v>4287</v>
      </c>
      <c r="F3806" s="77">
        <v>42353.0</v>
      </c>
      <c r="G3806" s="76"/>
      <c r="H3806" s="76"/>
      <c r="I3806" s="73" t="s">
        <v>366</v>
      </c>
      <c r="J3806" s="76"/>
    </row>
    <row r="3807">
      <c r="A3807" s="74">
        <v>3796.0</v>
      </c>
      <c r="B3807" s="73" t="s">
        <v>4153</v>
      </c>
      <c r="C3807" s="74">
        <v>9.00569808E8</v>
      </c>
      <c r="D3807" s="73" t="s">
        <v>4288</v>
      </c>
      <c r="E3807" s="72">
        <v>76.0</v>
      </c>
      <c r="F3807" s="77">
        <v>42361.0</v>
      </c>
      <c r="G3807" s="76"/>
      <c r="H3807" s="76"/>
      <c r="I3807" s="73" t="s">
        <v>366</v>
      </c>
      <c r="J3807" s="76"/>
    </row>
    <row r="3808">
      <c r="A3808" s="74">
        <v>3797.0</v>
      </c>
      <c r="B3808" s="73" t="s">
        <v>4153</v>
      </c>
      <c r="C3808" s="74">
        <v>9.00474618E8</v>
      </c>
      <c r="D3808" s="73" t="s">
        <v>4289</v>
      </c>
      <c r="E3808" s="72">
        <v>4.0</v>
      </c>
      <c r="F3808" s="75">
        <v>42388.0</v>
      </c>
      <c r="G3808" s="76"/>
      <c r="H3808" s="76"/>
      <c r="I3808" s="73" t="s">
        <v>366</v>
      </c>
      <c r="J3808" s="76"/>
    </row>
    <row r="3809">
      <c r="A3809" s="74">
        <v>3798.0</v>
      </c>
      <c r="B3809" s="73" t="s">
        <v>4153</v>
      </c>
      <c r="C3809" s="74">
        <v>9.0079376E8</v>
      </c>
      <c r="D3809" s="73" t="s">
        <v>4290</v>
      </c>
      <c r="E3809" s="72">
        <v>1.0</v>
      </c>
      <c r="F3809" s="75">
        <v>42402.0</v>
      </c>
      <c r="G3809" s="76"/>
      <c r="H3809" s="76"/>
      <c r="I3809" s="73" t="s">
        <v>366</v>
      </c>
      <c r="J3809" s="76"/>
    </row>
    <row r="3810">
      <c r="A3810" s="74">
        <v>3799.0</v>
      </c>
      <c r="B3810" s="73" t="s">
        <v>4153</v>
      </c>
      <c r="C3810" s="74">
        <v>9.00846586E8</v>
      </c>
      <c r="D3810" s="73" t="s">
        <v>4291</v>
      </c>
      <c r="E3810" s="72">
        <v>11.0</v>
      </c>
      <c r="F3810" s="75">
        <v>42425.0</v>
      </c>
      <c r="G3810" s="76"/>
      <c r="H3810" s="76"/>
      <c r="I3810" s="73" t="s">
        <v>366</v>
      </c>
      <c r="J3810" s="76"/>
    </row>
    <row r="3811">
      <c r="A3811" s="74">
        <v>3800.0</v>
      </c>
      <c r="B3811" s="73" t="s">
        <v>4153</v>
      </c>
      <c r="C3811" s="74">
        <v>9.00810998E8</v>
      </c>
      <c r="D3811" s="73" t="s">
        <v>4292</v>
      </c>
      <c r="E3811" s="72">
        <v>21.0</v>
      </c>
      <c r="F3811" s="75">
        <v>42444.0</v>
      </c>
      <c r="G3811" s="76"/>
      <c r="H3811" s="76"/>
      <c r="I3811" s="73" t="s">
        <v>366</v>
      </c>
      <c r="J3811" s="76"/>
    </row>
    <row r="3812">
      <c r="A3812" s="74">
        <v>3801.0</v>
      </c>
      <c r="B3812" s="73" t="s">
        <v>4153</v>
      </c>
      <c r="C3812" s="74">
        <v>9.00845487E8</v>
      </c>
      <c r="D3812" s="73" t="s">
        <v>4293</v>
      </c>
      <c r="E3812" s="72">
        <v>24.0</v>
      </c>
      <c r="F3812" s="75">
        <v>42447.0</v>
      </c>
      <c r="G3812" s="76"/>
      <c r="H3812" s="76"/>
      <c r="I3812" s="73" t="s">
        <v>366</v>
      </c>
      <c r="J3812" s="76"/>
    </row>
    <row r="3813">
      <c r="A3813" s="74">
        <v>3802.0</v>
      </c>
      <c r="B3813" s="73" t="s">
        <v>4153</v>
      </c>
      <c r="C3813" s="74">
        <v>8.90200917E8</v>
      </c>
      <c r="D3813" s="73" t="s">
        <v>4294</v>
      </c>
      <c r="E3813" s="72">
        <v>29.0</v>
      </c>
      <c r="F3813" s="75">
        <v>42474.0</v>
      </c>
      <c r="G3813" s="76"/>
      <c r="H3813" s="76"/>
      <c r="I3813" s="73" t="s">
        <v>366</v>
      </c>
      <c r="J3813" s="76"/>
    </row>
    <row r="3814">
      <c r="A3814" s="74">
        <v>3803.0</v>
      </c>
      <c r="B3814" s="73" t="s">
        <v>4153</v>
      </c>
      <c r="C3814" s="74">
        <v>9.00869783E8</v>
      </c>
      <c r="D3814" s="73" t="s">
        <v>4295</v>
      </c>
      <c r="E3814" s="72">
        <v>38.0</v>
      </c>
      <c r="F3814" s="75">
        <v>42523.0</v>
      </c>
      <c r="G3814" s="76"/>
      <c r="H3814" s="76"/>
      <c r="I3814" s="73" t="s">
        <v>366</v>
      </c>
      <c r="J3814" s="76"/>
    </row>
    <row r="3815">
      <c r="A3815" s="74">
        <v>3804.0</v>
      </c>
      <c r="B3815" s="73" t="s">
        <v>4153</v>
      </c>
      <c r="C3815" s="74">
        <v>9.00941283E8</v>
      </c>
      <c r="D3815" s="73" t="s">
        <v>3717</v>
      </c>
      <c r="E3815" s="72">
        <v>41.0</v>
      </c>
      <c r="F3815" s="75">
        <v>42579.0</v>
      </c>
      <c r="G3815" s="76"/>
      <c r="H3815" s="76"/>
      <c r="I3815" s="73" t="s">
        <v>366</v>
      </c>
      <c r="J3815" s="76"/>
    </row>
    <row r="3816">
      <c r="A3816" s="74">
        <v>3805.0</v>
      </c>
      <c r="B3816" s="73" t="s">
        <v>4153</v>
      </c>
      <c r="C3816" s="74">
        <v>9.00640178E8</v>
      </c>
      <c r="D3816" s="73" t="s">
        <v>4296</v>
      </c>
      <c r="E3816" s="72">
        <v>57.0</v>
      </c>
      <c r="F3816" s="75">
        <v>42580.0</v>
      </c>
      <c r="G3816" s="76"/>
      <c r="H3816" s="76"/>
      <c r="I3816" s="73" t="s">
        <v>366</v>
      </c>
      <c r="J3816" s="76"/>
    </row>
    <row r="3817">
      <c r="A3817" s="74">
        <v>3806.0</v>
      </c>
      <c r="B3817" s="73" t="s">
        <v>4153</v>
      </c>
      <c r="C3817" s="74">
        <v>9.00933522E8</v>
      </c>
      <c r="D3817" s="73" t="s">
        <v>4297</v>
      </c>
      <c r="E3817" s="72">
        <v>63.0</v>
      </c>
      <c r="F3817" s="75">
        <v>42587.0</v>
      </c>
      <c r="G3817" s="76"/>
      <c r="H3817" s="76"/>
      <c r="I3817" s="73" t="s">
        <v>366</v>
      </c>
      <c r="J3817" s="76"/>
    </row>
    <row r="3818">
      <c r="A3818" s="74">
        <v>3807.0</v>
      </c>
      <c r="B3818" s="73" t="s">
        <v>4153</v>
      </c>
      <c r="C3818" s="74">
        <v>9.00973234E8</v>
      </c>
      <c r="D3818" s="73" t="s">
        <v>4298</v>
      </c>
      <c r="E3818" s="72">
        <v>119.0</v>
      </c>
      <c r="F3818" s="75">
        <v>42590.0</v>
      </c>
      <c r="G3818" s="76"/>
      <c r="H3818" s="76"/>
      <c r="I3818" s="73" t="s">
        <v>366</v>
      </c>
      <c r="J3818" s="76"/>
    </row>
    <row r="3819">
      <c r="A3819" s="74">
        <v>3808.0</v>
      </c>
      <c r="B3819" s="73" t="s">
        <v>4153</v>
      </c>
      <c r="C3819" s="74">
        <v>9.00062979E8</v>
      </c>
      <c r="D3819" s="73" t="s">
        <v>4299</v>
      </c>
      <c r="E3819" s="72">
        <v>69.0</v>
      </c>
      <c r="F3819" s="75">
        <v>42626.0</v>
      </c>
      <c r="G3819" s="76"/>
      <c r="H3819" s="76"/>
      <c r="I3819" s="73" t="s">
        <v>366</v>
      </c>
      <c r="J3819" s="76"/>
    </row>
    <row r="3820">
      <c r="A3820" s="74">
        <v>3809.0</v>
      </c>
      <c r="B3820" s="73" t="s">
        <v>4153</v>
      </c>
      <c r="C3820" s="74">
        <v>8.00092019E8</v>
      </c>
      <c r="D3820" s="73" t="s">
        <v>4300</v>
      </c>
      <c r="E3820" s="72">
        <v>9.0</v>
      </c>
      <c r="F3820" s="75">
        <v>42786.0</v>
      </c>
      <c r="G3820" s="76"/>
      <c r="H3820" s="76"/>
      <c r="I3820" s="73" t="s">
        <v>366</v>
      </c>
      <c r="J3820" s="76"/>
    </row>
    <row r="3821">
      <c r="A3821" s="74">
        <v>3810.0</v>
      </c>
      <c r="B3821" s="73" t="s">
        <v>4153</v>
      </c>
      <c r="C3821" s="74">
        <v>8.04011573E8</v>
      </c>
      <c r="D3821" s="73" t="s">
        <v>4301</v>
      </c>
      <c r="E3821" s="72">
        <v>11.0</v>
      </c>
      <c r="F3821" s="75">
        <v>42804.0</v>
      </c>
      <c r="G3821" s="76"/>
      <c r="H3821" s="76"/>
      <c r="I3821" s="73" t="s">
        <v>366</v>
      </c>
      <c r="J3821" s="76"/>
    </row>
    <row r="3822">
      <c r="A3822" s="74">
        <v>3811.0</v>
      </c>
      <c r="B3822" s="73" t="s">
        <v>4153</v>
      </c>
      <c r="C3822" s="74">
        <v>8.00232197E8</v>
      </c>
      <c r="D3822" s="73" t="s">
        <v>4302</v>
      </c>
      <c r="E3822" s="72">
        <v>21.0</v>
      </c>
      <c r="F3822" s="75">
        <v>42825.0</v>
      </c>
      <c r="G3822" s="76"/>
      <c r="H3822" s="76"/>
      <c r="I3822" s="73" t="s">
        <v>366</v>
      </c>
      <c r="J3822" s="76"/>
    </row>
    <row r="3823">
      <c r="A3823" s="74">
        <v>3812.0</v>
      </c>
      <c r="B3823" s="73" t="s">
        <v>4153</v>
      </c>
      <c r="C3823" s="74">
        <v>9.00604034E8</v>
      </c>
      <c r="D3823" s="73" t="s">
        <v>4303</v>
      </c>
      <c r="E3823" s="72">
        <v>24.0</v>
      </c>
      <c r="F3823" s="75">
        <v>42866.0</v>
      </c>
      <c r="G3823" s="76"/>
      <c r="H3823" s="76"/>
      <c r="I3823" s="73" t="s">
        <v>366</v>
      </c>
      <c r="J3823" s="76"/>
    </row>
    <row r="3824">
      <c r="A3824" s="74">
        <v>3813.0</v>
      </c>
      <c r="B3824" s="73" t="s">
        <v>4153</v>
      </c>
      <c r="C3824" s="74">
        <v>9.01084327E8</v>
      </c>
      <c r="D3824" s="73" t="s">
        <v>4304</v>
      </c>
      <c r="E3824" s="72">
        <v>43.0</v>
      </c>
      <c r="F3824" s="75">
        <v>42982.0</v>
      </c>
      <c r="G3824" s="76"/>
      <c r="H3824" s="76"/>
      <c r="I3824" s="73" t="s">
        <v>366</v>
      </c>
      <c r="J3824" s="76"/>
    </row>
    <row r="3825">
      <c r="A3825" s="74">
        <v>3814.0</v>
      </c>
      <c r="B3825" s="73" t="s">
        <v>4153</v>
      </c>
      <c r="C3825" s="74">
        <v>9.00935967E8</v>
      </c>
      <c r="D3825" s="73" t="s">
        <v>4305</v>
      </c>
      <c r="E3825" s="72">
        <v>75.0</v>
      </c>
      <c r="F3825" s="77">
        <v>43046.0</v>
      </c>
      <c r="G3825" s="76"/>
      <c r="H3825" s="76"/>
      <c r="I3825" s="73" t="s">
        <v>366</v>
      </c>
      <c r="J3825" s="76"/>
    </row>
    <row r="3826">
      <c r="A3826" s="74">
        <v>3815.0</v>
      </c>
      <c r="B3826" s="73" t="s">
        <v>4153</v>
      </c>
      <c r="C3826" s="74">
        <v>9.01135574E8</v>
      </c>
      <c r="D3826" s="73" t="s">
        <v>4306</v>
      </c>
      <c r="E3826" s="72">
        <v>208.0</v>
      </c>
      <c r="F3826" s="77">
        <v>43084.0</v>
      </c>
      <c r="G3826" s="76"/>
      <c r="H3826" s="76"/>
      <c r="I3826" s="73" t="s">
        <v>366</v>
      </c>
      <c r="J3826" s="76"/>
    </row>
    <row r="3827">
      <c r="A3827" s="74">
        <v>3816.0</v>
      </c>
      <c r="B3827" s="73" t="s">
        <v>4153</v>
      </c>
      <c r="C3827" s="74">
        <v>9.00961779E8</v>
      </c>
      <c r="D3827" s="73" t="s">
        <v>4307</v>
      </c>
      <c r="E3827" s="72">
        <v>15.0</v>
      </c>
      <c r="F3827" s="75">
        <v>43126.0</v>
      </c>
      <c r="G3827" s="76"/>
      <c r="H3827" s="76"/>
      <c r="I3827" s="73" t="s">
        <v>366</v>
      </c>
      <c r="J3827" s="76"/>
    </row>
    <row r="3828">
      <c r="A3828" s="74">
        <v>3817.0</v>
      </c>
      <c r="B3828" s="73" t="s">
        <v>4153</v>
      </c>
      <c r="C3828" s="74">
        <v>9.00704702E8</v>
      </c>
      <c r="D3828" s="73" t="s">
        <v>4308</v>
      </c>
      <c r="E3828" s="72">
        <v>17.0</v>
      </c>
      <c r="F3828" s="75">
        <v>43139.0</v>
      </c>
      <c r="G3828" s="76"/>
      <c r="H3828" s="76"/>
      <c r="I3828" s="73" t="s">
        <v>366</v>
      </c>
      <c r="J3828" s="76"/>
    </row>
    <row r="3829">
      <c r="A3829" s="74">
        <v>3818.0</v>
      </c>
      <c r="B3829" s="73" t="s">
        <v>4153</v>
      </c>
      <c r="C3829" s="74">
        <v>9.01136369E8</v>
      </c>
      <c r="D3829" s="73" t="s">
        <v>4309</v>
      </c>
      <c r="E3829" s="72">
        <v>24.0</v>
      </c>
      <c r="F3829" s="75">
        <v>43150.0</v>
      </c>
      <c r="G3829" s="76"/>
      <c r="H3829" s="76"/>
      <c r="I3829" s="73" t="s">
        <v>366</v>
      </c>
      <c r="J3829" s="76"/>
    </row>
    <row r="3830">
      <c r="A3830" s="74">
        <v>3819.0</v>
      </c>
      <c r="B3830" s="73" t="s">
        <v>4153</v>
      </c>
      <c r="C3830" s="74">
        <v>9.00448116E8</v>
      </c>
      <c r="D3830" s="73" t="s">
        <v>4310</v>
      </c>
      <c r="E3830" s="72">
        <v>44.0</v>
      </c>
      <c r="F3830" s="75">
        <v>43192.0</v>
      </c>
      <c r="G3830" s="76"/>
      <c r="H3830" s="76"/>
      <c r="I3830" s="73" t="s">
        <v>366</v>
      </c>
      <c r="J3830" s="76"/>
    </row>
    <row r="3831">
      <c r="A3831" s="74">
        <v>3820.0</v>
      </c>
      <c r="B3831" s="73" t="s">
        <v>4153</v>
      </c>
      <c r="C3831" s="74">
        <v>9.01143837E8</v>
      </c>
      <c r="D3831" s="73" t="s">
        <v>4311</v>
      </c>
      <c r="E3831" s="72">
        <v>50.0</v>
      </c>
      <c r="F3831" s="75">
        <v>43209.0</v>
      </c>
      <c r="G3831" s="76"/>
      <c r="H3831" s="76"/>
      <c r="I3831" s="73" t="s">
        <v>366</v>
      </c>
      <c r="J3831" s="76"/>
    </row>
    <row r="3832">
      <c r="A3832" s="74">
        <v>3821.0</v>
      </c>
      <c r="B3832" s="73" t="s">
        <v>4153</v>
      </c>
      <c r="C3832" s="74">
        <v>9.01080539E8</v>
      </c>
      <c r="D3832" s="73" t="s">
        <v>4312</v>
      </c>
      <c r="E3832" s="72">
        <v>66.0</v>
      </c>
      <c r="F3832" s="75">
        <v>43227.0</v>
      </c>
      <c r="G3832" s="76"/>
      <c r="H3832" s="76"/>
      <c r="I3832" s="73" t="s">
        <v>366</v>
      </c>
      <c r="J3832" s="76"/>
    </row>
    <row r="3833">
      <c r="A3833" s="74">
        <v>3822.0</v>
      </c>
      <c r="B3833" s="73" t="s">
        <v>4153</v>
      </c>
      <c r="C3833" s="74">
        <v>9.01043758E8</v>
      </c>
      <c r="D3833" s="73" t="s">
        <v>4313</v>
      </c>
      <c r="E3833" s="72">
        <v>36.0</v>
      </c>
      <c r="F3833" s="75">
        <v>43258.0</v>
      </c>
      <c r="G3833" s="76"/>
      <c r="H3833" s="76"/>
      <c r="I3833" s="73" t="s">
        <v>366</v>
      </c>
      <c r="J3833" s="76"/>
    </row>
    <row r="3834">
      <c r="A3834" s="74">
        <v>3823.0</v>
      </c>
      <c r="B3834" s="73" t="s">
        <v>4153</v>
      </c>
      <c r="C3834" s="74">
        <v>9.01186381E8</v>
      </c>
      <c r="D3834" s="73" t="s">
        <v>4314</v>
      </c>
      <c r="E3834" s="72">
        <v>153.0</v>
      </c>
      <c r="F3834" s="75">
        <v>43287.0</v>
      </c>
      <c r="G3834" s="76"/>
      <c r="H3834" s="76"/>
      <c r="I3834" s="73" t="s">
        <v>366</v>
      </c>
      <c r="J3834" s="76"/>
    </row>
    <row r="3835">
      <c r="A3835" s="74">
        <v>3824.0</v>
      </c>
      <c r="B3835" s="73" t="s">
        <v>4153</v>
      </c>
      <c r="C3835" s="74">
        <v>9.01210905E8</v>
      </c>
      <c r="D3835" s="73" t="s">
        <v>4315</v>
      </c>
      <c r="E3835" s="72">
        <v>211.0</v>
      </c>
      <c r="F3835" s="77">
        <v>43419.0</v>
      </c>
      <c r="G3835" s="76"/>
      <c r="H3835" s="76"/>
      <c r="I3835" s="73" t="s">
        <v>366</v>
      </c>
      <c r="J3835" s="76"/>
    </row>
    <row r="3836">
      <c r="A3836" s="74">
        <v>3825.0</v>
      </c>
      <c r="B3836" s="73" t="s">
        <v>4153</v>
      </c>
      <c r="C3836" s="74">
        <v>9.01216862E8</v>
      </c>
      <c r="D3836" s="73" t="s">
        <v>4316</v>
      </c>
      <c r="E3836" s="72">
        <v>220.0</v>
      </c>
      <c r="F3836" s="77">
        <v>43430.0</v>
      </c>
      <c r="G3836" s="76"/>
      <c r="H3836" s="76"/>
      <c r="I3836" s="73" t="s">
        <v>366</v>
      </c>
      <c r="J3836" s="76"/>
    </row>
    <row r="3837">
      <c r="A3837" s="74">
        <v>3826.0</v>
      </c>
      <c r="B3837" s="73" t="s">
        <v>4153</v>
      </c>
      <c r="C3837" s="74">
        <v>3.77212352E8</v>
      </c>
      <c r="D3837" s="73" t="s">
        <v>4317</v>
      </c>
      <c r="E3837" s="72">
        <v>252.0</v>
      </c>
      <c r="F3837" s="77">
        <v>43458.0</v>
      </c>
      <c r="G3837" s="76"/>
      <c r="H3837" s="76"/>
      <c r="I3837" s="73" t="s">
        <v>366</v>
      </c>
      <c r="J3837" s="76"/>
    </row>
    <row r="3838">
      <c r="A3838" s="74">
        <v>3827.0</v>
      </c>
      <c r="B3838" s="73" t="s">
        <v>4153</v>
      </c>
      <c r="C3838" s="74">
        <v>8.04010701E8</v>
      </c>
      <c r="D3838" s="73" t="s">
        <v>4318</v>
      </c>
      <c r="E3838" s="72">
        <v>250.0</v>
      </c>
      <c r="F3838" s="77">
        <v>43458.0</v>
      </c>
      <c r="G3838" s="76"/>
      <c r="H3838" s="76"/>
      <c r="I3838" s="73" t="s">
        <v>366</v>
      </c>
      <c r="J3838" s="76"/>
    </row>
    <row r="3839">
      <c r="A3839" s="74">
        <v>3828.0</v>
      </c>
      <c r="B3839" s="73" t="s">
        <v>4153</v>
      </c>
      <c r="C3839" s="74">
        <v>8.04007814E8</v>
      </c>
      <c r="D3839" s="73" t="s">
        <v>4319</v>
      </c>
      <c r="E3839" s="72">
        <v>263.0</v>
      </c>
      <c r="F3839" s="77">
        <v>43461.0</v>
      </c>
      <c r="G3839" s="76"/>
      <c r="H3839" s="76"/>
      <c r="I3839" s="73" t="s">
        <v>366</v>
      </c>
      <c r="J3839" s="76"/>
    </row>
    <row r="3840">
      <c r="A3840" s="74">
        <v>3829.0</v>
      </c>
      <c r="B3840" s="73" t="s">
        <v>4153</v>
      </c>
      <c r="C3840" s="74">
        <v>9.01197046E8</v>
      </c>
      <c r="D3840" s="73" t="s">
        <v>4320</v>
      </c>
      <c r="E3840" s="72">
        <v>4.0</v>
      </c>
      <c r="F3840" s="75">
        <v>43490.0</v>
      </c>
      <c r="G3840" s="76"/>
      <c r="H3840" s="76"/>
      <c r="I3840" s="73" t="s">
        <v>366</v>
      </c>
      <c r="J3840" s="76"/>
    </row>
    <row r="3841">
      <c r="A3841" s="74">
        <v>3830.0</v>
      </c>
      <c r="B3841" s="73" t="s">
        <v>4153</v>
      </c>
      <c r="C3841" s="74">
        <v>9.01254203E8</v>
      </c>
      <c r="D3841" s="73" t="s">
        <v>4321</v>
      </c>
      <c r="E3841" s="72">
        <v>92.0</v>
      </c>
      <c r="F3841" s="75">
        <v>43621.0</v>
      </c>
      <c r="G3841" s="76"/>
      <c r="H3841" s="76"/>
      <c r="I3841" s="73" t="s">
        <v>366</v>
      </c>
      <c r="J3841" s="76"/>
    </row>
    <row r="3842">
      <c r="A3842" s="74">
        <v>3831.0</v>
      </c>
      <c r="B3842" s="73" t="s">
        <v>4153</v>
      </c>
      <c r="C3842" s="74">
        <v>9.01251814E8</v>
      </c>
      <c r="D3842" s="73" t="s">
        <v>4322</v>
      </c>
      <c r="E3842" s="72">
        <v>168.0</v>
      </c>
      <c r="F3842" s="75">
        <v>43726.0</v>
      </c>
      <c r="G3842" s="76"/>
      <c r="H3842" s="76"/>
      <c r="I3842" s="73" t="s">
        <v>366</v>
      </c>
      <c r="J3842" s="76"/>
    </row>
    <row r="3843">
      <c r="A3843" s="74">
        <v>3832.0</v>
      </c>
      <c r="B3843" s="73" t="s">
        <v>4153</v>
      </c>
      <c r="C3843" s="74">
        <v>8.04010542E8</v>
      </c>
      <c r="D3843" s="73" t="s">
        <v>4323</v>
      </c>
      <c r="E3843" s="72">
        <v>45.0</v>
      </c>
      <c r="F3843" s="77">
        <v>43767.0</v>
      </c>
      <c r="G3843" s="76"/>
      <c r="H3843" s="76"/>
      <c r="I3843" s="73" t="s">
        <v>366</v>
      </c>
      <c r="J3843" s="76"/>
    </row>
    <row r="3844">
      <c r="A3844" s="74">
        <v>3833.0</v>
      </c>
      <c r="B3844" s="73" t="s">
        <v>4153</v>
      </c>
      <c r="C3844" s="74">
        <v>9.00255124E8</v>
      </c>
      <c r="D3844" s="73" t="s">
        <v>4324</v>
      </c>
      <c r="E3844" s="72">
        <v>3.0</v>
      </c>
      <c r="F3844" s="75">
        <v>43844.0</v>
      </c>
      <c r="G3844" s="76"/>
      <c r="H3844" s="76"/>
      <c r="I3844" s="73" t="s">
        <v>366</v>
      </c>
      <c r="J3844" s="76"/>
    </row>
    <row r="3845">
      <c r="A3845" s="74">
        <v>3834.0</v>
      </c>
      <c r="B3845" s="73" t="s">
        <v>4153</v>
      </c>
      <c r="C3845" s="74">
        <v>9.00641306E8</v>
      </c>
      <c r="D3845" s="73" t="s">
        <v>4325</v>
      </c>
      <c r="E3845" s="72">
        <v>10.0</v>
      </c>
      <c r="F3845" s="75">
        <v>43857.0</v>
      </c>
      <c r="G3845" s="76"/>
      <c r="H3845" s="76"/>
      <c r="I3845" s="73" t="s">
        <v>366</v>
      </c>
      <c r="J3845" s="76"/>
    </row>
    <row r="3846">
      <c r="A3846" s="74">
        <v>3835.0</v>
      </c>
      <c r="B3846" s="73" t="s">
        <v>4153</v>
      </c>
      <c r="C3846" s="74">
        <v>8.30507118E8</v>
      </c>
      <c r="D3846" s="73" t="s">
        <v>4326</v>
      </c>
      <c r="E3846" s="72">
        <v>16.0</v>
      </c>
      <c r="F3846" s="75">
        <v>43865.0</v>
      </c>
      <c r="G3846" s="76"/>
      <c r="H3846" s="76"/>
      <c r="I3846" s="73" t="s">
        <v>366</v>
      </c>
      <c r="J3846" s="76"/>
    </row>
    <row r="3847">
      <c r="A3847" s="74">
        <v>3836.0</v>
      </c>
      <c r="B3847" s="73" t="s">
        <v>4153</v>
      </c>
      <c r="C3847" s="74">
        <v>8.0401413E8</v>
      </c>
      <c r="D3847" s="73" t="s">
        <v>4327</v>
      </c>
      <c r="E3847" s="72">
        <v>27.0</v>
      </c>
      <c r="F3847" s="75">
        <v>43873.0</v>
      </c>
      <c r="G3847" s="76"/>
      <c r="H3847" s="76"/>
      <c r="I3847" s="73" t="s">
        <v>366</v>
      </c>
      <c r="J3847" s="76"/>
    </row>
    <row r="3848">
      <c r="A3848" s="74">
        <v>3837.0</v>
      </c>
      <c r="B3848" s="73" t="s">
        <v>4153</v>
      </c>
      <c r="C3848" s="74">
        <v>9.00669188E8</v>
      </c>
      <c r="D3848" s="73" t="s">
        <v>4328</v>
      </c>
      <c r="E3848" s="72">
        <v>13095.0</v>
      </c>
      <c r="F3848" s="75">
        <v>44097.0</v>
      </c>
      <c r="G3848" s="76"/>
      <c r="H3848" s="76"/>
      <c r="I3848" s="73" t="s">
        <v>366</v>
      </c>
      <c r="J3848" s="76"/>
    </row>
    <row r="3849">
      <c r="A3849" s="74">
        <v>3838.0</v>
      </c>
      <c r="B3849" s="73" t="s">
        <v>4153</v>
      </c>
      <c r="C3849" s="74">
        <v>9.00235262E8</v>
      </c>
      <c r="D3849" s="73" t="s">
        <v>4329</v>
      </c>
      <c r="E3849" s="72">
        <v>19565.0</v>
      </c>
      <c r="F3849" s="77">
        <v>44140.0</v>
      </c>
      <c r="G3849" s="76"/>
      <c r="H3849" s="76"/>
      <c r="I3849" s="73" t="s">
        <v>366</v>
      </c>
      <c r="J3849" s="76"/>
    </row>
    <row r="3850">
      <c r="A3850" s="74">
        <v>3839.0</v>
      </c>
      <c r="B3850" s="73" t="s">
        <v>4153</v>
      </c>
      <c r="C3850" s="74">
        <v>9.00850867E8</v>
      </c>
      <c r="D3850" s="73" t="s">
        <v>4330</v>
      </c>
      <c r="E3850" s="72">
        <v>20145.0</v>
      </c>
      <c r="F3850" s="77">
        <v>44144.0</v>
      </c>
      <c r="G3850" s="76"/>
      <c r="H3850" s="76"/>
      <c r="I3850" s="73" t="s">
        <v>366</v>
      </c>
      <c r="J3850" s="76"/>
    </row>
    <row r="3851">
      <c r="A3851" s="74">
        <v>3840.0</v>
      </c>
      <c r="B3851" s="73" t="s">
        <v>4153</v>
      </c>
      <c r="C3851" s="74">
        <v>9.01411551E8</v>
      </c>
      <c r="D3851" s="73" t="s">
        <v>4331</v>
      </c>
      <c r="E3851" s="72">
        <v>2765.0</v>
      </c>
      <c r="F3851" s="75">
        <v>44221.0</v>
      </c>
      <c r="G3851" s="76"/>
      <c r="H3851" s="76"/>
      <c r="I3851" s="73" t="s">
        <v>366</v>
      </c>
      <c r="J3851" s="76"/>
    </row>
    <row r="3852">
      <c r="A3852" s="85">
        <v>3841.0</v>
      </c>
      <c r="B3852" s="79" t="s">
        <v>4153</v>
      </c>
      <c r="C3852" s="80">
        <v>9.01435531E8</v>
      </c>
      <c r="D3852" s="79" t="s">
        <v>4332</v>
      </c>
      <c r="E3852" s="81">
        <v>2.0214250009485E13</v>
      </c>
      <c r="F3852" s="84">
        <v>44263.0</v>
      </c>
      <c r="G3852" s="83"/>
      <c r="H3852" s="83"/>
      <c r="I3852" s="73" t="s">
        <v>366</v>
      </c>
      <c r="J3852" s="76"/>
    </row>
    <row r="3853">
      <c r="A3853" s="74">
        <v>3842.0</v>
      </c>
      <c r="B3853" s="73" t="s">
        <v>4153</v>
      </c>
      <c r="C3853" s="74">
        <v>9.01437476E8</v>
      </c>
      <c r="D3853" s="73" t="s">
        <v>4333</v>
      </c>
      <c r="E3853" s="72">
        <v>25265.0</v>
      </c>
      <c r="F3853" s="75">
        <v>44364.0</v>
      </c>
      <c r="G3853" s="76"/>
      <c r="H3853" s="76"/>
      <c r="I3853" s="73" t="s">
        <v>366</v>
      </c>
      <c r="J3853" s="76"/>
    </row>
    <row r="3854">
      <c r="A3854" s="74">
        <v>3843.0</v>
      </c>
      <c r="B3854" s="73" t="s">
        <v>4153</v>
      </c>
      <c r="C3854" s="74">
        <v>9.01471602E8</v>
      </c>
      <c r="D3854" s="73" t="s">
        <v>1377</v>
      </c>
      <c r="E3854" s="72">
        <v>2789.0</v>
      </c>
      <c r="F3854" s="75">
        <v>44379.0</v>
      </c>
      <c r="G3854" s="76"/>
      <c r="H3854" s="76"/>
      <c r="I3854" s="73" t="s">
        <v>366</v>
      </c>
      <c r="J3854" s="76"/>
    </row>
    <row r="3855">
      <c r="A3855" s="74">
        <v>3844.0</v>
      </c>
      <c r="B3855" s="73" t="s">
        <v>4153</v>
      </c>
      <c r="C3855" s="74">
        <v>9.00203573E8</v>
      </c>
      <c r="D3855" s="73" t="s">
        <v>4334</v>
      </c>
      <c r="E3855" s="72">
        <v>32605.0</v>
      </c>
      <c r="F3855" s="75">
        <v>44406.0</v>
      </c>
      <c r="G3855" s="76"/>
      <c r="H3855" s="76"/>
      <c r="I3855" s="73" t="s">
        <v>366</v>
      </c>
      <c r="J3855" s="76"/>
    </row>
    <row r="3856">
      <c r="A3856" s="74">
        <v>3845.0</v>
      </c>
      <c r="B3856" s="73" t="s">
        <v>4153</v>
      </c>
      <c r="C3856" s="74">
        <v>9.01511479E8</v>
      </c>
      <c r="D3856" s="73" t="s">
        <v>4335</v>
      </c>
      <c r="E3856" s="72">
        <v>61045.0</v>
      </c>
      <c r="F3856" s="77">
        <v>44546.0</v>
      </c>
      <c r="G3856" s="76"/>
      <c r="H3856" s="76"/>
      <c r="I3856" s="73" t="s">
        <v>366</v>
      </c>
      <c r="J3856" s="76"/>
    </row>
    <row r="3857">
      <c r="A3857" s="74">
        <v>3846.0</v>
      </c>
      <c r="B3857" s="73" t="s">
        <v>4153</v>
      </c>
      <c r="C3857" s="74">
        <v>9.00502513E8</v>
      </c>
      <c r="D3857" s="73" t="s">
        <v>4336</v>
      </c>
      <c r="E3857" s="72">
        <v>7675.0</v>
      </c>
      <c r="F3857" s="75">
        <v>44608.0</v>
      </c>
      <c r="G3857" s="76"/>
      <c r="H3857" s="76"/>
      <c r="I3857" s="73" t="s">
        <v>366</v>
      </c>
      <c r="J3857" s="76"/>
    </row>
    <row r="3858">
      <c r="A3858" s="74">
        <v>3847.0</v>
      </c>
      <c r="B3858" s="73" t="s">
        <v>4153</v>
      </c>
      <c r="C3858" s="74">
        <v>9.01532238E8</v>
      </c>
      <c r="D3858" s="73" t="s">
        <v>4337</v>
      </c>
      <c r="E3858" s="72">
        <v>7705.0</v>
      </c>
      <c r="F3858" s="75">
        <v>44608.0</v>
      </c>
      <c r="G3858" s="76"/>
      <c r="H3858" s="76"/>
      <c r="I3858" s="73" t="s">
        <v>366</v>
      </c>
      <c r="J3858" s="76"/>
    </row>
    <row r="3859">
      <c r="A3859" s="74">
        <v>3848.0</v>
      </c>
      <c r="B3859" s="73" t="s">
        <v>4153</v>
      </c>
      <c r="C3859" s="74">
        <v>9.01186924E8</v>
      </c>
      <c r="D3859" s="73" t="s">
        <v>4338</v>
      </c>
      <c r="E3859" s="72">
        <v>2.0222470009735E13</v>
      </c>
      <c r="F3859" s="75">
        <v>44617.0</v>
      </c>
      <c r="G3859" s="76"/>
      <c r="H3859" s="76"/>
      <c r="I3859" s="73" t="s">
        <v>366</v>
      </c>
      <c r="J3859" s="76"/>
    </row>
    <row r="3860">
      <c r="A3860" s="74">
        <v>3849.0</v>
      </c>
      <c r="B3860" s="73" t="s">
        <v>4153</v>
      </c>
      <c r="C3860" s="74">
        <v>8.29001143E8</v>
      </c>
      <c r="D3860" s="73" t="s">
        <v>4339</v>
      </c>
      <c r="E3860" s="72">
        <v>2.0224680012995E13</v>
      </c>
      <c r="F3860" s="75">
        <v>44634.0</v>
      </c>
      <c r="G3860" s="76"/>
      <c r="H3860" s="76"/>
      <c r="I3860" s="73" t="s">
        <v>366</v>
      </c>
      <c r="J3860" s="76"/>
    </row>
    <row r="3861">
      <c r="A3861" s="74">
        <v>3850.0</v>
      </c>
      <c r="B3861" s="73" t="s">
        <v>4153</v>
      </c>
      <c r="C3861" s="74">
        <v>9.01235913E8</v>
      </c>
      <c r="D3861" s="73" t="s">
        <v>4340</v>
      </c>
      <c r="E3861" s="72">
        <v>15035.0</v>
      </c>
      <c r="F3861" s="75">
        <v>44644.0</v>
      </c>
      <c r="G3861" s="76"/>
      <c r="H3861" s="76"/>
      <c r="I3861" s="73" t="s">
        <v>366</v>
      </c>
      <c r="J3861" s="76"/>
    </row>
    <row r="3862">
      <c r="A3862" s="74">
        <v>3851.0</v>
      </c>
      <c r="B3862" s="73" t="s">
        <v>4153</v>
      </c>
      <c r="C3862" s="74">
        <v>9.01374539E8</v>
      </c>
      <c r="D3862" s="73" t="s">
        <v>4341</v>
      </c>
      <c r="E3862" s="72">
        <v>20995.0</v>
      </c>
      <c r="F3862" s="75">
        <v>44673.0</v>
      </c>
      <c r="G3862" s="76"/>
      <c r="H3862" s="76"/>
      <c r="I3862" s="73" t="s">
        <v>366</v>
      </c>
      <c r="J3862" s="76"/>
    </row>
    <row r="3863">
      <c r="A3863" s="74">
        <v>3852.0</v>
      </c>
      <c r="B3863" s="73" t="s">
        <v>4153</v>
      </c>
      <c r="C3863" s="74">
        <v>9.0154263E8</v>
      </c>
      <c r="D3863" s="73" t="s">
        <v>4342</v>
      </c>
      <c r="E3863" s="72">
        <v>27085.0</v>
      </c>
      <c r="F3863" s="75">
        <v>44697.0</v>
      </c>
      <c r="G3863" s="76"/>
      <c r="H3863" s="76"/>
      <c r="I3863" s="73" t="s">
        <v>366</v>
      </c>
      <c r="J3863" s="76"/>
    </row>
    <row r="3864">
      <c r="A3864" s="74">
        <v>3853.0</v>
      </c>
      <c r="B3864" s="73" t="s">
        <v>4153</v>
      </c>
      <c r="C3864" s="74">
        <v>9.01316319E8</v>
      </c>
      <c r="D3864" s="73" t="s">
        <v>4343</v>
      </c>
      <c r="E3864" s="72">
        <v>29895.0</v>
      </c>
      <c r="F3864" s="75">
        <v>44707.0</v>
      </c>
      <c r="G3864" s="76"/>
      <c r="H3864" s="76"/>
      <c r="I3864" s="73" t="s">
        <v>366</v>
      </c>
      <c r="J3864" s="76"/>
    </row>
    <row r="3865">
      <c r="A3865" s="74">
        <v>3854.0</v>
      </c>
      <c r="B3865" s="73" t="s">
        <v>4153</v>
      </c>
      <c r="C3865" s="74">
        <v>9.01343022E8</v>
      </c>
      <c r="D3865" s="73" t="s">
        <v>4344</v>
      </c>
      <c r="E3865" s="72">
        <v>29755.0</v>
      </c>
      <c r="F3865" s="75">
        <v>44707.0</v>
      </c>
      <c r="G3865" s="76"/>
      <c r="H3865" s="76"/>
      <c r="I3865" s="73" t="s">
        <v>366</v>
      </c>
      <c r="J3865" s="76"/>
    </row>
    <row r="3866">
      <c r="A3866" s="74">
        <v>3855.0</v>
      </c>
      <c r="B3866" s="73" t="s">
        <v>4153</v>
      </c>
      <c r="C3866" s="74">
        <v>9.01140637E8</v>
      </c>
      <c r="D3866" s="73" t="s">
        <v>4345</v>
      </c>
      <c r="E3866" s="72">
        <v>48035.0</v>
      </c>
      <c r="F3866" s="75">
        <v>44790.0</v>
      </c>
      <c r="G3866" s="76"/>
      <c r="H3866" s="76"/>
      <c r="I3866" s="73" t="s">
        <v>366</v>
      </c>
      <c r="J3866" s="76"/>
    </row>
    <row r="3867">
      <c r="A3867" s="74">
        <v>3856.0</v>
      </c>
      <c r="B3867" s="73" t="s">
        <v>4153</v>
      </c>
      <c r="C3867" s="74">
        <v>9.01209741E8</v>
      </c>
      <c r="D3867" s="73" t="s">
        <v>4346</v>
      </c>
      <c r="E3867" s="72">
        <v>72405.0</v>
      </c>
      <c r="F3867" s="77">
        <v>44896.0</v>
      </c>
      <c r="G3867" s="76"/>
      <c r="H3867" s="76"/>
      <c r="I3867" s="73" t="s">
        <v>366</v>
      </c>
      <c r="J3867" s="76"/>
    </row>
    <row r="3868">
      <c r="A3868" s="74">
        <v>3857.0</v>
      </c>
      <c r="B3868" s="73" t="s">
        <v>4153</v>
      </c>
      <c r="C3868" s="74">
        <v>9.01373786E8</v>
      </c>
      <c r="D3868" s="73" t="s">
        <v>4347</v>
      </c>
      <c r="E3868" s="72">
        <v>2.0232130001275E13</v>
      </c>
      <c r="F3868" s="75">
        <v>44938.0</v>
      </c>
      <c r="G3868" s="76"/>
      <c r="H3868" s="76"/>
      <c r="I3868" s="73" t="s">
        <v>366</v>
      </c>
      <c r="J3868" s="76"/>
    </row>
    <row r="3869">
      <c r="A3869" s="74">
        <v>3858.0</v>
      </c>
      <c r="B3869" s="73" t="s">
        <v>4153</v>
      </c>
      <c r="C3869" s="74">
        <v>1.38455352E8</v>
      </c>
      <c r="D3869" s="73" t="s">
        <v>4348</v>
      </c>
      <c r="E3869" s="72">
        <v>2.0234680002135E13</v>
      </c>
      <c r="F3869" s="75">
        <v>44949.0</v>
      </c>
      <c r="G3869" s="76"/>
      <c r="H3869" s="76"/>
      <c r="I3869" s="73" t="s">
        <v>366</v>
      </c>
      <c r="J3869" s="76"/>
    </row>
    <row r="3870">
      <c r="A3870" s="74">
        <v>3859.0</v>
      </c>
      <c r="B3870" s="73" t="s">
        <v>4153</v>
      </c>
      <c r="C3870" s="74">
        <v>9.00564764E8</v>
      </c>
      <c r="D3870" s="73" t="s">
        <v>4349</v>
      </c>
      <c r="E3870" s="72">
        <v>2.0234680011685E13</v>
      </c>
      <c r="F3870" s="75">
        <v>45006.0</v>
      </c>
      <c r="G3870" s="76"/>
      <c r="H3870" s="76"/>
      <c r="I3870" s="73" t="s">
        <v>366</v>
      </c>
      <c r="J3870" s="76"/>
    </row>
    <row r="3871">
      <c r="A3871" s="74">
        <v>3860.0</v>
      </c>
      <c r="B3871" s="73" t="s">
        <v>4153</v>
      </c>
      <c r="C3871" s="74">
        <v>8.04011303E8</v>
      </c>
      <c r="D3871" s="73" t="s">
        <v>4350</v>
      </c>
      <c r="E3871" s="72">
        <v>2.0234680016585E13</v>
      </c>
      <c r="F3871" s="75">
        <v>45041.0</v>
      </c>
      <c r="G3871" s="76"/>
      <c r="H3871" s="76"/>
      <c r="I3871" s="73" t="s">
        <v>366</v>
      </c>
      <c r="J3871" s="76"/>
    </row>
    <row r="3872">
      <c r="A3872" s="74">
        <v>3861.0</v>
      </c>
      <c r="B3872" s="73" t="s">
        <v>4153</v>
      </c>
      <c r="C3872" s="74">
        <v>9.01622263E8</v>
      </c>
      <c r="D3872" s="73" t="s">
        <v>4351</v>
      </c>
      <c r="E3872" s="72">
        <v>2.0234680031595E13</v>
      </c>
      <c r="F3872" s="75">
        <v>45132.0</v>
      </c>
      <c r="G3872" s="76"/>
      <c r="H3872" s="76"/>
      <c r="I3872" s="73" t="s">
        <v>366</v>
      </c>
      <c r="J3872" s="76"/>
    </row>
    <row r="3873">
      <c r="A3873" s="74">
        <v>3862.0</v>
      </c>
      <c r="B3873" s="73" t="s">
        <v>4153</v>
      </c>
      <c r="C3873" s="74">
        <v>8.04004647E8</v>
      </c>
      <c r="D3873" s="73" t="s">
        <v>4352</v>
      </c>
      <c r="E3873" s="72">
        <v>371255.0</v>
      </c>
      <c r="F3873" s="75">
        <v>45169.0</v>
      </c>
      <c r="G3873" s="76"/>
      <c r="H3873" s="76"/>
      <c r="I3873" s="73" t="s">
        <v>366</v>
      </c>
      <c r="J3873" s="76"/>
    </row>
    <row r="3874">
      <c r="A3874" s="74">
        <v>3863.0</v>
      </c>
      <c r="B3874" s="73" t="s">
        <v>4153</v>
      </c>
      <c r="C3874" s="74">
        <v>9.01686281E8</v>
      </c>
      <c r="D3874" s="73" t="s">
        <v>4353</v>
      </c>
      <c r="E3874" s="72">
        <v>2.0234680042525E13</v>
      </c>
      <c r="F3874" s="77">
        <v>45202.0</v>
      </c>
      <c r="G3874" s="76"/>
      <c r="H3874" s="76"/>
      <c r="I3874" s="73" t="s">
        <v>366</v>
      </c>
      <c r="J3874" s="76"/>
    </row>
    <row r="3875">
      <c r="A3875" s="74">
        <v>3864.0</v>
      </c>
      <c r="B3875" s="73" t="s">
        <v>4153</v>
      </c>
      <c r="C3875" s="74">
        <v>8.90209498E8</v>
      </c>
      <c r="D3875" s="73" t="s">
        <v>4354</v>
      </c>
      <c r="E3875" s="72">
        <v>2.0234680044485E13</v>
      </c>
      <c r="F3875" s="77">
        <v>45216.0</v>
      </c>
      <c r="G3875" s="76"/>
      <c r="H3875" s="76"/>
      <c r="I3875" s="73" t="s">
        <v>366</v>
      </c>
      <c r="J3875" s="76"/>
    </row>
    <row r="3876">
      <c r="A3876" s="74">
        <v>3865.0</v>
      </c>
      <c r="B3876" s="73" t="s">
        <v>4153</v>
      </c>
      <c r="C3876" s="74">
        <v>9.01719257E8</v>
      </c>
      <c r="D3876" s="73" t="s">
        <v>4355</v>
      </c>
      <c r="E3876" s="72">
        <v>2.0234680056245E13</v>
      </c>
      <c r="F3876" s="77">
        <v>45278.0</v>
      </c>
      <c r="G3876" s="76"/>
      <c r="H3876" s="76"/>
      <c r="I3876" s="73" t="s">
        <v>366</v>
      </c>
      <c r="J3876" s="76"/>
    </row>
    <row r="3877">
      <c r="A3877" s="74">
        <v>3866.0</v>
      </c>
      <c r="B3877" s="73" t="s">
        <v>4153</v>
      </c>
      <c r="C3877" s="74">
        <v>9.00520766E8</v>
      </c>
      <c r="D3877" s="73" t="s">
        <v>4356</v>
      </c>
      <c r="E3877" s="72">
        <v>2.0234680058345E13</v>
      </c>
      <c r="F3877" s="77">
        <v>45288.0</v>
      </c>
      <c r="G3877" s="76"/>
      <c r="H3877" s="76"/>
      <c r="I3877" s="73" t="s">
        <v>366</v>
      </c>
      <c r="J3877" s="76"/>
    </row>
    <row r="3878">
      <c r="A3878" s="74">
        <v>3867.0</v>
      </c>
      <c r="B3878" s="73" t="s">
        <v>4153</v>
      </c>
      <c r="C3878" s="74">
        <v>9.01068144E8</v>
      </c>
      <c r="D3878" s="73" t="s">
        <v>4357</v>
      </c>
      <c r="E3878" s="72">
        <v>2.024468003115E12</v>
      </c>
      <c r="F3878" s="75">
        <v>45322.0</v>
      </c>
      <c r="G3878" s="76"/>
      <c r="H3878" s="76"/>
      <c r="I3878" s="73" t="s">
        <v>366</v>
      </c>
      <c r="J3878" s="76"/>
    </row>
    <row r="3879">
      <c r="A3879" s="74">
        <v>3868.0</v>
      </c>
      <c r="B3879" s="73" t="s">
        <v>4153</v>
      </c>
      <c r="C3879" s="74">
        <v>9.01101307E8</v>
      </c>
      <c r="D3879" s="73" t="s">
        <v>4358</v>
      </c>
      <c r="E3879" s="72">
        <v>2.0244680003065E13</v>
      </c>
      <c r="F3879" s="75">
        <v>45322.0</v>
      </c>
      <c r="G3879" s="76"/>
      <c r="H3879" s="76"/>
      <c r="I3879" s="73" t="s">
        <v>366</v>
      </c>
      <c r="J3879" s="76"/>
    </row>
    <row r="3880">
      <c r="A3880" s="74">
        <v>3869.0</v>
      </c>
      <c r="B3880" s="73" t="s">
        <v>4153</v>
      </c>
      <c r="C3880" s="74">
        <v>9.01089033E8</v>
      </c>
      <c r="D3880" s="73" t="s">
        <v>4359</v>
      </c>
      <c r="E3880" s="72">
        <v>2.0244680007635E13</v>
      </c>
      <c r="F3880" s="75">
        <v>45345.0</v>
      </c>
      <c r="G3880" s="76"/>
      <c r="H3880" s="76"/>
      <c r="I3880" s="73" t="s">
        <v>366</v>
      </c>
      <c r="J3880" s="76"/>
    </row>
    <row r="3881">
      <c r="A3881" s="74">
        <v>3870.0</v>
      </c>
      <c r="B3881" s="73" t="s">
        <v>4153</v>
      </c>
      <c r="C3881" s="74">
        <v>9.01530294E8</v>
      </c>
      <c r="D3881" s="73" t="s">
        <v>4360</v>
      </c>
      <c r="E3881" s="72">
        <v>2.0244680016995E13</v>
      </c>
      <c r="F3881" s="75">
        <v>45405.0</v>
      </c>
      <c r="G3881" s="76"/>
      <c r="H3881" s="76"/>
      <c r="I3881" s="73" t="s">
        <v>366</v>
      </c>
      <c r="J3881" s="76"/>
    </row>
    <row r="3882">
      <c r="A3882" s="74">
        <v>3871.0</v>
      </c>
      <c r="B3882" s="73" t="s">
        <v>4153</v>
      </c>
      <c r="C3882" s="74">
        <v>9.00980616E8</v>
      </c>
      <c r="D3882" s="73" t="s">
        <v>4361</v>
      </c>
      <c r="E3882" s="72">
        <v>2.0244680030715E13</v>
      </c>
      <c r="F3882" s="75">
        <v>45478.0</v>
      </c>
      <c r="G3882" s="76"/>
      <c r="H3882" s="76"/>
      <c r="I3882" s="73" t="s">
        <v>366</v>
      </c>
      <c r="J3882" s="76"/>
    </row>
    <row r="3883">
      <c r="A3883" s="74">
        <v>3872.0</v>
      </c>
      <c r="B3883" s="73" t="s">
        <v>4153</v>
      </c>
      <c r="C3883" s="74">
        <v>9.01544465E8</v>
      </c>
      <c r="D3883" s="73" t="s">
        <v>4362</v>
      </c>
      <c r="E3883" s="72">
        <v>2.0244680042805E13</v>
      </c>
      <c r="F3883" s="75">
        <v>45541.0</v>
      </c>
      <c r="G3883" s="76"/>
      <c r="H3883" s="76"/>
      <c r="I3883" s="73" t="s">
        <v>366</v>
      </c>
      <c r="J3883" s="76"/>
    </row>
    <row r="3884">
      <c r="A3884" s="74">
        <v>3873.0</v>
      </c>
      <c r="B3884" s="73" t="s">
        <v>4363</v>
      </c>
      <c r="C3884" s="74">
        <v>8.90700483E8</v>
      </c>
      <c r="D3884" s="73" t="s">
        <v>4364</v>
      </c>
      <c r="E3884" s="72">
        <v>201.0</v>
      </c>
      <c r="F3884" s="75">
        <v>37011.0</v>
      </c>
      <c r="G3884" s="76"/>
      <c r="H3884" s="76"/>
      <c r="I3884" s="73" t="s">
        <v>366</v>
      </c>
      <c r="J3884" s="76"/>
    </row>
    <row r="3885">
      <c r="A3885" s="74">
        <v>3874.0</v>
      </c>
      <c r="B3885" s="73" t="s">
        <v>4363</v>
      </c>
      <c r="C3885" s="74">
        <v>8.09005702E8</v>
      </c>
      <c r="D3885" s="73" t="s">
        <v>4365</v>
      </c>
      <c r="E3885" s="72">
        <v>216.0</v>
      </c>
      <c r="F3885" s="75">
        <v>37026.0</v>
      </c>
      <c r="G3885" s="76"/>
      <c r="H3885" s="76"/>
      <c r="I3885" s="73" t="s">
        <v>366</v>
      </c>
      <c r="J3885" s="76"/>
    </row>
    <row r="3886">
      <c r="A3886" s="74">
        <v>3875.0</v>
      </c>
      <c r="B3886" s="73" t="s">
        <v>4363</v>
      </c>
      <c r="C3886" s="74">
        <v>8.00030535E8</v>
      </c>
      <c r="D3886" s="73" t="s">
        <v>4366</v>
      </c>
      <c r="E3886" s="72">
        <v>232.0</v>
      </c>
      <c r="F3886" s="75">
        <v>37042.0</v>
      </c>
      <c r="G3886" s="76"/>
      <c r="H3886" s="76"/>
      <c r="I3886" s="73" t="s">
        <v>366</v>
      </c>
      <c r="J3886" s="76"/>
    </row>
    <row r="3887">
      <c r="A3887" s="74">
        <v>3876.0</v>
      </c>
      <c r="B3887" s="73" t="s">
        <v>4363</v>
      </c>
      <c r="C3887" s="74">
        <v>8.90700189E8</v>
      </c>
      <c r="D3887" s="73" t="s">
        <v>4367</v>
      </c>
      <c r="E3887" s="72">
        <v>405.0</v>
      </c>
      <c r="F3887" s="77">
        <v>37216.0</v>
      </c>
      <c r="G3887" s="76"/>
      <c r="H3887" s="76"/>
      <c r="I3887" s="73" t="s">
        <v>366</v>
      </c>
      <c r="J3887" s="76"/>
    </row>
    <row r="3888">
      <c r="A3888" s="74">
        <v>3877.0</v>
      </c>
      <c r="B3888" s="73" t="s">
        <v>4363</v>
      </c>
      <c r="C3888" s="74">
        <v>8.90702924E8</v>
      </c>
      <c r="D3888" s="73" t="s">
        <v>4368</v>
      </c>
      <c r="E3888" s="72">
        <v>408.0</v>
      </c>
      <c r="F3888" s="77">
        <v>37216.0</v>
      </c>
      <c r="G3888" s="76"/>
      <c r="H3888" s="76"/>
      <c r="I3888" s="73" t="s">
        <v>366</v>
      </c>
      <c r="J3888" s="76"/>
    </row>
    <row r="3889">
      <c r="A3889" s="74">
        <v>3878.0</v>
      </c>
      <c r="B3889" s="73" t="s">
        <v>4363</v>
      </c>
      <c r="C3889" s="74">
        <v>8.00133581E8</v>
      </c>
      <c r="D3889" s="73" t="s">
        <v>4369</v>
      </c>
      <c r="E3889" s="72">
        <v>407.0</v>
      </c>
      <c r="F3889" s="77">
        <v>37222.0</v>
      </c>
      <c r="G3889" s="76"/>
      <c r="H3889" s="76"/>
      <c r="I3889" s="73" t="s">
        <v>366</v>
      </c>
      <c r="J3889" s="76"/>
    </row>
    <row r="3890">
      <c r="A3890" s="74">
        <v>3879.0</v>
      </c>
      <c r="B3890" s="73" t="s">
        <v>4363</v>
      </c>
      <c r="C3890" s="74">
        <v>8.00090323E8</v>
      </c>
      <c r="D3890" s="73" t="s">
        <v>4370</v>
      </c>
      <c r="E3890" s="72">
        <v>416.0</v>
      </c>
      <c r="F3890" s="77">
        <v>37225.0</v>
      </c>
      <c r="G3890" s="76"/>
      <c r="H3890" s="76"/>
      <c r="I3890" s="73" t="s">
        <v>366</v>
      </c>
      <c r="J3890" s="76"/>
    </row>
    <row r="3891">
      <c r="A3891" s="74">
        <v>3880.0</v>
      </c>
      <c r="B3891" s="73" t="s">
        <v>4363</v>
      </c>
      <c r="C3891" s="74">
        <v>8.90700191E8</v>
      </c>
      <c r="D3891" s="73" t="s">
        <v>4371</v>
      </c>
      <c r="E3891" s="72">
        <v>427.0</v>
      </c>
      <c r="F3891" s="77">
        <v>37251.0</v>
      </c>
      <c r="G3891" s="76"/>
      <c r="H3891" s="76"/>
      <c r="I3891" s="73" t="s">
        <v>366</v>
      </c>
      <c r="J3891" s="76"/>
    </row>
    <row r="3892">
      <c r="A3892" s="74">
        <v>3881.0</v>
      </c>
      <c r="B3892" s="73" t="s">
        <v>4363</v>
      </c>
      <c r="C3892" s="74">
        <v>8.0900956E8</v>
      </c>
      <c r="D3892" s="73" t="s">
        <v>4372</v>
      </c>
      <c r="E3892" s="72">
        <v>132.0</v>
      </c>
      <c r="F3892" s="75">
        <v>37495.0</v>
      </c>
      <c r="G3892" s="76"/>
      <c r="H3892" s="76"/>
      <c r="I3892" s="73" t="s">
        <v>366</v>
      </c>
      <c r="J3892" s="76"/>
    </row>
    <row r="3893">
      <c r="A3893" s="74">
        <v>3882.0</v>
      </c>
      <c r="B3893" s="73" t="s">
        <v>4363</v>
      </c>
      <c r="C3893" s="74">
        <v>8.09009921E8</v>
      </c>
      <c r="D3893" s="73" t="s">
        <v>4373</v>
      </c>
      <c r="E3893" s="72">
        <v>131.0</v>
      </c>
      <c r="F3893" s="75">
        <v>37495.0</v>
      </c>
      <c r="G3893" s="76"/>
      <c r="H3893" s="76"/>
      <c r="I3893" s="73" t="s">
        <v>366</v>
      </c>
      <c r="J3893" s="76"/>
    </row>
    <row r="3894">
      <c r="A3894" s="74">
        <v>3883.0</v>
      </c>
      <c r="B3894" s="73" t="s">
        <v>4363</v>
      </c>
      <c r="C3894" s="74">
        <v>8.90700598E8</v>
      </c>
      <c r="D3894" s="73" t="s">
        <v>4374</v>
      </c>
      <c r="E3894" s="72">
        <v>133.0</v>
      </c>
      <c r="F3894" s="75">
        <v>37495.0</v>
      </c>
      <c r="G3894" s="76"/>
      <c r="H3894" s="76"/>
      <c r="I3894" s="73" t="s">
        <v>366</v>
      </c>
      <c r="J3894" s="76"/>
    </row>
    <row r="3895">
      <c r="A3895" s="74">
        <v>3884.0</v>
      </c>
      <c r="B3895" s="73" t="s">
        <v>4363</v>
      </c>
      <c r="C3895" s="74">
        <v>8.90700476E8</v>
      </c>
      <c r="D3895" s="73" t="s">
        <v>4375</v>
      </c>
      <c r="E3895" s="72">
        <v>21.0</v>
      </c>
      <c r="F3895" s="75">
        <v>37656.0</v>
      </c>
      <c r="G3895" s="76"/>
      <c r="H3895" s="76"/>
      <c r="I3895" s="73" t="s">
        <v>366</v>
      </c>
      <c r="J3895" s="76"/>
    </row>
    <row r="3896">
      <c r="A3896" s="74">
        <v>3885.0</v>
      </c>
      <c r="B3896" s="73" t="s">
        <v>4363</v>
      </c>
      <c r="C3896" s="74">
        <v>8.09010841E8</v>
      </c>
      <c r="D3896" s="73" t="s">
        <v>4376</v>
      </c>
      <c r="E3896" s="72">
        <v>314.0</v>
      </c>
      <c r="F3896" s="75">
        <v>37799.0</v>
      </c>
      <c r="G3896" s="76"/>
      <c r="H3896" s="76"/>
      <c r="I3896" s="73" t="s">
        <v>366</v>
      </c>
      <c r="J3896" s="76"/>
    </row>
    <row r="3897">
      <c r="A3897" s="74">
        <v>3886.0</v>
      </c>
      <c r="B3897" s="73" t="s">
        <v>4363</v>
      </c>
      <c r="C3897" s="74">
        <v>8.09012149E8</v>
      </c>
      <c r="D3897" s="73" t="s">
        <v>4377</v>
      </c>
      <c r="E3897" s="72">
        <v>34.0</v>
      </c>
      <c r="F3897" s="75">
        <v>38124.0</v>
      </c>
      <c r="G3897" s="76"/>
      <c r="H3897" s="76"/>
      <c r="I3897" s="73" t="s">
        <v>366</v>
      </c>
      <c r="J3897" s="76"/>
    </row>
    <row r="3898">
      <c r="A3898" s="74">
        <v>3887.0</v>
      </c>
      <c r="B3898" s="73" t="s">
        <v>4363</v>
      </c>
      <c r="C3898" s="74">
        <v>8.09012183E8</v>
      </c>
      <c r="D3898" s="73" t="s">
        <v>4378</v>
      </c>
      <c r="E3898" s="72">
        <v>46.0</v>
      </c>
      <c r="F3898" s="75">
        <v>38170.0</v>
      </c>
      <c r="G3898" s="76"/>
      <c r="H3898" s="76"/>
      <c r="I3898" s="73" t="s">
        <v>366</v>
      </c>
      <c r="J3898" s="76"/>
    </row>
    <row r="3899">
      <c r="A3899" s="74">
        <v>3888.0</v>
      </c>
      <c r="B3899" s="73" t="s">
        <v>4363</v>
      </c>
      <c r="C3899" s="74">
        <v>9.00008955E8</v>
      </c>
      <c r="D3899" s="73" t="s">
        <v>4379</v>
      </c>
      <c r="E3899" s="72">
        <v>53.0</v>
      </c>
      <c r="F3899" s="75">
        <v>38454.0</v>
      </c>
      <c r="G3899" s="76"/>
      <c r="H3899" s="76"/>
      <c r="I3899" s="73" t="s">
        <v>366</v>
      </c>
      <c r="J3899" s="76"/>
    </row>
    <row r="3900">
      <c r="A3900" s="74">
        <v>3889.0</v>
      </c>
      <c r="B3900" s="73" t="s">
        <v>4363</v>
      </c>
      <c r="C3900" s="74">
        <v>8.09000257E8</v>
      </c>
      <c r="D3900" s="73" t="s">
        <v>4380</v>
      </c>
      <c r="E3900" s="72">
        <v>23.0</v>
      </c>
      <c r="F3900" s="75">
        <v>39486.0</v>
      </c>
      <c r="G3900" s="76"/>
      <c r="H3900" s="76"/>
      <c r="I3900" s="73" t="s">
        <v>366</v>
      </c>
      <c r="J3900" s="76"/>
    </row>
    <row r="3901">
      <c r="A3901" s="74">
        <v>3890.0</v>
      </c>
      <c r="B3901" s="73" t="s">
        <v>4363</v>
      </c>
      <c r="C3901" s="74">
        <v>8.09011822E8</v>
      </c>
      <c r="D3901" s="73" t="s">
        <v>4381</v>
      </c>
      <c r="E3901" s="72">
        <v>33.0</v>
      </c>
      <c r="F3901" s="75">
        <v>40779.0</v>
      </c>
      <c r="G3901" s="76"/>
      <c r="H3901" s="76"/>
      <c r="I3901" s="73" t="s">
        <v>366</v>
      </c>
      <c r="J3901" s="76"/>
    </row>
    <row r="3902">
      <c r="A3902" s="74">
        <v>3891.0</v>
      </c>
      <c r="B3902" s="73" t="s">
        <v>4363</v>
      </c>
      <c r="C3902" s="74">
        <v>9.00367518E8</v>
      </c>
      <c r="D3902" s="73" t="s">
        <v>4382</v>
      </c>
      <c r="E3902" s="72">
        <v>6.0</v>
      </c>
      <c r="F3902" s="75">
        <v>40980.0</v>
      </c>
      <c r="G3902" s="76"/>
      <c r="H3902" s="76"/>
      <c r="I3902" s="73" t="s">
        <v>366</v>
      </c>
      <c r="J3902" s="76"/>
    </row>
    <row r="3903">
      <c r="A3903" s="74">
        <v>3892.0</v>
      </c>
      <c r="B3903" s="73" t="s">
        <v>4363</v>
      </c>
      <c r="C3903" s="74">
        <v>9.004453E8</v>
      </c>
      <c r="D3903" s="73" t="s">
        <v>4383</v>
      </c>
      <c r="E3903" s="72">
        <v>9.0</v>
      </c>
      <c r="F3903" s="75">
        <v>40994.0</v>
      </c>
      <c r="G3903" s="76"/>
      <c r="H3903" s="76"/>
      <c r="I3903" s="73" t="s">
        <v>366</v>
      </c>
      <c r="J3903" s="76"/>
    </row>
    <row r="3904">
      <c r="A3904" s="74">
        <v>3893.0</v>
      </c>
      <c r="B3904" s="73" t="s">
        <v>4363</v>
      </c>
      <c r="C3904" s="74">
        <v>9.00506846E8</v>
      </c>
      <c r="D3904" s="73" t="s">
        <v>4384</v>
      </c>
      <c r="E3904" s="72">
        <v>17.0</v>
      </c>
      <c r="F3904" s="75">
        <v>41086.0</v>
      </c>
      <c r="G3904" s="76"/>
      <c r="H3904" s="76"/>
      <c r="I3904" s="73" t="s">
        <v>366</v>
      </c>
      <c r="J3904" s="76"/>
    </row>
    <row r="3905">
      <c r="A3905" s="85">
        <v>3894.0</v>
      </c>
      <c r="B3905" s="79" t="s">
        <v>4363</v>
      </c>
      <c r="C3905" s="80">
        <v>9.00628108E8</v>
      </c>
      <c r="D3905" s="79" t="s">
        <v>4385</v>
      </c>
      <c r="E3905" s="81">
        <v>1.0</v>
      </c>
      <c r="F3905" s="84">
        <v>42388.0</v>
      </c>
      <c r="G3905" s="83"/>
      <c r="H3905" s="83"/>
      <c r="I3905" s="73" t="s">
        <v>366</v>
      </c>
      <c r="J3905" s="76"/>
    </row>
    <row r="3906">
      <c r="A3906" s="74">
        <v>3895.0</v>
      </c>
      <c r="B3906" s="73" t="s">
        <v>4363</v>
      </c>
      <c r="C3906" s="74">
        <v>9.00646465E8</v>
      </c>
      <c r="D3906" s="73" t="s">
        <v>4386</v>
      </c>
      <c r="E3906" s="72">
        <v>50.0</v>
      </c>
      <c r="F3906" s="75">
        <v>43292.0</v>
      </c>
      <c r="G3906" s="76"/>
      <c r="H3906" s="76"/>
      <c r="I3906" s="73" t="s">
        <v>366</v>
      </c>
      <c r="J3906" s="76"/>
    </row>
    <row r="3907">
      <c r="A3907" s="74">
        <v>3896.0</v>
      </c>
      <c r="B3907" s="73" t="s">
        <v>4363</v>
      </c>
      <c r="C3907" s="74">
        <v>9.00731792E8</v>
      </c>
      <c r="D3907" s="73" t="s">
        <v>4387</v>
      </c>
      <c r="E3907" s="72">
        <v>4.0</v>
      </c>
      <c r="F3907" s="75">
        <v>43494.0</v>
      </c>
      <c r="G3907" s="76"/>
      <c r="H3907" s="76"/>
      <c r="I3907" s="73" t="s">
        <v>366</v>
      </c>
      <c r="J3907" s="76"/>
    </row>
    <row r="3908">
      <c r="A3908" s="74">
        <v>3897.0</v>
      </c>
      <c r="B3908" s="73" t="s">
        <v>4363</v>
      </c>
      <c r="C3908" s="74">
        <v>9.01005435E8</v>
      </c>
      <c r="D3908" s="73" t="s">
        <v>4388</v>
      </c>
      <c r="E3908" s="72">
        <v>51.0</v>
      </c>
      <c r="F3908" s="75">
        <v>43584.0</v>
      </c>
      <c r="G3908" s="76"/>
      <c r="H3908" s="76"/>
      <c r="I3908" s="73" t="s">
        <v>366</v>
      </c>
      <c r="J3908" s="76"/>
    </row>
    <row r="3909">
      <c r="A3909" s="74">
        <v>3898.0</v>
      </c>
      <c r="B3909" s="73" t="s">
        <v>4363</v>
      </c>
      <c r="C3909" s="74">
        <v>9.00875635E8</v>
      </c>
      <c r="D3909" s="73" t="s">
        <v>4389</v>
      </c>
      <c r="E3909" s="72">
        <v>61.0</v>
      </c>
      <c r="F3909" s="75">
        <v>43613.0</v>
      </c>
      <c r="G3909" s="76"/>
      <c r="H3909" s="76"/>
      <c r="I3909" s="73" t="s">
        <v>366</v>
      </c>
      <c r="J3909" s="76"/>
    </row>
    <row r="3910">
      <c r="A3910" s="74">
        <v>3899.0</v>
      </c>
      <c r="B3910" s="73" t="s">
        <v>4363</v>
      </c>
      <c r="C3910" s="74">
        <v>9.00784275E8</v>
      </c>
      <c r="D3910" s="73" t="s">
        <v>4390</v>
      </c>
      <c r="E3910" s="72">
        <v>70.0</v>
      </c>
      <c r="F3910" s="75">
        <v>43641.0</v>
      </c>
      <c r="G3910" s="76"/>
      <c r="H3910" s="76"/>
      <c r="I3910" s="73" t="s">
        <v>366</v>
      </c>
      <c r="J3910" s="76"/>
    </row>
    <row r="3911">
      <c r="A3911" s="74">
        <v>3900.0</v>
      </c>
      <c r="B3911" s="73" t="s">
        <v>4363</v>
      </c>
      <c r="C3911" s="74">
        <v>9.00577712E8</v>
      </c>
      <c r="D3911" s="73" t="s">
        <v>4391</v>
      </c>
      <c r="E3911" s="72">
        <v>111.0</v>
      </c>
      <c r="F3911" s="77">
        <v>43826.0</v>
      </c>
      <c r="G3911" s="76"/>
      <c r="H3911" s="76"/>
      <c r="I3911" s="73" t="s">
        <v>366</v>
      </c>
      <c r="J3911" s="76"/>
    </row>
    <row r="3912">
      <c r="A3912" s="74">
        <v>3901.0</v>
      </c>
      <c r="B3912" s="73" t="s">
        <v>4363</v>
      </c>
      <c r="C3912" s="74">
        <v>9.0104005E8</v>
      </c>
      <c r="D3912" s="73" t="s">
        <v>3179</v>
      </c>
      <c r="E3912" s="72">
        <v>10.0</v>
      </c>
      <c r="F3912" s="75">
        <v>43903.0</v>
      </c>
      <c r="G3912" s="76"/>
      <c r="H3912" s="76"/>
      <c r="I3912" s="73" t="s">
        <v>366</v>
      </c>
      <c r="J3912" s="76"/>
    </row>
    <row r="3913">
      <c r="A3913" s="74">
        <v>3902.0</v>
      </c>
      <c r="B3913" s="73" t="s">
        <v>4363</v>
      </c>
      <c r="C3913" s="74">
        <v>9.01682527E8</v>
      </c>
      <c r="D3913" s="73" t="s">
        <v>4392</v>
      </c>
      <c r="E3913" s="72">
        <v>2.0234730027915E13</v>
      </c>
      <c r="F3913" s="75">
        <v>45112.0</v>
      </c>
      <c r="G3913" s="76"/>
      <c r="H3913" s="76"/>
      <c r="I3913" s="73" t="s">
        <v>366</v>
      </c>
      <c r="J3913" s="76"/>
    </row>
    <row r="3914">
      <c r="A3914" s="74">
        <v>3903.0</v>
      </c>
      <c r="B3914" s="73" t="s">
        <v>4363</v>
      </c>
      <c r="C3914" s="74">
        <v>9.00489032E8</v>
      </c>
      <c r="D3914" s="73" t="s">
        <v>4393</v>
      </c>
      <c r="E3914" s="72">
        <v>2.0234730040965E13</v>
      </c>
      <c r="F3914" s="75">
        <v>45190.0</v>
      </c>
      <c r="G3914" s="76"/>
      <c r="H3914" s="76"/>
      <c r="I3914" s="73" t="s">
        <v>366</v>
      </c>
      <c r="J3914" s="76"/>
    </row>
    <row r="3915">
      <c r="A3915" s="74">
        <v>3904.0</v>
      </c>
      <c r="B3915" s="73" t="s">
        <v>4363</v>
      </c>
      <c r="C3915" s="74">
        <v>9.00862155E8</v>
      </c>
      <c r="D3915" s="73" t="s">
        <v>4394</v>
      </c>
      <c r="E3915" s="72">
        <v>2.0244730060705E13</v>
      </c>
      <c r="F3915" s="77">
        <v>45638.0</v>
      </c>
      <c r="G3915" s="76"/>
      <c r="H3915" s="76"/>
      <c r="I3915" s="73" t="s">
        <v>366</v>
      </c>
      <c r="J3915" s="76"/>
    </row>
    <row r="3916">
      <c r="A3916" s="74">
        <v>3905.0</v>
      </c>
      <c r="B3916" s="73" t="s">
        <v>4395</v>
      </c>
      <c r="C3916" s="74">
        <v>8.00043103E8</v>
      </c>
      <c r="D3916" s="73" t="s">
        <v>4396</v>
      </c>
      <c r="E3916" s="72">
        <v>185.0</v>
      </c>
      <c r="F3916" s="75">
        <v>36384.0</v>
      </c>
      <c r="G3916" s="76"/>
      <c r="H3916" s="76"/>
      <c r="I3916" s="73" t="s">
        <v>366</v>
      </c>
      <c r="J3916" s="76"/>
    </row>
    <row r="3917">
      <c r="A3917" s="74">
        <v>3906.0</v>
      </c>
      <c r="B3917" s="73" t="s">
        <v>4395</v>
      </c>
      <c r="C3917" s="74">
        <v>8.90302892E8</v>
      </c>
      <c r="D3917" s="73" t="s">
        <v>4397</v>
      </c>
      <c r="E3917" s="72">
        <v>182.0</v>
      </c>
      <c r="F3917" s="75">
        <v>36384.0</v>
      </c>
      <c r="G3917" s="76"/>
      <c r="H3917" s="76"/>
      <c r="I3917" s="73" t="s">
        <v>366</v>
      </c>
      <c r="J3917" s="76"/>
    </row>
    <row r="3918">
      <c r="A3918" s="74">
        <v>3907.0</v>
      </c>
      <c r="B3918" s="73" t="s">
        <v>4395</v>
      </c>
      <c r="C3918" s="74">
        <v>8.05000683E8</v>
      </c>
      <c r="D3918" s="73" t="s">
        <v>4398</v>
      </c>
      <c r="E3918" s="72">
        <v>267.0</v>
      </c>
      <c r="F3918" s="77">
        <v>36468.0</v>
      </c>
      <c r="G3918" s="76"/>
      <c r="H3918" s="76"/>
      <c r="I3918" s="73" t="s">
        <v>366</v>
      </c>
      <c r="J3918" s="76"/>
    </row>
    <row r="3919">
      <c r="A3919" s="74">
        <v>3908.0</v>
      </c>
      <c r="B3919" s="73" t="s">
        <v>4395</v>
      </c>
      <c r="C3919" s="74">
        <v>8.35000884E8</v>
      </c>
      <c r="D3919" s="73" t="s">
        <v>4399</v>
      </c>
      <c r="E3919" s="72">
        <v>309.0</v>
      </c>
      <c r="F3919" s="77">
        <v>36503.0</v>
      </c>
      <c r="G3919" s="76"/>
      <c r="H3919" s="76"/>
      <c r="I3919" s="73" t="s">
        <v>366</v>
      </c>
      <c r="J3919" s="76"/>
    </row>
    <row r="3920">
      <c r="A3920" s="74">
        <v>3909.0</v>
      </c>
      <c r="B3920" s="73" t="s">
        <v>4395</v>
      </c>
      <c r="C3920" s="74">
        <v>8.91304598E8</v>
      </c>
      <c r="D3920" s="73" t="s">
        <v>4400</v>
      </c>
      <c r="E3920" s="72">
        <v>322.0</v>
      </c>
      <c r="F3920" s="77">
        <v>36514.0</v>
      </c>
      <c r="G3920" s="76"/>
      <c r="H3920" s="76"/>
      <c r="I3920" s="73" t="s">
        <v>366</v>
      </c>
      <c r="J3920" s="76"/>
    </row>
    <row r="3921">
      <c r="A3921" s="74">
        <v>3910.0</v>
      </c>
      <c r="B3921" s="73" t="s">
        <v>4395</v>
      </c>
      <c r="C3921" s="74">
        <v>8.05015241E8</v>
      </c>
      <c r="D3921" s="73" t="s">
        <v>4401</v>
      </c>
      <c r="E3921" s="72">
        <v>38.0</v>
      </c>
      <c r="F3921" s="75">
        <v>36556.0</v>
      </c>
      <c r="G3921" s="76"/>
      <c r="H3921" s="76"/>
      <c r="I3921" s="73" t="s">
        <v>366</v>
      </c>
      <c r="J3921" s="76"/>
    </row>
    <row r="3922">
      <c r="A3922" s="74">
        <v>3911.0</v>
      </c>
      <c r="B3922" s="73" t="s">
        <v>4395</v>
      </c>
      <c r="C3922" s="74">
        <v>8.90300504E8</v>
      </c>
      <c r="D3922" s="73" t="s">
        <v>4402</v>
      </c>
      <c r="E3922" s="72">
        <v>52.0</v>
      </c>
      <c r="F3922" s="75">
        <v>36595.0</v>
      </c>
      <c r="G3922" s="76"/>
      <c r="H3922" s="76"/>
      <c r="I3922" s="73" t="s">
        <v>366</v>
      </c>
      <c r="J3922" s="76"/>
    </row>
    <row r="3923">
      <c r="A3923" s="74">
        <v>3912.0</v>
      </c>
      <c r="B3923" s="73" t="s">
        <v>4395</v>
      </c>
      <c r="C3923" s="74">
        <v>8.00158306E8</v>
      </c>
      <c r="D3923" s="73" t="s">
        <v>4403</v>
      </c>
      <c r="E3923" s="72">
        <v>60.0</v>
      </c>
      <c r="F3923" s="75">
        <v>36606.0</v>
      </c>
      <c r="G3923" s="76"/>
      <c r="H3923" s="76"/>
      <c r="I3923" s="73" t="s">
        <v>366</v>
      </c>
      <c r="J3923" s="76"/>
    </row>
    <row r="3924">
      <c r="A3924" s="74">
        <v>3913.0</v>
      </c>
      <c r="B3924" s="73" t="s">
        <v>4395</v>
      </c>
      <c r="C3924" s="74">
        <v>8.05013233E8</v>
      </c>
      <c r="D3924" s="73" t="s">
        <v>4404</v>
      </c>
      <c r="E3924" s="72">
        <v>65.0</v>
      </c>
      <c r="F3924" s="75">
        <v>36607.0</v>
      </c>
      <c r="G3924" s="76"/>
      <c r="H3924" s="76"/>
      <c r="I3924" s="73" t="s">
        <v>366</v>
      </c>
      <c r="J3924" s="76"/>
    </row>
    <row r="3925">
      <c r="A3925" s="74">
        <v>3914.0</v>
      </c>
      <c r="B3925" s="73" t="s">
        <v>4395</v>
      </c>
      <c r="C3925" s="74">
        <v>8.00211782E8</v>
      </c>
      <c r="D3925" s="73" t="s">
        <v>4405</v>
      </c>
      <c r="E3925" s="72">
        <v>73.0</v>
      </c>
      <c r="F3925" s="75">
        <v>36613.0</v>
      </c>
      <c r="G3925" s="76"/>
      <c r="H3925" s="76"/>
      <c r="I3925" s="73" t="s">
        <v>366</v>
      </c>
      <c r="J3925" s="76"/>
    </row>
    <row r="3926">
      <c r="A3926" s="74">
        <v>3915.0</v>
      </c>
      <c r="B3926" s="73" t="s">
        <v>4395</v>
      </c>
      <c r="C3926" s="74">
        <v>8.00145983E8</v>
      </c>
      <c r="D3926" s="73" t="s">
        <v>4406</v>
      </c>
      <c r="E3926" s="72">
        <v>94.0</v>
      </c>
      <c r="F3926" s="75">
        <v>36679.0</v>
      </c>
      <c r="G3926" s="76"/>
      <c r="H3926" s="76"/>
      <c r="I3926" s="73" t="s">
        <v>366</v>
      </c>
      <c r="J3926" s="76"/>
    </row>
    <row r="3927">
      <c r="A3927" s="74">
        <v>3916.0</v>
      </c>
      <c r="B3927" s="73" t="s">
        <v>4395</v>
      </c>
      <c r="C3927" s="74">
        <v>8.05016559E8</v>
      </c>
      <c r="D3927" s="73" t="s">
        <v>4407</v>
      </c>
      <c r="E3927" s="72">
        <v>100.0</v>
      </c>
      <c r="F3927" s="75">
        <v>36769.0</v>
      </c>
      <c r="G3927" s="76"/>
      <c r="H3927" s="76"/>
      <c r="I3927" s="73" t="s">
        <v>366</v>
      </c>
      <c r="J3927" s="76"/>
    </row>
    <row r="3928">
      <c r="A3928" s="74">
        <v>3917.0</v>
      </c>
      <c r="B3928" s="73" t="s">
        <v>4395</v>
      </c>
      <c r="C3928" s="74">
        <v>8.91900366E8</v>
      </c>
      <c r="D3928" s="73" t="s">
        <v>4408</v>
      </c>
      <c r="E3928" s="72">
        <v>101.0</v>
      </c>
      <c r="F3928" s="75">
        <v>36769.0</v>
      </c>
      <c r="G3928" s="76"/>
      <c r="H3928" s="76"/>
      <c r="I3928" s="73" t="s">
        <v>366</v>
      </c>
      <c r="J3928" s="76"/>
    </row>
    <row r="3929">
      <c r="A3929" s="74">
        <v>3918.0</v>
      </c>
      <c r="B3929" s="73" t="s">
        <v>4395</v>
      </c>
      <c r="C3929" s="74">
        <v>8.05016157E8</v>
      </c>
      <c r="D3929" s="73" t="s">
        <v>4409</v>
      </c>
      <c r="E3929" s="72">
        <v>102.0</v>
      </c>
      <c r="F3929" s="75">
        <v>36770.0</v>
      </c>
      <c r="G3929" s="76"/>
      <c r="H3929" s="76"/>
      <c r="I3929" s="73" t="s">
        <v>366</v>
      </c>
      <c r="J3929" s="76"/>
    </row>
    <row r="3930">
      <c r="A3930" s="74">
        <v>3919.0</v>
      </c>
      <c r="B3930" s="73" t="s">
        <v>4395</v>
      </c>
      <c r="C3930" s="74">
        <v>8.21000981E8</v>
      </c>
      <c r="D3930" s="73" t="s">
        <v>4410</v>
      </c>
      <c r="E3930" s="72">
        <v>110.0</v>
      </c>
      <c r="F3930" s="77">
        <v>36816.0</v>
      </c>
      <c r="G3930" s="76"/>
      <c r="H3930" s="76"/>
      <c r="I3930" s="73" t="s">
        <v>366</v>
      </c>
      <c r="J3930" s="76"/>
    </row>
    <row r="3931">
      <c r="A3931" s="74">
        <v>3920.0</v>
      </c>
      <c r="B3931" s="73" t="s">
        <v>4395</v>
      </c>
      <c r="C3931" s="74">
        <v>8.0501366E8</v>
      </c>
      <c r="D3931" s="73" t="s">
        <v>4411</v>
      </c>
      <c r="E3931" s="72">
        <v>111.0</v>
      </c>
      <c r="F3931" s="77">
        <v>36824.0</v>
      </c>
      <c r="G3931" s="76"/>
      <c r="H3931" s="76"/>
      <c r="I3931" s="73" t="s">
        <v>366</v>
      </c>
      <c r="J3931" s="76"/>
    </row>
    <row r="3932">
      <c r="A3932" s="74">
        <v>3921.0</v>
      </c>
      <c r="B3932" s="73" t="s">
        <v>4395</v>
      </c>
      <c r="C3932" s="74">
        <v>8.0005684E8</v>
      </c>
      <c r="D3932" s="73" t="s">
        <v>4412</v>
      </c>
      <c r="E3932" s="72">
        <v>132.0</v>
      </c>
      <c r="F3932" s="77">
        <v>36880.0</v>
      </c>
      <c r="G3932" s="76"/>
      <c r="H3932" s="76"/>
      <c r="I3932" s="73" t="s">
        <v>366</v>
      </c>
      <c r="J3932" s="76"/>
    </row>
    <row r="3933">
      <c r="A3933" s="74">
        <v>3922.0</v>
      </c>
      <c r="B3933" s="73" t="s">
        <v>4395</v>
      </c>
      <c r="C3933" s="74">
        <v>8.00021545E8</v>
      </c>
      <c r="D3933" s="73" t="s">
        <v>4413</v>
      </c>
      <c r="E3933" s="72">
        <v>134.0</v>
      </c>
      <c r="F3933" s="77">
        <v>36886.0</v>
      </c>
      <c r="G3933" s="76"/>
      <c r="H3933" s="76"/>
      <c r="I3933" s="73" t="s">
        <v>366</v>
      </c>
      <c r="J3933" s="76"/>
    </row>
    <row r="3934">
      <c r="A3934" s="74">
        <v>3923.0</v>
      </c>
      <c r="B3934" s="73" t="s">
        <v>4395</v>
      </c>
      <c r="C3934" s="74">
        <v>8.91900156E8</v>
      </c>
      <c r="D3934" s="73" t="s">
        <v>4414</v>
      </c>
      <c r="E3934" s="72">
        <v>1.0</v>
      </c>
      <c r="F3934" s="75">
        <v>36917.0</v>
      </c>
      <c r="G3934" s="76"/>
      <c r="H3934" s="76"/>
      <c r="I3934" s="73" t="s">
        <v>366</v>
      </c>
      <c r="J3934" s="76"/>
    </row>
    <row r="3935">
      <c r="A3935" s="74">
        <v>3924.0</v>
      </c>
      <c r="B3935" s="73" t="s">
        <v>4395</v>
      </c>
      <c r="C3935" s="74">
        <v>8.9030107E8</v>
      </c>
      <c r="D3935" s="73" t="s">
        <v>4415</v>
      </c>
      <c r="E3935" s="72">
        <v>5.0</v>
      </c>
      <c r="F3935" s="75">
        <v>36920.0</v>
      </c>
      <c r="G3935" s="76"/>
      <c r="H3935" s="76"/>
      <c r="I3935" s="73" t="s">
        <v>366</v>
      </c>
      <c r="J3935" s="76"/>
    </row>
    <row r="3936">
      <c r="A3936" s="74">
        <v>3925.0</v>
      </c>
      <c r="B3936" s="73" t="s">
        <v>4395</v>
      </c>
      <c r="C3936" s="74">
        <v>8.90301071E8</v>
      </c>
      <c r="D3936" s="73" t="s">
        <v>4416</v>
      </c>
      <c r="E3936" s="72">
        <v>3.0</v>
      </c>
      <c r="F3936" s="75">
        <v>36920.0</v>
      </c>
      <c r="G3936" s="76"/>
      <c r="H3936" s="76"/>
      <c r="I3936" s="73" t="s">
        <v>366</v>
      </c>
      <c r="J3936" s="76"/>
    </row>
    <row r="3937">
      <c r="A3937" s="74">
        <v>3926.0</v>
      </c>
      <c r="B3937" s="73" t="s">
        <v>4395</v>
      </c>
      <c r="C3937" s="74">
        <v>8.00181408E8</v>
      </c>
      <c r="D3937" s="73" t="s">
        <v>4417</v>
      </c>
      <c r="E3937" s="72">
        <v>19.0</v>
      </c>
      <c r="F3937" s="75">
        <v>37001.0</v>
      </c>
      <c r="G3937" s="76"/>
      <c r="H3937" s="76"/>
      <c r="I3937" s="73" t="s">
        <v>366</v>
      </c>
      <c r="J3937" s="76"/>
    </row>
    <row r="3938">
      <c r="A3938" s="74">
        <v>3927.0</v>
      </c>
      <c r="B3938" s="73" t="s">
        <v>4395</v>
      </c>
      <c r="C3938" s="74">
        <v>8.05019908E8</v>
      </c>
      <c r="D3938" s="73" t="s">
        <v>4418</v>
      </c>
      <c r="E3938" s="72">
        <v>25.0</v>
      </c>
      <c r="F3938" s="75">
        <v>37022.0</v>
      </c>
      <c r="G3938" s="76"/>
      <c r="H3938" s="76"/>
      <c r="I3938" s="73" t="s">
        <v>366</v>
      </c>
      <c r="J3938" s="76"/>
    </row>
    <row r="3939">
      <c r="A3939" s="74">
        <v>3928.0</v>
      </c>
      <c r="B3939" s="73" t="s">
        <v>4395</v>
      </c>
      <c r="C3939" s="74">
        <v>8.05000977E8</v>
      </c>
      <c r="D3939" s="73" t="s">
        <v>4419</v>
      </c>
      <c r="E3939" s="72">
        <v>53.0</v>
      </c>
      <c r="F3939" s="75">
        <v>37081.0</v>
      </c>
      <c r="G3939" s="76"/>
      <c r="H3939" s="76"/>
      <c r="I3939" s="73" t="s">
        <v>366</v>
      </c>
      <c r="J3939" s="76"/>
    </row>
    <row r="3940">
      <c r="A3940" s="74">
        <v>3929.0</v>
      </c>
      <c r="B3940" s="73" t="s">
        <v>4395</v>
      </c>
      <c r="C3940" s="74">
        <v>8.00170695E8</v>
      </c>
      <c r="D3940" s="73" t="s">
        <v>4420</v>
      </c>
      <c r="E3940" s="72">
        <v>58.0</v>
      </c>
      <c r="F3940" s="75">
        <v>37091.0</v>
      </c>
      <c r="G3940" s="76"/>
      <c r="H3940" s="76"/>
      <c r="I3940" s="73" t="s">
        <v>366</v>
      </c>
      <c r="J3940" s="76"/>
    </row>
    <row r="3941">
      <c r="A3941" s="74">
        <v>3930.0</v>
      </c>
      <c r="B3941" s="73" t="s">
        <v>4395</v>
      </c>
      <c r="C3941" s="74">
        <v>8.90301067E8</v>
      </c>
      <c r="D3941" s="73" t="s">
        <v>4421</v>
      </c>
      <c r="E3941" s="72">
        <v>84.0</v>
      </c>
      <c r="F3941" s="75">
        <v>37130.0</v>
      </c>
      <c r="G3941" s="76"/>
      <c r="H3941" s="76"/>
      <c r="I3941" s="73" t="s">
        <v>366</v>
      </c>
      <c r="J3941" s="76"/>
    </row>
    <row r="3942">
      <c r="A3942" s="74">
        <v>3931.0</v>
      </c>
      <c r="B3942" s="73" t="s">
        <v>4395</v>
      </c>
      <c r="C3942" s="74">
        <v>8.04010408E8</v>
      </c>
      <c r="D3942" s="73" t="s">
        <v>4422</v>
      </c>
      <c r="E3942" s="72">
        <v>236.0</v>
      </c>
      <c r="F3942" s="75">
        <v>37141.0</v>
      </c>
      <c r="G3942" s="76"/>
      <c r="H3942" s="76"/>
      <c r="I3942" s="73" t="s">
        <v>366</v>
      </c>
      <c r="J3942" s="76"/>
    </row>
    <row r="3943">
      <c r="A3943" s="74">
        <v>3932.0</v>
      </c>
      <c r="B3943" s="73" t="s">
        <v>4395</v>
      </c>
      <c r="C3943" s="74">
        <v>8.00025617E8</v>
      </c>
      <c r="D3943" s="73" t="s">
        <v>4423</v>
      </c>
      <c r="E3943" s="72">
        <v>90.0</v>
      </c>
      <c r="F3943" s="75">
        <v>37148.0</v>
      </c>
      <c r="G3943" s="76"/>
      <c r="H3943" s="76"/>
      <c r="I3943" s="73" t="s">
        <v>366</v>
      </c>
      <c r="J3943" s="76"/>
    </row>
    <row r="3944">
      <c r="A3944" s="74">
        <v>3933.0</v>
      </c>
      <c r="B3944" s="73" t="s">
        <v>4395</v>
      </c>
      <c r="C3944" s="74">
        <v>8.00037309E8</v>
      </c>
      <c r="D3944" s="73" t="s">
        <v>4424</v>
      </c>
      <c r="E3944" s="72">
        <v>176.0</v>
      </c>
      <c r="F3944" s="77">
        <v>37181.0</v>
      </c>
      <c r="G3944" s="76"/>
      <c r="H3944" s="76"/>
      <c r="I3944" s="73" t="s">
        <v>366</v>
      </c>
      <c r="J3944" s="76"/>
    </row>
    <row r="3945">
      <c r="A3945" s="74">
        <v>3934.0</v>
      </c>
      <c r="B3945" s="73" t="s">
        <v>4395</v>
      </c>
      <c r="C3945" s="74">
        <v>8.00104891E8</v>
      </c>
      <c r="D3945" s="73" t="s">
        <v>4425</v>
      </c>
      <c r="E3945" s="72">
        <v>179.0</v>
      </c>
      <c r="F3945" s="77">
        <v>37181.0</v>
      </c>
      <c r="G3945" s="76"/>
      <c r="H3945" s="76"/>
      <c r="I3945" s="73" t="s">
        <v>366</v>
      </c>
      <c r="J3945" s="76"/>
    </row>
    <row r="3946">
      <c r="A3946" s="74">
        <v>3935.0</v>
      </c>
      <c r="B3946" s="73" t="s">
        <v>4395</v>
      </c>
      <c r="C3946" s="74">
        <v>8.91300733E8</v>
      </c>
      <c r="D3946" s="73" t="s">
        <v>4426</v>
      </c>
      <c r="E3946" s="72">
        <v>181.0</v>
      </c>
      <c r="F3946" s="77">
        <v>37183.0</v>
      </c>
      <c r="G3946" s="76"/>
      <c r="H3946" s="76"/>
      <c r="I3946" s="73" t="s">
        <v>366</v>
      </c>
      <c r="J3946" s="76"/>
    </row>
    <row r="3947">
      <c r="A3947" s="74">
        <v>3936.0</v>
      </c>
      <c r="B3947" s="73" t="s">
        <v>4395</v>
      </c>
      <c r="C3947" s="74">
        <v>8.05011094E8</v>
      </c>
      <c r="D3947" s="73" t="s">
        <v>4427</v>
      </c>
      <c r="E3947" s="72">
        <v>194.0</v>
      </c>
      <c r="F3947" s="77">
        <v>37186.0</v>
      </c>
      <c r="G3947" s="76"/>
      <c r="H3947" s="76"/>
      <c r="I3947" s="73" t="s">
        <v>366</v>
      </c>
      <c r="J3947" s="76"/>
    </row>
    <row r="3948">
      <c r="A3948" s="74">
        <v>3937.0</v>
      </c>
      <c r="B3948" s="73" t="s">
        <v>4395</v>
      </c>
      <c r="C3948" s="74">
        <v>8.00049848E8</v>
      </c>
      <c r="D3948" s="73" t="s">
        <v>4428</v>
      </c>
      <c r="E3948" s="72">
        <v>264.0</v>
      </c>
      <c r="F3948" s="77">
        <v>37214.0</v>
      </c>
      <c r="G3948" s="76"/>
      <c r="H3948" s="76"/>
      <c r="I3948" s="73" t="s">
        <v>366</v>
      </c>
      <c r="J3948" s="76"/>
    </row>
    <row r="3949">
      <c r="A3949" s="74">
        <v>3938.0</v>
      </c>
      <c r="B3949" s="73" t="s">
        <v>4395</v>
      </c>
      <c r="C3949" s="74">
        <v>8.05011938E8</v>
      </c>
      <c r="D3949" s="73" t="s">
        <v>4429</v>
      </c>
      <c r="E3949" s="72">
        <v>3.0</v>
      </c>
      <c r="F3949" s="75">
        <v>37260.0</v>
      </c>
      <c r="G3949" s="76"/>
      <c r="H3949" s="76"/>
      <c r="I3949" s="73" t="s">
        <v>366</v>
      </c>
      <c r="J3949" s="76"/>
    </row>
    <row r="3950">
      <c r="A3950" s="74">
        <v>3939.0</v>
      </c>
      <c r="B3950" s="73" t="s">
        <v>4395</v>
      </c>
      <c r="C3950" s="74">
        <v>8.00170542E8</v>
      </c>
      <c r="D3950" s="73" t="s">
        <v>4430</v>
      </c>
      <c r="E3950" s="72">
        <v>97.0</v>
      </c>
      <c r="F3950" s="75">
        <v>37299.0</v>
      </c>
      <c r="G3950" s="76"/>
      <c r="H3950" s="76"/>
      <c r="I3950" s="73" t="s">
        <v>366</v>
      </c>
      <c r="J3950" s="76"/>
    </row>
    <row r="3951">
      <c r="A3951" s="74">
        <v>3940.0</v>
      </c>
      <c r="B3951" s="73" t="s">
        <v>4395</v>
      </c>
      <c r="C3951" s="74">
        <v>8.00234792E8</v>
      </c>
      <c r="D3951" s="73" t="s">
        <v>4431</v>
      </c>
      <c r="E3951" s="72">
        <v>153.0</v>
      </c>
      <c r="F3951" s="75">
        <v>37321.0</v>
      </c>
      <c r="G3951" s="76"/>
      <c r="H3951" s="76"/>
      <c r="I3951" s="73" t="s">
        <v>366</v>
      </c>
      <c r="J3951" s="76"/>
    </row>
    <row r="3952">
      <c r="A3952" s="74">
        <v>3941.0</v>
      </c>
      <c r="B3952" s="73" t="s">
        <v>4395</v>
      </c>
      <c r="C3952" s="74">
        <v>8.91303793E8</v>
      </c>
      <c r="D3952" s="73" t="s">
        <v>4432</v>
      </c>
      <c r="E3952" s="72">
        <v>152.0</v>
      </c>
      <c r="F3952" s="75">
        <v>37321.0</v>
      </c>
      <c r="G3952" s="76"/>
      <c r="H3952" s="76"/>
      <c r="I3952" s="73" t="s">
        <v>366</v>
      </c>
      <c r="J3952" s="76"/>
    </row>
    <row r="3953">
      <c r="A3953" s="74">
        <v>3942.0</v>
      </c>
      <c r="B3953" s="73" t="s">
        <v>4395</v>
      </c>
      <c r="C3953" s="74">
        <v>8.00171717E8</v>
      </c>
      <c r="D3953" s="73" t="s">
        <v>4433</v>
      </c>
      <c r="E3953" s="72">
        <v>157.0</v>
      </c>
      <c r="F3953" s="75">
        <v>37330.0</v>
      </c>
      <c r="G3953" s="76"/>
      <c r="H3953" s="76"/>
      <c r="I3953" s="73" t="s">
        <v>366</v>
      </c>
      <c r="J3953" s="76"/>
    </row>
    <row r="3954">
      <c r="A3954" s="74">
        <v>3943.0</v>
      </c>
      <c r="B3954" s="73" t="s">
        <v>4395</v>
      </c>
      <c r="C3954" s="74">
        <v>8.05020117E8</v>
      </c>
      <c r="D3954" s="73" t="s">
        <v>4434</v>
      </c>
      <c r="E3954" s="72">
        <v>156.0</v>
      </c>
      <c r="F3954" s="75">
        <v>37330.0</v>
      </c>
      <c r="G3954" s="76"/>
      <c r="H3954" s="76"/>
      <c r="I3954" s="73" t="s">
        <v>366</v>
      </c>
      <c r="J3954" s="76"/>
    </row>
    <row r="3955">
      <c r="A3955" s="74">
        <v>3944.0</v>
      </c>
      <c r="B3955" s="73" t="s">
        <v>4395</v>
      </c>
      <c r="C3955" s="74">
        <v>8.35001422E8</v>
      </c>
      <c r="D3955" s="73" t="s">
        <v>4435</v>
      </c>
      <c r="E3955" s="72">
        <v>160.0</v>
      </c>
      <c r="F3955" s="75">
        <v>37337.0</v>
      </c>
      <c r="G3955" s="76"/>
      <c r="H3955" s="76"/>
      <c r="I3955" s="73" t="s">
        <v>366</v>
      </c>
      <c r="J3955" s="76"/>
    </row>
    <row r="3956">
      <c r="A3956" s="74">
        <v>3945.0</v>
      </c>
      <c r="B3956" s="73" t="s">
        <v>4395</v>
      </c>
      <c r="C3956" s="74">
        <v>8.00126881E8</v>
      </c>
      <c r="D3956" s="73" t="s">
        <v>4436</v>
      </c>
      <c r="E3956" s="72">
        <v>244.0</v>
      </c>
      <c r="F3956" s="75">
        <v>37363.0</v>
      </c>
      <c r="G3956" s="76"/>
      <c r="H3956" s="76"/>
      <c r="I3956" s="73" t="s">
        <v>366</v>
      </c>
      <c r="J3956" s="76"/>
    </row>
    <row r="3957">
      <c r="A3957" s="74">
        <v>3946.0</v>
      </c>
      <c r="B3957" s="73" t="s">
        <v>4395</v>
      </c>
      <c r="C3957" s="74">
        <v>8.90306157E8</v>
      </c>
      <c r="D3957" s="73" t="s">
        <v>4437</v>
      </c>
      <c r="E3957" s="72">
        <v>245.0</v>
      </c>
      <c r="F3957" s="75">
        <v>37363.0</v>
      </c>
      <c r="G3957" s="76"/>
      <c r="H3957" s="76"/>
      <c r="I3957" s="73" t="s">
        <v>366</v>
      </c>
      <c r="J3957" s="76"/>
    </row>
    <row r="3958">
      <c r="A3958" s="85">
        <v>3947.0</v>
      </c>
      <c r="B3958" s="79" t="s">
        <v>4395</v>
      </c>
      <c r="C3958" s="80">
        <v>8.0021184E8</v>
      </c>
      <c r="D3958" s="79" t="s">
        <v>4438</v>
      </c>
      <c r="E3958" s="81">
        <v>349.0</v>
      </c>
      <c r="F3958" s="84">
        <v>37386.0</v>
      </c>
      <c r="G3958" s="83"/>
      <c r="H3958" s="83"/>
      <c r="I3958" s="73" t="s">
        <v>366</v>
      </c>
      <c r="J3958" s="76"/>
    </row>
    <row r="3959">
      <c r="A3959" s="74">
        <v>3948.0</v>
      </c>
      <c r="B3959" s="98" t="s">
        <v>4395</v>
      </c>
      <c r="C3959" s="74">
        <v>8.90303368E8</v>
      </c>
      <c r="D3959" s="73" t="s">
        <v>4439</v>
      </c>
      <c r="E3959" s="72">
        <v>371.0</v>
      </c>
      <c r="F3959" s="75">
        <v>37397.0</v>
      </c>
      <c r="G3959" s="76"/>
      <c r="H3959" s="76"/>
      <c r="I3959" s="73" t="s">
        <v>366</v>
      </c>
      <c r="J3959" s="76"/>
    </row>
    <row r="3960">
      <c r="A3960" s="74">
        <v>3949.0</v>
      </c>
      <c r="B3960" s="98" t="s">
        <v>4395</v>
      </c>
      <c r="C3960" s="74">
        <v>8.90304902E8</v>
      </c>
      <c r="D3960" s="73" t="s">
        <v>4440</v>
      </c>
      <c r="E3960" s="72">
        <v>367.0</v>
      </c>
      <c r="F3960" s="75">
        <v>37397.0</v>
      </c>
      <c r="G3960" s="76"/>
      <c r="H3960" s="76"/>
      <c r="I3960" s="73" t="s">
        <v>366</v>
      </c>
      <c r="J3960" s="76"/>
    </row>
    <row r="3961">
      <c r="A3961" s="74">
        <v>3950.0</v>
      </c>
      <c r="B3961" s="98" t="s">
        <v>4395</v>
      </c>
      <c r="C3961" s="74">
        <v>8.90330867E8</v>
      </c>
      <c r="D3961" s="73" t="s">
        <v>4441</v>
      </c>
      <c r="E3961" s="72">
        <v>365.0</v>
      </c>
      <c r="F3961" s="75">
        <v>37397.0</v>
      </c>
      <c r="G3961" s="76"/>
      <c r="H3961" s="76"/>
      <c r="I3961" s="73" t="s">
        <v>366</v>
      </c>
      <c r="J3961" s="76"/>
    </row>
    <row r="3962">
      <c r="A3962" s="74">
        <v>3951.0</v>
      </c>
      <c r="B3962" s="98" t="s">
        <v>4395</v>
      </c>
      <c r="C3962" s="74">
        <v>8.00213557E8</v>
      </c>
      <c r="D3962" s="73" t="s">
        <v>4442</v>
      </c>
      <c r="E3962" s="72">
        <v>389.0</v>
      </c>
      <c r="F3962" s="75">
        <v>37404.0</v>
      </c>
      <c r="G3962" s="76"/>
      <c r="H3962" s="76"/>
      <c r="I3962" s="73" t="s">
        <v>366</v>
      </c>
      <c r="J3962" s="76"/>
    </row>
    <row r="3963">
      <c r="A3963" s="74">
        <v>3952.0</v>
      </c>
      <c r="B3963" s="98" t="s">
        <v>4395</v>
      </c>
      <c r="C3963" s="74">
        <v>8.90329436E8</v>
      </c>
      <c r="D3963" s="73" t="s">
        <v>4443</v>
      </c>
      <c r="E3963" s="72">
        <v>424.0</v>
      </c>
      <c r="F3963" s="75">
        <v>37404.0</v>
      </c>
      <c r="G3963" s="76"/>
      <c r="H3963" s="76"/>
      <c r="I3963" s="73" t="s">
        <v>366</v>
      </c>
      <c r="J3963" s="76"/>
    </row>
    <row r="3964">
      <c r="A3964" s="74">
        <v>3953.0</v>
      </c>
      <c r="B3964" s="98" t="s">
        <v>4395</v>
      </c>
      <c r="C3964" s="74">
        <v>8.00050454E8</v>
      </c>
      <c r="D3964" s="73" t="s">
        <v>4444</v>
      </c>
      <c r="E3964" s="72">
        <v>441.0</v>
      </c>
      <c r="F3964" s="75">
        <v>37426.0</v>
      </c>
      <c r="G3964" s="76"/>
      <c r="H3964" s="76"/>
      <c r="I3964" s="73" t="s">
        <v>366</v>
      </c>
      <c r="J3964" s="76"/>
    </row>
    <row r="3965">
      <c r="A3965" s="74">
        <v>3954.0</v>
      </c>
      <c r="B3965" s="98" t="s">
        <v>4395</v>
      </c>
      <c r="C3965" s="74">
        <v>8.10000533E8</v>
      </c>
      <c r="D3965" s="73" t="s">
        <v>4445</v>
      </c>
      <c r="E3965" s="72">
        <v>459.0</v>
      </c>
      <c r="F3965" s="75">
        <v>37429.0</v>
      </c>
      <c r="G3965" s="76"/>
      <c r="H3965" s="76"/>
      <c r="I3965" s="73" t="s">
        <v>366</v>
      </c>
      <c r="J3965" s="76"/>
    </row>
    <row r="3966">
      <c r="A3966" s="74">
        <v>3955.0</v>
      </c>
      <c r="B3966" s="98" t="s">
        <v>4395</v>
      </c>
      <c r="C3966" s="74">
        <v>8.00021603E8</v>
      </c>
      <c r="D3966" s="73" t="s">
        <v>4446</v>
      </c>
      <c r="E3966" s="72">
        <v>556.0</v>
      </c>
      <c r="F3966" s="75">
        <v>37454.0</v>
      </c>
      <c r="G3966" s="76"/>
      <c r="H3966" s="76"/>
      <c r="I3966" s="73" t="s">
        <v>366</v>
      </c>
      <c r="J3966" s="76"/>
    </row>
    <row r="3967">
      <c r="A3967" s="74">
        <v>3956.0</v>
      </c>
      <c r="B3967" s="98" t="s">
        <v>4395</v>
      </c>
      <c r="C3967" s="74">
        <v>8.05003216E8</v>
      </c>
      <c r="D3967" s="73" t="s">
        <v>4447</v>
      </c>
      <c r="E3967" s="72">
        <v>705.0</v>
      </c>
      <c r="F3967" s="77">
        <v>37544.0</v>
      </c>
      <c r="G3967" s="76"/>
      <c r="H3967" s="76"/>
      <c r="I3967" s="73" t="s">
        <v>366</v>
      </c>
      <c r="J3967" s="76"/>
    </row>
    <row r="3968">
      <c r="A3968" s="74">
        <v>3957.0</v>
      </c>
      <c r="B3968" s="98" t="s">
        <v>4395</v>
      </c>
      <c r="C3968" s="74">
        <v>8.00147314E8</v>
      </c>
      <c r="D3968" s="73" t="s">
        <v>4448</v>
      </c>
      <c r="E3968" s="72">
        <v>707.0</v>
      </c>
      <c r="F3968" s="77">
        <v>37559.0</v>
      </c>
      <c r="G3968" s="76"/>
      <c r="H3968" s="76"/>
      <c r="I3968" s="73" t="s">
        <v>366</v>
      </c>
      <c r="J3968" s="76"/>
    </row>
    <row r="3969">
      <c r="A3969" s="74">
        <v>3958.0</v>
      </c>
      <c r="B3969" s="98" t="s">
        <v>4395</v>
      </c>
      <c r="C3969" s="74">
        <v>8.05024801E8</v>
      </c>
      <c r="D3969" s="73" t="s">
        <v>4449</v>
      </c>
      <c r="E3969" s="72">
        <v>713.0</v>
      </c>
      <c r="F3969" s="77">
        <v>37568.0</v>
      </c>
      <c r="G3969" s="76"/>
      <c r="H3969" s="76"/>
      <c r="I3969" s="73" t="s">
        <v>366</v>
      </c>
      <c r="J3969" s="76"/>
    </row>
    <row r="3970">
      <c r="A3970" s="74">
        <v>3959.0</v>
      </c>
      <c r="B3970" s="98" t="s">
        <v>4395</v>
      </c>
      <c r="C3970" s="74">
        <v>8.15003984E8</v>
      </c>
      <c r="D3970" s="73" t="s">
        <v>4450</v>
      </c>
      <c r="E3970" s="72">
        <v>712.0</v>
      </c>
      <c r="F3970" s="77">
        <v>37568.0</v>
      </c>
      <c r="G3970" s="76"/>
      <c r="H3970" s="76"/>
      <c r="I3970" s="73" t="s">
        <v>366</v>
      </c>
      <c r="J3970" s="76"/>
    </row>
    <row r="3971">
      <c r="A3971" s="74">
        <v>3960.0</v>
      </c>
      <c r="B3971" s="98" t="s">
        <v>4395</v>
      </c>
      <c r="C3971" s="74">
        <v>8.05024666E8</v>
      </c>
      <c r="D3971" s="73" t="s">
        <v>4451</v>
      </c>
      <c r="E3971" s="72">
        <v>728.0</v>
      </c>
      <c r="F3971" s="77">
        <v>37601.0</v>
      </c>
      <c r="G3971" s="76"/>
      <c r="H3971" s="76"/>
      <c r="I3971" s="73" t="s">
        <v>366</v>
      </c>
      <c r="J3971" s="76"/>
    </row>
    <row r="3972">
      <c r="A3972" s="74">
        <v>3961.0</v>
      </c>
      <c r="B3972" s="98" t="s">
        <v>4395</v>
      </c>
      <c r="C3972" s="74">
        <v>8.05023852E8</v>
      </c>
      <c r="D3972" s="73" t="s">
        <v>4452</v>
      </c>
      <c r="E3972" s="72">
        <v>803.0</v>
      </c>
      <c r="F3972" s="77">
        <v>37620.0</v>
      </c>
      <c r="G3972" s="76"/>
      <c r="H3972" s="76"/>
      <c r="I3972" s="73" t="s">
        <v>366</v>
      </c>
      <c r="J3972" s="76"/>
    </row>
    <row r="3973">
      <c r="A3973" s="74">
        <v>3962.0</v>
      </c>
      <c r="B3973" s="98" t="s">
        <v>4395</v>
      </c>
      <c r="C3973" s="74">
        <v>8.05025644E8</v>
      </c>
      <c r="D3973" s="73" t="s">
        <v>4453</v>
      </c>
      <c r="E3973" s="72">
        <v>26.0</v>
      </c>
      <c r="F3973" s="75">
        <v>37673.0</v>
      </c>
      <c r="G3973" s="76"/>
      <c r="H3973" s="76"/>
      <c r="I3973" s="73" t="s">
        <v>366</v>
      </c>
      <c r="J3973" s="76"/>
    </row>
    <row r="3974">
      <c r="A3974" s="74">
        <v>3963.0</v>
      </c>
      <c r="B3974" s="98" t="s">
        <v>4395</v>
      </c>
      <c r="C3974" s="74">
        <v>8.21003238E8</v>
      </c>
      <c r="D3974" s="73" t="s">
        <v>4454</v>
      </c>
      <c r="E3974" s="72">
        <v>81.0</v>
      </c>
      <c r="F3974" s="75">
        <v>37771.0</v>
      </c>
      <c r="G3974" s="76"/>
      <c r="H3974" s="76"/>
      <c r="I3974" s="73" t="s">
        <v>366</v>
      </c>
      <c r="J3974" s="76"/>
    </row>
    <row r="3975">
      <c r="A3975" s="74">
        <v>3964.0</v>
      </c>
      <c r="B3975" s="98" t="s">
        <v>4395</v>
      </c>
      <c r="C3975" s="74">
        <v>8.05027046E8</v>
      </c>
      <c r="D3975" s="73" t="s">
        <v>4455</v>
      </c>
      <c r="E3975" s="72">
        <v>87.0</v>
      </c>
      <c r="F3975" s="75">
        <v>37788.0</v>
      </c>
      <c r="G3975" s="76"/>
      <c r="H3975" s="76"/>
      <c r="I3975" s="73" t="s">
        <v>366</v>
      </c>
      <c r="J3975" s="76"/>
    </row>
    <row r="3976">
      <c r="A3976" s="74">
        <v>3965.0</v>
      </c>
      <c r="B3976" s="98" t="s">
        <v>4395</v>
      </c>
      <c r="C3976" s="74">
        <v>8.05027877E8</v>
      </c>
      <c r="D3976" s="73" t="s">
        <v>4456</v>
      </c>
      <c r="E3976" s="72">
        <v>214.0</v>
      </c>
      <c r="F3976" s="75">
        <v>37879.0</v>
      </c>
      <c r="G3976" s="76"/>
      <c r="H3976" s="76"/>
      <c r="I3976" s="73" t="s">
        <v>366</v>
      </c>
      <c r="J3976" s="76"/>
    </row>
    <row r="3977">
      <c r="A3977" s="74">
        <v>3966.0</v>
      </c>
      <c r="B3977" s="98" t="s">
        <v>4395</v>
      </c>
      <c r="C3977" s="74">
        <v>8.35000899E8</v>
      </c>
      <c r="D3977" s="73" t="s">
        <v>4457</v>
      </c>
      <c r="E3977" s="72">
        <v>222.0</v>
      </c>
      <c r="F3977" s="77">
        <v>37901.0</v>
      </c>
      <c r="G3977" s="76"/>
      <c r="H3977" s="76"/>
      <c r="I3977" s="73" t="s">
        <v>366</v>
      </c>
      <c r="J3977" s="76"/>
    </row>
    <row r="3978">
      <c r="A3978" s="74">
        <v>3967.0</v>
      </c>
      <c r="B3978" s="98" t="s">
        <v>4395</v>
      </c>
      <c r="C3978" s="74">
        <v>8.05027889E8</v>
      </c>
      <c r="D3978" s="73" t="s">
        <v>4458</v>
      </c>
      <c r="E3978" s="72">
        <v>2.0</v>
      </c>
      <c r="F3978" s="75">
        <v>38005.0</v>
      </c>
      <c r="G3978" s="76"/>
      <c r="H3978" s="76"/>
      <c r="I3978" s="73" t="s">
        <v>366</v>
      </c>
      <c r="J3978" s="76"/>
    </row>
    <row r="3979">
      <c r="A3979" s="74">
        <v>3968.0</v>
      </c>
      <c r="B3979" s="98" t="s">
        <v>4395</v>
      </c>
      <c r="C3979" s="74">
        <v>8.05029056E8</v>
      </c>
      <c r="D3979" s="73" t="s">
        <v>4459</v>
      </c>
      <c r="E3979" s="72">
        <v>8.0</v>
      </c>
      <c r="F3979" s="75">
        <v>38016.0</v>
      </c>
      <c r="G3979" s="76"/>
      <c r="H3979" s="76"/>
      <c r="I3979" s="73" t="s">
        <v>366</v>
      </c>
      <c r="J3979" s="76"/>
    </row>
    <row r="3980">
      <c r="A3980" s="74">
        <v>3969.0</v>
      </c>
      <c r="B3980" s="98" t="s">
        <v>4395</v>
      </c>
      <c r="C3980" s="74">
        <v>8.05016737E8</v>
      </c>
      <c r="D3980" s="73" t="s">
        <v>4460</v>
      </c>
      <c r="E3980" s="72">
        <v>349.0</v>
      </c>
      <c r="F3980" s="75">
        <v>38196.0</v>
      </c>
      <c r="G3980" s="76"/>
      <c r="H3980" s="76"/>
      <c r="I3980" s="73" t="s">
        <v>366</v>
      </c>
      <c r="J3980" s="76"/>
    </row>
    <row r="3981">
      <c r="A3981" s="74">
        <v>3970.0</v>
      </c>
      <c r="B3981" s="98" t="s">
        <v>4395</v>
      </c>
      <c r="C3981" s="74">
        <v>8.05027484E8</v>
      </c>
      <c r="D3981" s="73" t="s">
        <v>4461</v>
      </c>
      <c r="E3981" s="72">
        <v>347.0</v>
      </c>
      <c r="F3981" s="75">
        <v>38196.0</v>
      </c>
      <c r="G3981" s="76"/>
      <c r="H3981" s="76"/>
      <c r="I3981" s="73" t="s">
        <v>366</v>
      </c>
      <c r="J3981" s="76"/>
    </row>
    <row r="3982">
      <c r="A3982" s="74">
        <v>3971.0</v>
      </c>
      <c r="B3982" s="98" t="s">
        <v>4395</v>
      </c>
      <c r="C3982" s="74">
        <v>8.35000135E8</v>
      </c>
      <c r="D3982" s="73" t="s">
        <v>4462</v>
      </c>
      <c r="E3982" s="72">
        <v>546.0</v>
      </c>
      <c r="F3982" s="77">
        <v>38309.0</v>
      </c>
      <c r="G3982" s="76"/>
      <c r="H3982" s="76"/>
      <c r="I3982" s="73" t="s">
        <v>366</v>
      </c>
      <c r="J3982" s="76"/>
    </row>
    <row r="3983">
      <c r="A3983" s="74">
        <v>3972.0</v>
      </c>
      <c r="B3983" s="98" t="s">
        <v>4395</v>
      </c>
      <c r="C3983" s="74">
        <v>8.05010556E8</v>
      </c>
      <c r="D3983" s="73" t="s">
        <v>4463</v>
      </c>
      <c r="E3983" s="72">
        <v>586.0</v>
      </c>
      <c r="F3983" s="77">
        <v>38337.0</v>
      </c>
      <c r="G3983" s="76"/>
      <c r="H3983" s="76"/>
      <c r="I3983" s="73" t="s">
        <v>366</v>
      </c>
      <c r="J3983" s="76"/>
    </row>
    <row r="3984">
      <c r="A3984" s="74">
        <v>3973.0</v>
      </c>
      <c r="B3984" s="98" t="s">
        <v>4395</v>
      </c>
      <c r="C3984" s="74">
        <v>8.05031256E8</v>
      </c>
      <c r="D3984" s="73" t="s">
        <v>4464</v>
      </c>
      <c r="E3984" s="72">
        <v>587.0</v>
      </c>
      <c r="F3984" s="77">
        <v>38337.0</v>
      </c>
      <c r="G3984" s="76"/>
      <c r="H3984" s="76"/>
      <c r="I3984" s="73" t="s">
        <v>366</v>
      </c>
      <c r="J3984" s="76"/>
    </row>
    <row r="3985">
      <c r="A3985" s="74">
        <v>3974.0</v>
      </c>
      <c r="B3985" s="98" t="s">
        <v>4395</v>
      </c>
      <c r="C3985" s="74">
        <v>8.35001984E8</v>
      </c>
      <c r="D3985" s="73" t="s">
        <v>4465</v>
      </c>
      <c r="E3985" s="72">
        <v>588.0</v>
      </c>
      <c r="F3985" s="77">
        <v>38337.0</v>
      </c>
      <c r="G3985" s="76"/>
      <c r="H3985" s="76"/>
      <c r="I3985" s="73" t="s">
        <v>366</v>
      </c>
      <c r="J3985" s="76"/>
    </row>
    <row r="3986">
      <c r="A3986" s="74">
        <v>3975.0</v>
      </c>
      <c r="B3986" s="98" t="s">
        <v>4395</v>
      </c>
      <c r="C3986" s="74">
        <v>8.05030737E8</v>
      </c>
      <c r="D3986" s="73" t="s">
        <v>4466</v>
      </c>
      <c r="E3986" s="72">
        <v>53.0</v>
      </c>
      <c r="F3986" s="75">
        <v>38407.0</v>
      </c>
      <c r="G3986" s="76"/>
      <c r="H3986" s="76"/>
      <c r="I3986" s="73" t="s">
        <v>366</v>
      </c>
      <c r="J3986" s="76"/>
    </row>
    <row r="3987">
      <c r="A3987" s="74">
        <v>3976.0</v>
      </c>
      <c r="B3987" s="98" t="s">
        <v>4395</v>
      </c>
      <c r="C3987" s="74">
        <v>8.05019457E8</v>
      </c>
      <c r="D3987" s="73" t="s">
        <v>4467</v>
      </c>
      <c r="E3987" s="72">
        <v>135.0</v>
      </c>
      <c r="F3987" s="75">
        <v>38485.0</v>
      </c>
      <c r="G3987" s="76"/>
      <c r="H3987" s="76"/>
      <c r="I3987" s="73" t="s">
        <v>366</v>
      </c>
      <c r="J3987" s="76"/>
    </row>
    <row r="3988">
      <c r="A3988" s="74">
        <v>3977.0</v>
      </c>
      <c r="B3988" s="98" t="s">
        <v>4395</v>
      </c>
      <c r="C3988" s="74">
        <v>8.91900968E8</v>
      </c>
      <c r="D3988" s="73" t="s">
        <v>4468</v>
      </c>
      <c r="E3988" s="72">
        <v>189.0</v>
      </c>
      <c r="F3988" s="75">
        <v>38527.0</v>
      </c>
      <c r="G3988" s="76"/>
      <c r="H3988" s="76"/>
      <c r="I3988" s="73" t="s">
        <v>366</v>
      </c>
      <c r="J3988" s="76"/>
    </row>
    <row r="3989">
      <c r="A3989" s="74">
        <v>3978.0</v>
      </c>
      <c r="B3989" s="98" t="s">
        <v>4395</v>
      </c>
      <c r="C3989" s="74">
        <v>8.05021657E8</v>
      </c>
      <c r="D3989" s="73" t="s">
        <v>4469</v>
      </c>
      <c r="E3989" s="72">
        <v>349.0</v>
      </c>
      <c r="F3989" s="75">
        <v>38558.0</v>
      </c>
      <c r="G3989" s="76"/>
      <c r="H3989" s="76"/>
      <c r="I3989" s="73" t="s">
        <v>366</v>
      </c>
      <c r="J3989" s="76"/>
    </row>
    <row r="3990">
      <c r="A3990" s="74">
        <v>3979.0</v>
      </c>
      <c r="B3990" s="98" t="s">
        <v>4395</v>
      </c>
      <c r="C3990" s="74">
        <v>9.00033633E8</v>
      </c>
      <c r="D3990" s="73" t="s">
        <v>4470</v>
      </c>
      <c r="E3990" s="72">
        <v>388.0</v>
      </c>
      <c r="F3990" s="75">
        <v>38603.0</v>
      </c>
      <c r="G3990" s="76"/>
      <c r="H3990" s="76"/>
      <c r="I3990" s="73" t="s">
        <v>366</v>
      </c>
      <c r="J3990" s="76"/>
    </row>
    <row r="3991">
      <c r="A3991" s="74">
        <v>3980.0</v>
      </c>
      <c r="B3991" s="98" t="s">
        <v>4395</v>
      </c>
      <c r="C3991" s="74">
        <v>9.00014965E8</v>
      </c>
      <c r="D3991" s="73" t="s">
        <v>4471</v>
      </c>
      <c r="E3991" s="72">
        <v>419.0</v>
      </c>
      <c r="F3991" s="77">
        <v>38645.0</v>
      </c>
      <c r="G3991" s="76"/>
      <c r="H3991" s="76"/>
      <c r="I3991" s="73" t="s">
        <v>366</v>
      </c>
      <c r="J3991" s="76"/>
    </row>
    <row r="3992">
      <c r="A3992" s="74">
        <v>3981.0</v>
      </c>
      <c r="B3992" s="98" t="s">
        <v>4395</v>
      </c>
      <c r="C3992" s="74">
        <v>8.30514887E8</v>
      </c>
      <c r="D3992" s="73" t="s">
        <v>4472</v>
      </c>
      <c r="E3992" s="72">
        <v>53.0</v>
      </c>
      <c r="F3992" s="75">
        <v>38762.0</v>
      </c>
      <c r="G3992" s="86">
        <v>2.0243760057645E13</v>
      </c>
      <c r="H3992" s="101">
        <v>45622.0</v>
      </c>
      <c r="I3992" s="73" t="s">
        <v>366</v>
      </c>
      <c r="J3992" s="73" t="s">
        <v>4473</v>
      </c>
    </row>
    <row r="3993">
      <c r="A3993" s="74">
        <v>3982.0</v>
      </c>
      <c r="B3993" s="98" t="s">
        <v>4395</v>
      </c>
      <c r="C3993" s="74">
        <v>9.0006367E8</v>
      </c>
      <c r="D3993" s="73" t="s">
        <v>4474</v>
      </c>
      <c r="E3993" s="72">
        <v>5.0</v>
      </c>
      <c r="F3993" s="75">
        <v>38768.0</v>
      </c>
      <c r="G3993" s="76"/>
      <c r="H3993" s="76"/>
      <c r="I3993" s="73" t="s">
        <v>366</v>
      </c>
      <c r="J3993" s="76"/>
    </row>
    <row r="3994">
      <c r="A3994" s="74">
        <v>3983.0</v>
      </c>
      <c r="B3994" s="98" t="s">
        <v>4395</v>
      </c>
      <c r="C3994" s="74">
        <v>9.00069866E8</v>
      </c>
      <c r="D3994" s="73" t="s">
        <v>4475</v>
      </c>
      <c r="E3994" s="72">
        <v>59.0</v>
      </c>
      <c r="F3994" s="75">
        <v>38777.0</v>
      </c>
      <c r="G3994" s="76"/>
      <c r="H3994" s="76"/>
      <c r="I3994" s="73" t="s">
        <v>366</v>
      </c>
      <c r="J3994" s="76"/>
    </row>
    <row r="3995">
      <c r="A3995" s="74">
        <v>3984.0</v>
      </c>
      <c r="B3995" s="98" t="s">
        <v>4395</v>
      </c>
      <c r="C3995" s="74">
        <v>9.00055029E8</v>
      </c>
      <c r="D3995" s="73" t="s">
        <v>4476</v>
      </c>
      <c r="E3995" s="72">
        <v>189.0</v>
      </c>
      <c r="F3995" s="75">
        <v>38846.0</v>
      </c>
      <c r="G3995" s="76"/>
      <c r="H3995" s="76"/>
      <c r="I3995" s="73" t="s">
        <v>366</v>
      </c>
      <c r="J3995" s="76"/>
    </row>
    <row r="3996">
      <c r="A3996" s="74">
        <v>3985.0</v>
      </c>
      <c r="B3996" s="98" t="s">
        <v>4395</v>
      </c>
      <c r="C3996" s="74">
        <v>8.05010341E8</v>
      </c>
      <c r="D3996" s="73" t="s">
        <v>4477</v>
      </c>
      <c r="E3996" s="72">
        <v>194.0</v>
      </c>
      <c r="F3996" s="75">
        <v>38849.0</v>
      </c>
      <c r="G3996" s="76"/>
      <c r="H3996" s="76"/>
      <c r="I3996" s="73" t="s">
        <v>366</v>
      </c>
      <c r="J3996" s="76"/>
    </row>
    <row r="3997">
      <c r="A3997" s="74">
        <v>3986.0</v>
      </c>
      <c r="B3997" s="98" t="s">
        <v>4395</v>
      </c>
      <c r="C3997" s="74">
        <v>8.05020223E8</v>
      </c>
      <c r="D3997" s="73" t="s">
        <v>4478</v>
      </c>
      <c r="E3997" s="72">
        <v>275.0</v>
      </c>
      <c r="F3997" s="75">
        <v>38923.0</v>
      </c>
      <c r="G3997" s="76"/>
      <c r="H3997" s="76"/>
      <c r="I3997" s="73" t="s">
        <v>366</v>
      </c>
      <c r="J3997" s="76"/>
    </row>
    <row r="3998">
      <c r="A3998" s="74">
        <v>3987.0</v>
      </c>
      <c r="B3998" s="98" t="s">
        <v>4395</v>
      </c>
      <c r="C3998" s="74">
        <v>8.16006471E8</v>
      </c>
      <c r="D3998" s="73" t="s">
        <v>4479</v>
      </c>
      <c r="E3998" s="72">
        <v>39.0</v>
      </c>
      <c r="F3998" s="77">
        <v>38996.0</v>
      </c>
      <c r="G3998" s="76"/>
      <c r="H3998" s="76"/>
      <c r="I3998" s="73" t="s">
        <v>366</v>
      </c>
      <c r="J3998" s="76"/>
    </row>
    <row r="3999">
      <c r="A3999" s="74">
        <v>3988.0</v>
      </c>
      <c r="B3999" s="98" t="s">
        <v>4395</v>
      </c>
      <c r="C3999" s="74">
        <v>8.3500077E8</v>
      </c>
      <c r="D3999" s="73" t="s">
        <v>4480</v>
      </c>
      <c r="E3999" s="72">
        <v>1164.0</v>
      </c>
      <c r="F3999" s="77">
        <v>39072.0</v>
      </c>
      <c r="G3999" s="76"/>
      <c r="H3999" s="76"/>
      <c r="I3999" s="73" t="s">
        <v>366</v>
      </c>
      <c r="J3999" s="76"/>
    </row>
    <row r="4000">
      <c r="A4000" s="74">
        <v>3989.0</v>
      </c>
      <c r="B4000" s="98" t="s">
        <v>4395</v>
      </c>
      <c r="C4000" s="74">
        <v>8.00242773E8</v>
      </c>
      <c r="D4000" s="73" t="s">
        <v>4481</v>
      </c>
      <c r="E4000" s="72">
        <v>416.0</v>
      </c>
      <c r="F4000" s="77">
        <v>39077.0</v>
      </c>
      <c r="G4000" s="76"/>
      <c r="H4000" s="76"/>
      <c r="I4000" s="73" t="s">
        <v>366</v>
      </c>
      <c r="J4000" s="76"/>
    </row>
    <row r="4001">
      <c r="A4001" s="74">
        <v>3990.0</v>
      </c>
      <c r="B4001" s="98" t="s">
        <v>4395</v>
      </c>
      <c r="C4001" s="74">
        <v>9.00112863E8</v>
      </c>
      <c r="D4001" s="73" t="s">
        <v>4482</v>
      </c>
      <c r="E4001" s="72">
        <v>10.0</v>
      </c>
      <c r="F4001" s="75">
        <v>39100.0</v>
      </c>
      <c r="G4001" s="76"/>
      <c r="H4001" s="76"/>
      <c r="I4001" s="73" t="s">
        <v>366</v>
      </c>
      <c r="J4001" s="76"/>
    </row>
    <row r="4002">
      <c r="A4002" s="74">
        <v>3991.0</v>
      </c>
      <c r="B4002" s="98" t="s">
        <v>4395</v>
      </c>
      <c r="C4002" s="74">
        <v>9.00118604E8</v>
      </c>
      <c r="D4002" s="73" t="s">
        <v>4483</v>
      </c>
      <c r="E4002" s="72">
        <v>19.0</v>
      </c>
      <c r="F4002" s="75">
        <v>39107.0</v>
      </c>
      <c r="G4002" s="76"/>
      <c r="H4002" s="76"/>
      <c r="I4002" s="73" t="s">
        <v>366</v>
      </c>
      <c r="J4002" s="76"/>
    </row>
    <row r="4003">
      <c r="A4003" s="74">
        <v>3992.0</v>
      </c>
      <c r="B4003" s="98" t="s">
        <v>4395</v>
      </c>
      <c r="C4003" s="74">
        <v>9.0011553E8</v>
      </c>
      <c r="D4003" s="73" t="s">
        <v>4484</v>
      </c>
      <c r="E4003" s="72">
        <v>43.0</v>
      </c>
      <c r="F4003" s="75">
        <v>39134.0</v>
      </c>
      <c r="G4003" s="76"/>
      <c r="H4003" s="76"/>
      <c r="I4003" s="73" t="s">
        <v>366</v>
      </c>
      <c r="J4003" s="76"/>
    </row>
    <row r="4004">
      <c r="A4004" s="74">
        <v>3993.0</v>
      </c>
      <c r="B4004" s="98" t="s">
        <v>4395</v>
      </c>
      <c r="C4004" s="74">
        <v>8.05000493E8</v>
      </c>
      <c r="D4004" s="73" t="s">
        <v>4485</v>
      </c>
      <c r="E4004" s="72">
        <v>46.0</v>
      </c>
      <c r="F4004" s="75">
        <v>39136.0</v>
      </c>
      <c r="G4004" s="76"/>
      <c r="H4004" s="76"/>
      <c r="I4004" s="73" t="s">
        <v>366</v>
      </c>
      <c r="J4004" s="76"/>
    </row>
    <row r="4005">
      <c r="A4005" s="74">
        <v>3994.0</v>
      </c>
      <c r="B4005" s="98" t="s">
        <v>4395</v>
      </c>
      <c r="C4005" s="74">
        <v>8.00210008E8</v>
      </c>
      <c r="D4005" s="73" t="s">
        <v>4486</v>
      </c>
      <c r="E4005" s="72">
        <v>81.0</v>
      </c>
      <c r="F4005" s="75">
        <v>39164.0</v>
      </c>
      <c r="G4005" s="76"/>
      <c r="H4005" s="76"/>
      <c r="I4005" s="73" t="s">
        <v>366</v>
      </c>
      <c r="J4005" s="76"/>
    </row>
    <row r="4006">
      <c r="A4006" s="74">
        <v>3995.0</v>
      </c>
      <c r="B4006" s="98" t="s">
        <v>4395</v>
      </c>
      <c r="C4006" s="74">
        <v>9.00041626E8</v>
      </c>
      <c r="D4006" s="73" t="s">
        <v>4487</v>
      </c>
      <c r="E4006" s="72">
        <v>90.0</v>
      </c>
      <c r="F4006" s="75">
        <v>39170.0</v>
      </c>
      <c r="G4006" s="76"/>
      <c r="H4006" s="76"/>
      <c r="I4006" s="73" t="s">
        <v>366</v>
      </c>
      <c r="J4006" s="76"/>
    </row>
    <row r="4007">
      <c r="A4007" s="74">
        <v>3996.0</v>
      </c>
      <c r="B4007" s="98" t="s">
        <v>4395</v>
      </c>
      <c r="C4007" s="74">
        <v>8.00110314E8</v>
      </c>
      <c r="D4007" s="73" t="s">
        <v>4488</v>
      </c>
      <c r="E4007" s="72">
        <v>109.0</v>
      </c>
      <c r="F4007" s="75">
        <v>39197.0</v>
      </c>
      <c r="G4007" s="76"/>
      <c r="H4007" s="76"/>
      <c r="I4007" s="73" t="s">
        <v>366</v>
      </c>
      <c r="J4007" s="76"/>
    </row>
    <row r="4008">
      <c r="A4008" s="74">
        <v>3997.0</v>
      </c>
      <c r="B4008" s="98" t="s">
        <v>4395</v>
      </c>
      <c r="C4008" s="74">
        <v>8.90303525E8</v>
      </c>
      <c r="D4008" s="73" t="s">
        <v>4489</v>
      </c>
      <c r="E4008" s="72">
        <v>136.0</v>
      </c>
      <c r="F4008" s="75">
        <v>39224.0</v>
      </c>
      <c r="G4008" s="76"/>
      <c r="H4008" s="76"/>
      <c r="I4008" s="73" t="s">
        <v>366</v>
      </c>
      <c r="J4008" s="76"/>
    </row>
    <row r="4009">
      <c r="A4009" s="74">
        <v>3998.0</v>
      </c>
      <c r="B4009" s="98" t="s">
        <v>4395</v>
      </c>
      <c r="C4009" s="74">
        <v>9.00143344E8</v>
      </c>
      <c r="D4009" s="73" t="s">
        <v>4490</v>
      </c>
      <c r="E4009" s="72">
        <v>139.0</v>
      </c>
      <c r="F4009" s="75">
        <v>39227.0</v>
      </c>
      <c r="G4009" s="76"/>
      <c r="H4009" s="76"/>
      <c r="I4009" s="73" t="s">
        <v>366</v>
      </c>
      <c r="J4009" s="76"/>
    </row>
    <row r="4010">
      <c r="A4010" s="74">
        <v>3999.0</v>
      </c>
      <c r="B4010" s="98" t="s">
        <v>4395</v>
      </c>
      <c r="C4010" s="74">
        <v>9.00130762E8</v>
      </c>
      <c r="D4010" s="73" t="s">
        <v>4491</v>
      </c>
      <c r="E4010" s="72">
        <v>146.0</v>
      </c>
      <c r="F4010" s="75">
        <v>39239.0</v>
      </c>
      <c r="G4010" s="76"/>
      <c r="H4010" s="76"/>
      <c r="I4010" s="73" t="s">
        <v>366</v>
      </c>
      <c r="J4010" s="76"/>
    </row>
    <row r="4011">
      <c r="A4011" s="85">
        <v>4000.0</v>
      </c>
      <c r="B4011" s="99" t="s">
        <v>4395</v>
      </c>
      <c r="C4011" s="80">
        <v>9.00108074E8</v>
      </c>
      <c r="D4011" s="79" t="s">
        <v>4492</v>
      </c>
      <c r="E4011" s="81">
        <v>160.0</v>
      </c>
      <c r="F4011" s="84">
        <v>39259.0</v>
      </c>
      <c r="G4011" s="83"/>
      <c r="H4011" s="83"/>
      <c r="I4011" s="73" t="s">
        <v>366</v>
      </c>
      <c r="J4011" s="76"/>
    </row>
    <row r="4012">
      <c r="A4012" s="74">
        <v>4001.0</v>
      </c>
      <c r="B4012" s="98" t="s">
        <v>4395</v>
      </c>
      <c r="C4012" s="74">
        <v>8.05026469E8</v>
      </c>
      <c r="D4012" s="73" t="s">
        <v>4493</v>
      </c>
      <c r="E4012" s="72">
        <v>168.0</v>
      </c>
      <c r="F4012" s="75">
        <v>39269.0</v>
      </c>
      <c r="G4012" s="76"/>
      <c r="H4012" s="76"/>
      <c r="I4012" s="73" t="s">
        <v>366</v>
      </c>
      <c r="J4012" s="76"/>
    </row>
    <row r="4013">
      <c r="A4013" s="74">
        <v>4002.0</v>
      </c>
      <c r="B4013" s="98" t="s">
        <v>4395</v>
      </c>
      <c r="C4013" s="74">
        <v>9.00138913E8</v>
      </c>
      <c r="D4013" s="73" t="s">
        <v>4494</v>
      </c>
      <c r="E4013" s="72">
        <v>202.0</v>
      </c>
      <c r="F4013" s="75">
        <v>39303.0</v>
      </c>
      <c r="G4013" s="76"/>
      <c r="H4013" s="76"/>
      <c r="I4013" s="73" t="s">
        <v>366</v>
      </c>
      <c r="J4013" s="76"/>
    </row>
    <row r="4014">
      <c r="A4014" s="74">
        <v>4003.0</v>
      </c>
      <c r="B4014" s="98" t="s">
        <v>4395</v>
      </c>
      <c r="C4014" s="74">
        <v>9.00171163E8</v>
      </c>
      <c r="D4014" s="73" t="s">
        <v>4495</v>
      </c>
      <c r="E4014" s="72">
        <v>296.0</v>
      </c>
      <c r="F4014" s="77">
        <v>39419.0</v>
      </c>
      <c r="G4014" s="76"/>
      <c r="H4014" s="76"/>
      <c r="I4014" s="73" t="s">
        <v>366</v>
      </c>
      <c r="J4014" s="76"/>
    </row>
    <row r="4015">
      <c r="A4015" s="74">
        <v>4004.0</v>
      </c>
      <c r="B4015" s="98" t="s">
        <v>4395</v>
      </c>
      <c r="C4015" s="74">
        <v>9.00180415E8</v>
      </c>
      <c r="D4015" s="73" t="s">
        <v>4496</v>
      </c>
      <c r="E4015" s="72">
        <v>93.0</v>
      </c>
      <c r="F4015" s="75">
        <v>39517.0</v>
      </c>
      <c r="G4015" s="76"/>
      <c r="H4015" s="76"/>
      <c r="I4015" s="73" t="s">
        <v>366</v>
      </c>
      <c r="J4015" s="76"/>
    </row>
    <row r="4016">
      <c r="A4016" s="74">
        <v>4005.0</v>
      </c>
      <c r="B4016" s="98" t="s">
        <v>4395</v>
      </c>
      <c r="C4016" s="74">
        <v>9.00139719E8</v>
      </c>
      <c r="D4016" s="73" t="s">
        <v>4497</v>
      </c>
      <c r="E4016" s="72">
        <v>118.0</v>
      </c>
      <c r="F4016" s="75">
        <v>39561.0</v>
      </c>
      <c r="G4016" s="76"/>
      <c r="H4016" s="76"/>
      <c r="I4016" s="73" t="s">
        <v>366</v>
      </c>
      <c r="J4016" s="76"/>
    </row>
    <row r="4017">
      <c r="A4017" s="74">
        <v>4006.0</v>
      </c>
      <c r="B4017" s="98" t="s">
        <v>4395</v>
      </c>
      <c r="C4017" s="74">
        <v>9.00180985E8</v>
      </c>
      <c r="D4017" s="73" t="s">
        <v>4498</v>
      </c>
      <c r="E4017" s="72">
        <v>135.0</v>
      </c>
      <c r="F4017" s="75">
        <v>39570.0</v>
      </c>
      <c r="G4017" s="76"/>
      <c r="H4017" s="76"/>
      <c r="I4017" s="73" t="s">
        <v>366</v>
      </c>
      <c r="J4017" s="76"/>
    </row>
    <row r="4018">
      <c r="A4018" s="74">
        <v>4007.0</v>
      </c>
      <c r="B4018" s="98" t="s">
        <v>4395</v>
      </c>
      <c r="C4018" s="74">
        <v>9.00213647E8</v>
      </c>
      <c r="D4018" s="73" t="s">
        <v>4499</v>
      </c>
      <c r="E4018" s="72">
        <v>163.0</v>
      </c>
      <c r="F4018" s="75">
        <v>39596.0</v>
      </c>
      <c r="G4018" s="76"/>
      <c r="H4018" s="76"/>
      <c r="I4018" s="73" t="s">
        <v>366</v>
      </c>
      <c r="J4018" s="76"/>
    </row>
    <row r="4019">
      <c r="A4019" s="74">
        <v>4008.0</v>
      </c>
      <c r="B4019" s="98" t="s">
        <v>4395</v>
      </c>
      <c r="C4019" s="74">
        <v>9.00056024E8</v>
      </c>
      <c r="D4019" s="73" t="s">
        <v>4500</v>
      </c>
      <c r="E4019" s="72">
        <v>180.0</v>
      </c>
      <c r="F4019" s="75">
        <v>39625.0</v>
      </c>
      <c r="G4019" s="76"/>
      <c r="H4019" s="76"/>
      <c r="I4019" s="73" t="s">
        <v>366</v>
      </c>
      <c r="J4019" s="76"/>
    </row>
    <row r="4020">
      <c r="A4020" s="74">
        <v>4009.0</v>
      </c>
      <c r="B4020" s="98" t="s">
        <v>4395</v>
      </c>
      <c r="C4020" s="74">
        <v>8.0502778E8</v>
      </c>
      <c r="D4020" s="73" t="s">
        <v>4501</v>
      </c>
      <c r="E4020" s="72">
        <v>285.0</v>
      </c>
      <c r="F4020" s="77">
        <v>39743.0</v>
      </c>
      <c r="G4020" s="76"/>
      <c r="H4020" s="76"/>
      <c r="I4020" s="73" t="s">
        <v>366</v>
      </c>
      <c r="J4020" s="76"/>
    </row>
    <row r="4021">
      <c r="A4021" s="74">
        <v>4010.0</v>
      </c>
      <c r="B4021" s="98" t="s">
        <v>4395</v>
      </c>
      <c r="C4021" s="74">
        <v>9.00294576E8</v>
      </c>
      <c r="D4021" s="73" t="s">
        <v>4502</v>
      </c>
      <c r="E4021" s="72">
        <v>47.0</v>
      </c>
      <c r="F4021" s="75">
        <v>39989.0</v>
      </c>
      <c r="G4021" s="76"/>
      <c r="H4021" s="76"/>
      <c r="I4021" s="73" t="s">
        <v>366</v>
      </c>
      <c r="J4021" s="76"/>
    </row>
    <row r="4022">
      <c r="A4022" s="74">
        <v>4011.0</v>
      </c>
      <c r="B4022" s="98" t="s">
        <v>4395</v>
      </c>
      <c r="C4022" s="74">
        <v>9.00294608E8</v>
      </c>
      <c r="D4022" s="73" t="s">
        <v>4503</v>
      </c>
      <c r="E4022" s="72">
        <v>46.0</v>
      </c>
      <c r="F4022" s="75">
        <v>39989.0</v>
      </c>
      <c r="G4022" s="76"/>
      <c r="H4022" s="76"/>
      <c r="I4022" s="73" t="s">
        <v>366</v>
      </c>
      <c r="J4022" s="76"/>
    </row>
    <row r="4023">
      <c r="A4023" s="74">
        <v>4012.0</v>
      </c>
      <c r="B4023" s="98" t="s">
        <v>4395</v>
      </c>
      <c r="C4023" s="74">
        <v>9.00240093E8</v>
      </c>
      <c r="D4023" s="73" t="s">
        <v>4504</v>
      </c>
      <c r="E4023" s="72">
        <v>79.0</v>
      </c>
      <c r="F4023" s="75">
        <v>40079.0</v>
      </c>
      <c r="G4023" s="76"/>
      <c r="H4023" s="76"/>
      <c r="I4023" s="73" t="s">
        <v>366</v>
      </c>
      <c r="J4023" s="76"/>
    </row>
    <row r="4024">
      <c r="A4024" s="74">
        <v>4013.0</v>
      </c>
      <c r="B4024" s="98" t="s">
        <v>4395</v>
      </c>
      <c r="C4024" s="74">
        <v>8.30111836E8</v>
      </c>
      <c r="D4024" s="73" t="s">
        <v>4505</v>
      </c>
      <c r="E4024" s="72">
        <v>400.0</v>
      </c>
      <c r="F4024" s="77">
        <v>40129.0</v>
      </c>
      <c r="G4024" s="76"/>
      <c r="H4024" s="76"/>
      <c r="I4024" s="73" t="s">
        <v>366</v>
      </c>
      <c r="J4024" s="76"/>
    </row>
    <row r="4025">
      <c r="A4025" s="74">
        <v>4014.0</v>
      </c>
      <c r="B4025" s="98" t="s">
        <v>4395</v>
      </c>
      <c r="C4025" s="74">
        <v>8.90300637E8</v>
      </c>
      <c r="D4025" s="73" t="s">
        <v>4506</v>
      </c>
      <c r="E4025" s="72">
        <v>112.0</v>
      </c>
      <c r="F4025" s="77">
        <v>40169.0</v>
      </c>
      <c r="G4025" s="76"/>
      <c r="H4025" s="76"/>
      <c r="I4025" s="73" t="s">
        <v>366</v>
      </c>
      <c r="J4025" s="76"/>
    </row>
    <row r="4026">
      <c r="A4026" s="74">
        <v>4015.0</v>
      </c>
      <c r="B4026" s="98" t="s">
        <v>4395</v>
      </c>
      <c r="C4026" s="74">
        <v>9.00303375E8</v>
      </c>
      <c r="D4026" s="73" t="s">
        <v>4507</v>
      </c>
      <c r="E4026" s="72">
        <v>6.0</v>
      </c>
      <c r="F4026" s="75">
        <v>40191.0</v>
      </c>
      <c r="G4026" s="76"/>
      <c r="H4026" s="76"/>
      <c r="I4026" s="73" t="s">
        <v>366</v>
      </c>
      <c r="J4026" s="76"/>
    </row>
    <row r="4027">
      <c r="A4027" s="74">
        <v>4016.0</v>
      </c>
      <c r="B4027" s="98" t="s">
        <v>4395</v>
      </c>
      <c r="C4027" s="74">
        <v>8.00149351E8</v>
      </c>
      <c r="D4027" s="73" t="s">
        <v>4508</v>
      </c>
      <c r="E4027" s="72">
        <v>96.0</v>
      </c>
      <c r="F4027" s="77">
        <v>40499.0</v>
      </c>
      <c r="G4027" s="76"/>
      <c r="H4027" s="76"/>
      <c r="I4027" s="73" t="s">
        <v>366</v>
      </c>
      <c r="J4027" s="76"/>
    </row>
    <row r="4028">
      <c r="A4028" s="74">
        <v>4017.0</v>
      </c>
      <c r="B4028" s="98" t="s">
        <v>4395</v>
      </c>
      <c r="C4028" s="74">
        <v>8.91900312E8</v>
      </c>
      <c r="D4028" s="73" t="s">
        <v>4509</v>
      </c>
      <c r="E4028" s="72">
        <v>106.0</v>
      </c>
      <c r="F4028" s="77">
        <v>40512.0</v>
      </c>
      <c r="G4028" s="76"/>
      <c r="H4028" s="76"/>
      <c r="I4028" s="73" t="s">
        <v>366</v>
      </c>
      <c r="J4028" s="76"/>
    </row>
    <row r="4029">
      <c r="A4029" s="74">
        <v>4018.0</v>
      </c>
      <c r="B4029" s="98" t="s">
        <v>4395</v>
      </c>
      <c r="C4029" s="74">
        <v>9.00336871E8</v>
      </c>
      <c r="D4029" s="73" t="s">
        <v>4510</v>
      </c>
      <c r="E4029" s="72">
        <v>107.0</v>
      </c>
      <c r="F4029" s="77">
        <v>40512.0</v>
      </c>
      <c r="G4029" s="76"/>
      <c r="H4029" s="76"/>
      <c r="I4029" s="73" t="s">
        <v>366</v>
      </c>
      <c r="J4029" s="76"/>
    </row>
    <row r="4030">
      <c r="A4030" s="74">
        <v>4019.0</v>
      </c>
      <c r="B4030" s="98" t="s">
        <v>4395</v>
      </c>
      <c r="C4030" s="74">
        <v>9.0030721E8</v>
      </c>
      <c r="D4030" s="73" t="s">
        <v>4511</v>
      </c>
      <c r="E4030" s="72">
        <v>130.0</v>
      </c>
      <c r="F4030" s="77">
        <v>40536.0</v>
      </c>
      <c r="G4030" s="76"/>
      <c r="H4030" s="76"/>
      <c r="I4030" s="73" t="s">
        <v>366</v>
      </c>
      <c r="J4030" s="76"/>
    </row>
    <row r="4031">
      <c r="A4031" s="74">
        <v>4020.0</v>
      </c>
      <c r="B4031" s="98" t="s">
        <v>4395</v>
      </c>
      <c r="C4031" s="74">
        <v>9.00422419E8</v>
      </c>
      <c r="D4031" s="73" t="s">
        <v>4512</v>
      </c>
      <c r="E4031" s="72">
        <v>28.0</v>
      </c>
      <c r="F4031" s="75">
        <v>40660.0</v>
      </c>
      <c r="G4031" s="76"/>
      <c r="H4031" s="76"/>
      <c r="I4031" s="73" t="s">
        <v>366</v>
      </c>
      <c r="J4031" s="76"/>
    </row>
    <row r="4032">
      <c r="A4032" s="74">
        <v>4021.0</v>
      </c>
      <c r="B4032" s="98" t="s">
        <v>4395</v>
      </c>
      <c r="C4032" s="74">
        <v>9.00285007E8</v>
      </c>
      <c r="D4032" s="73" t="s">
        <v>4513</v>
      </c>
      <c r="E4032" s="72">
        <v>36.0</v>
      </c>
      <c r="F4032" s="75">
        <v>40681.0</v>
      </c>
      <c r="G4032" s="76"/>
      <c r="H4032" s="76"/>
      <c r="I4032" s="73" t="s">
        <v>366</v>
      </c>
      <c r="J4032" s="76"/>
    </row>
    <row r="4033">
      <c r="A4033" s="74">
        <v>4022.0</v>
      </c>
      <c r="B4033" s="98" t="s">
        <v>4395</v>
      </c>
      <c r="C4033" s="74">
        <v>9.00434785E8</v>
      </c>
      <c r="D4033" s="73" t="s">
        <v>4514</v>
      </c>
      <c r="E4033" s="72">
        <v>60.0</v>
      </c>
      <c r="F4033" s="75">
        <v>40703.0</v>
      </c>
      <c r="G4033" s="76"/>
      <c r="H4033" s="76"/>
      <c r="I4033" s="73" t="s">
        <v>366</v>
      </c>
      <c r="J4033" s="76"/>
    </row>
    <row r="4034">
      <c r="A4034" s="74">
        <v>4023.0</v>
      </c>
      <c r="B4034" s="98" t="s">
        <v>4395</v>
      </c>
      <c r="C4034" s="74">
        <v>9.0021786E8</v>
      </c>
      <c r="D4034" s="73" t="s">
        <v>4515</v>
      </c>
      <c r="E4034" s="72">
        <v>48.0</v>
      </c>
      <c r="F4034" s="75">
        <v>40722.0</v>
      </c>
      <c r="G4034" s="76"/>
      <c r="H4034" s="76"/>
      <c r="I4034" s="73" t="s">
        <v>366</v>
      </c>
      <c r="J4034" s="76"/>
    </row>
    <row r="4035">
      <c r="A4035" s="74">
        <v>4024.0</v>
      </c>
      <c r="B4035" s="98" t="s">
        <v>4395</v>
      </c>
      <c r="C4035" s="74">
        <v>9.00427522E8</v>
      </c>
      <c r="D4035" s="73" t="s">
        <v>4516</v>
      </c>
      <c r="E4035" s="72">
        <v>54.0</v>
      </c>
      <c r="F4035" s="75">
        <v>40724.0</v>
      </c>
      <c r="G4035" s="76"/>
      <c r="H4035" s="76"/>
      <c r="I4035" s="73" t="s">
        <v>366</v>
      </c>
      <c r="J4035" s="76"/>
    </row>
    <row r="4036">
      <c r="A4036" s="74">
        <v>4025.0</v>
      </c>
      <c r="B4036" s="98" t="s">
        <v>4395</v>
      </c>
      <c r="C4036" s="74">
        <v>8.05021222E8</v>
      </c>
      <c r="D4036" s="73" t="s">
        <v>4517</v>
      </c>
      <c r="E4036" s="72">
        <v>81.0</v>
      </c>
      <c r="F4036" s="77">
        <v>40826.0</v>
      </c>
      <c r="G4036" s="76"/>
      <c r="H4036" s="76"/>
      <c r="I4036" s="73" t="s">
        <v>366</v>
      </c>
      <c r="J4036" s="76"/>
    </row>
    <row r="4037">
      <c r="A4037" s="74">
        <v>4026.0</v>
      </c>
      <c r="B4037" s="98" t="s">
        <v>4395</v>
      </c>
      <c r="C4037" s="74">
        <v>9.0041927E8</v>
      </c>
      <c r="D4037" s="73" t="s">
        <v>4518</v>
      </c>
      <c r="E4037" s="72">
        <v>94.0</v>
      </c>
      <c r="F4037" s="77">
        <v>40870.0</v>
      </c>
      <c r="G4037" s="76"/>
      <c r="H4037" s="76"/>
      <c r="I4037" s="73" t="s">
        <v>366</v>
      </c>
      <c r="J4037" s="76"/>
    </row>
    <row r="4038">
      <c r="A4038" s="74">
        <v>4027.0</v>
      </c>
      <c r="B4038" s="98" t="s">
        <v>4395</v>
      </c>
      <c r="C4038" s="74">
        <v>8.05013338E8</v>
      </c>
      <c r="D4038" s="73" t="s">
        <v>4519</v>
      </c>
      <c r="E4038" s="72">
        <v>103.0</v>
      </c>
      <c r="F4038" s="77">
        <v>40896.0</v>
      </c>
      <c r="G4038" s="76"/>
      <c r="H4038" s="76"/>
      <c r="I4038" s="73" t="s">
        <v>366</v>
      </c>
      <c r="J4038" s="76"/>
    </row>
    <row r="4039">
      <c r="A4039" s="74">
        <v>4028.0</v>
      </c>
      <c r="B4039" s="98" t="s">
        <v>4395</v>
      </c>
      <c r="C4039" s="74">
        <v>9.00440999E8</v>
      </c>
      <c r="D4039" s="73" t="s">
        <v>4520</v>
      </c>
      <c r="E4039" s="72">
        <v>108.0</v>
      </c>
      <c r="F4039" s="77">
        <v>40906.0</v>
      </c>
      <c r="G4039" s="76"/>
      <c r="H4039" s="76"/>
      <c r="I4039" s="73" t="s">
        <v>366</v>
      </c>
      <c r="J4039" s="76"/>
    </row>
    <row r="4040">
      <c r="A4040" s="74">
        <v>4029.0</v>
      </c>
      <c r="B4040" s="98" t="s">
        <v>4395</v>
      </c>
      <c r="C4040" s="74">
        <v>9.00472027E8</v>
      </c>
      <c r="D4040" s="73" t="s">
        <v>4521</v>
      </c>
      <c r="E4040" s="72">
        <v>109.0</v>
      </c>
      <c r="F4040" s="77">
        <v>40906.0</v>
      </c>
      <c r="G4040" s="76"/>
      <c r="H4040" s="76"/>
      <c r="I4040" s="73" t="s">
        <v>366</v>
      </c>
      <c r="J4040" s="76"/>
    </row>
    <row r="4041">
      <c r="A4041" s="74">
        <v>4030.0</v>
      </c>
      <c r="B4041" s="98" t="s">
        <v>4395</v>
      </c>
      <c r="C4041" s="74">
        <v>9.00389459E8</v>
      </c>
      <c r="D4041" s="73" t="s">
        <v>4522</v>
      </c>
      <c r="E4041" s="72">
        <v>16.0</v>
      </c>
      <c r="F4041" s="75">
        <v>40955.0</v>
      </c>
      <c r="G4041" s="76"/>
      <c r="H4041" s="76"/>
      <c r="I4041" s="73" t="s">
        <v>366</v>
      </c>
      <c r="J4041" s="76"/>
    </row>
    <row r="4042">
      <c r="A4042" s="74">
        <v>4031.0</v>
      </c>
      <c r="B4042" s="98" t="s">
        <v>4395</v>
      </c>
      <c r="C4042" s="74">
        <v>9.00485174E8</v>
      </c>
      <c r="D4042" s="73" t="s">
        <v>4523</v>
      </c>
      <c r="E4042" s="72">
        <v>27.0</v>
      </c>
      <c r="F4042" s="75">
        <v>40974.0</v>
      </c>
      <c r="G4042" s="76"/>
      <c r="H4042" s="76"/>
      <c r="I4042" s="73" t="s">
        <v>366</v>
      </c>
      <c r="J4042" s="76"/>
    </row>
    <row r="4043">
      <c r="A4043" s="74">
        <v>4032.0</v>
      </c>
      <c r="B4043" s="98" t="s">
        <v>4395</v>
      </c>
      <c r="C4043" s="74">
        <v>9.00425656E8</v>
      </c>
      <c r="D4043" s="73" t="s">
        <v>4524</v>
      </c>
      <c r="E4043" s="72">
        <v>28.0</v>
      </c>
      <c r="F4043" s="75">
        <v>40980.0</v>
      </c>
      <c r="G4043" s="76"/>
      <c r="H4043" s="76"/>
      <c r="I4043" s="73" t="s">
        <v>366</v>
      </c>
      <c r="J4043" s="76"/>
    </row>
    <row r="4044">
      <c r="A4044" s="74">
        <v>4033.0</v>
      </c>
      <c r="B4044" s="98" t="s">
        <v>4395</v>
      </c>
      <c r="C4044" s="74">
        <v>9.00445612E8</v>
      </c>
      <c r="D4044" s="73" t="s">
        <v>4525</v>
      </c>
      <c r="E4044" s="72">
        <v>73.0</v>
      </c>
      <c r="F4044" s="75">
        <v>41054.0</v>
      </c>
      <c r="G4044" s="76"/>
      <c r="H4044" s="76"/>
      <c r="I4044" s="73" t="s">
        <v>366</v>
      </c>
      <c r="J4044" s="76"/>
    </row>
    <row r="4045">
      <c r="A4045" s="74">
        <v>4034.0</v>
      </c>
      <c r="B4045" s="98" t="s">
        <v>4395</v>
      </c>
      <c r="C4045" s="74">
        <v>9.00481866E8</v>
      </c>
      <c r="D4045" s="73" t="s">
        <v>4526</v>
      </c>
      <c r="E4045" s="72">
        <v>96.0</v>
      </c>
      <c r="F4045" s="75">
        <v>41122.0</v>
      </c>
      <c r="G4045" s="76"/>
      <c r="H4045" s="76"/>
      <c r="I4045" s="73" t="s">
        <v>366</v>
      </c>
      <c r="J4045" s="76"/>
    </row>
    <row r="4046">
      <c r="A4046" s="74">
        <v>4035.0</v>
      </c>
      <c r="B4046" s="98" t="s">
        <v>4395</v>
      </c>
      <c r="C4046" s="74">
        <v>9.00526906E8</v>
      </c>
      <c r="D4046" s="73" t="s">
        <v>4527</v>
      </c>
      <c r="E4046" s="72">
        <v>106.0</v>
      </c>
      <c r="F4046" s="75">
        <v>41164.0</v>
      </c>
      <c r="G4046" s="76"/>
      <c r="H4046" s="76"/>
      <c r="I4046" s="73" t="s">
        <v>366</v>
      </c>
      <c r="J4046" s="76"/>
    </row>
    <row r="4047">
      <c r="A4047" s="74">
        <v>4036.0</v>
      </c>
      <c r="B4047" s="98" t="s">
        <v>4395</v>
      </c>
      <c r="C4047" s="74">
        <v>8.46000733E8</v>
      </c>
      <c r="D4047" s="73" t="s">
        <v>4528</v>
      </c>
      <c r="E4047" s="72">
        <v>129.0</v>
      </c>
      <c r="F4047" s="77">
        <v>41183.0</v>
      </c>
      <c r="G4047" s="76"/>
      <c r="H4047" s="76"/>
      <c r="I4047" s="73" t="s">
        <v>366</v>
      </c>
      <c r="J4047" s="76"/>
    </row>
    <row r="4048">
      <c r="A4048" s="74">
        <v>4037.0</v>
      </c>
      <c r="B4048" s="98" t="s">
        <v>4395</v>
      </c>
      <c r="C4048" s="74">
        <v>9.003384E8</v>
      </c>
      <c r="D4048" s="73" t="s">
        <v>4529</v>
      </c>
      <c r="E4048" s="72">
        <v>120.0</v>
      </c>
      <c r="F4048" s="77">
        <v>41183.0</v>
      </c>
      <c r="G4048" s="76"/>
      <c r="H4048" s="76"/>
      <c r="I4048" s="73" t="s">
        <v>366</v>
      </c>
      <c r="J4048" s="76"/>
    </row>
    <row r="4049">
      <c r="A4049" s="74">
        <v>4038.0</v>
      </c>
      <c r="B4049" s="98" t="s">
        <v>4395</v>
      </c>
      <c r="C4049" s="74">
        <v>9.00505349E8</v>
      </c>
      <c r="D4049" s="73" t="s">
        <v>4530</v>
      </c>
      <c r="E4049" s="72">
        <v>133.0</v>
      </c>
      <c r="F4049" s="77">
        <v>41235.0</v>
      </c>
      <c r="G4049" s="76"/>
      <c r="H4049" s="76"/>
      <c r="I4049" s="73" t="s">
        <v>366</v>
      </c>
      <c r="J4049" s="76"/>
    </row>
    <row r="4050">
      <c r="A4050" s="74">
        <v>4039.0</v>
      </c>
      <c r="B4050" s="98" t="s">
        <v>4395</v>
      </c>
      <c r="C4050" s="74">
        <v>9.00497628E8</v>
      </c>
      <c r="D4050" s="73" t="s">
        <v>4531</v>
      </c>
      <c r="E4050" s="72">
        <v>136.0</v>
      </c>
      <c r="F4050" s="77">
        <v>41241.0</v>
      </c>
      <c r="G4050" s="76"/>
      <c r="H4050" s="76"/>
      <c r="I4050" s="73" t="s">
        <v>366</v>
      </c>
      <c r="J4050" s="76"/>
    </row>
    <row r="4051">
      <c r="A4051" s="74">
        <v>4040.0</v>
      </c>
      <c r="B4051" s="98" t="s">
        <v>4395</v>
      </c>
      <c r="C4051" s="74">
        <v>9.00559167E8</v>
      </c>
      <c r="D4051" s="73" t="s">
        <v>4532</v>
      </c>
      <c r="E4051" s="72">
        <v>144.0</v>
      </c>
      <c r="F4051" s="77">
        <v>41262.0</v>
      </c>
      <c r="G4051" s="76"/>
      <c r="H4051" s="76"/>
      <c r="I4051" s="73" t="s">
        <v>366</v>
      </c>
      <c r="J4051" s="76"/>
    </row>
    <row r="4052">
      <c r="A4052" s="74">
        <v>4041.0</v>
      </c>
      <c r="B4052" s="98" t="s">
        <v>4395</v>
      </c>
      <c r="C4052" s="74">
        <v>8.05031628E8</v>
      </c>
      <c r="D4052" s="73" t="s">
        <v>4533</v>
      </c>
      <c r="E4052" s="72">
        <v>149.0</v>
      </c>
      <c r="F4052" s="77">
        <v>41267.0</v>
      </c>
      <c r="G4052" s="76"/>
      <c r="H4052" s="76"/>
      <c r="I4052" s="73" t="s">
        <v>366</v>
      </c>
      <c r="J4052" s="76"/>
    </row>
    <row r="4053">
      <c r="A4053" s="74">
        <v>4042.0</v>
      </c>
      <c r="B4053" s="98" t="s">
        <v>4395</v>
      </c>
      <c r="C4053" s="74">
        <v>9.00573561E8</v>
      </c>
      <c r="D4053" s="73" t="s">
        <v>4534</v>
      </c>
      <c r="E4053" s="72">
        <v>1.0</v>
      </c>
      <c r="F4053" s="75">
        <v>41282.0</v>
      </c>
      <c r="G4053" s="76"/>
      <c r="H4053" s="76"/>
      <c r="I4053" s="73" t="s">
        <v>366</v>
      </c>
      <c r="J4053" s="76"/>
    </row>
    <row r="4054">
      <c r="A4054" s="74">
        <v>4043.0</v>
      </c>
      <c r="B4054" s="98" t="s">
        <v>4395</v>
      </c>
      <c r="C4054" s="74">
        <v>9.00555901E8</v>
      </c>
      <c r="D4054" s="73" t="s">
        <v>4535</v>
      </c>
      <c r="E4054" s="72">
        <v>12.0</v>
      </c>
      <c r="F4054" s="75">
        <v>41312.0</v>
      </c>
      <c r="G4054" s="76"/>
      <c r="H4054" s="76"/>
      <c r="I4054" s="73" t="s">
        <v>366</v>
      </c>
      <c r="J4054" s="76"/>
    </row>
    <row r="4055">
      <c r="A4055" s="74">
        <v>4044.0</v>
      </c>
      <c r="B4055" s="98" t="s">
        <v>4395</v>
      </c>
      <c r="C4055" s="74">
        <v>9.00513541E8</v>
      </c>
      <c r="D4055" s="73" t="s">
        <v>4536</v>
      </c>
      <c r="E4055" s="72">
        <v>16.0</v>
      </c>
      <c r="F4055" s="75">
        <v>41319.0</v>
      </c>
      <c r="G4055" s="76"/>
      <c r="H4055" s="76"/>
      <c r="I4055" s="73" t="s">
        <v>366</v>
      </c>
      <c r="J4055" s="76"/>
    </row>
    <row r="4056">
      <c r="A4056" s="74">
        <v>4045.0</v>
      </c>
      <c r="B4056" s="98" t="s">
        <v>4395</v>
      </c>
      <c r="C4056" s="74">
        <v>9.00516315E8</v>
      </c>
      <c r="D4056" s="73" t="s">
        <v>4537</v>
      </c>
      <c r="E4056" s="72">
        <v>17.0</v>
      </c>
      <c r="F4056" s="75">
        <v>41319.0</v>
      </c>
      <c r="G4056" s="76"/>
      <c r="H4056" s="76"/>
      <c r="I4056" s="73" t="s">
        <v>366</v>
      </c>
      <c r="J4056" s="76"/>
    </row>
    <row r="4057">
      <c r="A4057" s="74">
        <v>4046.0</v>
      </c>
      <c r="B4057" s="98" t="s">
        <v>4395</v>
      </c>
      <c r="C4057" s="74">
        <v>9.00581666E8</v>
      </c>
      <c r="D4057" s="73" t="s">
        <v>4538</v>
      </c>
      <c r="E4057" s="72">
        <v>15.0</v>
      </c>
      <c r="F4057" s="75">
        <v>41319.0</v>
      </c>
      <c r="G4057" s="76"/>
      <c r="H4057" s="76"/>
      <c r="I4057" s="73" t="s">
        <v>366</v>
      </c>
      <c r="J4057" s="76"/>
    </row>
    <row r="4058">
      <c r="A4058" s="74">
        <v>4047.0</v>
      </c>
      <c r="B4058" s="98" t="s">
        <v>4395</v>
      </c>
      <c r="C4058" s="74">
        <v>9.0059041E8</v>
      </c>
      <c r="D4058" s="73" t="s">
        <v>4539</v>
      </c>
      <c r="E4058" s="72">
        <v>45.0</v>
      </c>
      <c r="F4058" s="75">
        <v>41383.0</v>
      </c>
      <c r="G4058" s="76"/>
      <c r="H4058" s="76"/>
      <c r="I4058" s="73" t="s">
        <v>366</v>
      </c>
      <c r="J4058" s="76"/>
    </row>
    <row r="4059">
      <c r="A4059" s="74">
        <v>4048.0</v>
      </c>
      <c r="B4059" s="98" t="s">
        <v>4395</v>
      </c>
      <c r="C4059" s="74">
        <v>8.05028887E8</v>
      </c>
      <c r="D4059" s="73" t="s">
        <v>4540</v>
      </c>
      <c r="E4059" s="72">
        <v>46.0</v>
      </c>
      <c r="F4059" s="75">
        <v>41388.0</v>
      </c>
      <c r="G4059" s="76"/>
      <c r="H4059" s="76"/>
      <c r="I4059" s="73" t="s">
        <v>366</v>
      </c>
      <c r="J4059" s="76"/>
    </row>
    <row r="4060">
      <c r="A4060" s="74">
        <v>4049.0</v>
      </c>
      <c r="B4060" s="98" t="s">
        <v>4395</v>
      </c>
      <c r="C4060" s="74">
        <v>9.00461092E8</v>
      </c>
      <c r="D4060" s="73" t="s">
        <v>4541</v>
      </c>
      <c r="E4060" s="72">
        <v>53.0</v>
      </c>
      <c r="F4060" s="75">
        <v>41394.0</v>
      </c>
      <c r="G4060" s="76"/>
      <c r="H4060" s="76"/>
      <c r="I4060" s="73" t="s">
        <v>366</v>
      </c>
      <c r="J4060" s="76"/>
    </row>
    <row r="4061">
      <c r="A4061" s="74">
        <v>4050.0</v>
      </c>
      <c r="B4061" s="98" t="s">
        <v>4395</v>
      </c>
      <c r="C4061" s="74">
        <v>9.00582133E8</v>
      </c>
      <c r="D4061" s="73" t="s">
        <v>4542</v>
      </c>
      <c r="E4061" s="72">
        <v>74.0</v>
      </c>
      <c r="F4061" s="75">
        <v>41414.0</v>
      </c>
      <c r="G4061" s="76"/>
      <c r="H4061" s="76"/>
      <c r="I4061" s="73" t="s">
        <v>366</v>
      </c>
      <c r="J4061" s="76"/>
    </row>
    <row r="4062">
      <c r="A4062" s="74">
        <v>4051.0</v>
      </c>
      <c r="B4062" s="98" t="s">
        <v>4395</v>
      </c>
      <c r="C4062" s="74">
        <v>9.00143965E8</v>
      </c>
      <c r="D4062" s="73" t="s">
        <v>4543</v>
      </c>
      <c r="E4062" s="72">
        <v>76.0</v>
      </c>
      <c r="F4062" s="75">
        <v>41415.0</v>
      </c>
      <c r="G4062" s="76"/>
      <c r="H4062" s="76"/>
      <c r="I4062" s="73" t="s">
        <v>366</v>
      </c>
      <c r="J4062" s="76"/>
    </row>
    <row r="4063">
      <c r="A4063" s="74">
        <v>4052.0</v>
      </c>
      <c r="B4063" s="98" t="s">
        <v>4395</v>
      </c>
      <c r="C4063" s="74">
        <v>9.00612376E8</v>
      </c>
      <c r="D4063" s="73" t="s">
        <v>4544</v>
      </c>
      <c r="E4063" s="72">
        <v>94.0</v>
      </c>
      <c r="F4063" s="75">
        <v>41465.0</v>
      </c>
      <c r="G4063" s="76"/>
      <c r="H4063" s="76"/>
      <c r="I4063" s="73" t="s">
        <v>366</v>
      </c>
      <c r="J4063" s="76"/>
    </row>
    <row r="4064">
      <c r="A4064" s="85">
        <v>4053.0</v>
      </c>
      <c r="B4064" s="99" t="s">
        <v>4395</v>
      </c>
      <c r="C4064" s="80">
        <v>9.00587051E8</v>
      </c>
      <c r="D4064" s="79" t="s">
        <v>4545</v>
      </c>
      <c r="E4064" s="81">
        <v>104.0</v>
      </c>
      <c r="F4064" s="84">
        <v>41479.0</v>
      </c>
      <c r="G4064" s="83"/>
      <c r="H4064" s="83"/>
      <c r="I4064" s="73" t="s">
        <v>366</v>
      </c>
      <c r="J4064" s="76"/>
    </row>
    <row r="4065">
      <c r="A4065" s="74">
        <v>4054.0</v>
      </c>
      <c r="B4065" s="98" t="s">
        <v>4395</v>
      </c>
      <c r="C4065" s="74">
        <v>9.00627794E8</v>
      </c>
      <c r="D4065" s="73" t="s">
        <v>4546</v>
      </c>
      <c r="E4065" s="72">
        <v>111.0</v>
      </c>
      <c r="F4065" s="75">
        <v>41488.0</v>
      </c>
      <c r="G4065" s="76"/>
      <c r="H4065" s="76"/>
      <c r="I4065" s="73" t="s">
        <v>366</v>
      </c>
      <c r="J4065" s="76"/>
    </row>
    <row r="4066">
      <c r="A4066" s="74">
        <v>4055.0</v>
      </c>
      <c r="B4066" s="98" t="s">
        <v>4395</v>
      </c>
      <c r="C4066" s="74">
        <v>9.00499919E8</v>
      </c>
      <c r="D4066" s="73" t="s">
        <v>4547</v>
      </c>
      <c r="E4066" s="72">
        <v>113.0</v>
      </c>
      <c r="F4066" s="75">
        <v>41500.0</v>
      </c>
      <c r="G4066" s="76"/>
      <c r="H4066" s="76"/>
      <c r="I4066" s="73" t="s">
        <v>366</v>
      </c>
      <c r="J4066" s="76"/>
    </row>
    <row r="4067">
      <c r="A4067" s="74">
        <v>4056.0</v>
      </c>
      <c r="B4067" s="98" t="s">
        <v>4395</v>
      </c>
      <c r="C4067" s="74">
        <v>9.00334318E8</v>
      </c>
      <c r="D4067" s="73" t="s">
        <v>4548</v>
      </c>
      <c r="E4067" s="72">
        <v>130.0</v>
      </c>
      <c r="F4067" s="75">
        <v>41530.0</v>
      </c>
      <c r="G4067" s="76"/>
      <c r="H4067" s="76"/>
      <c r="I4067" s="73" t="s">
        <v>366</v>
      </c>
      <c r="J4067" s="76"/>
    </row>
    <row r="4068">
      <c r="A4068" s="74">
        <v>4057.0</v>
      </c>
      <c r="B4068" s="98" t="s">
        <v>4395</v>
      </c>
      <c r="C4068" s="74">
        <v>9.00644625E8</v>
      </c>
      <c r="D4068" s="73" t="s">
        <v>4549</v>
      </c>
      <c r="E4068" s="72">
        <v>135.0</v>
      </c>
      <c r="F4068" s="75">
        <v>41544.0</v>
      </c>
      <c r="G4068" s="76"/>
      <c r="H4068" s="76"/>
      <c r="I4068" s="73" t="s">
        <v>366</v>
      </c>
      <c r="J4068" s="76"/>
    </row>
    <row r="4069">
      <c r="A4069" s="74">
        <v>4058.0</v>
      </c>
      <c r="B4069" s="98" t="s">
        <v>4395</v>
      </c>
      <c r="C4069" s="74">
        <v>9.00533281E8</v>
      </c>
      <c r="D4069" s="73" t="s">
        <v>4550</v>
      </c>
      <c r="E4069" s="72">
        <v>149.0</v>
      </c>
      <c r="F4069" s="77">
        <v>41576.0</v>
      </c>
      <c r="G4069" s="76"/>
      <c r="H4069" s="76"/>
      <c r="I4069" s="73" t="s">
        <v>366</v>
      </c>
      <c r="J4069" s="76"/>
    </row>
    <row r="4070">
      <c r="A4070" s="74">
        <v>4059.0</v>
      </c>
      <c r="B4070" s="98" t="s">
        <v>4395</v>
      </c>
      <c r="C4070" s="74">
        <v>9.00625723E8</v>
      </c>
      <c r="D4070" s="73" t="s">
        <v>4551</v>
      </c>
      <c r="E4070" s="72">
        <v>150.0</v>
      </c>
      <c r="F4070" s="77">
        <v>41576.0</v>
      </c>
      <c r="G4070" s="76"/>
      <c r="H4070" s="76"/>
      <c r="I4070" s="73" t="s">
        <v>366</v>
      </c>
      <c r="J4070" s="76"/>
    </row>
    <row r="4071">
      <c r="A4071" s="74">
        <v>4060.0</v>
      </c>
      <c r="B4071" s="98" t="s">
        <v>4395</v>
      </c>
      <c r="C4071" s="74">
        <v>9.00662985E8</v>
      </c>
      <c r="D4071" s="73" t="s">
        <v>4552</v>
      </c>
      <c r="E4071" s="72">
        <v>77.0</v>
      </c>
      <c r="F4071" s="77">
        <v>41584.0</v>
      </c>
      <c r="G4071" s="76"/>
      <c r="H4071" s="76"/>
      <c r="I4071" s="73" t="s">
        <v>366</v>
      </c>
      <c r="J4071" s="76"/>
    </row>
    <row r="4072">
      <c r="A4072" s="74">
        <v>4061.0</v>
      </c>
      <c r="B4072" s="98" t="s">
        <v>4395</v>
      </c>
      <c r="C4072" s="74">
        <v>9.00614727E8</v>
      </c>
      <c r="D4072" s="73" t="s">
        <v>4553</v>
      </c>
      <c r="E4072" s="72">
        <v>158.0</v>
      </c>
      <c r="F4072" s="77">
        <v>41607.0</v>
      </c>
      <c r="G4072" s="76"/>
      <c r="H4072" s="76"/>
      <c r="I4072" s="73" t="s">
        <v>366</v>
      </c>
      <c r="J4072" s="76"/>
    </row>
    <row r="4073">
      <c r="A4073" s="74">
        <v>4062.0</v>
      </c>
      <c r="B4073" s="98" t="s">
        <v>4395</v>
      </c>
      <c r="C4073" s="74">
        <v>9.00555613E8</v>
      </c>
      <c r="D4073" s="73" t="s">
        <v>4554</v>
      </c>
      <c r="E4073" s="72">
        <v>1.0</v>
      </c>
      <c r="F4073" s="75">
        <v>41646.0</v>
      </c>
      <c r="G4073" s="76"/>
      <c r="H4073" s="76"/>
      <c r="I4073" s="73" t="s">
        <v>366</v>
      </c>
      <c r="J4073" s="76"/>
    </row>
    <row r="4074">
      <c r="A4074" s="74">
        <v>4063.0</v>
      </c>
      <c r="B4074" s="98" t="s">
        <v>4395</v>
      </c>
      <c r="C4074" s="74">
        <v>9.00292448E8</v>
      </c>
      <c r="D4074" s="73" t="s">
        <v>4555</v>
      </c>
      <c r="E4074" s="72">
        <v>2.0</v>
      </c>
      <c r="F4074" s="75">
        <v>41647.0</v>
      </c>
      <c r="G4074" s="76"/>
      <c r="H4074" s="76"/>
      <c r="I4074" s="73" t="s">
        <v>366</v>
      </c>
      <c r="J4074" s="76"/>
    </row>
    <row r="4075">
      <c r="A4075" s="74">
        <v>4064.0</v>
      </c>
      <c r="B4075" s="98" t="s">
        <v>4395</v>
      </c>
      <c r="C4075" s="74">
        <v>9.0055749E8</v>
      </c>
      <c r="D4075" s="73" t="s">
        <v>4556</v>
      </c>
      <c r="E4075" s="72">
        <v>3.0</v>
      </c>
      <c r="F4075" s="75">
        <v>41655.0</v>
      </c>
      <c r="G4075" s="76"/>
      <c r="H4075" s="76"/>
      <c r="I4075" s="73" t="s">
        <v>366</v>
      </c>
      <c r="J4075" s="76"/>
    </row>
    <row r="4076">
      <c r="A4076" s="74">
        <v>4065.0</v>
      </c>
      <c r="B4076" s="98" t="s">
        <v>4395</v>
      </c>
      <c r="C4076" s="74">
        <v>8.00160068E8</v>
      </c>
      <c r="D4076" s="73" t="s">
        <v>4557</v>
      </c>
      <c r="E4076" s="72">
        <v>34.0</v>
      </c>
      <c r="F4076" s="75">
        <v>41716.0</v>
      </c>
      <c r="G4076" s="76"/>
      <c r="H4076" s="76"/>
      <c r="I4076" s="73" t="s">
        <v>366</v>
      </c>
      <c r="J4076" s="76"/>
    </row>
    <row r="4077">
      <c r="A4077" s="74">
        <v>4066.0</v>
      </c>
      <c r="B4077" s="98" t="s">
        <v>4395</v>
      </c>
      <c r="C4077" s="74">
        <v>9.00036283E8</v>
      </c>
      <c r="D4077" s="73" t="s">
        <v>4558</v>
      </c>
      <c r="E4077" s="72">
        <v>33.0</v>
      </c>
      <c r="F4077" s="75">
        <v>41716.0</v>
      </c>
      <c r="G4077" s="76"/>
      <c r="H4077" s="76"/>
      <c r="I4077" s="73" t="s">
        <v>366</v>
      </c>
      <c r="J4077" s="76"/>
    </row>
    <row r="4078">
      <c r="A4078" s="74">
        <v>4067.0</v>
      </c>
      <c r="B4078" s="98" t="s">
        <v>4395</v>
      </c>
      <c r="C4078" s="74">
        <v>9.00426785E8</v>
      </c>
      <c r="D4078" s="73" t="s">
        <v>4559</v>
      </c>
      <c r="E4078" s="72">
        <v>37.0</v>
      </c>
      <c r="F4078" s="75">
        <v>41729.0</v>
      </c>
      <c r="G4078" s="76"/>
      <c r="H4078" s="76"/>
      <c r="I4078" s="73" t="s">
        <v>366</v>
      </c>
      <c r="J4078" s="76"/>
    </row>
    <row r="4079">
      <c r="A4079" s="74">
        <v>4068.0</v>
      </c>
      <c r="B4079" s="98" t="s">
        <v>4395</v>
      </c>
      <c r="C4079" s="74">
        <v>9.00706445E8</v>
      </c>
      <c r="D4079" s="73" t="s">
        <v>4560</v>
      </c>
      <c r="E4079" s="72">
        <v>45.0</v>
      </c>
      <c r="F4079" s="75">
        <v>41743.0</v>
      </c>
      <c r="G4079" s="76"/>
      <c r="H4079" s="76"/>
      <c r="I4079" s="73" t="s">
        <v>366</v>
      </c>
      <c r="J4079" s="76"/>
    </row>
    <row r="4080">
      <c r="A4080" s="74">
        <v>4069.0</v>
      </c>
      <c r="B4080" s="98" t="s">
        <v>4395</v>
      </c>
      <c r="C4080" s="74">
        <v>9.00681496E8</v>
      </c>
      <c r="D4080" s="73" t="s">
        <v>4561</v>
      </c>
      <c r="E4080" s="72">
        <v>46.0</v>
      </c>
      <c r="F4080" s="75">
        <v>41752.0</v>
      </c>
      <c r="G4080" s="76"/>
      <c r="H4080" s="76"/>
      <c r="I4080" s="73" t="s">
        <v>366</v>
      </c>
      <c r="J4080" s="76"/>
    </row>
    <row r="4081">
      <c r="A4081" s="74">
        <v>4070.0</v>
      </c>
      <c r="B4081" s="98" t="s">
        <v>4395</v>
      </c>
      <c r="C4081" s="74">
        <v>9.00725018E8</v>
      </c>
      <c r="D4081" s="73" t="s">
        <v>4562</v>
      </c>
      <c r="E4081" s="72">
        <v>53.0</v>
      </c>
      <c r="F4081" s="75">
        <v>41782.0</v>
      </c>
      <c r="G4081" s="76"/>
      <c r="H4081" s="76"/>
      <c r="I4081" s="73" t="s">
        <v>366</v>
      </c>
      <c r="J4081" s="76"/>
    </row>
    <row r="4082">
      <c r="A4082" s="74">
        <v>4071.0</v>
      </c>
      <c r="B4082" s="98" t="s">
        <v>4395</v>
      </c>
      <c r="C4082" s="74">
        <v>9.00570859E8</v>
      </c>
      <c r="D4082" s="73" t="s">
        <v>4563</v>
      </c>
      <c r="E4082" s="72">
        <v>105.0</v>
      </c>
      <c r="F4082" s="75">
        <v>41871.0</v>
      </c>
      <c r="G4082" s="76"/>
      <c r="H4082" s="76"/>
      <c r="I4082" s="73" t="s">
        <v>366</v>
      </c>
      <c r="J4082" s="76"/>
    </row>
    <row r="4083">
      <c r="A4083" s="74">
        <v>4072.0</v>
      </c>
      <c r="B4083" s="98" t="s">
        <v>4395</v>
      </c>
      <c r="C4083" s="74">
        <v>8.05009908E8</v>
      </c>
      <c r="D4083" s="73" t="s">
        <v>4564</v>
      </c>
      <c r="E4083" s="72">
        <v>111.0</v>
      </c>
      <c r="F4083" s="75">
        <v>41906.0</v>
      </c>
      <c r="G4083" s="76"/>
      <c r="H4083" s="76"/>
      <c r="I4083" s="73" t="s">
        <v>366</v>
      </c>
      <c r="J4083" s="76"/>
    </row>
    <row r="4084">
      <c r="A4084" s="74">
        <v>4073.0</v>
      </c>
      <c r="B4084" s="98" t="s">
        <v>4395</v>
      </c>
      <c r="C4084" s="74">
        <v>9.0076364E8</v>
      </c>
      <c r="D4084" s="73" t="s">
        <v>4565</v>
      </c>
      <c r="E4084" s="72">
        <v>116.0</v>
      </c>
      <c r="F4084" s="77">
        <v>41918.0</v>
      </c>
      <c r="G4084" s="76"/>
      <c r="H4084" s="76"/>
      <c r="I4084" s="73" t="s">
        <v>366</v>
      </c>
      <c r="J4084" s="76"/>
    </row>
    <row r="4085">
      <c r="A4085" s="74">
        <v>4074.0</v>
      </c>
      <c r="B4085" s="98" t="s">
        <v>4395</v>
      </c>
      <c r="C4085" s="74">
        <v>9.00165464E8</v>
      </c>
      <c r="D4085" s="73" t="s">
        <v>4566</v>
      </c>
      <c r="E4085" s="72">
        <v>118.0</v>
      </c>
      <c r="F4085" s="77">
        <v>41927.0</v>
      </c>
      <c r="G4085" s="76"/>
      <c r="H4085" s="76"/>
      <c r="I4085" s="73" t="s">
        <v>366</v>
      </c>
      <c r="J4085" s="76"/>
    </row>
    <row r="4086">
      <c r="A4086" s="74">
        <v>4075.0</v>
      </c>
      <c r="B4086" s="98" t="s">
        <v>4395</v>
      </c>
      <c r="C4086" s="74">
        <v>9.00769928E8</v>
      </c>
      <c r="D4086" s="73" t="s">
        <v>4567</v>
      </c>
      <c r="E4086" s="72">
        <v>117.0</v>
      </c>
      <c r="F4086" s="77">
        <v>41927.0</v>
      </c>
      <c r="G4086" s="76"/>
      <c r="H4086" s="76"/>
      <c r="I4086" s="73" t="s">
        <v>366</v>
      </c>
      <c r="J4086" s="76"/>
    </row>
    <row r="4087">
      <c r="A4087" s="74">
        <v>4076.0</v>
      </c>
      <c r="B4087" s="98" t="s">
        <v>4395</v>
      </c>
      <c r="C4087" s="74">
        <v>9.01112804E8</v>
      </c>
      <c r="D4087" s="73" t="s">
        <v>4568</v>
      </c>
      <c r="E4087" s="72">
        <v>168.0</v>
      </c>
      <c r="F4087" s="77">
        <v>41939.0</v>
      </c>
      <c r="G4087" s="76"/>
      <c r="H4087" s="76"/>
      <c r="I4087" s="73" t="s">
        <v>366</v>
      </c>
      <c r="J4087" s="76"/>
    </row>
    <row r="4088">
      <c r="A4088" s="74">
        <v>4077.0</v>
      </c>
      <c r="B4088" s="98" t="s">
        <v>4395</v>
      </c>
      <c r="C4088" s="74">
        <v>9.0061676E8</v>
      </c>
      <c r="D4088" s="73" t="s">
        <v>4569</v>
      </c>
      <c r="E4088" s="72">
        <v>143.0</v>
      </c>
      <c r="F4088" s="77">
        <v>41963.0</v>
      </c>
      <c r="G4088" s="76"/>
      <c r="H4088" s="76"/>
      <c r="I4088" s="73" t="s">
        <v>366</v>
      </c>
      <c r="J4088" s="76"/>
    </row>
    <row r="4089">
      <c r="A4089" s="74">
        <v>4078.0</v>
      </c>
      <c r="B4089" s="98" t="s">
        <v>4395</v>
      </c>
      <c r="C4089" s="74">
        <v>9.00720727E8</v>
      </c>
      <c r="D4089" s="73" t="s">
        <v>4570</v>
      </c>
      <c r="E4089" s="72">
        <v>99.0</v>
      </c>
      <c r="F4089" s="77">
        <v>41990.0</v>
      </c>
      <c r="G4089" s="76"/>
      <c r="H4089" s="76"/>
      <c r="I4089" s="73" t="s">
        <v>366</v>
      </c>
      <c r="J4089" s="76"/>
    </row>
    <row r="4090">
      <c r="A4090" s="74">
        <v>4079.0</v>
      </c>
      <c r="B4090" s="98" t="s">
        <v>4395</v>
      </c>
      <c r="C4090" s="74">
        <v>9.00771624E8</v>
      </c>
      <c r="D4090" s="73" t="s">
        <v>4571</v>
      </c>
      <c r="E4090" s="72">
        <v>160.0</v>
      </c>
      <c r="F4090" s="77">
        <v>41996.0</v>
      </c>
      <c r="G4090" s="76"/>
      <c r="H4090" s="76"/>
      <c r="I4090" s="73" t="s">
        <v>366</v>
      </c>
      <c r="J4090" s="76"/>
    </row>
    <row r="4091">
      <c r="A4091" s="74">
        <v>4080.0</v>
      </c>
      <c r="B4091" s="98" t="s">
        <v>4395</v>
      </c>
      <c r="C4091" s="74">
        <v>9.00785338E8</v>
      </c>
      <c r="D4091" s="73" t="s">
        <v>4572</v>
      </c>
      <c r="E4091" s="72">
        <v>162.0</v>
      </c>
      <c r="F4091" s="77">
        <v>41996.0</v>
      </c>
      <c r="G4091" s="76"/>
      <c r="H4091" s="76"/>
      <c r="I4091" s="73" t="s">
        <v>366</v>
      </c>
      <c r="J4091" s="76"/>
    </row>
    <row r="4092">
      <c r="A4092" s="74">
        <v>4081.0</v>
      </c>
      <c r="B4092" s="98" t="s">
        <v>4395</v>
      </c>
      <c r="C4092" s="74">
        <v>8.00114686E8</v>
      </c>
      <c r="D4092" s="73" t="s">
        <v>4573</v>
      </c>
      <c r="E4092" s="72">
        <v>55.0</v>
      </c>
      <c r="F4092" s="75">
        <v>42212.0</v>
      </c>
      <c r="G4092" s="76"/>
      <c r="H4092" s="76"/>
      <c r="I4092" s="73" t="s">
        <v>366</v>
      </c>
      <c r="J4092" s="76"/>
    </row>
    <row r="4093">
      <c r="A4093" s="74">
        <v>4082.0</v>
      </c>
      <c r="B4093" s="98" t="s">
        <v>4395</v>
      </c>
      <c r="C4093" s="74">
        <v>9.00735188E8</v>
      </c>
      <c r="D4093" s="73" t="s">
        <v>4574</v>
      </c>
      <c r="E4093" s="72">
        <v>62.0</v>
      </c>
      <c r="F4093" s="75">
        <v>42226.0</v>
      </c>
      <c r="G4093" s="76"/>
      <c r="H4093" s="76"/>
      <c r="I4093" s="73" t="s">
        <v>366</v>
      </c>
      <c r="J4093" s="76"/>
    </row>
    <row r="4094">
      <c r="A4094" s="74">
        <v>4083.0</v>
      </c>
      <c r="B4094" s="98" t="s">
        <v>4395</v>
      </c>
      <c r="C4094" s="74">
        <v>8.00055154E8</v>
      </c>
      <c r="D4094" s="73" t="s">
        <v>4575</v>
      </c>
      <c r="E4094" s="72">
        <v>64.0</v>
      </c>
      <c r="F4094" s="75">
        <v>42229.0</v>
      </c>
      <c r="G4094" s="76"/>
      <c r="H4094" s="76"/>
      <c r="I4094" s="73" t="s">
        <v>366</v>
      </c>
      <c r="J4094" s="76"/>
    </row>
    <row r="4095">
      <c r="A4095" s="74">
        <v>4084.0</v>
      </c>
      <c r="B4095" s="98" t="s">
        <v>4395</v>
      </c>
      <c r="C4095" s="74">
        <v>9.00878537E8</v>
      </c>
      <c r="D4095" s="73" t="s">
        <v>4576</v>
      </c>
      <c r="E4095" s="72">
        <v>70.0</v>
      </c>
      <c r="F4095" s="75">
        <v>42263.0</v>
      </c>
      <c r="G4095" s="76"/>
      <c r="H4095" s="76"/>
      <c r="I4095" s="73" t="s">
        <v>366</v>
      </c>
      <c r="J4095" s="76"/>
    </row>
    <row r="4096">
      <c r="A4096" s="74">
        <v>4085.0</v>
      </c>
      <c r="B4096" s="98" t="s">
        <v>4395</v>
      </c>
      <c r="C4096" s="74">
        <v>9.00042151E8</v>
      </c>
      <c r="D4096" s="73" t="s">
        <v>4577</v>
      </c>
      <c r="E4096" s="72">
        <v>1660.0</v>
      </c>
      <c r="F4096" s="77">
        <v>42324.0</v>
      </c>
      <c r="G4096" s="76"/>
      <c r="H4096" s="76"/>
      <c r="I4096" s="73" t="s">
        <v>366</v>
      </c>
      <c r="J4096" s="76"/>
    </row>
    <row r="4097">
      <c r="A4097" s="74">
        <v>4086.0</v>
      </c>
      <c r="B4097" s="98" t="s">
        <v>4395</v>
      </c>
      <c r="C4097" s="74">
        <v>9.00850467E8</v>
      </c>
      <c r="D4097" s="73" t="s">
        <v>4578</v>
      </c>
      <c r="E4097" s="72">
        <v>96.0</v>
      </c>
      <c r="F4097" s="77">
        <v>42325.0</v>
      </c>
      <c r="G4097" s="76"/>
      <c r="H4097" s="76"/>
      <c r="I4097" s="73" t="s">
        <v>366</v>
      </c>
      <c r="J4097" s="76"/>
    </row>
    <row r="4098">
      <c r="A4098" s="74">
        <v>4087.0</v>
      </c>
      <c r="B4098" s="98" t="s">
        <v>4395</v>
      </c>
      <c r="C4098" s="74">
        <v>9.00872559E8</v>
      </c>
      <c r="D4098" s="73" t="s">
        <v>4579</v>
      </c>
      <c r="E4098" s="72">
        <v>4.0</v>
      </c>
      <c r="F4098" s="75">
        <v>42374.0</v>
      </c>
      <c r="G4098" s="76"/>
      <c r="H4098" s="76"/>
      <c r="I4098" s="73" t="s">
        <v>366</v>
      </c>
      <c r="J4098" s="76"/>
    </row>
    <row r="4099">
      <c r="A4099" s="74">
        <v>4088.0</v>
      </c>
      <c r="B4099" s="98" t="s">
        <v>4395</v>
      </c>
      <c r="C4099" s="74">
        <v>8.05023122E8</v>
      </c>
      <c r="D4099" s="73" t="s">
        <v>4580</v>
      </c>
      <c r="E4099" s="72">
        <v>8.0</v>
      </c>
      <c r="F4099" s="75">
        <v>42390.0</v>
      </c>
      <c r="G4099" s="76"/>
      <c r="H4099" s="76"/>
      <c r="I4099" s="73" t="s">
        <v>366</v>
      </c>
      <c r="J4099" s="76"/>
    </row>
    <row r="4100">
      <c r="A4100" s="74">
        <v>4089.0</v>
      </c>
      <c r="B4100" s="98" t="s">
        <v>4395</v>
      </c>
      <c r="C4100" s="74">
        <v>9.00904932E8</v>
      </c>
      <c r="D4100" s="73" t="s">
        <v>4581</v>
      </c>
      <c r="E4100" s="72">
        <v>20.0</v>
      </c>
      <c r="F4100" s="75">
        <v>42423.0</v>
      </c>
      <c r="G4100" s="76"/>
      <c r="H4100" s="76"/>
      <c r="I4100" s="73" t="s">
        <v>366</v>
      </c>
      <c r="J4100" s="76"/>
    </row>
    <row r="4101">
      <c r="A4101" s="74">
        <v>4090.0</v>
      </c>
      <c r="B4101" s="98" t="s">
        <v>4395</v>
      </c>
      <c r="C4101" s="74">
        <v>8.00157847E8</v>
      </c>
      <c r="D4101" s="73" t="s">
        <v>4582</v>
      </c>
      <c r="E4101" s="72">
        <v>101.0</v>
      </c>
      <c r="F4101" s="75">
        <v>42527.0</v>
      </c>
      <c r="G4101" s="76"/>
      <c r="H4101" s="76"/>
      <c r="I4101" s="73" t="s">
        <v>366</v>
      </c>
      <c r="J4101" s="76"/>
    </row>
    <row r="4102">
      <c r="A4102" s="74">
        <v>4091.0</v>
      </c>
      <c r="B4102" s="98" t="s">
        <v>4395</v>
      </c>
      <c r="C4102" s="74">
        <v>9.00945702E8</v>
      </c>
      <c r="D4102" s="73" t="s">
        <v>4583</v>
      </c>
      <c r="E4102" s="72">
        <v>89.0</v>
      </c>
      <c r="F4102" s="75">
        <v>42539.0</v>
      </c>
      <c r="G4102" s="76"/>
      <c r="H4102" s="76"/>
      <c r="I4102" s="73" t="s">
        <v>366</v>
      </c>
      <c r="J4102" s="76"/>
    </row>
    <row r="4103">
      <c r="A4103" s="74">
        <v>4092.0</v>
      </c>
      <c r="B4103" s="98" t="s">
        <v>4395</v>
      </c>
      <c r="C4103" s="74">
        <v>9.00824552E8</v>
      </c>
      <c r="D4103" s="73" t="s">
        <v>4584</v>
      </c>
      <c r="E4103" s="72">
        <v>90.0</v>
      </c>
      <c r="F4103" s="75">
        <v>42541.0</v>
      </c>
      <c r="G4103" s="76"/>
      <c r="H4103" s="76"/>
      <c r="I4103" s="73" t="s">
        <v>366</v>
      </c>
      <c r="J4103" s="76"/>
    </row>
    <row r="4104">
      <c r="A4104" s="74">
        <v>4093.0</v>
      </c>
      <c r="B4104" s="98" t="s">
        <v>4395</v>
      </c>
      <c r="C4104" s="74">
        <v>9.00971203E8</v>
      </c>
      <c r="D4104" s="73" t="s">
        <v>4585</v>
      </c>
      <c r="E4104" s="72">
        <v>91.0</v>
      </c>
      <c r="F4104" s="75">
        <v>42541.0</v>
      </c>
      <c r="G4104" s="76"/>
      <c r="H4104" s="76"/>
      <c r="I4104" s="73" t="s">
        <v>366</v>
      </c>
      <c r="J4104" s="76"/>
    </row>
    <row r="4105">
      <c r="A4105" s="74">
        <v>4094.0</v>
      </c>
      <c r="B4105" s="98" t="s">
        <v>4395</v>
      </c>
      <c r="C4105" s="74">
        <v>9.00145983E8</v>
      </c>
      <c r="D4105" s="73" t="s">
        <v>4586</v>
      </c>
      <c r="E4105" s="72">
        <v>130.0</v>
      </c>
      <c r="F4105" s="75">
        <v>42598.0</v>
      </c>
      <c r="G4105" s="76"/>
      <c r="H4105" s="76"/>
      <c r="I4105" s="73" t="s">
        <v>366</v>
      </c>
      <c r="J4105" s="76"/>
    </row>
    <row r="4106">
      <c r="A4106" s="74">
        <v>4095.0</v>
      </c>
      <c r="B4106" s="98" t="s">
        <v>4395</v>
      </c>
      <c r="C4106" s="74">
        <v>9.0088807E8</v>
      </c>
      <c r="D4106" s="73" t="s">
        <v>4587</v>
      </c>
      <c r="E4106" s="72">
        <v>171.0</v>
      </c>
      <c r="F4106" s="75">
        <v>42620.0</v>
      </c>
      <c r="G4106" s="76"/>
      <c r="H4106" s="76"/>
      <c r="I4106" s="73" t="s">
        <v>366</v>
      </c>
      <c r="J4106" s="76"/>
    </row>
    <row r="4107">
      <c r="A4107" s="74">
        <v>4096.0</v>
      </c>
      <c r="B4107" s="98" t="s">
        <v>4395</v>
      </c>
      <c r="C4107" s="74">
        <v>9.00971206E8</v>
      </c>
      <c r="D4107" s="73" t="s">
        <v>4588</v>
      </c>
      <c r="E4107" s="72">
        <v>172.0</v>
      </c>
      <c r="F4107" s="75">
        <v>42643.0</v>
      </c>
      <c r="G4107" s="76"/>
      <c r="H4107" s="76"/>
      <c r="I4107" s="73" t="s">
        <v>366</v>
      </c>
      <c r="J4107" s="76"/>
    </row>
    <row r="4108">
      <c r="A4108" s="74">
        <v>4097.0</v>
      </c>
      <c r="B4108" s="98" t="s">
        <v>4395</v>
      </c>
      <c r="C4108" s="74">
        <v>9.01009083E8</v>
      </c>
      <c r="D4108" s="73" t="s">
        <v>4589</v>
      </c>
      <c r="E4108" s="72">
        <v>184.0</v>
      </c>
      <c r="F4108" s="77">
        <v>42668.0</v>
      </c>
      <c r="G4108" s="76"/>
      <c r="H4108" s="76"/>
      <c r="I4108" s="73" t="s">
        <v>366</v>
      </c>
      <c r="J4108" s="76"/>
    </row>
    <row r="4109">
      <c r="A4109" s="74">
        <v>4098.0</v>
      </c>
      <c r="B4109" s="98" t="s">
        <v>4395</v>
      </c>
      <c r="C4109" s="74">
        <v>9.01013835E8</v>
      </c>
      <c r="D4109" s="73" t="s">
        <v>4590</v>
      </c>
      <c r="E4109" s="72">
        <v>187.0</v>
      </c>
      <c r="F4109" s="77">
        <v>42677.0</v>
      </c>
      <c r="G4109" s="76"/>
      <c r="H4109" s="76"/>
      <c r="I4109" s="73" t="s">
        <v>366</v>
      </c>
      <c r="J4109" s="76"/>
    </row>
    <row r="4110">
      <c r="A4110" s="74">
        <v>4099.0</v>
      </c>
      <c r="B4110" s="98" t="s">
        <v>4395</v>
      </c>
      <c r="C4110" s="74">
        <v>9.00508104E8</v>
      </c>
      <c r="D4110" s="73" t="s">
        <v>4591</v>
      </c>
      <c r="E4110" s="72">
        <v>219.0</v>
      </c>
      <c r="F4110" s="77">
        <v>42730.0</v>
      </c>
      <c r="G4110" s="76"/>
      <c r="H4110" s="76"/>
      <c r="I4110" s="73" t="s">
        <v>366</v>
      </c>
      <c r="J4110" s="76"/>
    </row>
    <row r="4111">
      <c r="A4111" s="74">
        <v>4100.0</v>
      </c>
      <c r="B4111" s="98" t="s">
        <v>4395</v>
      </c>
      <c r="C4111" s="74">
        <v>9.01022601E8</v>
      </c>
      <c r="D4111" s="73" t="s">
        <v>4592</v>
      </c>
      <c r="E4111" s="72">
        <v>218.0</v>
      </c>
      <c r="F4111" s="77">
        <v>42730.0</v>
      </c>
      <c r="G4111" s="76"/>
      <c r="H4111" s="76"/>
      <c r="I4111" s="73" t="s">
        <v>366</v>
      </c>
      <c r="J4111" s="76"/>
    </row>
    <row r="4112">
      <c r="A4112" s="74">
        <v>4101.0</v>
      </c>
      <c r="B4112" s="98" t="s">
        <v>4395</v>
      </c>
      <c r="C4112" s="74">
        <v>9.00977368E8</v>
      </c>
      <c r="D4112" s="73" t="s">
        <v>4593</v>
      </c>
      <c r="E4112" s="72">
        <v>10.0</v>
      </c>
      <c r="F4112" s="75">
        <v>42751.0</v>
      </c>
      <c r="G4112" s="76"/>
      <c r="H4112" s="76"/>
      <c r="I4112" s="73" t="s">
        <v>366</v>
      </c>
      <c r="J4112" s="76"/>
    </row>
    <row r="4113">
      <c r="A4113" s="74">
        <v>4102.0</v>
      </c>
      <c r="B4113" s="98" t="s">
        <v>4395</v>
      </c>
      <c r="C4113" s="74">
        <v>9.01047848E8</v>
      </c>
      <c r="D4113" s="73" t="s">
        <v>4594</v>
      </c>
      <c r="E4113" s="72">
        <v>25.0</v>
      </c>
      <c r="F4113" s="75">
        <v>42781.0</v>
      </c>
      <c r="G4113" s="76"/>
      <c r="H4113" s="76"/>
      <c r="I4113" s="73" t="s">
        <v>366</v>
      </c>
      <c r="J4113" s="76"/>
    </row>
    <row r="4114">
      <c r="A4114" s="74">
        <v>4103.0</v>
      </c>
      <c r="B4114" s="98" t="s">
        <v>4395</v>
      </c>
      <c r="C4114" s="74">
        <v>9.01026012E8</v>
      </c>
      <c r="D4114" s="73" t="s">
        <v>4595</v>
      </c>
      <c r="E4114" s="72">
        <v>84.0</v>
      </c>
      <c r="F4114" s="75">
        <v>42853.0</v>
      </c>
      <c r="G4114" s="76"/>
      <c r="H4114" s="76"/>
      <c r="I4114" s="73" t="s">
        <v>366</v>
      </c>
      <c r="J4114" s="76"/>
    </row>
    <row r="4115">
      <c r="A4115" s="74">
        <v>4104.0</v>
      </c>
      <c r="B4115" s="98" t="s">
        <v>4395</v>
      </c>
      <c r="C4115" s="74">
        <v>9.00741425E8</v>
      </c>
      <c r="D4115" s="73" t="s">
        <v>4596</v>
      </c>
      <c r="E4115" s="72">
        <v>91.0</v>
      </c>
      <c r="F4115" s="75">
        <v>42864.0</v>
      </c>
      <c r="G4115" s="76"/>
      <c r="H4115" s="76"/>
      <c r="I4115" s="73" t="s">
        <v>366</v>
      </c>
      <c r="J4115" s="76"/>
    </row>
    <row r="4116">
      <c r="A4116" s="74">
        <v>4105.0</v>
      </c>
      <c r="B4116" s="98" t="s">
        <v>4395</v>
      </c>
      <c r="C4116" s="74">
        <v>9.00845839E8</v>
      </c>
      <c r="D4116" s="73" t="s">
        <v>4597</v>
      </c>
      <c r="E4116" s="72">
        <v>115.0</v>
      </c>
      <c r="F4116" s="75">
        <v>42926.0</v>
      </c>
      <c r="G4116" s="76"/>
      <c r="H4116" s="76"/>
      <c r="I4116" s="73" t="s">
        <v>366</v>
      </c>
      <c r="J4116" s="76"/>
    </row>
    <row r="4117">
      <c r="A4117" s="85">
        <v>4106.0</v>
      </c>
      <c r="B4117" s="99" t="s">
        <v>4395</v>
      </c>
      <c r="C4117" s="80">
        <v>8.35000837E8</v>
      </c>
      <c r="D4117" s="79" t="s">
        <v>4598</v>
      </c>
      <c r="E4117" s="81">
        <v>131.0</v>
      </c>
      <c r="F4117" s="84">
        <v>42947.0</v>
      </c>
      <c r="G4117" s="83"/>
      <c r="H4117" s="83"/>
      <c r="I4117" s="73" t="s">
        <v>366</v>
      </c>
      <c r="J4117" s="76"/>
    </row>
    <row r="4118">
      <c r="A4118" s="74">
        <v>4107.0</v>
      </c>
      <c r="B4118" s="98" t="s">
        <v>4395</v>
      </c>
      <c r="C4118" s="74">
        <v>9.01061225E8</v>
      </c>
      <c r="D4118" s="73" t="s">
        <v>4599</v>
      </c>
      <c r="E4118" s="72">
        <v>492.0</v>
      </c>
      <c r="F4118" s="75">
        <v>42979.0</v>
      </c>
      <c r="G4118" s="76"/>
      <c r="H4118" s="76"/>
      <c r="I4118" s="73" t="s">
        <v>366</v>
      </c>
      <c r="J4118" s="76"/>
    </row>
    <row r="4119">
      <c r="A4119" s="74">
        <v>4108.0</v>
      </c>
      <c r="B4119" s="98" t="s">
        <v>4395</v>
      </c>
      <c r="C4119" s="74">
        <v>9.0104993E8</v>
      </c>
      <c r="D4119" s="73" t="s">
        <v>4600</v>
      </c>
      <c r="E4119" s="72">
        <v>164.0</v>
      </c>
      <c r="F4119" s="75">
        <v>42997.0</v>
      </c>
      <c r="G4119" s="76"/>
      <c r="H4119" s="76"/>
      <c r="I4119" s="73" t="s">
        <v>366</v>
      </c>
      <c r="J4119" s="76"/>
    </row>
    <row r="4120">
      <c r="A4120" s="74">
        <v>4109.0</v>
      </c>
      <c r="B4120" s="98" t="s">
        <v>4395</v>
      </c>
      <c r="C4120" s="74">
        <v>9.01104495E8</v>
      </c>
      <c r="D4120" s="73" t="s">
        <v>4601</v>
      </c>
      <c r="E4120" s="72">
        <v>102.0</v>
      </c>
      <c r="F4120" s="77">
        <v>43014.0</v>
      </c>
      <c r="G4120" s="72">
        <v>2.0253040005495E13</v>
      </c>
      <c r="H4120" s="75">
        <v>45709.0</v>
      </c>
      <c r="I4120" s="73" t="s">
        <v>366</v>
      </c>
      <c r="J4120" s="73" t="s">
        <v>4602</v>
      </c>
    </row>
    <row r="4121">
      <c r="A4121" s="74">
        <v>4110.0</v>
      </c>
      <c r="B4121" s="98" t="s">
        <v>4395</v>
      </c>
      <c r="C4121" s="74">
        <v>9.0103588E8</v>
      </c>
      <c r="D4121" s="73" t="s">
        <v>4603</v>
      </c>
      <c r="E4121" s="72">
        <v>12.0</v>
      </c>
      <c r="F4121" s="75">
        <v>43102.0</v>
      </c>
      <c r="G4121" s="76"/>
      <c r="H4121" s="76"/>
      <c r="I4121" s="73" t="s">
        <v>366</v>
      </c>
      <c r="J4121" s="76"/>
    </row>
    <row r="4122">
      <c r="A4122" s="74">
        <v>4111.0</v>
      </c>
      <c r="B4122" s="98" t="s">
        <v>4395</v>
      </c>
      <c r="C4122" s="74">
        <v>9.01126504E8</v>
      </c>
      <c r="D4122" s="73" t="s">
        <v>4604</v>
      </c>
      <c r="E4122" s="72">
        <v>1.0</v>
      </c>
      <c r="F4122" s="75">
        <v>43105.0</v>
      </c>
      <c r="G4122" s="76"/>
      <c r="H4122" s="76"/>
      <c r="I4122" s="73" t="s">
        <v>366</v>
      </c>
      <c r="J4122" s="76"/>
    </row>
    <row r="4123">
      <c r="A4123" s="74">
        <v>4112.0</v>
      </c>
      <c r="B4123" s="98" t="s">
        <v>4395</v>
      </c>
      <c r="C4123" s="74">
        <v>9.01082199E8</v>
      </c>
      <c r="D4123" s="73" t="s">
        <v>4605</v>
      </c>
      <c r="E4123" s="72">
        <v>3.0</v>
      </c>
      <c r="F4123" s="75">
        <v>43112.0</v>
      </c>
      <c r="G4123" s="76"/>
      <c r="H4123" s="76"/>
      <c r="I4123" s="73" t="s">
        <v>366</v>
      </c>
      <c r="J4123" s="76"/>
    </row>
    <row r="4124">
      <c r="A4124" s="74">
        <v>4113.0</v>
      </c>
      <c r="B4124" s="98" t="s">
        <v>4395</v>
      </c>
      <c r="C4124" s="74">
        <v>9.01098308E8</v>
      </c>
      <c r="D4124" s="73" t="s">
        <v>4606</v>
      </c>
      <c r="E4124" s="72">
        <v>57.0</v>
      </c>
      <c r="F4124" s="75">
        <v>43143.0</v>
      </c>
      <c r="G4124" s="76"/>
      <c r="H4124" s="76"/>
      <c r="I4124" s="73" t="s">
        <v>366</v>
      </c>
      <c r="J4124" s="76"/>
    </row>
    <row r="4125">
      <c r="A4125" s="74">
        <v>4114.0</v>
      </c>
      <c r="B4125" s="98" t="s">
        <v>4395</v>
      </c>
      <c r="C4125" s="74">
        <v>9.0110519E8</v>
      </c>
      <c r="D4125" s="73" t="s">
        <v>4607</v>
      </c>
      <c r="E4125" s="72">
        <v>87.0</v>
      </c>
      <c r="F4125" s="75">
        <v>43172.0</v>
      </c>
      <c r="G4125" s="76"/>
      <c r="H4125" s="76"/>
      <c r="I4125" s="73" t="s">
        <v>366</v>
      </c>
      <c r="J4125" s="76"/>
    </row>
    <row r="4126">
      <c r="A4126" s="74">
        <v>4115.0</v>
      </c>
      <c r="B4126" s="98" t="s">
        <v>4395</v>
      </c>
      <c r="C4126" s="74">
        <v>9.01160281E8</v>
      </c>
      <c r="D4126" s="73" t="s">
        <v>4608</v>
      </c>
      <c r="E4126" s="72">
        <v>46.0</v>
      </c>
      <c r="F4126" s="75">
        <v>43199.0</v>
      </c>
      <c r="G4126" s="76"/>
      <c r="H4126" s="76"/>
      <c r="I4126" s="73" t="s">
        <v>366</v>
      </c>
      <c r="J4126" s="76"/>
    </row>
    <row r="4127">
      <c r="A4127" s="74">
        <v>4116.0</v>
      </c>
      <c r="B4127" s="98" t="s">
        <v>4395</v>
      </c>
      <c r="C4127" s="74">
        <v>9.00086571E8</v>
      </c>
      <c r="D4127" s="73" t="s">
        <v>4609</v>
      </c>
      <c r="E4127" s="72">
        <v>138.0</v>
      </c>
      <c r="F4127" s="75">
        <v>43244.0</v>
      </c>
      <c r="G4127" s="76"/>
      <c r="H4127" s="76"/>
      <c r="I4127" s="73" t="s">
        <v>366</v>
      </c>
      <c r="J4127" s="76"/>
    </row>
    <row r="4128">
      <c r="A4128" s="74">
        <v>4117.0</v>
      </c>
      <c r="B4128" s="98" t="s">
        <v>4395</v>
      </c>
      <c r="C4128" s="74">
        <v>9.01106434E8</v>
      </c>
      <c r="D4128" s="73" t="s">
        <v>4610</v>
      </c>
      <c r="E4128" s="72">
        <v>131.0</v>
      </c>
      <c r="F4128" s="75">
        <v>43270.0</v>
      </c>
      <c r="G4128" s="76"/>
      <c r="H4128" s="76"/>
      <c r="I4128" s="73" t="s">
        <v>366</v>
      </c>
      <c r="J4128" s="76"/>
    </row>
    <row r="4129">
      <c r="A4129" s="74">
        <v>4118.0</v>
      </c>
      <c r="B4129" s="98" t="s">
        <v>4395</v>
      </c>
      <c r="C4129" s="74">
        <v>9.00654669E8</v>
      </c>
      <c r="D4129" s="73" t="s">
        <v>4611</v>
      </c>
      <c r="E4129" s="72">
        <v>193.0</v>
      </c>
      <c r="F4129" s="75">
        <v>43320.0</v>
      </c>
      <c r="G4129" s="76"/>
      <c r="H4129" s="76"/>
      <c r="I4129" s="73" t="s">
        <v>366</v>
      </c>
      <c r="J4129" s="76"/>
    </row>
    <row r="4130">
      <c r="A4130" s="74">
        <v>4119.0</v>
      </c>
      <c r="B4130" s="98" t="s">
        <v>4395</v>
      </c>
      <c r="C4130" s="74">
        <v>9.00595729E8</v>
      </c>
      <c r="D4130" s="73" t="s">
        <v>4612</v>
      </c>
      <c r="E4130" s="72">
        <v>213.0</v>
      </c>
      <c r="F4130" s="75">
        <v>43333.0</v>
      </c>
      <c r="G4130" s="76"/>
      <c r="H4130" s="76"/>
      <c r="I4130" s="73" t="s">
        <v>366</v>
      </c>
      <c r="J4130" s="76"/>
    </row>
    <row r="4131">
      <c r="A4131" s="74">
        <v>4120.0</v>
      </c>
      <c r="B4131" s="98" t="s">
        <v>4395</v>
      </c>
      <c r="C4131" s="74">
        <v>9.00745904E8</v>
      </c>
      <c r="D4131" s="73" t="s">
        <v>4613</v>
      </c>
      <c r="E4131" s="72">
        <v>231.0</v>
      </c>
      <c r="F4131" s="77">
        <v>43377.0</v>
      </c>
      <c r="G4131" s="76"/>
      <c r="H4131" s="76"/>
      <c r="I4131" s="73" t="s">
        <v>366</v>
      </c>
      <c r="J4131" s="76"/>
    </row>
    <row r="4132">
      <c r="A4132" s="74">
        <v>4121.0</v>
      </c>
      <c r="B4132" s="98" t="s">
        <v>4395</v>
      </c>
      <c r="C4132" s="74">
        <v>9.01162446E8</v>
      </c>
      <c r="D4132" s="73" t="s">
        <v>4614</v>
      </c>
      <c r="E4132" s="72">
        <v>314.0</v>
      </c>
      <c r="F4132" s="77">
        <v>43465.0</v>
      </c>
      <c r="G4132" s="76"/>
      <c r="H4132" s="76"/>
      <c r="I4132" s="73" t="s">
        <v>366</v>
      </c>
      <c r="J4132" s="76"/>
    </row>
    <row r="4133">
      <c r="A4133" s="74">
        <v>4122.0</v>
      </c>
      <c r="B4133" s="98" t="s">
        <v>4395</v>
      </c>
      <c r="C4133" s="74">
        <v>9.00966185E8</v>
      </c>
      <c r="D4133" s="73" t="s">
        <v>4615</v>
      </c>
      <c r="E4133" s="72">
        <v>5.0</v>
      </c>
      <c r="F4133" s="75">
        <v>43516.0</v>
      </c>
      <c r="G4133" s="76"/>
      <c r="H4133" s="76"/>
      <c r="I4133" s="73" t="s">
        <v>366</v>
      </c>
      <c r="J4133" s="76"/>
    </row>
    <row r="4134">
      <c r="A4134" s="74">
        <v>4123.0</v>
      </c>
      <c r="B4134" s="98" t="s">
        <v>4395</v>
      </c>
      <c r="C4134" s="74">
        <v>9.00205531E8</v>
      </c>
      <c r="D4134" s="73" t="s">
        <v>4616</v>
      </c>
      <c r="E4134" s="72">
        <v>19.0</v>
      </c>
      <c r="F4134" s="75">
        <v>43551.0</v>
      </c>
      <c r="G4134" s="76"/>
      <c r="H4134" s="76"/>
      <c r="I4134" s="73" t="s">
        <v>366</v>
      </c>
      <c r="J4134" s="76"/>
    </row>
    <row r="4135">
      <c r="A4135" s="74">
        <v>4124.0</v>
      </c>
      <c r="B4135" s="98" t="s">
        <v>4395</v>
      </c>
      <c r="C4135" s="74">
        <v>9.008251E8</v>
      </c>
      <c r="D4135" s="73" t="s">
        <v>4617</v>
      </c>
      <c r="E4135" s="72">
        <v>92.0</v>
      </c>
      <c r="F4135" s="77">
        <v>43822.0</v>
      </c>
      <c r="G4135" s="76"/>
      <c r="H4135" s="76"/>
      <c r="I4135" s="73" t="s">
        <v>366</v>
      </c>
      <c r="J4135" s="76"/>
    </row>
    <row r="4136">
      <c r="A4136" s="74">
        <v>4125.0</v>
      </c>
      <c r="B4136" s="98" t="s">
        <v>4395</v>
      </c>
      <c r="C4136" s="74">
        <v>9.01348509E8</v>
      </c>
      <c r="D4136" s="73" t="s">
        <v>4618</v>
      </c>
      <c r="E4136" s="72">
        <v>287.0</v>
      </c>
      <c r="F4136" s="77">
        <v>43822.0</v>
      </c>
      <c r="G4136" s="76"/>
      <c r="H4136" s="76"/>
      <c r="I4136" s="73" t="s">
        <v>366</v>
      </c>
      <c r="J4136" s="76"/>
    </row>
    <row r="4137">
      <c r="A4137" s="74">
        <v>4126.0</v>
      </c>
      <c r="B4137" s="98" t="s">
        <v>4395</v>
      </c>
      <c r="C4137" s="74">
        <v>9.01182521E8</v>
      </c>
      <c r="D4137" s="73" t="s">
        <v>4619</v>
      </c>
      <c r="E4137" s="72">
        <v>315.0</v>
      </c>
      <c r="F4137" s="77">
        <v>43830.0</v>
      </c>
      <c r="G4137" s="76"/>
      <c r="H4137" s="76"/>
      <c r="I4137" s="73" t="s">
        <v>366</v>
      </c>
      <c r="J4137" s="76"/>
    </row>
    <row r="4138">
      <c r="A4138" s="74">
        <v>4127.0</v>
      </c>
      <c r="B4138" s="98" t="s">
        <v>4395</v>
      </c>
      <c r="C4138" s="74">
        <v>9.01301406E8</v>
      </c>
      <c r="D4138" s="73" t="s">
        <v>4620</v>
      </c>
      <c r="E4138" s="72">
        <v>20.0</v>
      </c>
      <c r="F4138" s="75">
        <v>43906.0</v>
      </c>
      <c r="G4138" s="76"/>
      <c r="H4138" s="76"/>
      <c r="I4138" s="73" t="s">
        <v>366</v>
      </c>
      <c r="J4138" s="76"/>
    </row>
    <row r="4139">
      <c r="A4139" s="74">
        <v>4128.0</v>
      </c>
      <c r="B4139" s="98" t="s">
        <v>4395</v>
      </c>
      <c r="C4139" s="74">
        <v>9.00576227E8</v>
      </c>
      <c r="D4139" s="73" t="s">
        <v>4621</v>
      </c>
      <c r="E4139" s="72">
        <v>31.0</v>
      </c>
      <c r="F4139" s="75">
        <v>43910.0</v>
      </c>
      <c r="G4139" s="76"/>
      <c r="H4139" s="76"/>
      <c r="I4139" s="73" t="s">
        <v>366</v>
      </c>
      <c r="J4139" s="76"/>
    </row>
    <row r="4140">
      <c r="A4140" s="74">
        <v>4129.0</v>
      </c>
      <c r="B4140" s="98" t="s">
        <v>4395</v>
      </c>
      <c r="C4140" s="74">
        <v>9.01128554E8</v>
      </c>
      <c r="D4140" s="73" t="s">
        <v>4622</v>
      </c>
      <c r="E4140" s="72">
        <v>2.0203040018075E13</v>
      </c>
      <c r="F4140" s="77">
        <v>44132.0</v>
      </c>
      <c r="G4140" s="76"/>
      <c r="H4140" s="76"/>
      <c r="I4140" s="73" t="s">
        <v>366</v>
      </c>
      <c r="J4140" s="76"/>
    </row>
    <row r="4141">
      <c r="A4141" s="74">
        <v>4130.0</v>
      </c>
      <c r="B4141" s="98" t="s">
        <v>4395</v>
      </c>
      <c r="C4141" s="74">
        <v>9.00149757E8</v>
      </c>
      <c r="D4141" s="73" t="s">
        <v>4623</v>
      </c>
      <c r="E4141" s="72">
        <v>2.0213760015545E13</v>
      </c>
      <c r="F4141" s="75">
        <v>44300.0</v>
      </c>
      <c r="G4141" s="76"/>
      <c r="H4141" s="76"/>
      <c r="I4141" s="73" t="s">
        <v>366</v>
      </c>
      <c r="J4141" s="76"/>
    </row>
    <row r="4142">
      <c r="A4142" s="74">
        <v>4131.0</v>
      </c>
      <c r="B4142" s="98" t="s">
        <v>4395</v>
      </c>
      <c r="C4142" s="74">
        <v>8.05017536E8</v>
      </c>
      <c r="D4142" s="73" t="s">
        <v>4624</v>
      </c>
      <c r="E4142" s="72">
        <v>2.0213760029005E13</v>
      </c>
      <c r="F4142" s="75">
        <v>44390.0</v>
      </c>
      <c r="G4142" s="76"/>
      <c r="H4142" s="76"/>
      <c r="I4142" s="73" t="s">
        <v>366</v>
      </c>
      <c r="J4142" s="76"/>
    </row>
    <row r="4143">
      <c r="A4143" s="74">
        <v>4132.0</v>
      </c>
      <c r="B4143" s="98" t="s">
        <v>4395</v>
      </c>
      <c r="C4143" s="74">
        <v>9.00823438E8</v>
      </c>
      <c r="D4143" s="73" t="s">
        <v>4625</v>
      </c>
      <c r="E4143" s="72">
        <v>2.0213760035475E13</v>
      </c>
      <c r="F4143" s="75">
        <v>44421.0</v>
      </c>
      <c r="G4143" s="76"/>
      <c r="H4143" s="76"/>
      <c r="I4143" s="73" t="s">
        <v>366</v>
      </c>
      <c r="J4143" s="76"/>
    </row>
    <row r="4144">
      <c r="A4144" s="74">
        <v>4133.0</v>
      </c>
      <c r="B4144" s="98" t="s">
        <v>4395</v>
      </c>
      <c r="C4144" s="74">
        <v>9.01504254E8</v>
      </c>
      <c r="D4144" s="73" t="s">
        <v>4626</v>
      </c>
      <c r="E4144" s="72">
        <v>2.0212470043215E13</v>
      </c>
      <c r="F4144" s="75">
        <v>44459.0</v>
      </c>
      <c r="G4144" s="72">
        <v>2.0253040008545E13</v>
      </c>
      <c r="H4144" s="75">
        <v>45728.0</v>
      </c>
      <c r="I4144" s="73" t="s">
        <v>366</v>
      </c>
      <c r="J4144" s="73" t="s">
        <v>4627</v>
      </c>
    </row>
    <row r="4145">
      <c r="A4145" s="74">
        <v>4134.0</v>
      </c>
      <c r="B4145" s="98" t="s">
        <v>4395</v>
      </c>
      <c r="C4145" s="74">
        <v>9.01507861E8</v>
      </c>
      <c r="D4145" s="73" t="s">
        <v>4628</v>
      </c>
      <c r="E4145" s="72">
        <v>51725.0</v>
      </c>
      <c r="F4145" s="77">
        <v>44498.0</v>
      </c>
      <c r="G4145" s="73" t="s">
        <v>4629</v>
      </c>
      <c r="H4145" s="73" t="s">
        <v>4630</v>
      </c>
      <c r="I4145" s="73" t="s">
        <v>366</v>
      </c>
      <c r="J4145" s="73" t="s">
        <v>4631</v>
      </c>
    </row>
    <row r="4146">
      <c r="A4146" s="74">
        <v>4135.0</v>
      </c>
      <c r="B4146" s="98" t="s">
        <v>4395</v>
      </c>
      <c r="C4146" s="74">
        <v>9.0147059E8</v>
      </c>
      <c r="D4146" s="73" t="s">
        <v>4632</v>
      </c>
      <c r="E4146" s="72">
        <v>2.0213760054015E13</v>
      </c>
      <c r="F4146" s="77">
        <v>44512.0</v>
      </c>
      <c r="G4146" s="76"/>
      <c r="H4146" s="76"/>
      <c r="I4146" s="73" t="s">
        <v>366</v>
      </c>
      <c r="J4146" s="76"/>
    </row>
    <row r="4147">
      <c r="A4147" s="74">
        <v>4136.0</v>
      </c>
      <c r="B4147" s="98" t="s">
        <v>4395</v>
      </c>
      <c r="C4147" s="74">
        <v>9.01025892E8</v>
      </c>
      <c r="D4147" s="73" t="s">
        <v>4633</v>
      </c>
      <c r="E4147" s="72">
        <v>2.0213760054795E13</v>
      </c>
      <c r="F4147" s="77">
        <v>44516.0</v>
      </c>
      <c r="G4147" s="76"/>
      <c r="H4147" s="76"/>
      <c r="I4147" s="73" t="s">
        <v>366</v>
      </c>
      <c r="J4147" s="76"/>
    </row>
    <row r="4148">
      <c r="A4148" s="74">
        <v>4137.0</v>
      </c>
      <c r="B4148" s="98" t="s">
        <v>4395</v>
      </c>
      <c r="C4148" s="74">
        <v>9.01505169E8</v>
      </c>
      <c r="D4148" s="73" t="s">
        <v>4634</v>
      </c>
      <c r="E4148" s="72">
        <v>2.0213760054755E13</v>
      </c>
      <c r="F4148" s="77">
        <v>44516.0</v>
      </c>
      <c r="G4148" s="76"/>
      <c r="H4148" s="76"/>
      <c r="I4148" s="73" t="s">
        <v>366</v>
      </c>
      <c r="J4148" s="76"/>
    </row>
    <row r="4149">
      <c r="A4149" s="74">
        <v>4138.0</v>
      </c>
      <c r="B4149" s="98" t="s">
        <v>4395</v>
      </c>
      <c r="C4149" s="74">
        <v>9.01349212E8</v>
      </c>
      <c r="D4149" s="73" t="s">
        <v>4635</v>
      </c>
      <c r="E4149" s="72">
        <v>2.0213760055855E13</v>
      </c>
      <c r="F4149" s="77">
        <v>44522.0</v>
      </c>
      <c r="G4149" s="76"/>
      <c r="H4149" s="76"/>
      <c r="I4149" s="73" t="s">
        <v>366</v>
      </c>
      <c r="J4149" s="76"/>
    </row>
    <row r="4150">
      <c r="A4150" s="74">
        <v>4139.0</v>
      </c>
      <c r="B4150" s="98" t="s">
        <v>4395</v>
      </c>
      <c r="C4150" s="74">
        <v>9.01567468E8</v>
      </c>
      <c r="D4150" s="73" t="s">
        <v>4636</v>
      </c>
      <c r="E4150" s="72">
        <v>2.0222130025565E13</v>
      </c>
      <c r="F4150" s="75">
        <v>44691.0</v>
      </c>
      <c r="G4150" s="76"/>
      <c r="H4150" s="76"/>
      <c r="I4150" s="73" t="s">
        <v>366</v>
      </c>
      <c r="J4150" s="76"/>
    </row>
    <row r="4151">
      <c r="A4151" s="74">
        <v>4140.0</v>
      </c>
      <c r="B4151" s="98" t="s">
        <v>4395</v>
      </c>
      <c r="C4151" s="74">
        <v>9.01541251E8</v>
      </c>
      <c r="D4151" s="73" t="s">
        <v>4637</v>
      </c>
      <c r="E4151" s="72">
        <v>2.0223760045235E13</v>
      </c>
      <c r="F4151" s="75">
        <v>44777.0</v>
      </c>
      <c r="G4151" s="76"/>
      <c r="H4151" s="76"/>
      <c r="I4151" s="73" t="s">
        <v>366</v>
      </c>
      <c r="J4151" s="76"/>
    </row>
    <row r="4152">
      <c r="A4152" s="74">
        <v>4141.0</v>
      </c>
      <c r="B4152" s="98" t="s">
        <v>4395</v>
      </c>
      <c r="C4152" s="74">
        <v>9.01101635E8</v>
      </c>
      <c r="D4152" s="73" t="s">
        <v>4638</v>
      </c>
      <c r="E4152" s="72">
        <v>2.0223760062825E13</v>
      </c>
      <c r="F4152" s="77">
        <v>44853.0</v>
      </c>
      <c r="G4152" s="76"/>
      <c r="H4152" s="76"/>
      <c r="I4152" s="73" t="s">
        <v>366</v>
      </c>
      <c r="J4152" s="76"/>
    </row>
    <row r="4153">
      <c r="A4153" s="74">
        <v>4142.0</v>
      </c>
      <c r="B4153" s="98" t="s">
        <v>4395</v>
      </c>
      <c r="C4153" s="74">
        <v>8.0500099E8</v>
      </c>
      <c r="D4153" s="73" t="s">
        <v>4639</v>
      </c>
      <c r="E4153" s="72">
        <v>2.0223760065195E13</v>
      </c>
      <c r="F4153" s="77">
        <v>44865.0</v>
      </c>
      <c r="G4153" s="76"/>
      <c r="H4153" s="76"/>
      <c r="I4153" s="73" t="s">
        <v>366</v>
      </c>
      <c r="J4153" s="76"/>
    </row>
    <row r="4154">
      <c r="A4154" s="74">
        <v>4143.0</v>
      </c>
      <c r="B4154" s="98" t="s">
        <v>4395</v>
      </c>
      <c r="C4154" s="74">
        <v>9.00174985E8</v>
      </c>
      <c r="D4154" s="73" t="s">
        <v>4640</v>
      </c>
      <c r="E4154" s="72">
        <v>2.0223760076835E13</v>
      </c>
      <c r="F4154" s="77">
        <v>44915.0</v>
      </c>
      <c r="G4154" s="76"/>
      <c r="H4154" s="76"/>
      <c r="I4154" s="73" t="s">
        <v>366</v>
      </c>
      <c r="J4154" s="76"/>
    </row>
    <row r="4155">
      <c r="A4155" s="74">
        <v>4144.0</v>
      </c>
      <c r="B4155" s="98" t="s">
        <v>4395</v>
      </c>
      <c r="C4155" s="74">
        <v>8.0500202E8</v>
      </c>
      <c r="D4155" s="73" t="s">
        <v>4641</v>
      </c>
      <c r="E4155" s="72">
        <v>2.0233760019135E13</v>
      </c>
      <c r="F4155" s="75">
        <v>45058.0</v>
      </c>
      <c r="G4155" s="76"/>
      <c r="H4155" s="76"/>
      <c r="I4155" s="73" t="s">
        <v>366</v>
      </c>
      <c r="J4155" s="76"/>
    </row>
    <row r="4156">
      <c r="A4156" s="74">
        <v>4145.0</v>
      </c>
      <c r="B4156" s="98" t="s">
        <v>4395</v>
      </c>
      <c r="C4156" s="74">
        <v>9.01128112E8</v>
      </c>
      <c r="D4156" s="73" t="s">
        <v>4642</v>
      </c>
      <c r="E4156" s="72">
        <v>2.0233760050225E13</v>
      </c>
      <c r="F4156" s="77">
        <v>45251.0</v>
      </c>
      <c r="G4156" s="76"/>
      <c r="H4156" s="76"/>
      <c r="I4156" s="73" t="s">
        <v>366</v>
      </c>
      <c r="J4156" s="76"/>
    </row>
    <row r="4157">
      <c r="A4157" s="74">
        <v>4146.0</v>
      </c>
      <c r="B4157" s="98" t="s">
        <v>4395</v>
      </c>
      <c r="C4157" s="74">
        <v>9.01113231E8</v>
      </c>
      <c r="D4157" s="73" t="s">
        <v>4643</v>
      </c>
      <c r="E4157" s="72">
        <v>2.0233760054135E13</v>
      </c>
      <c r="F4157" s="77">
        <v>45272.0</v>
      </c>
      <c r="G4157" s="76"/>
      <c r="H4157" s="76"/>
      <c r="I4157" s="73" t="s">
        <v>366</v>
      </c>
      <c r="J4157" s="76"/>
    </row>
    <row r="4158">
      <c r="A4158" s="74">
        <v>4147.0</v>
      </c>
      <c r="B4158" s="98" t="s">
        <v>4395</v>
      </c>
      <c r="C4158" s="74">
        <v>9.01492445E8</v>
      </c>
      <c r="D4158" s="73" t="s">
        <v>4644</v>
      </c>
      <c r="E4158" s="72">
        <v>2.0243760006015E13</v>
      </c>
      <c r="F4158" s="75">
        <v>45338.0</v>
      </c>
      <c r="G4158" s="76"/>
      <c r="H4158" s="76"/>
      <c r="I4158" s="73" t="s">
        <v>366</v>
      </c>
      <c r="J4158" s="76"/>
    </row>
    <row r="4159">
      <c r="A4159" s="74">
        <v>4148.0</v>
      </c>
      <c r="B4159" s="98" t="s">
        <v>4395</v>
      </c>
      <c r="C4159" s="74">
        <v>9.01063966E8</v>
      </c>
      <c r="D4159" s="73" t="s">
        <v>4645</v>
      </c>
      <c r="E4159" s="72">
        <v>2.0243760013025E13</v>
      </c>
      <c r="F4159" s="75">
        <v>45385.0</v>
      </c>
      <c r="G4159" s="76"/>
      <c r="H4159" s="76"/>
      <c r="I4159" s="73" t="s">
        <v>366</v>
      </c>
      <c r="J4159" s="76"/>
    </row>
    <row r="4160">
      <c r="A4160" s="74">
        <v>4149.0</v>
      </c>
      <c r="B4160" s="98" t="s">
        <v>4395</v>
      </c>
      <c r="C4160" s="74">
        <v>9.0163353E8</v>
      </c>
      <c r="D4160" s="73" t="s">
        <v>4646</v>
      </c>
      <c r="E4160" s="72">
        <v>2.0243760024875E13</v>
      </c>
      <c r="F4160" s="75">
        <v>45449.0</v>
      </c>
      <c r="G4160" s="76"/>
      <c r="H4160" s="76"/>
      <c r="I4160" s="73" t="s">
        <v>366</v>
      </c>
      <c r="J4160" s="76"/>
    </row>
    <row r="4161">
      <c r="A4161" s="74">
        <v>4150.0</v>
      </c>
      <c r="B4161" s="98" t="s">
        <v>4395</v>
      </c>
      <c r="C4161" s="74">
        <v>9.00477718E8</v>
      </c>
      <c r="D4161" s="73" t="s">
        <v>4647</v>
      </c>
      <c r="E4161" s="72">
        <v>2.0243760029915E13</v>
      </c>
      <c r="F4161" s="75">
        <v>45471.0</v>
      </c>
      <c r="G4161" s="76"/>
      <c r="H4161" s="76"/>
      <c r="I4161" s="73" t="s">
        <v>366</v>
      </c>
      <c r="J4161" s="76"/>
    </row>
    <row r="4162">
      <c r="A4162" s="74">
        <v>4151.0</v>
      </c>
      <c r="B4162" s="98" t="s">
        <v>4395</v>
      </c>
      <c r="C4162" s="74">
        <v>9.01824155E8</v>
      </c>
      <c r="D4162" s="73" t="s">
        <v>4648</v>
      </c>
      <c r="E4162" s="72">
        <v>2.0242130031885E13</v>
      </c>
      <c r="F4162" s="75">
        <v>45485.0</v>
      </c>
      <c r="G4162" s="72">
        <v>2.0253040010685E13</v>
      </c>
      <c r="H4162" s="75">
        <v>45742.0</v>
      </c>
      <c r="I4162" s="73" t="s">
        <v>366</v>
      </c>
      <c r="J4162" s="73" t="s">
        <v>4649</v>
      </c>
    </row>
    <row r="4163">
      <c r="A4163" s="74">
        <v>4152.0</v>
      </c>
      <c r="B4163" s="98" t="s">
        <v>4395</v>
      </c>
      <c r="C4163" s="74">
        <v>9.00701615E8</v>
      </c>
      <c r="D4163" s="73" t="s">
        <v>4650</v>
      </c>
      <c r="E4163" s="72">
        <v>2.0243760032165E13</v>
      </c>
      <c r="F4163" s="75">
        <v>45489.0</v>
      </c>
      <c r="G4163" s="76"/>
      <c r="H4163" s="76"/>
      <c r="I4163" s="73" t="s">
        <v>366</v>
      </c>
      <c r="J4163" s="76"/>
    </row>
    <row r="4164">
      <c r="A4164" s="74">
        <v>4153.0</v>
      </c>
      <c r="B4164" s="98" t="s">
        <v>4395</v>
      </c>
      <c r="C4164" s="74">
        <v>9.00132327E8</v>
      </c>
      <c r="D4164" s="73" t="s">
        <v>4651</v>
      </c>
      <c r="E4164" s="72">
        <v>2.0243760036765E13</v>
      </c>
      <c r="F4164" s="75">
        <v>45509.0</v>
      </c>
      <c r="G4164" s="76"/>
      <c r="H4164" s="76"/>
      <c r="I4164" s="73" t="s">
        <v>366</v>
      </c>
      <c r="J4164" s="76"/>
    </row>
    <row r="4165">
      <c r="A4165" s="74">
        <v>4154.0</v>
      </c>
      <c r="B4165" s="98" t="s">
        <v>4395</v>
      </c>
      <c r="C4165" s="74">
        <v>9.01804365E8</v>
      </c>
      <c r="D4165" s="73" t="s">
        <v>4652</v>
      </c>
      <c r="E4165" s="72">
        <v>2.0243760038935E13</v>
      </c>
      <c r="F4165" s="75">
        <v>45524.0</v>
      </c>
      <c r="G4165" s="76"/>
      <c r="H4165" s="76"/>
      <c r="I4165" s="73" t="s">
        <v>366</v>
      </c>
      <c r="J4165" s="76"/>
    </row>
    <row r="4166">
      <c r="A4166" s="85">
        <v>4155.0</v>
      </c>
      <c r="B4166" s="99" t="s">
        <v>4395</v>
      </c>
      <c r="C4166" s="80">
        <v>9.00872259E8</v>
      </c>
      <c r="D4166" s="79" t="s">
        <v>4653</v>
      </c>
      <c r="E4166" s="81">
        <v>2.0243760040495E13</v>
      </c>
      <c r="F4166" s="84">
        <v>45531.0</v>
      </c>
      <c r="G4166" s="83"/>
      <c r="H4166" s="83"/>
      <c r="I4166" s="73" t="s">
        <v>366</v>
      </c>
      <c r="J4166" s="76"/>
    </row>
    <row r="4167">
      <c r="A4167" s="74">
        <v>4156.0</v>
      </c>
      <c r="B4167" s="98" t="s">
        <v>4395</v>
      </c>
      <c r="C4167" s="74">
        <v>8.17002585E8</v>
      </c>
      <c r="D4167" s="73" t="s">
        <v>4654</v>
      </c>
      <c r="E4167" s="72">
        <v>2.0243760041015E13</v>
      </c>
      <c r="F4167" s="75">
        <v>45534.0</v>
      </c>
      <c r="G4167" s="76"/>
      <c r="H4167" s="76"/>
      <c r="I4167" s="73" t="s">
        <v>366</v>
      </c>
      <c r="J4167" s="76"/>
    </row>
    <row r="4168">
      <c r="A4168" s="74">
        <v>4157.0</v>
      </c>
      <c r="B4168" s="98" t="s">
        <v>4395</v>
      </c>
      <c r="C4168" s="74">
        <v>9.01705689E8</v>
      </c>
      <c r="D4168" s="73" t="s">
        <v>4655</v>
      </c>
      <c r="E4168" s="72">
        <v>2.0243760043645E13</v>
      </c>
      <c r="F4168" s="75">
        <v>45546.0</v>
      </c>
      <c r="G4168" s="76"/>
      <c r="H4168" s="76"/>
      <c r="I4168" s="73" t="s">
        <v>366</v>
      </c>
      <c r="J4168" s="76"/>
    </row>
    <row r="4169">
      <c r="A4169" s="74">
        <v>4158.0</v>
      </c>
      <c r="B4169" s="98" t="s">
        <v>4395</v>
      </c>
      <c r="C4169" s="74">
        <v>9.01855147E8</v>
      </c>
      <c r="D4169" s="73" t="s">
        <v>4656</v>
      </c>
      <c r="E4169" s="72">
        <v>2.0243760050285E13</v>
      </c>
      <c r="F4169" s="77">
        <v>45581.0</v>
      </c>
      <c r="G4169" s="76"/>
      <c r="H4169" s="76"/>
      <c r="I4169" s="73" t="s">
        <v>366</v>
      </c>
      <c r="J4169" s="76"/>
    </row>
    <row r="4170">
      <c r="A4170" s="74">
        <v>4159.0</v>
      </c>
      <c r="B4170" s="98" t="s">
        <v>4395</v>
      </c>
      <c r="C4170" s="74">
        <v>9.01652887E8</v>
      </c>
      <c r="D4170" s="73" t="s">
        <v>4657</v>
      </c>
      <c r="E4170" s="72">
        <v>2.0243760055945E13</v>
      </c>
      <c r="F4170" s="77">
        <v>45614.0</v>
      </c>
      <c r="G4170" s="76"/>
      <c r="H4170" s="76"/>
      <c r="I4170" s="73" t="s">
        <v>366</v>
      </c>
      <c r="J4170" s="76"/>
    </row>
    <row r="4171">
      <c r="A4171" s="74">
        <v>4160.0</v>
      </c>
      <c r="B4171" s="98" t="s">
        <v>4395</v>
      </c>
      <c r="C4171" s="74">
        <v>9.01679129E8</v>
      </c>
      <c r="D4171" s="73" t="s">
        <v>4658</v>
      </c>
      <c r="E4171" s="72">
        <v>2.0243760064295E13</v>
      </c>
      <c r="F4171" s="77">
        <v>45653.0</v>
      </c>
      <c r="G4171" s="76"/>
      <c r="H4171" s="76"/>
      <c r="I4171" s="73" t="s">
        <v>366</v>
      </c>
      <c r="J4171" s="76"/>
    </row>
    <row r="4172">
      <c r="A4172" s="74">
        <v>4161.0</v>
      </c>
      <c r="B4172" s="98" t="s">
        <v>4395</v>
      </c>
      <c r="C4172" s="74">
        <v>9.01738108E8</v>
      </c>
      <c r="D4172" s="73" t="s">
        <v>4659</v>
      </c>
      <c r="E4172" s="72">
        <v>2.0253040002575E13</v>
      </c>
      <c r="F4172" s="75">
        <v>45690.0</v>
      </c>
      <c r="G4172" s="76"/>
      <c r="H4172" s="76"/>
      <c r="I4172" s="73" t="s">
        <v>366</v>
      </c>
      <c r="J4172" s="76"/>
    </row>
    <row r="4173">
      <c r="A4173" s="74">
        <v>4162.0</v>
      </c>
      <c r="B4173" s="98" t="s">
        <v>4395</v>
      </c>
      <c r="C4173" s="74">
        <v>9.01161661E8</v>
      </c>
      <c r="D4173" s="73" t="s">
        <v>4660</v>
      </c>
      <c r="E4173" s="72">
        <v>2.0253040004585E13</v>
      </c>
      <c r="F4173" s="75">
        <v>45702.0</v>
      </c>
      <c r="G4173" s="76"/>
      <c r="H4173" s="76"/>
      <c r="I4173" s="73" t="s">
        <v>366</v>
      </c>
      <c r="J4173" s="76"/>
    </row>
    <row r="4174">
      <c r="A4174" s="74">
        <v>4163.0</v>
      </c>
      <c r="B4174" s="98" t="s">
        <v>4395</v>
      </c>
      <c r="C4174" s="74">
        <v>9.01105828E8</v>
      </c>
      <c r="D4174" s="73" t="s">
        <v>4661</v>
      </c>
      <c r="E4174" s="72">
        <v>2.0253040007455E13</v>
      </c>
      <c r="F4174" s="75">
        <v>45722.0</v>
      </c>
      <c r="G4174" s="76"/>
      <c r="H4174" s="76"/>
      <c r="I4174" s="73" t="s">
        <v>366</v>
      </c>
      <c r="J4174" s="76"/>
    </row>
    <row r="4175">
      <c r="A4175" s="74">
        <v>4164.0</v>
      </c>
      <c r="B4175" s="98" t="s">
        <v>4395</v>
      </c>
      <c r="C4175" s="74">
        <v>9.01571882E8</v>
      </c>
      <c r="D4175" s="73" t="s">
        <v>4662</v>
      </c>
      <c r="E4175" s="72">
        <v>2.0253040008975E13</v>
      </c>
      <c r="F4175" s="75">
        <v>45730.0</v>
      </c>
      <c r="G4175" s="76"/>
      <c r="H4175" s="76"/>
      <c r="I4175" s="73" t="s">
        <v>366</v>
      </c>
      <c r="J4175" s="76"/>
    </row>
    <row r="4176">
      <c r="A4176" s="74">
        <v>4165.0</v>
      </c>
      <c r="B4176" s="98" t="s">
        <v>4395</v>
      </c>
      <c r="C4176" s="74">
        <v>9.01815757E8</v>
      </c>
      <c r="D4176" s="73" t="s">
        <v>4663</v>
      </c>
      <c r="E4176" s="72">
        <v>2.0253040010025E13</v>
      </c>
      <c r="F4176" s="75">
        <v>45737.0</v>
      </c>
      <c r="G4176" s="76"/>
      <c r="H4176" s="76"/>
      <c r="I4176" s="73" t="s">
        <v>366</v>
      </c>
      <c r="J4176" s="76"/>
    </row>
    <row r="4177">
      <c r="A4177" s="76"/>
      <c r="B4177" s="76"/>
      <c r="C4177" s="76"/>
      <c r="D4177" s="76"/>
      <c r="E4177" s="76"/>
      <c r="F4177" s="76"/>
      <c r="G4177" s="76"/>
      <c r="H4177" s="76"/>
      <c r="I4177" s="76"/>
      <c r="J4177" s="76"/>
    </row>
    <row r="4178">
      <c r="A4178" s="102"/>
      <c r="B4178" s="83"/>
      <c r="C4178" s="83"/>
      <c r="D4178" s="83"/>
      <c r="E4178" s="83"/>
      <c r="F4178" s="83"/>
      <c r="G4178" s="83"/>
      <c r="H4178" s="83"/>
      <c r="I4178" s="76"/>
      <c r="J4178" s="76"/>
    </row>
  </sheetData>
  <hyperlinks>
    <hyperlink r:id="rId1" ref="K1615"/>
    <hyperlink r:id="rId2" ref="K1617"/>
    <hyperlink r:id="rId3" ref="K1618"/>
    <hyperlink r:id="rId4" ref="K1620"/>
    <hyperlink r:id="rId5" ref="K1621"/>
    <hyperlink r:id="rId6" ref="K1623"/>
    <hyperlink r:id="rId7" ref="K1624"/>
    <hyperlink r:id="rId8" ref="K1627"/>
    <hyperlink r:id="rId9" ref="K1628"/>
    <hyperlink r:id="rId10" ref="K1635"/>
    <hyperlink r:id="rId11" ref="K1638"/>
    <hyperlink r:id="rId12" ref="K1643"/>
    <hyperlink r:id="rId13" ref="K1644"/>
    <hyperlink r:id="rId14" ref="K1652"/>
    <hyperlink r:id="rId15" ref="K1654"/>
    <hyperlink r:id="rId16" ref="K1657"/>
    <hyperlink r:id="rId17" ref="K1659"/>
    <hyperlink r:id="rId18" ref="K1661"/>
    <hyperlink r:id="rId19" ref="K1670"/>
    <hyperlink r:id="rId20" ref="K1671"/>
    <hyperlink r:id="rId21" ref="K1672"/>
    <hyperlink r:id="rId22" ref="K1674"/>
    <hyperlink r:id="rId23" ref="K1675"/>
    <hyperlink r:id="rId24" ref="K1676"/>
    <hyperlink r:id="rId25" ref="K1677"/>
    <hyperlink r:id="rId26" ref="K1678"/>
    <hyperlink r:id="rId27" ref="K1682"/>
  </hyperlinks>
  <drawing r:id="rId2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1.29"/>
    <col customWidth="1" min="3" max="3" width="9.29"/>
    <col customWidth="1" min="4" max="4" width="61.57"/>
    <col customWidth="1" min="5" max="5" width="46.14"/>
    <col customWidth="1" min="6" max="6" width="18.71"/>
    <col customWidth="1" min="7" max="7" width="18.43"/>
    <col customWidth="1" min="8" max="8" width="45.14"/>
    <col customWidth="1" min="9" max="9" width="28.71"/>
    <col customWidth="1" min="10" max="10" width="51.29"/>
    <col customWidth="1" min="11" max="11" width="35.29"/>
  </cols>
  <sheetData>
    <row r="1">
      <c r="A1" s="103" t="s">
        <v>4664</v>
      </c>
      <c r="B1" s="103" t="s">
        <v>4665</v>
      </c>
      <c r="C1" s="103" t="s">
        <v>4666</v>
      </c>
      <c r="D1" s="104" t="s">
        <v>4667</v>
      </c>
      <c r="E1" s="104" t="s">
        <v>4668</v>
      </c>
      <c r="F1" s="103" t="s">
        <v>4669</v>
      </c>
      <c r="G1" s="103" t="s">
        <v>4670</v>
      </c>
      <c r="H1" s="103" t="s">
        <v>4671</v>
      </c>
      <c r="I1" s="103" t="s">
        <v>4672</v>
      </c>
      <c r="J1" s="104" t="s">
        <v>4673</v>
      </c>
      <c r="K1" s="103" t="s">
        <v>4674</v>
      </c>
      <c r="L1" s="103" t="s">
        <v>4675</v>
      </c>
    </row>
    <row r="2">
      <c r="A2" s="103" t="s">
        <v>4676</v>
      </c>
      <c r="B2" s="103">
        <v>1.100100032E9</v>
      </c>
      <c r="C2" s="105"/>
      <c r="D2" s="104" t="s">
        <v>4677</v>
      </c>
      <c r="E2" s="106"/>
      <c r="F2" s="103" t="s">
        <v>4678</v>
      </c>
      <c r="G2" s="103" t="s">
        <v>4679</v>
      </c>
      <c r="H2" s="103" t="s">
        <v>4680</v>
      </c>
      <c r="I2" s="103" t="s">
        <v>4681</v>
      </c>
      <c r="J2" s="104" t="s">
        <v>4682</v>
      </c>
      <c r="K2" s="105"/>
      <c r="L2" s="105"/>
    </row>
    <row r="3">
      <c r="A3" s="103" t="s">
        <v>4676</v>
      </c>
      <c r="B3" s="103">
        <v>1.10010003201E11</v>
      </c>
      <c r="C3" s="105"/>
      <c r="D3" s="104" t="s">
        <v>4677</v>
      </c>
      <c r="E3" s="104" t="s">
        <v>4683</v>
      </c>
      <c r="F3" s="103" t="s">
        <v>4678</v>
      </c>
      <c r="G3" s="103" t="s">
        <v>4679</v>
      </c>
      <c r="H3" s="103" t="s">
        <v>4684</v>
      </c>
      <c r="I3" s="103" t="s">
        <v>4681</v>
      </c>
      <c r="J3" s="104" t="s">
        <v>4682</v>
      </c>
      <c r="K3" s="105"/>
      <c r="L3" s="105"/>
    </row>
    <row r="4">
      <c r="A4" s="103" t="s">
        <v>4676</v>
      </c>
      <c r="B4" s="103">
        <v>1.100100129E9</v>
      </c>
      <c r="C4" s="105"/>
      <c r="D4" s="104" t="s">
        <v>4685</v>
      </c>
      <c r="E4" s="104" t="s">
        <v>4686</v>
      </c>
      <c r="F4" s="103" t="s">
        <v>4678</v>
      </c>
      <c r="G4" s="103" t="s">
        <v>4679</v>
      </c>
      <c r="H4" s="103" t="s">
        <v>4687</v>
      </c>
      <c r="I4" s="103">
        <v>4807256.0</v>
      </c>
      <c r="J4" s="104" t="s">
        <v>4688</v>
      </c>
      <c r="K4" s="105"/>
      <c r="L4" s="105"/>
    </row>
    <row r="5">
      <c r="A5" s="103" t="s">
        <v>4676</v>
      </c>
      <c r="B5" s="103">
        <v>1.10010012901E11</v>
      </c>
      <c r="C5" s="105"/>
      <c r="D5" s="104" t="s">
        <v>4685</v>
      </c>
      <c r="E5" s="104" t="s">
        <v>4686</v>
      </c>
      <c r="F5" s="103" t="s">
        <v>4678</v>
      </c>
      <c r="G5" s="103" t="s">
        <v>4679</v>
      </c>
      <c r="H5" s="103" t="s">
        <v>4687</v>
      </c>
      <c r="I5" s="103">
        <v>4807256.0</v>
      </c>
      <c r="J5" s="104" t="s">
        <v>4688</v>
      </c>
      <c r="K5" s="105"/>
      <c r="L5" s="105"/>
    </row>
    <row r="6">
      <c r="A6" s="103" t="s">
        <v>4676</v>
      </c>
      <c r="B6" s="103">
        <v>1.10010012902E11</v>
      </c>
      <c r="C6" s="105"/>
      <c r="D6" s="104" t="s">
        <v>4685</v>
      </c>
      <c r="E6" s="104" t="s">
        <v>4686</v>
      </c>
      <c r="F6" s="103" t="s">
        <v>4678</v>
      </c>
      <c r="G6" s="103" t="s">
        <v>4679</v>
      </c>
      <c r="H6" s="103" t="s">
        <v>4689</v>
      </c>
      <c r="I6" s="103">
        <v>6055323.0</v>
      </c>
      <c r="J6" s="104" t="s">
        <v>4688</v>
      </c>
      <c r="K6" s="105"/>
      <c r="L6" s="105"/>
    </row>
    <row r="7">
      <c r="A7" s="103" t="s">
        <v>4676</v>
      </c>
      <c r="B7" s="103">
        <v>1.10010013E9</v>
      </c>
      <c r="C7" s="105"/>
      <c r="D7" s="104" t="s">
        <v>4690</v>
      </c>
      <c r="E7" s="104" t="s">
        <v>4691</v>
      </c>
      <c r="F7" s="103" t="s">
        <v>4678</v>
      </c>
      <c r="G7" s="103" t="s">
        <v>4679</v>
      </c>
      <c r="H7" s="103" t="s">
        <v>4692</v>
      </c>
      <c r="I7" s="103">
        <v>3.11589208E9</v>
      </c>
      <c r="J7" s="104" t="s">
        <v>4693</v>
      </c>
      <c r="K7" s="107" t="s">
        <v>4694</v>
      </c>
      <c r="L7" s="105"/>
    </row>
    <row r="8">
      <c r="A8" s="103" t="s">
        <v>4676</v>
      </c>
      <c r="B8" s="103">
        <v>1.10010013002E11</v>
      </c>
      <c r="C8" s="105"/>
      <c r="D8" s="104" t="s">
        <v>4695</v>
      </c>
      <c r="E8" s="104" t="s">
        <v>4696</v>
      </c>
      <c r="F8" s="103" t="s">
        <v>4678</v>
      </c>
      <c r="G8" s="103" t="s">
        <v>4679</v>
      </c>
      <c r="H8" s="103" t="s">
        <v>4697</v>
      </c>
      <c r="I8" s="103">
        <v>3665265.0</v>
      </c>
      <c r="J8" s="104" t="s">
        <v>4693</v>
      </c>
      <c r="K8" s="105"/>
      <c r="L8" s="105"/>
    </row>
    <row r="9">
      <c r="A9" s="103" t="s">
        <v>4676</v>
      </c>
      <c r="B9" s="103">
        <v>1.10010013003E11</v>
      </c>
      <c r="C9" s="105"/>
      <c r="D9" s="104" t="s">
        <v>4698</v>
      </c>
      <c r="E9" s="104" t="s">
        <v>4699</v>
      </c>
      <c r="F9" s="103" t="s">
        <v>4678</v>
      </c>
      <c r="G9" s="103" t="s">
        <v>4679</v>
      </c>
      <c r="H9" s="103" t="s">
        <v>4700</v>
      </c>
      <c r="I9" s="103">
        <v>4425296.0</v>
      </c>
      <c r="J9" s="104" t="s">
        <v>4693</v>
      </c>
      <c r="K9" s="105"/>
      <c r="L9" s="105"/>
    </row>
    <row r="10">
      <c r="A10" s="103" t="s">
        <v>4676</v>
      </c>
      <c r="B10" s="103">
        <v>1.10010013004E11</v>
      </c>
      <c r="C10" s="105"/>
      <c r="D10" s="104" t="s">
        <v>4701</v>
      </c>
      <c r="E10" s="104" t="s">
        <v>4702</v>
      </c>
      <c r="F10" s="103" t="s">
        <v>4678</v>
      </c>
      <c r="G10" s="103" t="s">
        <v>4679</v>
      </c>
      <c r="H10" s="103" t="s">
        <v>4703</v>
      </c>
      <c r="I10" s="103">
        <v>3580424.0</v>
      </c>
      <c r="J10" s="104" t="s">
        <v>4693</v>
      </c>
      <c r="K10" s="105"/>
      <c r="L10" s="105"/>
    </row>
    <row r="11">
      <c r="A11" s="103" t="s">
        <v>4676</v>
      </c>
      <c r="B11" s="103">
        <v>1.10010013005E11</v>
      </c>
      <c r="C11" s="105"/>
      <c r="D11" s="104" t="s">
        <v>4704</v>
      </c>
      <c r="E11" s="104" t="s">
        <v>4705</v>
      </c>
      <c r="F11" s="103" t="s">
        <v>4678</v>
      </c>
      <c r="G11" s="103" t="s">
        <v>4679</v>
      </c>
      <c r="H11" s="103" t="s">
        <v>4706</v>
      </c>
      <c r="I11" s="103">
        <v>7824756.0</v>
      </c>
      <c r="J11" s="104" t="s">
        <v>4693</v>
      </c>
      <c r="K11" s="105"/>
      <c r="L11" s="105"/>
    </row>
    <row r="12">
      <c r="A12" s="103" t="s">
        <v>4676</v>
      </c>
      <c r="B12" s="103">
        <v>1.10010013007E11</v>
      </c>
      <c r="C12" s="105"/>
      <c r="D12" s="104" t="s">
        <v>4707</v>
      </c>
      <c r="E12" s="104" t="s">
        <v>4708</v>
      </c>
      <c r="F12" s="103" t="s">
        <v>4678</v>
      </c>
      <c r="G12" s="103" t="s">
        <v>4679</v>
      </c>
      <c r="H12" s="103" t="s">
        <v>4709</v>
      </c>
      <c r="I12" s="103">
        <v>2230775.0</v>
      </c>
      <c r="J12" s="104" t="s">
        <v>4693</v>
      </c>
      <c r="K12" s="105"/>
      <c r="L12" s="105"/>
    </row>
    <row r="13">
      <c r="A13" s="103" t="s">
        <v>4676</v>
      </c>
      <c r="B13" s="103">
        <v>1.10010013008E11</v>
      </c>
      <c r="C13" s="105"/>
      <c r="D13" s="104" t="s">
        <v>4710</v>
      </c>
      <c r="E13" s="104" t="s">
        <v>4711</v>
      </c>
      <c r="F13" s="103" t="s">
        <v>4678</v>
      </c>
      <c r="G13" s="103" t="s">
        <v>4679</v>
      </c>
      <c r="H13" s="103" t="s">
        <v>4712</v>
      </c>
      <c r="I13" s="103">
        <v>2984202.0</v>
      </c>
      <c r="J13" s="104" t="s">
        <v>4693</v>
      </c>
      <c r="K13" s="105"/>
      <c r="L13" s="105"/>
    </row>
    <row r="14">
      <c r="A14" s="103" t="s">
        <v>4676</v>
      </c>
      <c r="B14" s="103">
        <v>1.10010013009E11</v>
      </c>
      <c r="C14" s="105"/>
      <c r="D14" s="104" t="s">
        <v>4713</v>
      </c>
      <c r="E14" s="104" t="s">
        <v>4714</v>
      </c>
      <c r="F14" s="103" t="s">
        <v>4678</v>
      </c>
      <c r="G14" s="103" t="s">
        <v>4679</v>
      </c>
      <c r="H14" s="103" t="s">
        <v>4715</v>
      </c>
      <c r="I14" s="103">
        <v>6819121.0</v>
      </c>
      <c r="J14" s="104" t="s">
        <v>4693</v>
      </c>
      <c r="K14" s="105"/>
      <c r="L14" s="105"/>
    </row>
    <row r="15">
      <c r="A15" s="103" t="s">
        <v>4676</v>
      </c>
      <c r="B15" s="103">
        <v>1.1001001301E11</v>
      </c>
      <c r="C15" s="105"/>
      <c r="D15" s="104" t="s">
        <v>4716</v>
      </c>
      <c r="E15" s="104" t="s">
        <v>4705</v>
      </c>
      <c r="F15" s="103" t="s">
        <v>4678</v>
      </c>
      <c r="G15" s="103" t="s">
        <v>4679</v>
      </c>
      <c r="H15" s="103" t="s">
        <v>4717</v>
      </c>
      <c r="I15" s="103">
        <v>3580454.0</v>
      </c>
      <c r="J15" s="104" t="s">
        <v>4693</v>
      </c>
      <c r="K15" s="105"/>
      <c r="L15" s="105"/>
    </row>
    <row r="16">
      <c r="A16" s="103" t="s">
        <v>4676</v>
      </c>
      <c r="B16" s="103">
        <v>1.10010013011E11</v>
      </c>
      <c r="C16" s="105"/>
      <c r="D16" s="104" t="s">
        <v>4718</v>
      </c>
      <c r="E16" s="104" t="s">
        <v>4719</v>
      </c>
      <c r="F16" s="103" t="s">
        <v>4678</v>
      </c>
      <c r="G16" s="103" t="s">
        <v>4679</v>
      </c>
      <c r="H16" s="103" t="s">
        <v>4720</v>
      </c>
      <c r="I16" s="103">
        <v>2049827.0</v>
      </c>
      <c r="J16" s="104" t="s">
        <v>4693</v>
      </c>
      <c r="K16" s="105"/>
      <c r="L16" s="105"/>
    </row>
    <row r="17">
      <c r="A17" s="103" t="s">
        <v>4676</v>
      </c>
      <c r="B17" s="103">
        <v>1.10010013013E11</v>
      </c>
      <c r="C17" s="105"/>
      <c r="D17" s="104" t="s">
        <v>4721</v>
      </c>
      <c r="E17" s="104" t="s">
        <v>4722</v>
      </c>
      <c r="F17" s="103" t="s">
        <v>4678</v>
      </c>
      <c r="G17" s="103" t="s">
        <v>4679</v>
      </c>
      <c r="H17" s="103" t="s">
        <v>4723</v>
      </c>
      <c r="I17" s="103">
        <v>4462808.0</v>
      </c>
      <c r="J17" s="104" t="s">
        <v>4693</v>
      </c>
      <c r="K17" s="105"/>
      <c r="L17" s="105"/>
    </row>
    <row r="18">
      <c r="A18" s="103" t="s">
        <v>4676</v>
      </c>
      <c r="B18" s="103">
        <v>1.10010013015E11</v>
      </c>
      <c r="C18" s="105"/>
      <c r="D18" s="104" t="s">
        <v>4724</v>
      </c>
      <c r="E18" s="104" t="s">
        <v>4725</v>
      </c>
      <c r="F18" s="103" t="s">
        <v>4678</v>
      </c>
      <c r="G18" s="103" t="s">
        <v>4679</v>
      </c>
      <c r="H18" s="103" t="s">
        <v>4726</v>
      </c>
      <c r="I18" s="103">
        <v>3580432.0</v>
      </c>
      <c r="J18" s="104" t="s">
        <v>4693</v>
      </c>
      <c r="K18" s="105"/>
      <c r="L18" s="105"/>
    </row>
    <row r="19">
      <c r="A19" s="103" t="s">
        <v>4676</v>
      </c>
      <c r="B19" s="103">
        <v>1.10010013016E11</v>
      </c>
      <c r="C19" s="105"/>
      <c r="D19" s="104" t="s">
        <v>4727</v>
      </c>
      <c r="E19" s="104" t="s">
        <v>4728</v>
      </c>
      <c r="F19" s="103" t="s">
        <v>4678</v>
      </c>
      <c r="G19" s="103" t="s">
        <v>4679</v>
      </c>
      <c r="H19" s="103" t="s">
        <v>4729</v>
      </c>
      <c r="I19" s="103">
        <v>7416100.0</v>
      </c>
      <c r="J19" s="104" t="s">
        <v>4693</v>
      </c>
      <c r="K19" s="105"/>
      <c r="L19" s="105"/>
    </row>
    <row r="20">
      <c r="A20" s="103" t="s">
        <v>4676</v>
      </c>
      <c r="B20" s="103">
        <v>1.10010013017E11</v>
      </c>
      <c r="C20" s="105"/>
      <c r="D20" s="104" t="s">
        <v>4730</v>
      </c>
      <c r="E20" s="104" t="s">
        <v>4731</v>
      </c>
      <c r="F20" s="103" t="s">
        <v>4678</v>
      </c>
      <c r="G20" s="103" t="s">
        <v>4679</v>
      </c>
      <c r="H20" s="103" t="s">
        <v>4732</v>
      </c>
      <c r="I20" s="103">
        <v>3144322.0</v>
      </c>
      <c r="J20" s="104" t="s">
        <v>4693</v>
      </c>
      <c r="K20" s="105"/>
      <c r="L20" s="105"/>
    </row>
    <row r="21">
      <c r="A21" s="103" t="s">
        <v>4676</v>
      </c>
      <c r="B21" s="103">
        <v>1.10010013018E11</v>
      </c>
      <c r="C21" s="105"/>
      <c r="D21" s="104" t="s">
        <v>4733</v>
      </c>
      <c r="E21" s="104" t="s">
        <v>4734</v>
      </c>
      <c r="F21" s="103" t="s">
        <v>4678</v>
      </c>
      <c r="G21" s="103" t="s">
        <v>4679</v>
      </c>
      <c r="H21" s="103" t="s">
        <v>4735</v>
      </c>
      <c r="I21" s="103">
        <v>4055555.0</v>
      </c>
      <c r="J21" s="104" t="s">
        <v>4693</v>
      </c>
      <c r="K21" s="105"/>
      <c r="L21" s="105"/>
    </row>
    <row r="22">
      <c r="A22" s="103" t="s">
        <v>4676</v>
      </c>
      <c r="B22" s="103">
        <v>1.1001001302E11</v>
      </c>
      <c r="C22" s="105"/>
      <c r="D22" s="104" t="s">
        <v>4736</v>
      </c>
      <c r="E22" s="104" t="s">
        <v>4737</v>
      </c>
      <c r="F22" s="103" t="s">
        <v>4678</v>
      </c>
      <c r="G22" s="103" t="s">
        <v>4679</v>
      </c>
      <c r="H22" s="103" t="s">
        <v>4738</v>
      </c>
      <c r="I22" s="103">
        <v>3580464.0</v>
      </c>
      <c r="J22" s="104" t="s">
        <v>4693</v>
      </c>
      <c r="K22" s="105"/>
      <c r="L22" s="105"/>
    </row>
    <row r="23">
      <c r="A23" s="103" t="s">
        <v>4676</v>
      </c>
      <c r="B23" s="103">
        <v>1.10010013021E11</v>
      </c>
      <c r="C23" s="105"/>
      <c r="D23" s="104" t="s">
        <v>4739</v>
      </c>
      <c r="E23" s="104" t="s">
        <v>4740</v>
      </c>
      <c r="F23" s="103" t="s">
        <v>4678</v>
      </c>
      <c r="G23" s="103" t="s">
        <v>4679</v>
      </c>
      <c r="H23" s="103" t="s">
        <v>4741</v>
      </c>
      <c r="I23" s="103">
        <v>6433130.0</v>
      </c>
      <c r="J23" s="104" t="s">
        <v>4693</v>
      </c>
      <c r="K23" s="105"/>
      <c r="L23" s="105"/>
    </row>
    <row r="24">
      <c r="A24" s="103" t="s">
        <v>4676</v>
      </c>
      <c r="B24" s="103">
        <v>1.10010013022E11</v>
      </c>
      <c r="C24" s="105"/>
      <c r="D24" s="104" t="s">
        <v>4742</v>
      </c>
      <c r="E24" s="104" t="s">
        <v>4743</v>
      </c>
      <c r="F24" s="103" t="s">
        <v>4678</v>
      </c>
      <c r="G24" s="103" t="s">
        <v>4679</v>
      </c>
      <c r="H24" s="103" t="s">
        <v>4744</v>
      </c>
      <c r="I24" s="103">
        <v>3580434.0</v>
      </c>
      <c r="J24" s="104" t="s">
        <v>4693</v>
      </c>
      <c r="K24" s="105"/>
      <c r="L24" s="105"/>
    </row>
    <row r="25">
      <c r="A25" s="103" t="s">
        <v>4676</v>
      </c>
      <c r="B25" s="103">
        <v>1.10010013024E11</v>
      </c>
      <c r="C25" s="105"/>
      <c r="D25" s="104" t="s">
        <v>4745</v>
      </c>
      <c r="E25" s="104" t="s">
        <v>4746</v>
      </c>
      <c r="F25" s="103" t="s">
        <v>4678</v>
      </c>
      <c r="G25" s="103" t="s">
        <v>4679</v>
      </c>
      <c r="H25" s="103" t="s">
        <v>4747</v>
      </c>
      <c r="I25" s="103">
        <v>3144333.0</v>
      </c>
      <c r="J25" s="104" t="s">
        <v>4693</v>
      </c>
      <c r="K25" s="105"/>
      <c r="L25" s="105"/>
    </row>
    <row r="26">
      <c r="A26" s="103" t="s">
        <v>4676</v>
      </c>
      <c r="B26" s="103">
        <v>1.10010013025E11</v>
      </c>
      <c r="C26" s="105"/>
      <c r="D26" s="104" t="s">
        <v>4748</v>
      </c>
      <c r="E26" s="104" t="s">
        <v>4749</v>
      </c>
      <c r="F26" s="103" t="s">
        <v>4678</v>
      </c>
      <c r="G26" s="103" t="s">
        <v>4679</v>
      </c>
      <c r="H26" s="103" t="s">
        <v>4750</v>
      </c>
      <c r="I26" s="103">
        <v>3580462.0</v>
      </c>
      <c r="J26" s="104" t="s">
        <v>4693</v>
      </c>
      <c r="K26" s="105"/>
      <c r="L26" s="105"/>
    </row>
    <row r="27">
      <c r="A27" s="103" t="s">
        <v>4676</v>
      </c>
      <c r="B27" s="103">
        <v>1.10010013026E11</v>
      </c>
      <c r="C27" s="105"/>
      <c r="D27" s="104" t="s">
        <v>4751</v>
      </c>
      <c r="E27" s="104" t="s">
        <v>4752</v>
      </c>
      <c r="F27" s="103" t="s">
        <v>4678</v>
      </c>
      <c r="G27" s="103" t="s">
        <v>4679</v>
      </c>
      <c r="H27" s="103" t="s">
        <v>4753</v>
      </c>
      <c r="I27" s="103">
        <v>3580412.0</v>
      </c>
      <c r="J27" s="104" t="s">
        <v>4693</v>
      </c>
      <c r="K27" s="105"/>
      <c r="L27" s="105"/>
    </row>
    <row r="28">
      <c r="A28" s="103" t="s">
        <v>4676</v>
      </c>
      <c r="B28" s="103">
        <v>1.10010013027E11</v>
      </c>
      <c r="C28" s="105"/>
      <c r="D28" s="104" t="s">
        <v>4754</v>
      </c>
      <c r="E28" s="104" t="s">
        <v>4755</v>
      </c>
      <c r="F28" s="103" t="s">
        <v>4678</v>
      </c>
      <c r="G28" s="103" t="s">
        <v>4679</v>
      </c>
      <c r="H28" s="103" t="s">
        <v>4756</v>
      </c>
      <c r="I28" s="103">
        <v>3580458.0</v>
      </c>
      <c r="J28" s="104" t="s">
        <v>4693</v>
      </c>
      <c r="K28" s="105"/>
      <c r="L28" s="105"/>
    </row>
    <row r="29">
      <c r="A29" s="103" t="s">
        <v>4676</v>
      </c>
      <c r="B29" s="103">
        <v>1.10010013029E11</v>
      </c>
      <c r="C29" s="105"/>
      <c r="D29" s="104" t="s">
        <v>4757</v>
      </c>
      <c r="E29" s="104" t="s">
        <v>4758</v>
      </c>
      <c r="F29" s="103" t="s">
        <v>4678</v>
      </c>
      <c r="G29" s="103" t="s">
        <v>4679</v>
      </c>
      <c r="H29" s="103" t="s">
        <v>4759</v>
      </c>
      <c r="I29" s="103">
        <v>3580449.0</v>
      </c>
      <c r="J29" s="104" t="s">
        <v>4693</v>
      </c>
      <c r="K29" s="105"/>
      <c r="L29" s="105"/>
    </row>
    <row r="30">
      <c r="A30" s="103" t="s">
        <v>4676</v>
      </c>
      <c r="B30" s="103">
        <v>1.1001001303E11</v>
      </c>
      <c r="C30" s="105"/>
      <c r="D30" s="104" t="s">
        <v>4760</v>
      </c>
      <c r="E30" s="104" t="s">
        <v>4761</v>
      </c>
      <c r="F30" s="103" t="s">
        <v>4678</v>
      </c>
      <c r="G30" s="103" t="s">
        <v>4679</v>
      </c>
      <c r="H30" s="103" t="s">
        <v>4762</v>
      </c>
      <c r="I30" s="103">
        <v>3580430.0</v>
      </c>
      <c r="J30" s="104" t="s">
        <v>4693</v>
      </c>
      <c r="K30" s="105"/>
      <c r="L30" s="105"/>
    </row>
    <row r="31">
      <c r="A31" s="103" t="s">
        <v>4676</v>
      </c>
      <c r="B31" s="103">
        <v>1.10010013032E11</v>
      </c>
      <c r="C31" s="105"/>
      <c r="D31" s="104" t="s">
        <v>4763</v>
      </c>
      <c r="E31" s="104" t="s">
        <v>4749</v>
      </c>
      <c r="F31" s="103" t="s">
        <v>4678</v>
      </c>
      <c r="G31" s="103" t="s">
        <v>4679</v>
      </c>
      <c r="H31" s="103" t="s">
        <v>4764</v>
      </c>
      <c r="I31" s="103">
        <v>3580462.0</v>
      </c>
      <c r="J31" s="104" t="s">
        <v>4693</v>
      </c>
      <c r="K31" s="105"/>
      <c r="L31" s="105"/>
    </row>
    <row r="32">
      <c r="A32" s="103" t="s">
        <v>4676</v>
      </c>
      <c r="B32" s="103">
        <v>1.10010013034E11</v>
      </c>
      <c r="C32" s="105"/>
      <c r="D32" s="104" t="s">
        <v>4765</v>
      </c>
      <c r="E32" s="104" t="s">
        <v>4766</v>
      </c>
      <c r="F32" s="103" t="s">
        <v>4678</v>
      </c>
      <c r="G32" s="103" t="s">
        <v>4679</v>
      </c>
      <c r="H32" s="103" t="s">
        <v>4767</v>
      </c>
      <c r="I32" s="103">
        <v>6253555.0</v>
      </c>
      <c r="J32" s="104" t="s">
        <v>4693</v>
      </c>
      <c r="K32" s="105"/>
      <c r="L32" s="105"/>
    </row>
    <row r="33">
      <c r="A33" s="103" t="s">
        <v>4676</v>
      </c>
      <c r="B33" s="103">
        <v>1.10010013035E11</v>
      </c>
      <c r="C33" s="105"/>
      <c r="D33" s="104" t="s">
        <v>4768</v>
      </c>
      <c r="E33" s="104" t="s">
        <v>4769</v>
      </c>
      <c r="F33" s="103" t="s">
        <v>4678</v>
      </c>
      <c r="G33" s="103" t="s">
        <v>4679</v>
      </c>
      <c r="H33" s="103" t="s">
        <v>4770</v>
      </c>
      <c r="I33" s="103">
        <v>3144311.0</v>
      </c>
      <c r="J33" s="104" t="s">
        <v>4693</v>
      </c>
      <c r="K33" s="105"/>
      <c r="L33" s="105"/>
    </row>
    <row r="34">
      <c r="A34" s="103" t="s">
        <v>4676</v>
      </c>
      <c r="B34" s="103">
        <v>1.10010013036E11</v>
      </c>
      <c r="C34" s="105"/>
      <c r="D34" s="104" t="s">
        <v>4771</v>
      </c>
      <c r="E34" s="104" t="s">
        <v>4772</v>
      </c>
      <c r="F34" s="103" t="s">
        <v>4678</v>
      </c>
      <c r="G34" s="103" t="s">
        <v>4679</v>
      </c>
      <c r="H34" s="103" t="s">
        <v>4773</v>
      </c>
      <c r="I34" s="103">
        <v>3144300.0</v>
      </c>
      <c r="J34" s="104" t="s">
        <v>4774</v>
      </c>
      <c r="K34" s="105"/>
      <c r="L34" s="105"/>
    </row>
    <row r="35">
      <c r="A35" s="103" t="s">
        <v>4676</v>
      </c>
      <c r="B35" s="103">
        <v>1.100100218E9</v>
      </c>
      <c r="C35" s="105"/>
      <c r="D35" s="104" t="s">
        <v>4775</v>
      </c>
      <c r="E35" s="104" t="s">
        <v>4776</v>
      </c>
      <c r="F35" s="103" t="s">
        <v>4678</v>
      </c>
      <c r="G35" s="103" t="s">
        <v>4679</v>
      </c>
      <c r="H35" s="103" t="s">
        <v>4777</v>
      </c>
      <c r="I35" s="103">
        <v>2329622.0</v>
      </c>
      <c r="J35" s="104" t="s">
        <v>4778</v>
      </c>
      <c r="K35" s="105"/>
      <c r="L35" s="105"/>
    </row>
    <row r="36">
      <c r="A36" s="103" t="s">
        <v>4676</v>
      </c>
      <c r="B36" s="103">
        <v>1.10010021802E11</v>
      </c>
      <c r="C36" s="105"/>
      <c r="D36" s="104" t="s">
        <v>4779</v>
      </c>
      <c r="E36" s="104" t="s">
        <v>4780</v>
      </c>
      <c r="F36" s="103" t="s">
        <v>4678</v>
      </c>
      <c r="G36" s="103" t="s">
        <v>4679</v>
      </c>
      <c r="H36" s="103" t="s">
        <v>4781</v>
      </c>
      <c r="I36" s="103">
        <v>2329622.0</v>
      </c>
      <c r="J36" s="104" t="s">
        <v>4778</v>
      </c>
      <c r="K36" s="105"/>
      <c r="L36" s="105"/>
    </row>
    <row r="37">
      <c r="A37" s="103" t="s">
        <v>4676</v>
      </c>
      <c r="B37" s="103">
        <v>1.100100224E9</v>
      </c>
      <c r="C37" s="105"/>
      <c r="D37" s="104" t="s">
        <v>4782</v>
      </c>
      <c r="E37" s="104" t="s">
        <v>4783</v>
      </c>
      <c r="F37" s="103" t="s">
        <v>4678</v>
      </c>
      <c r="G37" s="103" t="s">
        <v>4679</v>
      </c>
      <c r="H37" s="103" t="s">
        <v>4784</v>
      </c>
      <c r="I37" s="103">
        <v>6025050.0</v>
      </c>
      <c r="J37" s="104" t="s">
        <v>4785</v>
      </c>
      <c r="K37" s="105"/>
      <c r="L37" s="105"/>
    </row>
    <row r="38">
      <c r="A38" s="103" t="s">
        <v>4676</v>
      </c>
      <c r="B38" s="103">
        <v>1.10010022401E11</v>
      </c>
      <c r="C38" s="105"/>
      <c r="D38" s="104" t="s">
        <v>4782</v>
      </c>
      <c r="E38" s="104" t="s">
        <v>4786</v>
      </c>
      <c r="F38" s="103" t="s">
        <v>4678</v>
      </c>
      <c r="G38" s="103" t="s">
        <v>4679</v>
      </c>
      <c r="H38" s="103" t="s">
        <v>4787</v>
      </c>
      <c r="I38" s="103">
        <v>6025050.0</v>
      </c>
      <c r="J38" s="104" t="s">
        <v>4785</v>
      </c>
      <c r="K38" s="105"/>
      <c r="L38" s="105"/>
    </row>
    <row r="39">
      <c r="A39" s="103" t="s">
        <v>4676</v>
      </c>
      <c r="B39" s="103">
        <v>1.100100356E9</v>
      </c>
      <c r="C39" s="105"/>
      <c r="D39" s="104" t="s">
        <v>4788</v>
      </c>
      <c r="E39" s="104" t="s">
        <v>4789</v>
      </c>
      <c r="F39" s="103" t="s">
        <v>4678</v>
      </c>
      <c r="G39" s="103" t="s">
        <v>4679</v>
      </c>
      <c r="H39" s="103" t="s">
        <v>4790</v>
      </c>
      <c r="I39" s="103" t="s">
        <v>4791</v>
      </c>
      <c r="J39" s="104" t="s">
        <v>4792</v>
      </c>
      <c r="K39" s="105"/>
      <c r="L39" s="105"/>
    </row>
    <row r="40">
      <c r="A40" s="103" t="s">
        <v>4676</v>
      </c>
      <c r="B40" s="103">
        <v>1.10010035601E11</v>
      </c>
      <c r="C40" s="105"/>
      <c r="D40" s="104" t="s">
        <v>4793</v>
      </c>
      <c r="E40" s="104" t="s">
        <v>4794</v>
      </c>
      <c r="F40" s="103" t="s">
        <v>4678</v>
      </c>
      <c r="G40" s="103" t="s">
        <v>4679</v>
      </c>
      <c r="H40" s="103" t="s">
        <v>4795</v>
      </c>
      <c r="I40" s="103" t="s">
        <v>4791</v>
      </c>
      <c r="J40" s="104" t="s">
        <v>4792</v>
      </c>
      <c r="K40" s="105"/>
      <c r="L40" s="105"/>
    </row>
    <row r="41">
      <c r="A41" s="103" t="s">
        <v>4676</v>
      </c>
      <c r="B41" s="103">
        <v>1.100100396E9</v>
      </c>
      <c r="C41" s="105"/>
      <c r="D41" s="104" t="s">
        <v>4796</v>
      </c>
      <c r="E41" s="104" t="s">
        <v>4797</v>
      </c>
      <c r="F41" s="103" t="s">
        <v>4678</v>
      </c>
      <c r="G41" s="103" t="s">
        <v>4679</v>
      </c>
      <c r="H41" s="103" t="s">
        <v>4798</v>
      </c>
      <c r="I41" s="103">
        <v>7957100.0</v>
      </c>
      <c r="J41" s="104" t="s">
        <v>4799</v>
      </c>
      <c r="K41" s="105"/>
      <c r="L41" s="105"/>
    </row>
    <row r="42">
      <c r="A42" s="103" t="s">
        <v>4676</v>
      </c>
      <c r="B42" s="103">
        <v>1.10010039601E11</v>
      </c>
      <c r="C42" s="105"/>
      <c r="D42" s="104" t="s">
        <v>4800</v>
      </c>
      <c r="E42" s="104" t="s">
        <v>4801</v>
      </c>
      <c r="F42" s="103" t="s">
        <v>4678</v>
      </c>
      <c r="G42" s="103" t="s">
        <v>4679</v>
      </c>
      <c r="H42" s="103" t="s">
        <v>4798</v>
      </c>
      <c r="I42" s="103">
        <v>6.015807939E9</v>
      </c>
      <c r="J42" s="104" t="s">
        <v>4799</v>
      </c>
      <c r="K42" s="105"/>
      <c r="L42" s="105"/>
    </row>
    <row r="43">
      <c r="A43" s="103" t="s">
        <v>4676</v>
      </c>
      <c r="B43" s="103">
        <v>1.10010039602E11</v>
      </c>
      <c r="C43" s="105"/>
      <c r="D43" s="104" t="s">
        <v>4796</v>
      </c>
      <c r="E43" s="104" t="s">
        <v>4801</v>
      </c>
      <c r="F43" s="103" t="s">
        <v>4678</v>
      </c>
      <c r="G43" s="103" t="s">
        <v>4679</v>
      </c>
      <c r="H43" s="103" t="s">
        <v>4802</v>
      </c>
      <c r="I43" s="103" t="s">
        <v>4803</v>
      </c>
      <c r="J43" s="104" t="s">
        <v>4799</v>
      </c>
      <c r="K43" s="105"/>
      <c r="L43" s="105"/>
    </row>
    <row r="44">
      <c r="A44" s="103" t="s">
        <v>4676</v>
      </c>
      <c r="B44" s="103">
        <v>1.100100483E9</v>
      </c>
      <c r="C44" s="105"/>
      <c r="D44" s="104" t="s">
        <v>4804</v>
      </c>
      <c r="E44" s="104" t="s">
        <v>4805</v>
      </c>
      <c r="F44" s="103" t="s">
        <v>4678</v>
      </c>
      <c r="G44" s="103" t="s">
        <v>4679</v>
      </c>
      <c r="H44" s="103" t="s">
        <v>4806</v>
      </c>
      <c r="I44" s="103">
        <v>8056234.0</v>
      </c>
      <c r="J44" s="104" t="s">
        <v>4807</v>
      </c>
      <c r="K44" s="105"/>
      <c r="L44" s="105"/>
    </row>
    <row r="45">
      <c r="A45" s="103" t="s">
        <v>4676</v>
      </c>
      <c r="B45" s="103">
        <v>1.10010048301E11</v>
      </c>
      <c r="C45" s="105"/>
      <c r="D45" s="104" t="s">
        <v>4804</v>
      </c>
      <c r="E45" s="104" t="s">
        <v>4808</v>
      </c>
      <c r="F45" s="103" t="s">
        <v>4678</v>
      </c>
      <c r="G45" s="103" t="s">
        <v>4679</v>
      </c>
      <c r="H45" s="103" t="s">
        <v>4809</v>
      </c>
      <c r="I45" s="103">
        <v>8056234.0</v>
      </c>
      <c r="J45" s="104" t="s">
        <v>4807</v>
      </c>
      <c r="K45" s="105"/>
      <c r="L45" s="105"/>
    </row>
    <row r="46">
      <c r="A46" s="103" t="s">
        <v>4676</v>
      </c>
      <c r="B46" s="103">
        <v>1.100100518E9</v>
      </c>
      <c r="C46" s="105"/>
      <c r="D46" s="104" t="s">
        <v>4810</v>
      </c>
      <c r="E46" s="104" t="s">
        <v>4811</v>
      </c>
      <c r="F46" s="103" t="s">
        <v>4678</v>
      </c>
      <c r="G46" s="103" t="s">
        <v>4679</v>
      </c>
      <c r="H46" s="103" t="s">
        <v>4812</v>
      </c>
      <c r="I46" s="103">
        <v>2369824.0</v>
      </c>
      <c r="J46" s="104" t="s">
        <v>4813</v>
      </c>
      <c r="K46" s="105"/>
      <c r="L46" s="105"/>
    </row>
    <row r="47">
      <c r="A47" s="103" t="s">
        <v>4676</v>
      </c>
      <c r="B47" s="103">
        <v>1.10010051803E11</v>
      </c>
      <c r="C47" s="105"/>
      <c r="D47" s="104" t="s">
        <v>4814</v>
      </c>
      <c r="E47" s="104" t="s">
        <v>4815</v>
      </c>
      <c r="F47" s="103" t="s">
        <v>4678</v>
      </c>
      <c r="G47" s="103" t="s">
        <v>4679</v>
      </c>
      <c r="H47" s="103" t="s">
        <v>4816</v>
      </c>
      <c r="I47" s="103" t="s">
        <v>4817</v>
      </c>
      <c r="J47" s="104" t="s">
        <v>4818</v>
      </c>
      <c r="K47" s="105"/>
      <c r="L47" s="105"/>
    </row>
    <row r="48">
      <c r="A48" s="103" t="s">
        <v>4676</v>
      </c>
      <c r="B48" s="103">
        <v>1.10010051805E11</v>
      </c>
      <c r="C48" s="105"/>
      <c r="D48" s="104" t="s">
        <v>4819</v>
      </c>
      <c r="E48" s="104" t="s">
        <v>4815</v>
      </c>
      <c r="F48" s="103" t="s">
        <v>4678</v>
      </c>
      <c r="G48" s="103" t="s">
        <v>4679</v>
      </c>
      <c r="H48" s="103" t="s">
        <v>4820</v>
      </c>
      <c r="I48" s="103" t="s">
        <v>4821</v>
      </c>
      <c r="J48" s="104" t="s">
        <v>4822</v>
      </c>
      <c r="K48" s="105"/>
      <c r="L48" s="105"/>
    </row>
    <row r="49">
      <c r="A49" s="103" t="s">
        <v>4676</v>
      </c>
      <c r="B49" s="103">
        <v>1.1001005181E11</v>
      </c>
      <c r="C49" s="105"/>
      <c r="D49" s="104" t="s">
        <v>4823</v>
      </c>
      <c r="E49" s="104" t="s">
        <v>4815</v>
      </c>
      <c r="F49" s="103" t="s">
        <v>4678</v>
      </c>
      <c r="G49" s="103" t="s">
        <v>4679</v>
      </c>
      <c r="H49" s="103" t="s">
        <v>4824</v>
      </c>
      <c r="I49" s="103" t="s">
        <v>4825</v>
      </c>
      <c r="J49" s="104" t="s">
        <v>4826</v>
      </c>
      <c r="K49" s="105"/>
      <c r="L49" s="105"/>
    </row>
    <row r="50">
      <c r="A50" s="103" t="s">
        <v>4676</v>
      </c>
      <c r="B50" s="103">
        <v>1.10010051811E11</v>
      </c>
      <c r="C50" s="105"/>
      <c r="D50" s="104" t="s">
        <v>4827</v>
      </c>
      <c r="E50" s="104" t="s">
        <v>4815</v>
      </c>
      <c r="F50" s="103" t="s">
        <v>4678</v>
      </c>
      <c r="G50" s="103" t="s">
        <v>4679</v>
      </c>
      <c r="H50" s="103" t="s">
        <v>4828</v>
      </c>
      <c r="I50" s="103" t="s">
        <v>4829</v>
      </c>
      <c r="J50" s="104" t="s">
        <v>4830</v>
      </c>
      <c r="K50" s="105"/>
      <c r="L50" s="105"/>
    </row>
    <row r="51">
      <c r="A51" s="103" t="s">
        <v>4676</v>
      </c>
      <c r="B51" s="103">
        <v>1.10010051814E11</v>
      </c>
      <c r="C51" s="105"/>
      <c r="D51" s="104" t="s">
        <v>4831</v>
      </c>
      <c r="E51" s="104" t="s">
        <v>4815</v>
      </c>
      <c r="F51" s="103" t="s">
        <v>4678</v>
      </c>
      <c r="G51" s="103" t="s">
        <v>4679</v>
      </c>
      <c r="H51" s="103" t="s">
        <v>4832</v>
      </c>
      <c r="I51" s="103" t="s">
        <v>4833</v>
      </c>
      <c r="J51" s="104" t="s">
        <v>4834</v>
      </c>
      <c r="K51" s="105"/>
      <c r="L51" s="105"/>
    </row>
    <row r="52">
      <c r="A52" s="103" t="s">
        <v>4676</v>
      </c>
      <c r="B52" s="103">
        <v>1.10010051817E11</v>
      </c>
      <c r="C52" s="105"/>
      <c r="D52" s="104" t="s">
        <v>4835</v>
      </c>
      <c r="E52" s="104" t="s">
        <v>4815</v>
      </c>
      <c r="F52" s="103" t="s">
        <v>4678</v>
      </c>
      <c r="G52" s="103" t="s">
        <v>4679</v>
      </c>
      <c r="H52" s="103" t="s">
        <v>4836</v>
      </c>
      <c r="I52" s="103" t="s">
        <v>4837</v>
      </c>
      <c r="J52" s="104" t="s">
        <v>4838</v>
      </c>
      <c r="K52" s="105"/>
      <c r="L52" s="105"/>
    </row>
    <row r="53">
      <c r="A53" s="103" t="s">
        <v>4676</v>
      </c>
      <c r="B53" s="103">
        <v>1.10010051818E11</v>
      </c>
      <c r="C53" s="105"/>
      <c r="D53" s="104" t="s">
        <v>4839</v>
      </c>
      <c r="E53" s="104" t="s">
        <v>4815</v>
      </c>
      <c r="F53" s="103" t="s">
        <v>4678</v>
      </c>
      <c r="G53" s="103" t="s">
        <v>4679</v>
      </c>
      <c r="H53" s="103" t="s">
        <v>4840</v>
      </c>
      <c r="I53" s="103" t="s">
        <v>4841</v>
      </c>
      <c r="J53" s="104" t="s">
        <v>4842</v>
      </c>
      <c r="K53" s="105"/>
      <c r="L53" s="105"/>
    </row>
    <row r="54">
      <c r="A54" s="103" t="s">
        <v>4676</v>
      </c>
      <c r="B54" s="103">
        <v>1.10010051819E11</v>
      </c>
      <c r="C54" s="105"/>
      <c r="D54" s="104" t="s">
        <v>4843</v>
      </c>
      <c r="E54" s="104" t="s">
        <v>4815</v>
      </c>
      <c r="F54" s="103" t="s">
        <v>4678</v>
      </c>
      <c r="G54" s="103" t="s">
        <v>4679</v>
      </c>
      <c r="H54" s="103" t="s">
        <v>4844</v>
      </c>
      <c r="I54" s="103" t="s">
        <v>4845</v>
      </c>
      <c r="J54" s="104" t="s">
        <v>4846</v>
      </c>
      <c r="K54" s="105"/>
      <c r="L54" s="105"/>
    </row>
    <row r="55">
      <c r="A55" s="103" t="s">
        <v>4676</v>
      </c>
      <c r="B55" s="103">
        <v>1.10010051823E11</v>
      </c>
      <c r="C55" s="105"/>
      <c r="D55" s="104" t="s">
        <v>4847</v>
      </c>
      <c r="E55" s="104" t="s">
        <v>4815</v>
      </c>
      <c r="F55" s="103" t="s">
        <v>4678</v>
      </c>
      <c r="G55" s="103" t="s">
        <v>4679</v>
      </c>
      <c r="H55" s="103" t="s">
        <v>4848</v>
      </c>
      <c r="I55" s="103" t="s">
        <v>4849</v>
      </c>
      <c r="J55" s="104" t="s">
        <v>4850</v>
      </c>
      <c r="K55" s="105"/>
      <c r="L55" s="105"/>
    </row>
    <row r="56">
      <c r="A56" s="103" t="s">
        <v>4676</v>
      </c>
      <c r="B56" s="103">
        <v>1.10010051824E11</v>
      </c>
      <c r="C56" s="105"/>
      <c r="D56" s="104" t="s">
        <v>4851</v>
      </c>
      <c r="E56" s="104" t="s">
        <v>4815</v>
      </c>
      <c r="F56" s="103" t="s">
        <v>4678</v>
      </c>
      <c r="G56" s="103" t="s">
        <v>4679</v>
      </c>
      <c r="H56" s="103" t="s">
        <v>4852</v>
      </c>
      <c r="I56" s="103" t="s">
        <v>4853</v>
      </c>
      <c r="J56" s="104" t="s">
        <v>4854</v>
      </c>
      <c r="K56" s="105"/>
      <c r="L56" s="105"/>
    </row>
    <row r="57">
      <c r="A57" s="103" t="s">
        <v>4676</v>
      </c>
      <c r="B57" s="103">
        <v>1.100100592E9</v>
      </c>
      <c r="C57" s="105"/>
      <c r="D57" s="104" t="s">
        <v>4855</v>
      </c>
      <c r="E57" s="104" t="s">
        <v>4856</v>
      </c>
      <c r="F57" s="103" t="s">
        <v>4678</v>
      </c>
      <c r="G57" s="103" t="s">
        <v>4679</v>
      </c>
      <c r="H57" s="103" t="s">
        <v>4857</v>
      </c>
      <c r="I57" s="103" t="s">
        <v>4858</v>
      </c>
      <c r="J57" s="104" t="s">
        <v>4859</v>
      </c>
      <c r="K57" s="105"/>
      <c r="L57" s="105"/>
    </row>
    <row r="58">
      <c r="A58" s="103" t="s">
        <v>4676</v>
      </c>
      <c r="B58" s="103">
        <v>1.10010059201E11</v>
      </c>
      <c r="C58" s="105"/>
      <c r="D58" s="104" t="s">
        <v>4860</v>
      </c>
      <c r="E58" s="106"/>
      <c r="F58" s="103" t="s">
        <v>4678</v>
      </c>
      <c r="G58" s="103" t="s">
        <v>4679</v>
      </c>
      <c r="H58" s="103" t="s">
        <v>4857</v>
      </c>
      <c r="I58" s="103" t="s">
        <v>4861</v>
      </c>
      <c r="J58" s="104" t="s">
        <v>4859</v>
      </c>
      <c r="K58" s="105"/>
      <c r="L58" s="105"/>
    </row>
    <row r="59">
      <c r="A59" s="103" t="s">
        <v>4676</v>
      </c>
      <c r="B59" s="103">
        <v>1.10010059204E11</v>
      </c>
      <c r="C59" s="105"/>
      <c r="D59" s="104" t="s">
        <v>4860</v>
      </c>
      <c r="E59" s="106"/>
      <c r="F59" s="103" t="s">
        <v>4678</v>
      </c>
      <c r="G59" s="103" t="s">
        <v>4679</v>
      </c>
      <c r="H59" s="103" t="s">
        <v>4862</v>
      </c>
      <c r="I59" s="103" t="s">
        <v>4863</v>
      </c>
      <c r="J59" s="104" t="s">
        <v>4859</v>
      </c>
      <c r="K59" s="105"/>
      <c r="L59" s="105"/>
    </row>
    <row r="60">
      <c r="A60" s="103" t="s">
        <v>4676</v>
      </c>
      <c r="B60" s="103">
        <v>1.100100616E9</v>
      </c>
      <c r="C60" s="105"/>
      <c r="D60" s="104" t="s">
        <v>4864</v>
      </c>
      <c r="E60" s="104" t="s">
        <v>4865</v>
      </c>
      <c r="F60" s="103" t="s">
        <v>4678</v>
      </c>
      <c r="G60" s="103" t="s">
        <v>4679</v>
      </c>
      <c r="H60" s="103" t="s">
        <v>4866</v>
      </c>
      <c r="I60" s="103">
        <v>6427200.0</v>
      </c>
      <c r="J60" s="104" t="s">
        <v>4867</v>
      </c>
      <c r="K60" s="105"/>
      <c r="L60" s="105"/>
    </row>
    <row r="61">
      <c r="A61" s="103" t="s">
        <v>4676</v>
      </c>
      <c r="B61" s="103">
        <v>1.10010061601E11</v>
      </c>
      <c r="C61" s="105"/>
      <c r="D61" s="104" t="s">
        <v>4868</v>
      </c>
      <c r="E61" s="104" t="s">
        <v>4869</v>
      </c>
      <c r="F61" s="103" t="s">
        <v>4678</v>
      </c>
      <c r="G61" s="103" t="s">
        <v>4679</v>
      </c>
      <c r="H61" s="103" t="s">
        <v>4870</v>
      </c>
      <c r="I61" s="103">
        <v>6427200.0</v>
      </c>
      <c r="J61" s="104" t="s">
        <v>4867</v>
      </c>
      <c r="K61" s="105"/>
      <c r="L61" s="105"/>
    </row>
    <row r="62">
      <c r="A62" s="103" t="s">
        <v>4676</v>
      </c>
      <c r="B62" s="103">
        <v>1.10010061602E11</v>
      </c>
      <c r="C62" s="105"/>
      <c r="D62" s="104" t="s">
        <v>4871</v>
      </c>
      <c r="E62" s="104" t="s">
        <v>4869</v>
      </c>
      <c r="F62" s="103" t="s">
        <v>4678</v>
      </c>
      <c r="G62" s="103" t="s">
        <v>4679</v>
      </c>
      <c r="H62" s="103" t="s">
        <v>4872</v>
      </c>
      <c r="I62" s="103">
        <v>6427200.0</v>
      </c>
      <c r="J62" s="104" t="s">
        <v>4867</v>
      </c>
      <c r="K62" s="105"/>
      <c r="L62" s="105"/>
    </row>
    <row r="63">
      <c r="A63" s="103" t="s">
        <v>4676</v>
      </c>
      <c r="B63" s="103">
        <v>1.100100661E9</v>
      </c>
      <c r="C63" s="105"/>
      <c r="D63" s="104" t="s">
        <v>4873</v>
      </c>
      <c r="E63" s="104" t="s">
        <v>4874</v>
      </c>
      <c r="F63" s="103" t="s">
        <v>4678</v>
      </c>
      <c r="G63" s="103" t="s">
        <v>4679</v>
      </c>
      <c r="H63" s="103" t="s">
        <v>4875</v>
      </c>
      <c r="I63" s="103" t="s">
        <v>4876</v>
      </c>
      <c r="J63" s="104" t="s">
        <v>4877</v>
      </c>
      <c r="K63" s="105"/>
      <c r="L63" s="105"/>
    </row>
    <row r="64">
      <c r="A64" s="103" t="s">
        <v>4676</v>
      </c>
      <c r="B64" s="103">
        <v>1.10010066101E11</v>
      </c>
      <c r="C64" s="105"/>
      <c r="D64" s="104" t="s">
        <v>4873</v>
      </c>
      <c r="E64" s="104" t="s">
        <v>4878</v>
      </c>
      <c r="F64" s="103" t="s">
        <v>4678</v>
      </c>
      <c r="G64" s="103" t="s">
        <v>4679</v>
      </c>
      <c r="H64" s="103" t="s">
        <v>4875</v>
      </c>
      <c r="I64" s="103" t="s">
        <v>4879</v>
      </c>
      <c r="J64" s="104" t="s">
        <v>4880</v>
      </c>
      <c r="K64" s="105"/>
      <c r="L64" s="105"/>
    </row>
    <row r="65">
      <c r="A65" s="103" t="s">
        <v>4676</v>
      </c>
      <c r="B65" s="103">
        <v>1.10010066102E11</v>
      </c>
      <c r="C65" s="105"/>
      <c r="D65" s="104" t="s">
        <v>4881</v>
      </c>
      <c r="E65" s="104" t="s">
        <v>4878</v>
      </c>
      <c r="F65" s="103" t="s">
        <v>4678</v>
      </c>
      <c r="G65" s="103" t="s">
        <v>4679</v>
      </c>
      <c r="H65" s="103" t="s">
        <v>4882</v>
      </c>
      <c r="I65" s="103" t="s">
        <v>4883</v>
      </c>
      <c r="J65" s="104" t="s">
        <v>4880</v>
      </c>
      <c r="K65" s="105"/>
      <c r="L65" s="105"/>
    </row>
    <row r="66">
      <c r="A66" s="103" t="s">
        <v>4676</v>
      </c>
      <c r="B66" s="103">
        <v>1.10010066103E11</v>
      </c>
      <c r="C66" s="105"/>
      <c r="D66" s="104" t="s">
        <v>4884</v>
      </c>
      <c r="E66" s="104" t="s">
        <v>4878</v>
      </c>
      <c r="F66" s="103" t="s">
        <v>4678</v>
      </c>
      <c r="G66" s="103" t="s">
        <v>4679</v>
      </c>
      <c r="H66" s="103" t="s">
        <v>4885</v>
      </c>
      <c r="I66" s="103" t="s">
        <v>4886</v>
      </c>
      <c r="J66" s="104" t="s">
        <v>4880</v>
      </c>
      <c r="K66" s="105"/>
      <c r="L66" s="105"/>
    </row>
    <row r="67">
      <c r="A67" s="103" t="s">
        <v>4676</v>
      </c>
      <c r="B67" s="103">
        <v>1.10010066105E11</v>
      </c>
      <c r="C67" s="105"/>
      <c r="D67" s="104" t="s">
        <v>4887</v>
      </c>
      <c r="E67" s="104" t="s">
        <v>4878</v>
      </c>
      <c r="F67" s="103" t="s">
        <v>4678</v>
      </c>
      <c r="G67" s="103" t="s">
        <v>4679</v>
      </c>
      <c r="H67" s="103" t="s">
        <v>4888</v>
      </c>
      <c r="I67" s="103">
        <v>7440052.0</v>
      </c>
      <c r="J67" s="104" t="s">
        <v>4880</v>
      </c>
      <c r="K67" s="105"/>
      <c r="L67" s="105"/>
    </row>
    <row r="68">
      <c r="A68" s="103" t="s">
        <v>4676</v>
      </c>
      <c r="B68" s="103">
        <v>1.10010067E9</v>
      </c>
      <c r="C68" s="105"/>
      <c r="D68" s="104" t="s">
        <v>4889</v>
      </c>
      <c r="E68" s="104" t="s">
        <v>4890</v>
      </c>
      <c r="F68" s="103" t="s">
        <v>4678</v>
      </c>
      <c r="G68" s="103" t="s">
        <v>4679</v>
      </c>
      <c r="H68" s="103" t="s">
        <v>4891</v>
      </c>
      <c r="I68" s="103">
        <v>7324044.0</v>
      </c>
      <c r="J68" s="104" t="s">
        <v>4892</v>
      </c>
      <c r="K68" s="105"/>
      <c r="L68" s="105"/>
    </row>
    <row r="69">
      <c r="A69" s="103" t="s">
        <v>4676</v>
      </c>
      <c r="B69" s="103">
        <v>1.10010067001E11</v>
      </c>
      <c r="C69" s="105"/>
      <c r="D69" s="104" t="s">
        <v>4893</v>
      </c>
      <c r="E69" s="104" t="s">
        <v>4894</v>
      </c>
      <c r="F69" s="103" t="s">
        <v>4678</v>
      </c>
      <c r="G69" s="103" t="s">
        <v>4679</v>
      </c>
      <c r="H69" s="103" t="s">
        <v>4895</v>
      </c>
      <c r="I69" s="103">
        <v>7324044.0</v>
      </c>
      <c r="J69" s="104" t="s">
        <v>4892</v>
      </c>
      <c r="K69" s="105"/>
      <c r="L69" s="105"/>
    </row>
    <row r="70">
      <c r="A70" s="103" t="s">
        <v>4676</v>
      </c>
      <c r="B70" s="103">
        <v>1.100100732E9</v>
      </c>
      <c r="C70" s="105"/>
      <c r="D70" s="104" t="s">
        <v>4896</v>
      </c>
      <c r="E70" s="104" t="s">
        <v>4897</v>
      </c>
      <c r="F70" s="103" t="s">
        <v>4678</v>
      </c>
      <c r="G70" s="103" t="s">
        <v>4679</v>
      </c>
      <c r="H70" s="103" t="s">
        <v>4898</v>
      </c>
      <c r="I70" s="103">
        <v>6358141.0</v>
      </c>
      <c r="J70" s="104" t="s">
        <v>4899</v>
      </c>
      <c r="K70" s="107" t="s">
        <v>4900</v>
      </c>
      <c r="L70" s="105"/>
    </row>
    <row r="71">
      <c r="A71" s="103" t="s">
        <v>4676</v>
      </c>
      <c r="B71" s="103">
        <v>1.10010073203E11</v>
      </c>
      <c r="C71" s="105"/>
      <c r="D71" s="104" t="s">
        <v>4901</v>
      </c>
      <c r="E71" s="104" t="s">
        <v>4902</v>
      </c>
      <c r="F71" s="103" t="s">
        <v>4678</v>
      </c>
      <c r="G71" s="103" t="s">
        <v>4679</v>
      </c>
      <c r="H71" s="103" t="s">
        <v>4903</v>
      </c>
      <c r="I71" s="103">
        <v>6121940.0</v>
      </c>
      <c r="J71" s="104" t="s">
        <v>4904</v>
      </c>
      <c r="K71" s="105"/>
      <c r="L71" s="105"/>
    </row>
    <row r="72">
      <c r="A72" s="103" t="s">
        <v>4676</v>
      </c>
      <c r="B72" s="103">
        <v>1.10010073204E11</v>
      </c>
      <c r="C72" s="105"/>
      <c r="D72" s="104" t="s">
        <v>4901</v>
      </c>
      <c r="E72" s="104" t="s">
        <v>4902</v>
      </c>
      <c r="F72" s="103" t="s">
        <v>4678</v>
      </c>
      <c r="G72" s="103" t="s">
        <v>4679</v>
      </c>
      <c r="H72" s="103" t="s">
        <v>4905</v>
      </c>
      <c r="I72" s="103">
        <v>6358141.0</v>
      </c>
      <c r="J72" s="104" t="s">
        <v>4906</v>
      </c>
      <c r="K72" s="105"/>
      <c r="L72" s="105"/>
    </row>
    <row r="73">
      <c r="A73" s="103" t="s">
        <v>4676</v>
      </c>
      <c r="B73" s="103">
        <v>1.100100733E9</v>
      </c>
      <c r="C73" s="105"/>
      <c r="D73" s="104" t="s">
        <v>4907</v>
      </c>
      <c r="E73" s="104" t="s">
        <v>4908</v>
      </c>
      <c r="F73" s="103" t="s">
        <v>4678</v>
      </c>
      <c r="G73" s="103" t="s">
        <v>4679</v>
      </c>
      <c r="H73" s="103" t="s">
        <v>4909</v>
      </c>
      <c r="I73" s="103" t="s">
        <v>4910</v>
      </c>
      <c r="J73" s="104" t="s">
        <v>4911</v>
      </c>
      <c r="K73" s="105"/>
      <c r="L73" s="105"/>
    </row>
    <row r="74">
      <c r="A74" s="103" t="s">
        <v>4676</v>
      </c>
      <c r="B74" s="103">
        <v>1.10010073305E11</v>
      </c>
      <c r="C74" s="105"/>
      <c r="D74" s="104" t="s">
        <v>4907</v>
      </c>
      <c r="E74" s="104" t="s">
        <v>4912</v>
      </c>
      <c r="F74" s="103" t="s">
        <v>4678</v>
      </c>
      <c r="G74" s="103" t="s">
        <v>4679</v>
      </c>
      <c r="H74" s="103" t="s">
        <v>4913</v>
      </c>
      <c r="I74" s="103" t="s">
        <v>4914</v>
      </c>
      <c r="J74" s="104" t="s">
        <v>4911</v>
      </c>
      <c r="K74" s="105"/>
      <c r="L74" s="105"/>
    </row>
    <row r="75">
      <c r="A75" s="103" t="s">
        <v>4676</v>
      </c>
      <c r="B75" s="103">
        <v>1.100100923E9</v>
      </c>
      <c r="C75" s="105"/>
      <c r="D75" s="104" t="s">
        <v>4915</v>
      </c>
      <c r="E75" s="104" t="s">
        <v>4916</v>
      </c>
      <c r="F75" s="103" t="s">
        <v>4678</v>
      </c>
      <c r="G75" s="103" t="s">
        <v>4679</v>
      </c>
      <c r="H75" s="103" t="s">
        <v>4917</v>
      </c>
      <c r="I75" s="103">
        <v>4263111.0</v>
      </c>
      <c r="J75" s="104" t="s">
        <v>4918</v>
      </c>
      <c r="K75" s="105"/>
      <c r="L75" s="105"/>
    </row>
    <row r="76">
      <c r="A76" s="103" t="s">
        <v>4676</v>
      </c>
      <c r="B76" s="103">
        <v>1.10010092301E11</v>
      </c>
      <c r="C76" s="105"/>
      <c r="D76" s="104" t="s">
        <v>4915</v>
      </c>
      <c r="E76" s="104" t="s">
        <v>4919</v>
      </c>
      <c r="F76" s="103" t="s">
        <v>4678</v>
      </c>
      <c r="G76" s="103" t="s">
        <v>4679</v>
      </c>
      <c r="H76" s="103" t="s">
        <v>4917</v>
      </c>
      <c r="I76" s="103">
        <v>4263111.0</v>
      </c>
      <c r="J76" s="104" t="s">
        <v>4918</v>
      </c>
      <c r="K76" s="105"/>
      <c r="L76" s="105"/>
    </row>
    <row r="77">
      <c r="A77" s="103" t="s">
        <v>4676</v>
      </c>
      <c r="B77" s="103">
        <v>1.10010092302E11</v>
      </c>
      <c r="C77" s="105"/>
      <c r="D77" s="104" t="s">
        <v>4920</v>
      </c>
      <c r="E77" s="104" t="s">
        <v>4919</v>
      </c>
      <c r="F77" s="103" t="s">
        <v>4678</v>
      </c>
      <c r="G77" s="103" t="s">
        <v>4679</v>
      </c>
      <c r="H77" s="103" t="s">
        <v>4921</v>
      </c>
      <c r="I77" s="103">
        <v>4263111.0</v>
      </c>
      <c r="J77" s="104" t="s">
        <v>4918</v>
      </c>
      <c r="K77" s="105"/>
      <c r="L77" s="105"/>
    </row>
    <row r="78">
      <c r="A78" s="103" t="s">
        <v>4676</v>
      </c>
      <c r="B78" s="103">
        <v>1.10010093E9</v>
      </c>
      <c r="C78" s="105"/>
      <c r="D78" s="104" t="s">
        <v>4922</v>
      </c>
      <c r="E78" s="104" t="s">
        <v>4923</v>
      </c>
      <c r="F78" s="103" t="s">
        <v>4678</v>
      </c>
      <c r="G78" s="103" t="s">
        <v>4679</v>
      </c>
      <c r="H78" s="103" t="s">
        <v>4924</v>
      </c>
      <c r="I78" s="103" t="s">
        <v>4925</v>
      </c>
      <c r="J78" s="104" t="s">
        <v>4926</v>
      </c>
      <c r="K78" s="105"/>
      <c r="L78" s="105"/>
    </row>
    <row r="79">
      <c r="A79" s="103" t="s">
        <v>4676</v>
      </c>
      <c r="B79" s="103">
        <v>1.10010093001E11</v>
      </c>
      <c r="C79" s="105"/>
      <c r="D79" s="104" t="s">
        <v>4922</v>
      </c>
      <c r="E79" s="104" t="s">
        <v>4927</v>
      </c>
      <c r="F79" s="103" t="s">
        <v>4678</v>
      </c>
      <c r="G79" s="103" t="s">
        <v>4679</v>
      </c>
      <c r="H79" s="103" t="s">
        <v>4928</v>
      </c>
      <c r="I79" s="103" t="s">
        <v>4925</v>
      </c>
      <c r="J79" s="104" t="s">
        <v>4926</v>
      </c>
      <c r="K79" s="105"/>
      <c r="L79" s="105"/>
    </row>
    <row r="80">
      <c r="A80" s="103" t="s">
        <v>4676</v>
      </c>
      <c r="B80" s="103">
        <v>1.100100997E9</v>
      </c>
      <c r="C80" s="105"/>
      <c r="D80" s="104" t="s">
        <v>4929</v>
      </c>
      <c r="E80" s="104" t="s">
        <v>4930</v>
      </c>
      <c r="F80" s="103" t="s">
        <v>4678</v>
      </c>
      <c r="G80" s="103" t="s">
        <v>4679</v>
      </c>
      <c r="H80" s="103" t="s">
        <v>4931</v>
      </c>
      <c r="I80" s="103">
        <v>6508473.0</v>
      </c>
      <c r="J80" s="104" t="s">
        <v>4932</v>
      </c>
      <c r="K80" s="107" t="s">
        <v>4933</v>
      </c>
      <c r="L80" s="105"/>
    </row>
    <row r="81">
      <c r="A81" s="103" t="s">
        <v>4676</v>
      </c>
      <c r="B81" s="103">
        <v>1.10010099701E11</v>
      </c>
      <c r="C81" s="105"/>
      <c r="D81" s="104" t="s">
        <v>4929</v>
      </c>
      <c r="E81" s="106"/>
      <c r="F81" s="103" t="s">
        <v>4678</v>
      </c>
      <c r="G81" s="103" t="s">
        <v>4679</v>
      </c>
      <c r="H81" s="103" t="s">
        <v>4931</v>
      </c>
      <c r="I81" s="103">
        <v>6508473.0</v>
      </c>
      <c r="J81" s="104" t="s">
        <v>4932</v>
      </c>
      <c r="K81" s="105"/>
      <c r="L81" s="105"/>
    </row>
    <row r="82">
      <c r="A82" s="103" t="s">
        <v>4676</v>
      </c>
      <c r="B82" s="103">
        <v>1.10010099702E11</v>
      </c>
      <c r="C82" s="105"/>
      <c r="D82" s="104" t="s">
        <v>4934</v>
      </c>
      <c r="E82" s="104" t="s">
        <v>4935</v>
      </c>
      <c r="F82" s="103" t="s">
        <v>4678</v>
      </c>
      <c r="G82" s="103" t="s">
        <v>4679</v>
      </c>
      <c r="H82" s="103" t="s">
        <v>4936</v>
      </c>
      <c r="I82" s="103">
        <v>2900521.0</v>
      </c>
      <c r="J82" s="104" t="s">
        <v>4932</v>
      </c>
      <c r="K82" s="105"/>
      <c r="L82" s="105"/>
    </row>
    <row r="83">
      <c r="A83" s="103" t="s">
        <v>4676</v>
      </c>
      <c r="B83" s="103">
        <v>1.10010101E9</v>
      </c>
      <c r="C83" s="105"/>
      <c r="D83" s="104" t="s">
        <v>4937</v>
      </c>
      <c r="E83" s="104" t="s">
        <v>4938</v>
      </c>
      <c r="F83" s="103" t="s">
        <v>4678</v>
      </c>
      <c r="G83" s="103" t="s">
        <v>4679</v>
      </c>
      <c r="H83" s="103" t="s">
        <v>4939</v>
      </c>
      <c r="I83" s="103" t="s">
        <v>4940</v>
      </c>
      <c r="J83" s="104" t="s">
        <v>4941</v>
      </c>
      <c r="K83" s="107" t="s">
        <v>4942</v>
      </c>
      <c r="L83" s="105"/>
    </row>
    <row r="84">
      <c r="A84" s="103" t="s">
        <v>4676</v>
      </c>
      <c r="B84" s="103">
        <v>1.10010101001E11</v>
      </c>
      <c r="C84" s="105"/>
      <c r="D84" s="104" t="s">
        <v>4943</v>
      </c>
      <c r="E84" s="104" t="s">
        <v>4944</v>
      </c>
      <c r="F84" s="103" t="s">
        <v>4678</v>
      </c>
      <c r="G84" s="103" t="s">
        <v>4679</v>
      </c>
      <c r="H84" s="103" t="s">
        <v>4945</v>
      </c>
      <c r="I84" s="103" t="s">
        <v>4946</v>
      </c>
      <c r="J84" s="104" t="s">
        <v>4947</v>
      </c>
      <c r="K84" s="105"/>
      <c r="L84" s="105"/>
    </row>
    <row r="85">
      <c r="A85" s="103" t="s">
        <v>4676</v>
      </c>
      <c r="B85" s="103">
        <v>1.10010101002E11</v>
      </c>
      <c r="C85" s="105"/>
      <c r="D85" s="104" t="s">
        <v>4948</v>
      </c>
      <c r="E85" s="104" t="s">
        <v>4949</v>
      </c>
      <c r="F85" s="103" t="s">
        <v>4678</v>
      </c>
      <c r="G85" s="103" t="s">
        <v>4679</v>
      </c>
      <c r="H85" s="103" t="s">
        <v>4950</v>
      </c>
      <c r="I85" s="103" t="s">
        <v>4951</v>
      </c>
      <c r="J85" s="104" t="s">
        <v>4952</v>
      </c>
      <c r="K85" s="105"/>
      <c r="L85" s="105"/>
    </row>
    <row r="86">
      <c r="A86" s="103" t="s">
        <v>4676</v>
      </c>
      <c r="B86" s="103">
        <v>1.10010101003E11</v>
      </c>
      <c r="C86" s="105"/>
      <c r="D86" s="104" t="s">
        <v>4953</v>
      </c>
      <c r="E86" s="104" t="s">
        <v>4954</v>
      </c>
      <c r="F86" s="103" t="s">
        <v>4678</v>
      </c>
      <c r="G86" s="103" t="s">
        <v>4679</v>
      </c>
      <c r="H86" s="103" t="s">
        <v>4955</v>
      </c>
      <c r="I86" s="103" t="s">
        <v>4956</v>
      </c>
      <c r="J86" s="104" t="s">
        <v>4957</v>
      </c>
      <c r="K86" s="105"/>
      <c r="L86" s="105"/>
    </row>
    <row r="87">
      <c r="A87" s="103" t="s">
        <v>4676</v>
      </c>
      <c r="B87" s="103">
        <v>1.10010101004E11</v>
      </c>
      <c r="C87" s="105"/>
      <c r="D87" s="104" t="s">
        <v>4958</v>
      </c>
      <c r="E87" s="104" t="s">
        <v>4959</v>
      </c>
      <c r="F87" s="103" t="s">
        <v>4678</v>
      </c>
      <c r="G87" s="103" t="s">
        <v>4679</v>
      </c>
      <c r="H87" s="103" t="s">
        <v>4960</v>
      </c>
      <c r="I87" s="103" t="s">
        <v>4961</v>
      </c>
      <c r="J87" s="104" t="s">
        <v>4962</v>
      </c>
      <c r="K87" s="105"/>
      <c r="L87" s="105"/>
    </row>
    <row r="88">
      <c r="A88" s="103" t="s">
        <v>4676</v>
      </c>
      <c r="B88" s="103">
        <v>1.10010101005E11</v>
      </c>
      <c r="C88" s="105"/>
      <c r="D88" s="104" t="s">
        <v>4963</v>
      </c>
      <c r="E88" s="104" t="s">
        <v>4964</v>
      </c>
      <c r="F88" s="103" t="s">
        <v>4678</v>
      </c>
      <c r="G88" s="103" t="s">
        <v>4679</v>
      </c>
      <c r="H88" s="103" t="s">
        <v>4965</v>
      </c>
      <c r="I88" s="103">
        <v>3.017158114E9</v>
      </c>
      <c r="J88" s="104" t="s">
        <v>4966</v>
      </c>
      <c r="K88" s="105"/>
      <c r="L88" s="105"/>
    </row>
    <row r="89">
      <c r="A89" s="103" t="s">
        <v>4676</v>
      </c>
      <c r="B89" s="103">
        <v>1.10010101006E11</v>
      </c>
      <c r="C89" s="105"/>
      <c r="D89" s="104" t="s">
        <v>4967</v>
      </c>
      <c r="E89" s="104" t="s">
        <v>4968</v>
      </c>
      <c r="F89" s="103" t="s">
        <v>4678</v>
      </c>
      <c r="G89" s="103" t="s">
        <v>4679</v>
      </c>
      <c r="H89" s="103" t="s">
        <v>4969</v>
      </c>
      <c r="I89" s="103" t="s">
        <v>4970</v>
      </c>
      <c r="J89" s="104" t="s">
        <v>4971</v>
      </c>
      <c r="K89" s="105"/>
      <c r="L89" s="105"/>
    </row>
    <row r="90">
      <c r="A90" s="103" t="s">
        <v>4676</v>
      </c>
      <c r="B90" s="103">
        <v>1.10010101007E11</v>
      </c>
      <c r="C90" s="105"/>
      <c r="D90" s="104" t="s">
        <v>4972</v>
      </c>
      <c r="E90" s="104" t="s">
        <v>4973</v>
      </c>
      <c r="F90" s="103" t="s">
        <v>4678</v>
      </c>
      <c r="G90" s="103" t="s">
        <v>4679</v>
      </c>
      <c r="H90" s="103" t="s">
        <v>4974</v>
      </c>
      <c r="I90" s="103" t="s">
        <v>4975</v>
      </c>
      <c r="J90" s="104" t="s">
        <v>4976</v>
      </c>
      <c r="K90" s="105"/>
      <c r="L90" s="105"/>
    </row>
    <row r="91">
      <c r="A91" s="103" t="s">
        <v>4676</v>
      </c>
      <c r="B91" s="103">
        <v>1.10010101008E11</v>
      </c>
      <c r="C91" s="105"/>
      <c r="D91" s="104" t="s">
        <v>4977</v>
      </c>
      <c r="E91" s="104" t="s">
        <v>4978</v>
      </c>
      <c r="F91" s="103" t="s">
        <v>4678</v>
      </c>
      <c r="G91" s="103" t="s">
        <v>4679</v>
      </c>
      <c r="H91" s="103" t="s">
        <v>4979</v>
      </c>
      <c r="I91" s="103" t="s">
        <v>4980</v>
      </c>
      <c r="J91" s="104" t="s">
        <v>4981</v>
      </c>
      <c r="K91" s="105"/>
      <c r="L91" s="105"/>
    </row>
    <row r="92">
      <c r="A92" s="103" t="s">
        <v>4676</v>
      </c>
      <c r="B92" s="103">
        <v>1.1001010101E11</v>
      </c>
      <c r="C92" s="105"/>
      <c r="D92" s="104" t="s">
        <v>4982</v>
      </c>
      <c r="E92" s="104" t="s">
        <v>4983</v>
      </c>
      <c r="F92" s="103" t="s">
        <v>4678</v>
      </c>
      <c r="G92" s="103" t="s">
        <v>4679</v>
      </c>
      <c r="H92" s="103" t="s">
        <v>4984</v>
      </c>
      <c r="I92" s="103" t="s">
        <v>4985</v>
      </c>
      <c r="J92" s="104" t="s">
        <v>4986</v>
      </c>
      <c r="K92" s="105"/>
      <c r="L92" s="105"/>
    </row>
    <row r="93">
      <c r="A93" s="103" t="s">
        <v>4676</v>
      </c>
      <c r="B93" s="103">
        <v>1.10010101011E11</v>
      </c>
      <c r="C93" s="105"/>
      <c r="D93" s="104" t="s">
        <v>4987</v>
      </c>
      <c r="E93" s="104" t="s">
        <v>4988</v>
      </c>
      <c r="F93" s="103" t="s">
        <v>4678</v>
      </c>
      <c r="G93" s="103" t="s">
        <v>4679</v>
      </c>
      <c r="H93" s="103" t="s">
        <v>4989</v>
      </c>
      <c r="I93" s="103" t="s">
        <v>4990</v>
      </c>
      <c r="J93" s="104" t="s">
        <v>4991</v>
      </c>
      <c r="K93" s="105"/>
      <c r="L93" s="105"/>
    </row>
    <row r="94">
      <c r="A94" s="103" t="s">
        <v>4676</v>
      </c>
      <c r="B94" s="103">
        <v>1.10010101012E11</v>
      </c>
      <c r="C94" s="105"/>
      <c r="D94" s="104" t="s">
        <v>4992</v>
      </c>
      <c r="E94" s="104" t="s">
        <v>4993</v>
      </c>
      <c r="F94" s="103" t="s">
        <v>4678</v>
      </c>
      <c r="G94" s="103" t="s">
        <v>4679</v>
      </c>
      <c r="H94" s="103" t="s">
        <v>4994</v>
      </c>
      <c r="I94" s="103" t="s">
        <v>4995</v>
      </c>
      <c r="J94" s="104" t="s">
        <v>4996</v>
      </c>
      <c r="K94" s="105"/>
      <c r="L94" s="105"/>
    </row>
    <row r="95">
      <c r="A95" s="103" t="s">
        <v>4676</v>
      </c>
      <c r="B95" s="103">
        <v>1.10010101013E11</v>
      </c>
      <c r="C95" s="105"/>
      <c r="D95" s="104" t="s">
        <v>4997</v>
      </c>
      <c r="E95" s="104" t="s">
        <v>4998</v>
      </c>
      <c r="F95" s="103" t="s">
        <v>4678</v>
      </c>
      <c r="G95" s="103" t="s">
        <v>4679</v>
      </c>
      <c r="H95" s="103" t="s">
        <v>4999</v>
      </c>
      <c r="I95" s="103" t="s">
        <v>5000</v>
      </c>
      <c r="J95" s="104" t="s">
        <v>5001</v>
      </c>
      <c r="K95" s="105"/>
      <c r="L95" s="105"/>
    </row>
    <row r="96">
      <c r="A96" s="103" t="s">
        <v>4676</v>
      </c>
      <c r="B96" s="103">
        <v>1.10010101014E11</v>
      </c>
      <c r="C96" s="105"/>
      <c r="D96" s="104" t="s">
        <v>5002</v>
      </c>
      <c r="E96" s="104" t="s">
        <v>5003</v>
      </c>
      <c r="F96" s="103" t="s">
        <v>4678</v>
      </c>
      <c r="G96" s="103" t="s">
        <v>4679</v>
      </c>
      <c r="H96" s="103" t="s">
        <v>5004</v>
      </c>
      <c r="I96" s="103" t="s">
        <v>5005</v>
      </c>
      <c r="J96" s="104" t="s">
        <v>5006</v>
      </c>
      <c r="K96" s="105"/>
      <c r="L96" s="105"/>
    </row>
    <row r="97">
      <c r="A97" s="103" t="s">
        <v>4676</v>
      </c>
      <c r="B97" s="103">
        <v>1.10010101016E11</v>
      </c>
      <c r="C97" s="105"/>
      <c r="D97" s="104" t="s">
        <v>5007</v>
      </c>
      <c r="E97" s="104" t="s">
        <v>5008</v>
      </c>
      <c r="F97" s="103" t="s">
        <v>4678</v>
      </c>
      <c r="G97" s="103" t="s">
        <v>4679</v>
      </c>
      <c r="H97" s="103" t="s">
        <v>5009</v>
      </c>
      <c r="I97" s="103">
        <v>3.142254617E9</v>
      </c>
      <c r="J97" s="104" t="s">
        <v>5010</v>
      </c>
      <c r="K97" s="105"/>
      <c r="L97" s="105"/>
    </row>
    <row r="98">
      <c r="A98" s="103" t="s">
        <v>4676</v>
      </c>
      <c r="B98" s="103">
        <v>1.10010101017E11</v>
      </c>
      <c r="C98" s="105"/>
      <c r="D98" s="104" t="s">
        <v>5011</v>
      </c>
      <c r="E98" s="104" t="s">
        <v>5012</v>
      </c>
      <c r="F98" s="103" t="s">
        <v>4678</v>
      </c>
      <c r="G98" s="103" t="s">
        <v>4679</v>
      </c>
      <c r="H98" s="103" t="s">
        <v>5013</v>
      </c>
      <c r="I98" s="103" t="s">
        <v>5014</v>
      </c>
      <c r="J98" s="104" t="s">
        <v>5015</v>
      </c>
      <c r="K98" s="105"/>
      <c r="L98" s="105"/>
    </row>
    <row r="99">
      <c r="A99" s="103" t="s">
        <v>4676</v>
      </c>
      <c r="B99" s="103">
        <v>1.10010101018E11</v>
      </c>
      <c r="C99" s="105"/>
      <c r="D99" s="104" t="s">
        <v>5016</v>
      </c>
      <c r="E99" s="104" t="s">
        <v>5017</v>
      </c>
      <c r="F99" s="103" t="s">
        <v>4678</v>
      </c>
      <c r="G99" s="103" t="s">
        <v>4679</v>
      </c>
      <c r="H99" s="103" t="s">
        <v>5018</v>
      </c>
      <c r="I99" s="103" t="s">
        <v>5019</v>
      </c>
      <c r="J99" s="104" t="s">
        <v>5020</v>
      </c>
      <c r="K99" s="105"/>
      <c r="L99" s="105"/>
    </row>
    <row r="100">
      <c r="A100" s="103" t="s">
        <v>4676</v>
      </c>
      <c r="B100" s="103">
        <v>1.10010101019E11</v>
      </c>
      <c r="C100" s="105"/>
      <c r="D100" s="104" t="s">
        <v>5021</v>
      </c>
      <c r="E100" s="104" t="s">
        <v>5022</v>
      </c>
      <c r="F100" s="103" t="s">
        <v>4678</v>
      </c>
      <c r="G100" s="103" t="s">
        <v>4679</v>
      </c>
      <c r="H100" s="103" t="s">
        <v>5023</v>
      </c>
      <c r="I100" s="103" t="s">
        <v>5024</v>
      </c>
      <c r="J100" s="104" t="s">
        <v>5025</v>
      </c>
      <c r="K100" s="105"/>
      <c r="L100" s="105"/>
    </row>
    <row r="101">
      <c r="A101" s="103" t="s">
        <v>4676</v>
      </c>
      <c r="B101" s="103">
        <v>1.10010101021E11</v>
      </c>
      <c r="C101" s="105"/>
      <c r="D101" s="104" t="s">
        <v>5026</v>
      </c>
      <c r="E101" s="104" t="s">
        <v>5027</v>
      </c>
      <c r="F101" s="103" t="s">
        <v>4678</v>
      </c>
      <c r="G101" s="103" t="s">
        <v>4679</v>
      </c>
      <c r="H101" s="103" t="s">
        <v>5028</v>
      </c>
      <c r="I101" s="103">
        <v>3.102185548E9</v>
      </c>
      <c r="J101" s="104" t="s">
        <v>5029</v>
      </c>
      <c r="K101" s="105"/>
      <c r="L101" s="105"/>
    </row>
    <row r="102">
      <c r="A102" s="103" t="s">
        <v>4676</v>
      </c>
      <c r="B102" s="103">
        <v>1.10010101023E11</v>
      </c>
      <c r="C102" s="105"/>
      <c r="D102" s="104" t="s">
        <v>5030</v>
      </c>
      <c r="E102" s="104" t="s">
        <v>5031</v>
      </c>
      <c r="F102" s="103" t="s">
        <v>4678</v>
      </c>
      <c r="G102" s="103" t="s">
        <v>4679</v>
      </c>
      <c r="H102" s="103" t="s">
        <v>5032</v>
      </c>
      <c r="I102" s="103" t="s">
        <v>5033</v>
      </c>
      <c r="J102" s="104" t="s">
        <v>5034</v>
      </c>
      <c r="K102" s="105"/>
      <c r="L102" s="105"/>
    </row>
    <row r="103">
      <c r="A103" s="103" t="s">
        <v>4676</v>
      </c>
      <c r="B103" s="103">
        <v>1.10010101026E11</v>
      </c>
      <c r="C103" s="105"/>
      <c r="D103" s="104" t="s">
        <v>5035</v>
      </c>
      <c r="E103" s="104" t="s">
        <v>5036</v>
      </c>
      <c r="F103" s="103" t="s">
        <v>4678</v>
      </c>
      <c r="G103" s="103" t="s">
        <v>4679</v>
      </c>
      <c r="H103" s="103" t="s">
        <v>5037</v>
      </c>
      <c r="I103" s="103" t="s">
        <v>5038</v>
      </c>
      <c r="J103" s="104" t="s">
        <v>5039</v>
      </c>
      <c r="K103" s="105"/>
      <c r="L103" s="105"/>
    </row>
    <row r="104">
      <c r="A104" s="103" t="s">
        <v>4676</v>
      </c>
      <c r="B104" s="103">
        <v>1.10010101028E11</v>
      </c>
      <c r="C104" s="105"/>
      <c r="D104" s="104" t="s">
        <v>5040</v>
      </c>
      <c r="E104" s="104" t="s">
        <v>5041</v>
      </c>
      <c r="F104" s="103" t="s">
        <v>4678</v>
      </c>
      <c r="G104" s="103" t="s">
        <v>4679</v>
      </c>
      <c r="H104" s="103" t="s">
        <v>5042</v>
      </c>
      <c r="I104" s="103" t="s">
        <v>5043</v>
      </c>
      <c r="J104" s="104" t="s">
        <v>5044</v>
      </c>
      <c r="K104" s="105"/>
      <c r="L104" s="105"/>
    </row>
    <row r="105">
      <c r="A105" s="103" t="s">
        <v>4676</v>
      </c>
      <c r="B105" s="103">
        <v>1.10010101029E11</v>
      </c>
      <c r="C105" s="105"/>
      <c r="D105" s="104" t="s">
        <v>5045</v>
      </c>
      <c r="E105" s="104" t="s">
        <v>5046</v>
      </c>
      <c r="F105" s="103" t="s">
        <v>4678</v>
      </c>
      <c r="G105" s="103" t="s">
        <v>4679</v>
      </c>
      <c r="H105" s="103" t="s">
        <v>5047</v>
      </c>
      <c r="I105" s="103" t="s">
        <v>5048</v>
      </c>
      <c r="J105" s="104" t="s">
        <v>5049</v>
      </c>
      <c r="K105" s="105"/>
      <c r="L105" s="105"/>
    </row>
    <row r="106">
      <c r="A106" s="103" t="s">
        <v>4676</v>
      </c>
      <c r="B106" s="103">
        <v>1.1001010103E11</v>
      </c>
      <c r="C106" s="105"/>
      <c r="D106" s="104" t="s">
        <v>5050</v>
      </c>
      <c r="E106" s="104" t="s">
        <v>5051</v>
      </c>
      <c r="F106" s="103" t="s">
        <v>4678</v>
      </c>
      <c r="G106" s="103" t="s">
        <v>4679</v>
      </c>
      <c r="H106" s="103" t="s">
        <v>5052</v>
      </c>
      <c r="I106" s="103" t="s">
        <v>5053</v>
      </c>
      <c r="J106" s="104" t="s">
        <v>5054</v>
      </c>
      <c r="K106" s="105"/>
      <c r="L106" s="105"/>
    </row>
    <row r="107">
      <c r="A107" s="103" t="s">
        <v>4676</v>
      </c>
      <c r="B107" s="103">
        <v>1.10010101031E11</v>
      </c>
      <c r="C107" s="105"/>
      <c r="D107" s="104" t="s">
        <v>5055</v>
      </c>
      <c r="E107" s="104" t="s">
        <v>5056</v>
      </c>
      <c r="F107" s="103" t="s">
        <v>4678</v>
      </c>
      <c r="G107" s="103" t="s">
        <v>4679</v>
      </c>
      <c r="H107" s="103" t="s">
        <v>5057</v>
      </c>
      <c r="I107" s="103" t="s">
        <v>5058</v>
      </c>
      <c r="J107" s="104" t="s">
        <v>5059</v>
      </c>
      <c r="K107" s="105"/>
      <c r="L107" s="105"/>
    </row>
    <row r="108">
      <c r="A108" s="103" t="s">
        <v>4676</v>
      </c>
      <c r="B108" s="103">
        <v>1.10010101032E11</v>
      </c>
      <c r="C108" s="105"/>
      <c r="D108" s="104" t="s">
        <v>5060</v>
      </c>
      <c r="E108" s="104" t="s">
        <v>5061</v>
      </c>
      <c r="F108" s="103" t="s">
        <v>4678</v>
      </c>
      <c r="G108" s="103" t="s">
        <v>4679</v>
      </c>
      <c r="H108" s="103" t="s">
        <v>5062</v>
      </c>
      <c r="I108" s="103">
        <v>3.014966267E9</v>
      </c>
      <c r="J108" s="104" t="s">
        <v>5063</v>
      </c>
      <c r="K108" s="105"/>
      <c r="L108" s="105"/>
    </row>
    <row r="109">
      <c r="A109" s="103" t="s">
        <v>4676</v>
      </c>
      <c r="B109" s="103">
        <v>1.10010101033E11</v>
      </c>
      <c r="C109" s="105"/>
      <c r="D109" s="104" t="s">
        <v>5064</v>
      </c>
      <c r="E109" s="104" t="s">
        <v>5065</v>
      </c>
      <c r="F109" s="103" t="s">
        <v>4678</v>
      </c>
      <c r="G109" s="103" t="s">
        <v>4679</v>
      </c>
      <c r="H109" s="103" t="s">
        <v>5066</v>
      </c>
      <c r="I109" s="103" t="s">
        <v>5067</v>
      </c>
      <c r="J109" s="104" t="s">
        <v>5068</v>
      </c>
      <c r="K109" s="105"/>
      <c r="L109" s="105"/>
    </row>
    <row r="110">
      <c r="A110" s="103" t="s">
        <v>4676</v>
      </c>
      <c r="B110" s="103">
        <v>1.10010101034E11</v>
      </c>
      <c r="C110" s="105"/>
      <c r="D110" s="104" t="s">
        <v>5069</v>
      </c>
      <c r="E110" s="104" t="s">
        <v>5056</v>
      </c>
      <c r="F110" s="103" t="s">
        <v>4678</v>
      </c>
      <c r="G110" s="103" t="s">
        <v>4679</v>
      </c>
      <c r="H110" s="103" t="s">
        <v>5070</v>
      </c>
      <c r="I110" s="103" t="s">
        <v>5071</v>
      </c>
      <c r="J110" s="104" t="s">
        <v>5072</v>
      </c>
      <c r="K110" s="105"/>
      <c r="L110" s="105"/>
    </row>
    <row r="111">
      <c r="A111" s="103" t="s">
        <v>4676</v>
      </c>
      <c r="B111" s="103">
        <v>1.10010101035E11</v>
      </c>
      <c r="C111" s="105"/>
      <c r="D111" s="104" t="s">
        <v>5073</v>
      </c>
      <c r="E111" s="104" t="s">
        <v>5074</v>
      </c>
      <c r="F111" s="103" t="s">
        <v>4678</v>
      </c>
      <c r="G111" s="103" t="s">
        <v>4679</v>
      </c>
      <c r="H111" s="103" t="s">
        <v>5075</v>
      </c>
      <c r="I111" s="103" t="s">
        <v>5076</v>
      </c>
      <c r="J111" s="104" t="s">
        <v>5077</v>
      </c>
      <c r="K111" s="105"/>
      <c r="L111" s="105"/>
    </row>
    <row r="112">
      <c r="A112" s="103" t="s">
        <v>4676</v>
      </c>
      <c r="B112" s="103">
        <v>1.10010101036E11</v>
      </c>
      <c r="C112" s="105"/>
      <c r="D112" s="104" t="s">
        <v>5078</v>
      </c>
      <c r="E112" s="104" t="s">
        <v>5079</v>
      </c>
      <c r="F112" s="103" t="s">
        <v>4678</v>
      </c>
      <c r="G112" s="103" t="s">
        <v>4679</v>
      </c>
      <c r="H112" s="103" t="s">
        <v>5080</v>
      </c>
      <c r="I112" s="103" t="s">
        <v>5081</v>
      </c>
      <c r="J112" s="104" t="s">
        <v>5082</v>
      </c>
      <c r="K112" s="105"/>
      <c r="L112" s="105"/>
    </row>
    <row r="113">
      <c r="A113" s="103" t="s">
        <v>4676</v>
      </c>
      <c r="B113" s="103">
        <v>1.10010101037E11</v>
      </c>
      <c r="C113" s="105"/>
      <c r="D113" s="104" t="s">
        <v>5083</v>
      </c>
      <c r="E113" s="104" t="s">
        <v>5084</v>
      </c>
      <c r="F113" s="103" t="s">
        <v>4678</v>
      </c>
      <c r="G113" s="103" t="s">
        <v>4679</v>
      </c>
      <c r="H113" s="103" t="s">
        <v>5085</v>
      </c>
      <c r="I113" s="103" t="s">
        <v>5086</v>
      </c>
      <c r="J113" s="104" t="s">
        <v>5087</v>
      </c>
      <c r="K113" s="105"/>
      <c r="L113" s="105"/>
    </row>
    <row r="114">
      <c r="A114" s="103" t="s">
        <v>4676</v>
      </c>
      <c r="B114" s="103">
        <v>1.10010101038E11</v>
      </c>
      <c r="C114" s="105"/>
      <c r="D114" s="104" t="s">
        <v>5088</v>
      </c>
      <c r="E114" s="104" t="s">
        <v>5089</v>
      </c>
      <c r="F114" s="103" t="s">
        <v>4678</v>
      </c>
      <c r="G114" s="103" t="s">
        <v>4679</v>
      </c>
      <c r="H114" s="103" t="s">
        <v>5090</v>
      </c>
      <c r="I114" s="103" t="s">
        <v>5091</v>
      </c>
      <c r="J114" s="104" t="s">
        <v>5092</v>
      </c>
      <c r="K114" s="105"/>
      <c r="L114" s="105"/>
    </row>
    <row r="115">
      <c r="A115" s="103" t="s">
        <v>4676</v>
      </c>
      <c r="B115" s="103">
        <v>1.10010101039E11</v>
      </c>
      <c r="C115" s="105"/>
      <c r="D115" s="104" t="s">
        <v>5093</v>
      </c>
      <c r="E115" s="104" t="s">
        <v>5094</v>
      </c>
      <c r="F115" s="103" t="s">
        <v>4678</v>
      </c>
      <c r="G115" s="103" t="s">
        <v>4679</v>
      </c>
      <c r="H115" s="103" t="s">
        <v>5095</v>
      </c>
      <c r="I115" s="103" t="s">
        <v>5096</v>
      </c>
      <c r="J115" s="104" t="s">
        <v>5097</v>
      </c>
      <c r="K115" s="105"/>
      <c r="L115" s="105"/>
    </row>
    <row r="116">
      <c r="A116" s="103" t="s">
        <v>4676</v>
      </c>
      <c r="B116" s="103">
        <v>1.1001010104E11</v>
      </c>
      <c r="C116" s="105"/>
      <c r="D116" s="104" t="s">
        <v>5098</v>
      </c>
      <c r="E116" s="104" t="s">
        <v>5099</v>
      </c>
      <c r="F116" s="103" t="s">
        <v>4678</v>
      </c>
      <c r="G116" s="103" t="s">
        <v>4679</v>
      </c>
      <c r="H116" s="103" t="s">
        <v>5100</v>
      </c>
      <c r="I116" s="103">
        <v>3.163184277E9</v>
      </c>
      <c r="J116" s="104" t="s">
        <v>5101</v>
      </c>
      <c r="K116" s="105"/>
      <c r="L116" s="105"/>
    </row>
    <row r="117">
      <c r="A117" s="103" t="s">
        <v>4676</v>
      </c>
      <c r="B117" s="103">
        <v>1.10010101041E11</v>
      </c>
      <c r="C117" s="105"/>
      <c r="D117" s="104" t="s">
        <v>5102</v>
      </c>
      <c r="E117" s="104" t="s">
        <v>5103</v>
      </c>
      <c r="F117" s="103" t="s">
        <v>4678</v>
      </c>
      <c r="G117" s="103" t="s">
        <v>4679</v>
      </c>
      <c r="H117" s="103" t="s">
        <v>5104</v>
      </c>
      <c r="I117" s="103">
        <v>3.203119132E9</v>
      </c>
      <c r="J117" s="104" t="s">
        <v>5105</v>
      </c>
      <c r="K117" s="105"/>
      <c r="L117" s="105"/>
    </row>
    <row r="118">
      <c r="A118" s="103" t="s">
        <v>4676</v>
      </c>
      <c r="B118" s="103">
        <v>1.10010101042E11</v>
      </c>
      <c r="C118" s="105"/>
      <c r="D118" s="104" t="s">
        <v>5106</v>
      </c>
      <c r="E118" s="104" t="s">
        <v>5065</v>
      </c>
      <c r="F118" s="103" t="s">
        <v>4678</v>
      </c>
      <c r="G118" s="103" t="s">
        <v>4679</v>
      </c>
      <c r="H118" s="103" t="s">
        <v>5107</v>
      </c>
      <c r="I118" s="103">
        <v>3.148773075E9</v>
      </c>
      <c r="J118" s="104" t="s">
        <v>5108</v>
      </c>
      <c r="K118" s="105"/>
      <c r="L118" s="105"/>
    </row>
    <row r="119">
      <c r="A119" s="103" t="s">
        <v>4676</v>
      </c>
      <c r="B119" s="103">
        <v>1.10010101043E11</v>
      </c>
      <c r="C119" s="105"/>
      <c r="D119" s="104" t="s">
        <v>5109</v>
      </c>
      <c r="E119" s="104" t="s">
        <v>5110</v>
      </c>
      <c r="F119" s="103" t="s">
        <v>4678</v>
      </c>
      <c r="G119" s="103" t="s">
        <v>4679</v>
      </c>
      <c r="H119" s="103" t="s">
        <v>5111</v>
      </c>
      <c r="I119" s="103">
        <v>3.214697068E9</v>
      </c>
      <c r="J119" s="104" t="s">
        <v>5112</v>
      </c>
      <c r="K119" s="105"/>
      <c r="L119" s="105"/>
    </row>
    <row r="120">
      <c r="A120" s="103" t="s">
        <v>4676</v>
      </c>
      <c r="B120" s="103">
        <v>1.10010101044E11</v>
      </c>
      <c r="C120" s="105"/>
      <c r="D120" s="104" t="s">
        <v>5113</v>
      </c>
      <c r="E120" s="104" t="s">
        <v>5114</v>
      </c>
      <c r="F120" s="103" t="s">
        <v>4678</v>
      </c>
      <c r="G120" s="103" t="s">
        <v>4679</v>
      </c>
      <c r="H120" s="103" t="s">
        <v>5115</v>
      </c>
      <c r="I120" s="103">
        <v>3.214697071E9</v>
      </c>
      <c r="J120" s="104" t="s">
        <v>5116</v>
      </c>
      <c r="K120" s="105"/>
      <c r="L120" s="105"/>
    </row>
    <row r="121">
      <c r="A121" s="103" t="s">
        <v>4676</v>
      </c>
      <c r="B121" s="103">
        <v>1.10010101045E11</v>
      </c>
      <c r="C121" s="105"/>
      <c r="D121" s="104" t="s">
        <v>5117</v>
      </c>
      <c r="E121" s="104" t="s">
        <v>5118</v>
      </c>
      <c r="F121" s="103" t="s">
        <v>4678</v>
      </c>
      <c r="G121" s="103" t="s">
        <v>4679</v>
      </c>
      <c r="H121" s="103" t="s">
        <v>5119</v>
      </c>
      <c r="I121" s="103">
        <v>3.108541424E9</v>
      </c>
      <c r="J121" s="104" t="s">
        <v>5120</v>
      </c>
      <c r="K121" s="105"/>
      <c r="L121" s="105"/>
    </row>
    <row r="122">
      <c r="A122" s="103" t="s">
        <v>4676</v>
      </c>
      <c r="B122" s="103">
        <v>1.10010101046E11</v>
      </c>
      <c r="C122" s="105"/>
      <c r="D122" s="104" t="s">
        <v>5121</v>
      </c>
      <c r="E122" s="104" t="s">
        <v>5122</v>
      </c>
      <c r="F122" s="103" t="s">
        <v>4678</v>
      </c>
      <c r="G122" s="103" t="s">
        <v>4679</v>
      </c>
      <c r="H122" s="103" t="s">
        <v>5123</v>
      </c>
      <c r="I122" s="103" t="s">
        <v>5124</v>
      </c>
      <c r="J122" s="104" t="s">
        <v>5125</v>
      </c>
      <c r="K122" s="105"/>
      <c r="L122" s="105"/>
    </row>
    <row r="123">
      <c r="A123" s="103" t="s">
        <v>4676</v>
      </c>
      <c r="B123" s="103">
        <v>1.10010101047E11</v>
      </c>
      <c r="C123" s="105"/>
      <c r="D123" s="104" t="s">
        <v>5126</v>
      </c>
      <c r="E123" s="104" t="s">
        <v>5127</v>
      </c>
      <c r="F123" s="103" t="s">
        <v>4678</v>
      </c>
      <c r="G123" s="103" t="s">
        <v>4679</v>
      </c>
      <c r="H123" s="103" t="s">
        <v>5128</v>
      </c>
      <c r="I123" s="103">
        <v>3.166195378E9</v>
      </c>
      <c r="J123" s="104" t="s">
        <v>5129</v>
      </c>
      <c r="K123" s="105"/>
      <c r="L123" s="105"/>
    </row>
    <row r="124">
      <c r="A124" s="103" t="s">
        <v>4676</v>
      </c>
      <c r="B124" s="103">
        <v>1.100101052E9</v>
      </c>
      <c r="C124" s="105"/>
      <c r="D124" s="104" t="s">
        <v>5130</v>
      </c>
      <c r="E124" s="104" t="s">
        <v>5131</v>
      </c>
      <c r="F124" s="103" t="s">
        <v>4678</v>
      </c>
      <c r="G124" s="103" t="s">
        <v>4679</v>
      </c>
      <c r="H124" s="103" t="s">
        <v>5132</v>
      </c>
      <c r="I124" s="103">
        <v>3.187350883E9</v>
      </c>
      <c r="J124" s="104" t="s">
        <v>5133</v>
      </c>
      <c r="K124" s="107" t="s">
        <v>5134</v>
      </c>
      <c r="L124" s="105"/>
    </row>
    <row r="125">
      <c r="A125" s="103" t="s">
        <v>4676</v>
      </c>
      <c r="B125" s="103">
        <v>1.10010105201E11</v>
      </c>
      <c r="C125" s="105"/>
      <c r="D125" s="104" t="s">
        <v>5135</v>
      </c>
      <c r="E125" s="104" t="s">
        <v>5136</v>
      </c>
      <c r="F125" s="103" t="s">
        <v>4678</v>
      </c>
      <c r="G125" s="103" t="s">
        <v>4679</v>
      </c>
      <c r="H125" s="103" t="s">
        <v>5137</v>
      </c>
      <c r="I125" s="103">
        <v>6293877.0</v>
      </c>
      <c r="J125" s="104" t="s">
        <v>5138</v>
      </c>
      <c r="K125" s="105"/>
      <c r="L125" s="105"/>
    </row>
    <row r="126">
      <c r="A126" s="103" t="s">
        <v>4676</v>
      </c>
      <c r="B126" s="103">
        <v>1.100101085E9</v>
      </c>
      <c r="C126" s="105"/>
      <c r="D126" s="104" t="s">
        <v>5139</v>
      </c>
      <c r="E126" s="104" t="s">
        <v>5140</v>
      </c>
      <c r="F126" s="103" t="s">
        <v>4678</v>
      </c>
      <c r="G126" s="103" t="s">
        <v>4679</v>
      </c>
      <c r="H126" s="103" t="s">
        <v>5141</v>
      </c>
      <c r="I126" s="103" t="s">
        <v>5142</v>
      </c>
      <c r="J126" s="104" t="s">
        <v>5143</v>
      </c>
      <c r="K126" s="105"/>
      <c r="L126" s="105"/>
    </row>
    <row r="127">
      <c r="A127" s="103" t="s">
        <v>4676</v>
      </c>
      <c r="B127" s="103">
        <v>1.10010108501E11</v>
      </c>
      <c r="C127" s="105"/>
      <c r="D127" s="104" t="s">
        <v>5139</v>
      </c>
      <c r="E127" s="106"/>
      <c r="F127" s="103" t="s">
        <v>4678</v>
      </c>
      <c r="G127" s="103" t="s">
        <v>4679</v>
      </c>
      <c r="H127" s="103" t="s">
        <v>5141</v>
      </c>
      <c r="I127" s="103" t="s">
        <v>5142</v>
      </c>
      <c r="J127" s="104" t="s">
        <v>5143</v>
      </c>
      <c r="K127" s="105"/>
      <c r="L127" s="105"/>
    </row>
    <row r="128">
      <c r="A128" s="103" t="s">
        <v>4676</v>
      </c>
      <c r="B128" s="103">
        <v>1.100101158E9</v>
      </c>
      <c r="C128" s="105"/>
      <c r="D128" s="104" t="s">
        <v>5144</v>
      </c>
      <c r="E128" s="104" t="s">
        <v>5145</v>
      </c>
      <c r="F128" s="103" t="s">
        <v>4678</v>
      </c>
      <c r="G128" s="103" t="s">
        <v>4679</v>
      </c>
      <c r="H128" s="103" t="s">
        <v>5146</v>
      </c>
      <c r="I128" s="103">
        <v>3.103075205E9</v>
      </c>
      <c r="J128" s="104" t="s">
        <v>5147</v>
      </c>
      <c r="K128" s="105"/>
      <c r="L128" s="105"/>
    </row>
    <row r="129">
      <c r="A129" s="103" t="s">
        <v>4676</v>
      </c>
      <c r="B129" s="103">
        <v>1.10010115801E11</v>
      </c>
      <c r="C129" s="105"/>
      <c r="D129" s="104" t="s">
        <v>5148</v>
      </c>
      <c r="E129" s="104" t="s">
        <v>5149</v>
      </c>
      <c r="F129" s="103" t="s">
        <v>4678</v>
      </c>
      <c r="G129" s="103" t="s">
        <v>4679</v>
      </c>
      <c r="H129" s="103" t="s">
        <v>5146</v>
      </c>
      <c r="I129" s="103">
        <v>6103481.0</v>
      </c>
      <c r="J129" s="104" t="s">
        <v>5147</v>
      </c>
      <c r="K129" s="105"/>
      <c r="L129" s="105"/>
    </row>
    <row r="130">
      <c r="A130" s="103" t="s">
        <v>4676</v>
      </c>
      <c r="B130" s="103">
        <v>1.10010115802E11</v>
      </c>
      <c r="C130" s="105"/>
      <c r="D130" s="104" t="s">
        <v>5150</v>
      </c>
      <c r="E130" s="104" t="s">
        <v>5151</v>
      </c>
      <c r="F130" s="103" t="s">
        <v>4678</v>
      </c>
      <c r="G130" s="103" t="s">
        <v>4679</v>
      </c>
      <c r="H130" s="103" t="s">
        <v>5152</v>
      </c>
      <c r="I130" s="103">
        <v>3.103075205E9</v>
      </c>
      <c r="J130" s="104" t="s">
        <v>5147</v>
      </c>
      <c r="K130" s="105"/>
      <c r="L130" s="105"/>
    </row>
    <row r="131">
      <c r="A131" s="103" t="s">
        <v>4676</v>
      </c>
      <c r="B131" s="103">
        <v>1.100101288E9</v>
      </c>
      <c r="C131" s="105"/>
      <c r="D131" s="104" t="s">
        <v>5153</v>
      </c>
      <c r="E131" s="104" t="s">
        <v>5154</v>
      </c>
      <c r="F131" s="103" t="s">
        <v>4678</v>
      </c>
      <c r="G131" s="103" t="s">
        <v>4679</v>
      </c>
      <c r="H131" s="103" t="s">
        <v>5155</v>
      </c>
      <c r="I131" s="103">
        <v>3653107.0</v>
      </c>
      <c r="J131" s="104" t="s">
        <v>5156</v>
      </c>
      <c r="K131" s="105"/>
      <c r="L131" s="105"/>
    </row>
    <row r="132">
      <c r="A132" s="103" t="s">
        <v>4676</v>
      </c>
      <c r="B132" s="103">
        <v>1.10010128801E11</v>
      </c>
      <c r="C132" s="105"/>
      <c r="D132" s="104" t="s">
        <v>5157</v>
      </c>
      <c r="E132" s="104" t="s">
        <v>5158</v>
      </c>
      <c r="F132" s="103" t="s">
        <v>4678</v>
      </c>
      <c r="G132" s="103" t="s">
        <v>4679</v>
      </c>
      <c r="H132" s="103" t="s">
        <v>5155</v>
      </c>
      <c r="I132" s="103">
        <v>3001275.0</v>
      </c>
      <c r="J132" s="104" t="s">
        <v>5156</v>
      </c>
      <c r="K132" s="105"/>
      <c r="L132" s="105"/>
    </row>
    <row r="133">
      <c r="A133" s="103" t="s">
        <v>4676</v>
      </c>
      <c r="B133" s="103">
        <v>1.100101435E9</v>
      </c>
      <c r="C133" s="105"/>
      <c r="D133" s="104" t="s">
        <v>5159</v>
      </c>
      <c r="E133" s="106"/>
      <c r="F133" s="103" t="s">
        <v>4678</v>
      </c>
      <c r="G133" s="103" t="s">
        <v>4679</v>
      </c>
      <c r="H133" s="103" t="s">
        <v>5160</v>
      </c>
      <c r="I133" s="103">
        <v>2320052.0</v>
      </c>
      <c r="J133" s="104" t="s">
        <v>5161</v>
      </c>
      <c r="K133" s="105"/>
      <c r="L133" s="105"/>
    </row>
    <row r="134">
      <c r="A134" s="103" t="s">
        <v>4676</v>
      </c>
      <c r="B134" s="103">
        <v>1.10010143501E11</v>
      </c>
      <c r="C134" s="105"/>
      <c r="D134" s="104" t="s">
        <v>5159</v>
      </c>
      <c r="E134" s="104" t="s">
        <v>5162</v>
      </c>
      <c r="F134" s="103" t="s">
        <v>4678</v>
      </c>
      <c r="G134" s="103" t="s">
        <v>4679</v>
      </c>
      <c r="H134" s="103" t="s">
        <v>5163</v>
      </c>
      <c r="I134" s="103">
        <v>2320052.0</v>
      </c>
      <c r="J134" s="104" t="s">
        <v>5161</v>
      </c>
      <c r="K134" s="105"/>
      <c r="L134" s="105"/>
    </row>
    <row r="135">
      <c r="A135" s="103" t="s">
        <v>4676</v>
      </c>
      <c r="B135" s="103">
        <v>1.10010143502E11</v>
      </c>
      <c r="C135" s="105"/>
      <c r="D135" s="104" t="s">
        <v>5164</v>
      </c>
      <c r="E135" s="104" t="s">
        <v>5162</v>
      </c>
      <c r="F135" s="103" t="s">
        <v>4678</v>
      </c>
      <c r="G135" s="103" t="s">
        <v>4679</v>
      </c>
      <c r="H135" s="103" t="s">
        <v>5165</v>
      </c>
      <c r="I135" s="103">
        <v>2152633.0</v>
      </c>
      <c r="J135" s="104" t="s">
        <v>5161</v>
      </c>
      <c r="K135" s="105"/>
      <c r="L135" s="105"/>
    </row>
    <row r="136">
      <c r="A136" s="103" t="s">
        <v>4676</v>
      </c>
      <c r="B136" s="103">
        <v>1.100101443E9</v>
      </c>
      <c r="C136" s="105"/>
      <c r="D136" s="104" t="s">
        <v>5166</v>
      </c>
      <c r="E136" s="104" t="s">
        <v>5167</v>
      </c>
      <c r="F136" s="103" t="s">
        <v>4678</v>
      </c>
      <c r="G136" s="103" t="s">
        <v>4679</v>
      </c>
      <c r="H136" s="103" t="s">
        <v>5168</v>
      </c>
      <c r="I136" s="103" t="s">
        <v>5169</v>
      </c>
      <c r="J136" s="104" t="s">
        <v>5170</v>
      </c>
      <c r="K136" s="107" t="s">
        <v>5171</v>
      </c>
      <c r="L136" s="105"/>
    </row>
    <row r="137">
      <c r="A137" s="103" t="s">
        <v>4676</v>
      </c>
      <c r="B137" s="103">
        <v>1.10010144301E11</v>
      </c>
      <c r="C137" s="105"/>
      <c r="D137" s="104" t="s">
        <v>5172</v>
      </c>
      <c r="E137" s="104" t="s">
        <v>5173</v>
      </c>
      <c r="F137" s="103" t="s">
        <v>4678</v>
      </c>
      <c r="G137" s="103" t="s">
        <v>4679</v>
      </c>
      <c r="H137" s="103" t="s">
        <v>5168</v>
      </c>
      <c r="I137" s="103">
        <v>2563285.0</v>
      </c>
      <c r="J137" s="104" t="s">
        <v>5170</v>
      </c>
      <c r="K137" s="105"/>
      <c r="L137" s="105"/>
    </row>
    <row r="138">
      <c r="A138" s="103" t="s">
        <v>4676</v>
      </c>
      <c r="B138" s="103">
        <v>1.100101579E9</v>
      </c>
      <c r="C138" s="105"/>
      <c r="D138" s="104" t="s">
        <v>5174</v>
      </c>
      <c r="E138" s="104" t="s">
        <v>5175</v>
      </c>
      <c r="F138" s="103" t="s">
        <v>4678</v>
      </c>
      <c r="G138" s="103" t="s">
        <v>4679</v>
      </c>
      <c r="H138" s="103" t="s">
        <v>5176</v>
      </c>
      <c r="I138" s="103">
        <v>6.016107242E9</v>
      </c>
      <c r="J138" s="104" t="s">
        <v>5177</v>
      </c>
      <c r="K138" s="105"/>
      <c r="L138" s="105"/>
    </row>
    <row r="139">
      <c r="A139" s="103" t="s">
        <v>4676</v>
      </c>
      <c r="B139" s="103">
        <v>1.10010157901E11</v>
      </c>
      <c r="C139" s="105"/>
      <c r="D139" s="104" t="s">
        <v>5178</v>
      </c>
      <c r="E139" s="104" t="s">
        <v>5179</v>
      </c>
      <c r="F139" s="103" t="s">
        <v>4678</v>
      </c>
      <c r="G139" s="103" t="s">
        <v>4679</v>
      </c>
      <c r="H139" s="103" t="s">
        <v>5176</v>
      </c>
      <c r="I139" s="103">
        <v>6.016107242E9</v>
      </c>
      <c r="J139" s="104" t="s">
        <v>5177</v>
      </c>
      <c r="K139" s="105"/>
      <c r="L139" s="105"/>
    </row>
    <row r="140">
      <c r="A140" s="103" t="s">
        <v>4676</v>
      </c>
      <c r="B140" s="103">
        <v>1.100101582E9</v>
      </c>
      <c r="C140" s="105"/>
      <c r="D140" s="104" t="s">
        <v>5180</v>
      </c>
      <c r="E140" s="104" t="s">
        <v>5181</v>
      </c>
      <c r="F140" s="103" t="s">
        <v>4678</v>
      </c>
      <c r="G140" s="103" t="s">
        <v>4679</v>
      </c>
      <c r="H140" s="103" t="s">
        <v>5182</v>
      </c>
      <c r="I140" s="103">
        <v>6.016100818E9</v>
      </c>
      <c r="J140" s="104" t="s">
        <v>5183</v>
      </c>
      <c r="K140" s="105"/>
      <c r="L140" s="105"/>
    </row>
    <row r="141">
      <c r="A141" s="103" t="s">
        <v>4676</v>
      </c>
      <c r="B141" s="103">
        <v>1.10010158201E11</v>
      </c>
      <c r="C141" s="105"/>
      <c r="D141" s="104" t="s">
        <v>5180</v>
      </c>
      <c r="E141" s="104" t="s">
        <v>5181</v>
      </c>
      <c r="F141" s="103" t="s">
        <v>4678</v>
      </c>
      <c r="G141" s="103" t="s">
        <v>4679</v>
      </c>
      <c r="H141" s="103" t="s">
        <v>5182</v>
      </c>
      <c r="I141" s="103">
        <v>6.016100818E9</v>
      </c>
      <c r="J141" s="104" t="s">
        <v>5183</v>
      </c>
      <c r="K141" s="105"/>
      <c r="L141" s="105"/>
    </row>
    <row r="142">
      <c r="A142" s="103" t="s">
        <v>4676</v>
      </c>
      <c r="B142" s="103">
        <v>1.1001016E9</v>
      </c>
      <c r="C142" s="105"/>
      <c r="D142" s="104" t="s">
        <v>5184</v>
      </c>
      <c r="E142" s="104" t="s">
        <v>5185</v>
      </c>
      <c r="F142" s="103" t="s">
        <v>4678</v>
      </c>
      <c r="G142" s="103" t="s">
        <v>4679</v>
      </c>
      <c r="H142" s="103" t="s">
        <v>5186</v>
      </c>
      <c r="I142" s="103" t="s">
        <v>5187</v>
      </c>
      <c r="J142" s="104" t="s">
        <v>5188</v>
      </c>
      <c r="K142" s="105"/>
      <c r="L142" s="105"/>
    </row>
    <row r="143">
      <c r="A143" s="103" t="s">
        <v>4676</v>
      </c>
      <c r="B143" s="103">
        <v>1.10010160001E11</v>
      </c>
      <c r="C143" s="105"/>
      <c r="D143" s="104" t="s">
        <v>5184</v>
      </c>
      <c r="E143" s="104" t="s">
        <v>5189</v>
      </c>
      <c r="F143" s="103" t="s">
        <v>4678</v>
      </c>
      <c r="G143" s="103" t="s">
        <v>4679</v>
      </c>
      <c r="H143" s="103" t="s">
        <v>5190</v>
      </c>
      <c r="I143" s="103" t="s">
        <v>5187</v>
      </c>
      <c r="J143" s="104" t="s">
        <v>5188</v>
      </c>
      <c r="K143" s="105"/>
      <c r="L143" s="105"/>
    </row>
    <row r="144">
      <c r="A144" s="103" t="s">
        <v>4676</v>
      </c>
      <c r="B144" s="103">
        <v>1.100101624E9</v>
      </c>
      <c r="C144" s="105"/>
      <c r="D144" s="104" t="s">
        <v>5191</v>
      </c>
      <c r="E144" s="104" t="s">
        <v>5192</v>
      </c>
      <c r="F144" s="103" t="s">
        <v>4678</v>
      </c>
      <c r="G144" s="103" t="s">
        <v>4679</v>
      </c>
      <c r="H144" s="103" t="s">
        <v>5193</v>
      </c>
      <c r="I144" s="103">
        <v>6122362.0</v>
      </c>
      <c r="J144" s="104" t="s">
        <v>5194</v>
      </c>
      <c r="K144" s="105"/>
      <c r="L144" s="105"/>
    </row>
    <row r="145">
      <c r="A145" s="103" t="s">
        <v>4676</v>
      </c>
      <c r="B145" s="103">
        <v>1.10010162401E11</v>
      </c>
      <c r="C145" s="105"/>
      <c r="D145" s="104" t="s">
        <v>5191</v>
      </c>
      <c r="E145" s="104" t="s">
        <v>5195</v>
      </c>
      <c r="F145" s="103" t="s">
        <v>4678</v>
      </c>
      <c r="G145" s="103" t="s">
        <v>4679</v>
      </c>
      <c r="H145" s="103" t="s">
        <v>5196</v>
      </c>
      <c r="I145" s="103">
        <v>6122362.0</v>
      </c>
      <c r="J145" s="104" t="s">
        <v>5194</v>
      </c>
      <c r="K145" s="105"/>
      <c r="L145" s="105"/>
    </row>
    <row r="146">
      <c r="A146" s="103" t="s">
        <v>4676</v>
      </c>
      <c r="B146" s="103">
        <v>1.10010164E9</v>
      </c>
      <c r="C146" s="105"/>
      <c r="D146" s="104" t="s">
        <v>5197</v>
      </c>
      <c r="E146" s="104" t="s">
        <v>5198</v>
      </c>
      <c r="F146" s="103" t="s">
        <v>4678</v>
      </c>
      <c r="G146" s="103" t="s">
        <v>4679</v>
      </c>
      <c r="H146" s="103" t="s">
        <v>5199</v>
      </c>
      <c r="I146" s="103">
        <v>6228762.0</v>
      </c>
      <c r="J146" s="104" t="s">
        <v>5200</v>
      </c>
      <c r="K146" s="105"/>
      <c r="L146" s="105"/>
    </row>
    <row r="147">
      <c r="A147" s="103" t="s">
        <v>4676</v>
      </c>
      <c r="B147" s="103">
        <v>1.10010164001E11</v>
      </c>
      <c r="C147" s="105"/>
      <c r="D147" s="104" t="s">
        <v>5197</v>
      </c>
      <c r="E147" s="106"/>
      <c r="F147" s="103" t="s">
        <v>4678</v>
      </c>
      <c r="G147" s="103" t="s">
        <v>4679</v>
      </c>
      <c r="H147" s="103" t="s">
        <v>5201</v>
      </c>
      <c r="I147" s="105"/>
      <c r="J147" s="104" t="s">
        <v>5200</v>
      </c>
      <c r="K147" s="105"/>
      <c r="L147" s="105"/>
    </row>
    <row r="148">
      <c r="A148" s="103" t="s">
        <v>4676</v>
      </c>
      <c r="B148" s="103">
        <v>1.100101693E9</v>
      </c>
      <c r="C148" s="105"/>
      <c r="D148" s="104" t="s">
        <v>5202</v>
      </c>
      <c r="E148" s="104" t="s">
        <v>5203</v>
      </c>
      <c r="F148" s="103" t="s">
        <v>4678</v>
      </c>
      <c r="G148" s="103" t="s">
        <v>4679</v>
      </c>
      <c r="H148" s="103" t="s">
        <v>5204</v>
      </c>
      <c r="I148" s="103">
        <v>3.132926045E9</v>
      </c>
      <c r="J148" s="104" t="s">
        <v>5205</v>
      </c>
      <c r="K148" s="107" t="s">
        <v>5206</v>
      </c>
      <c r="L148" s="105"/>
    </row>
    <row r="149">
      <c r="A149" s="103" t="s">
        <v>4676</v>
      </c>
      <c r="B149" s="103">
        <v>1.10010169301E11</v>
      </c>
      <c r="C149" s="105"/>
      <c r="D149" s="104" t="s">
        <v>5202</v>
      </c>
      <c r="E149" s="104" t="s">
        <v>5207</v>
      </c>
      <c r="F149" s="103" t="s">
        <v>4678</v>
      </c>
      <c r="G149" s="103" t="s">
        <v>4679</v>
      </c>
      <c r="H149" s="103" t="s">
        <v>5208</v>
      </c>
      <c r="I149" s="103">
        <v>3.132926045E9</v>
      </c>
      <c r="J149" s="104" t="s">
        <v>5205</v>
      </c>
      <c r="K149" s="105"/>
      <c r="L149" s="105"/>
    </row>
    <row r="150">
      <c r="A150" s="103" t="s">
        <v>4676</v>
      </c>
      <c r="B150" s="103">
        <v>1.100101751E9</v>
      </c>
      <c r="C150" s="105"/>
      <c r="D150" s="104" t="s">
        <v>5209</v>
      </c>
      <c r="E150" s="104" t="s">
        <v>5210</v>
      </c>
      <c r="F150" s="103" t="s">
        <v>4678</v>
      </c>
      <c r="G150" s="103" t="s">
        <v>4679</v>
      </c>
      <c r="H150" s="103" t="s">
        <v>5211</v>
      </c>
      <c r="I150" s="103">
        <v>6372424.0</v>
      </c>
      <c r="J150" s="104" t="s">
        <v>5212</v>
      </c>
      <c r="K150" s="105"/>
      <c r="L150" s="105"/>
    </row>
    <row r="151">
      <c r="A151" s="103" t="s">
        <v>4676</v>
      </c>
      <c r="B151" s="103">
        <v>1.10010175101E11</v>
      </c>
      <c r="C151" s="105"/>
      <c r="D151" s="104" t="s">
        <v>5213</v>
      </c>
      <c r="E151" s="106"/>
      <c r="F151" s="103" t="s">
        <v>4678</v>
      </c>
      <c r="G151" s="103" t="s">
        <v>4679</v>
      </c>
      <c r="H151" s="103" t="s">
        <v>5211</v>
      </c>
      <c r="I151" s="103" t="s">
        <v>5214</v>
      </c>
      <c r="J151" s="104" t="s">
        <v>5212</v>
      </c>
      <c r="K151" s="105"/>
      <c r="L151" s="105"/>
    </row>
    <row r="152">
      <c r="A152" s="103" t="s">
        <v>4676</v>
      </c>
      <c r="B152" s="103">
        <v>1.100101814E9</v>
      </c>
      <c r="C152" s="105"/>
      <c r="D152" s="104" t="s">
        <v>5215</v>
      </c>
      <c r="E152" s="104" t="s">
        <v>5216</v>
      </c>
      <c r="F152" s="103" t="s">
        <v>4678</v>
      </c>
      <c r="G152" s="103" t="s">
        <v>4679</v>
      </c>
      <c r="H152" s="103" t="s">
        <v>5217</v>
      </c>
      <c r="I152" s="103" t="s">
        <v>5218</v>
      </c>
      <c r="J152" s="104" t="s">
        <v>5219</v>
      </c>
      <c r="K152" s="107" t="s">
        <v>5220</v>
      </c>
      <c r="L152" s="105"/>
    </row>
    <row r="153">
      <c r="A153" s="103" t="s">
        <v>4676</v>
      </c>
      <c r="B153" s="103">
        <v>1.10010181401E11</v>
      </c>
      <c r="C153" s="105"/>
      <c r="D153" s="104" t="s">
        <v>5215</v>
      </c>
      <c r="E153" s="104" t="s">
        <v>5221</v>
      </c>
      <c r="F153" s="103" t="s">
        <v>4678</v>
      </c>
      <c r="G153" s="103" t="s">
        <v>4679</v>
      </c>
      <c r="H153" s="103" t="s">
        <v>5217</v>
      </c>
      <c r="I153" s="103" t="s">
        <v>5222</v>
      </c>
      <c r="J153" s="104" t="s">
        <v>5219</v>
      </c>
      <c r="K153" s="105"/>
      <c r="L153" s="105"/>
    </row>
    <row r="154">
      <c r="A154" s="103" t="s">
        <v>4676</v>
      </c>
      <c r="B154" s="103">
        <v>1.100101824E9</v>
      </c>
      <c r="C154" s="105"/>
      <c r="D154" s="104" t="s">
        <v>5223</v>
      </c>
      <c r="E154" s="104" t="s">
        <v>5224</v>
      </c>
      <c r="F154" s="103" t="s">
        <v>4678</v>
      </c>
      <c r="G154" s="103" t="s">
        <v>4679</v>
      </c>
      <c r="H154" s="103" t="s">
        <v>5225</v>
      </c>
      <c r="I154" s="103">
        <v>6102088.0</v>
      </c>
      <c r="J154" s="104" t="s">
        <v>5226</v>
      </c>
      <c r="K154" s="105"/>
      <c r="L154" s="105"/>
    </row>
    <row r="155">
      <c r="A155" s="103" t="s">
        <v>4676</v>
      </c>
      <c r="B155" s="103">
        <v>1.10010182401E11</v>
      </c>
      <c r="C155" s="105"/>
      <c r="D155" s="104" t="s">
        <v>5223</v>
      </c>
      <c r="E155" s="104" t="s">
        <v>5227</v>
      </c>
      <c r="F155" s="103" t="s">
        <v>4678</v>
      </c>
      <c r="G155" s="103" t="s">
        <v>4679</v>
      </c>
      <c r="H155" s="103" t="s">
        <v>5225</v>
      </c>
      <c r="I155" s="103">
        <v>6102088.0</v>
      </c>
      <c r="J155" s="104" t="s">
        <v>5228</v>
      </c>
      <c r="K155" s="105"/>
      <c r="L155" s="105"/>
    </row>
    <row r="156">
      <c r="A156" s="103" t="s">
        <v>4676</v>
      </c>
      <c r="B156" s="103">
        <v>1.100101847E9</v>
      </c>
      <c r="C156" s="105"/>
      <c r="D156" s="104" t="s">
        <v>5229</v>
      </c>
      <c r="E156" s="104" t="s">
        <v>5230</v>
      </c>
      <c r="F156" s="103" t="s">
        <v>4678</v>
      </c>
      <c r="G156" s="103" t="s">
        <v>4679</v>
      </c>
      <c r="H156" s="103" t="s">
        <v>5231</v>
      </c>
      <c r="I156" s="103" t="s">
        <v>5232</v>
      </c>
      <c r="J156" s="104" t="s">
        <v>5233</v>
      </c>
      <c r="K156" s="105"/>
      <c r="L156" s="105"/>
    </row>
    <row r="157">
      <c r="A157" s="103" t="s">
        <v>4676</v>
      </c>
      <c r="B157" s="103">
        <v>1.10010184701E11</v>
      </c>
      <c r="C157" s="105"/>
      <c r="D157" s="104" t="s">
        <v>5234</v>
      </c>
      <c r="E157" s="106"/>
      <c r="F157" s="103" t="s">
        <v>4678</v>
      </c>
      <c r="G157" s="103" t="s">
        <v>4679</v>
      </c>
      <c r="H157" s="103" t="s">
        <v>5231</v>
      </c>
      <c r="I157" s="103" t="s">
        <v>5232</v>
      </c>
      <c r="J157" s="104" t="s">
        <v>5233</v>
      </c>
      <c r="K157" s="105"/>
      <c r="L157" s="105"/>
    </row>
    <row r="158">
      <c r="A158" s="103" t="s">
        <v>4676</v>
      </c>
      <c r="B158" s="103">
        <v>1.100101935E9</v>
      </c>
      <c r="C158" s="105"/>
      <c r="D158" s="104" t="s">
        <v>5235</v>
      </c>
      <c r="E158" s="104" t="s">
        <v>5236</v>
      </c>
      <c r="F158" s="103" t="s">
        <v>4678</v>
      </c>
      <c r="G158" s="103" t="s">
        <v>4679</v>
      </c>
      <c r="H158" s="103" t="s">
        <v>5237</v>
      </c>
      <c r="I158" s="103" t="s">
        <v>5238</v>
      </c>
      <c r="J158" s="104" t="s">
        <v>5239</v>
      </c>
      <c r="K158" s="107" t="s">
        <v>5240</v>
      </c>
      <c r="L158" s="105"/>
    </row>
    <row r="159">
      <c r="A159" s="103" t="s">
        <v>4676</v>
      </c>
      <c r="B159" s="103">
        <v>1.10010193501E11</v>
      </c>
      <c r="C159" s="105"/>
      <c r="D159" s="104" t="s">
        <v>5241</v>
      </c>
      <c r="E159" s="104" t="s">
        <v>5242</v>
      </c>
      <c r="F159" s="103" t="s">
        <v>4678</v>
      </c>
      <c r="G159" s="103" t="s">
        <v>4679</v>
      </c>
      <c r="H159" s="103" t="s">
        <v>5243</v>
      </c>
      <c r="I159" s="103" t="s">
        <v>5238</v>
      </c>
      <c r="J159" s="104" t="s">
        <v>5239</v>
      </c>
      <c r="K159" s="105"/>
      <c r="L159" s="105"/>
    </row>
    <row r="160">
      <c r="A160" s="103" t="s">
        <v>4676</v>
      </c>
      <c r="B160" s="103">
        <v>1.100101969E9</v>
      </c>
      <c r="C160" s="105"/>
      <c r="D160" s="104" t="s">
        <v>5244</v>
      </c>
      <c r="E160" s="104" t="s">
        <v>5245</v>
      </c>
      <c r="F160" s="103" t="s">
        <v>4678</v>
      </c>
      <c r="G160" s="103" t="s">
        <v>4679</v>
      </c>
      <c r="H160" s="103" t="s">
        <v>5246</v>
      </c>
      <c r="I160" s="103">
        <v>3.228938355E9</v>
      </c>
      <c r="J160" s="104" t="s">
        <v>5247</v>
      </c>
      <c r="K160" s="107" t="s">
        <v>5248</v>
      </c>
      <c r="L160" s="105"/>
    </row>
    <row r="161">
      <c r="A161" s="103" t="s">
        <v>4676</v>
      </c>
      <c r="B161" s="103">
        <v>1.10010196901E11</v>
      </c>
      <c r="C161" s="105"/>
      <c r="D161" s="104" t="s">
        <v>5244</v>
      </c>
      <c r="E161" s="104" t="s">
        <v>5249</v>
      </c>
      <c r="F161" s="103" t="s">
        <v>4678</v>
      </c>
      <c r="G161" s="103" t="s">
        <v>4679</v>
      </c>
      <c r="H161" s="103" t="s">
        <v>5246</v>
      </c>
      <c r="I161" s="103">
        <v>3.228938355E9</v>
      </c>
      <c r="J161" s="104" t="s">
        <v>5247</v>
      </c>
      <c r="K161" s="105"/>
      <c r="L161" s="105"/>
    </row>
    <row r="162">
      <c r="A162" s="103" t="s">
        <v>4676</v>
      </c>
      <c r="B162" s="103">
        <v>1.10010199E9</v>
      </c>
      <c r="C162" s="105"/>
      <c r="D162" s="104" t="s">
        <v>5250</v>
      </c>
      <c r="E162" s="104" t="s">
        <v>5251</v>
      </c>
      <c r="F162" s="103" t="s">
        <v>4678</v>
      </c>
      <c r="G162" s="103" t="s">
        <v>4679</v>
      </c>
      <c r="H162" s="103" t="s">
        <v>5252</v>
      </c>
      <c r="I162" s="103">
        <v>3.125226979E9</v>
      </c>
      <c r="J162" s="104" t="s">
        <v>5253</v>
      </c>
      <c r="K162" s="105"/>
      <c r="L162" s="105"/>
    </row>
    <row r="163">
      <c r="A163" s="103" t="s">
        <v>4676</v>
      </c>
      <c r="B163" s="103">
        <v>1.10010199001E11</v>
      </c>
      <c r="C163" s="105"/>
      <c r="D163" s="104" t="s">
        <v>5250</v>
      </c>
      <c r="E163" s="104" t="s">
        <v>5254</v>
      </c>
      <c r="F163" s="103" t="s">
        <v>4678</v>
      </c>
      <c r="G163" s="103" t="s">
        <v>4679</v>
      </c>
      <c r="H163" s="103" t="s">
        <v>5255</v>
      </c>
      <c r="I163" s="103">
        <v>3.125226979E9</v>
      </c>
      <c r="J163" s="104" t="s">
        <v>5256</v>
      </c>
      <c r="K163" s="105"/>
      <c r="L163" s="105"/>
    </row>
    <row r="164">
      <c r="A164" s="103" t="s">
        <v>4676</v>
      </c>
      <c r="B164" s="103">
        <v>1.10010199002E11</v>
      </c>
      <c r="C164" s="105"/>
      <c r="D164" s="104" t="s">
        <v>5257</v>
      </c>
      <c r="E164" s="104" t="s">
        <v>5258</v>
      </c>
      <c r="F164" s="103" t="s">
        <v>4678</v>
      </c>
      <c r="G164" s="103" t="s">
        <v>4679</v>
      </c>
      <c r="H164" s="103" t="s">
        <v>5259</v>
      </c>
      <c r="I164" s="103">
        <v>6241873.0</v>
      </c>
      <c r="J164" s="104" t="s">
        <v>5260</v>
      </c>
      <c r="K164" s="105"/>
      <c r="L164" s="105"/>
    </row>
    <row r="165">
      <c r="A165" s="103" t="s">
        <v>4676</v>
      </c>
      <c r="B165" s="103">
        <v>1.10010199003E11</v>
      </c>
      <c r="C165" s="105"/>
      <c r="D165" s="104" t="s">
        <v>5250</v>
      </c>
      <c r="E165" s="104" t="s">
        <v>5254</v>
      </c>
      <c r="F165" s="103" t="s">
        <v>4678</v>
      </c>
      <c r="G165" s="103" t="s">
        <v>4679</v>
      </c>
      <c r="H165" s="103" t="s">
        <v>5261</v>
      </c>
      <c r="I165" s="103">
        <v>7560475.0</v>
      </c>
      <c r="J165" s="104" t="s">
        <v>5256</v>
      </c>
      <c r="K165" s="105"/>
      <c r="L165" s="105"/>
    </row>
    <row r="166">
      <c r="A166" s="103" t="s">
        <v>4676</v>
      </c>
      <c r="B166" s="103">
        <v>1.100101995E9</v>
      </c>
      <c r="C166" s="105"/>
      <c r="D166" s="104" t="s">
        <v>5262</v>
      </c>
      <c r="E166" s="104" t="s">
        <v>5263</v>
      </c>
      <c r="F166" s="103" t="s">
        <v>4678</v>
      </c>
      <c r="G166" s="103" t="s">
        <v>4679</v>
      </c>
      <c r="H166" s="103" t="s">
        <v>5264</v>
      </c>
      <c r="I166" s="103" t="s">
        <v>5265</v>
      </c>
      <c r="J166" s="104" t="s">
        <v>5266</v>
      </c>
      <c r="K166" s="105"/>
      <c r="L166" s="105"/>
    </row>
    <row r="167">
      <c r="A167" s="103" t="s">
        <v>4676</v>
      </c>
      <c r="B167" s="103">
        <v>1.10010199501E11</v>
      </c>
      <c r="C167" s="105"/>
      <c r="D167" s="104" t="s">
        <v>5262</v>
      </c>
      <c r="E167" s="104" t="s">
        <v>5263</v>
      </c>
      <c r="F167" s="103" t="s">
        <v>4678</v>
      </c>
      <c r="G167" s="103" t="s">
        <v>4679</v>
      </c>
      <c r="H167" s="103" t="s">
        <v>5267</v>
      </c>
      <c r="I167" s="103" t="s">
        <v>5265</v>
      </c>
      <c r="J167" s="104" t="s">
        <v>5268</v>
      </c>
      <c r="K167" s="105"/>
      <c r="L167" s="105"/>
    </row>
    <row r="168">
      <c r="A168" s="103" t="s">
        <v>4676</v>
      </c>
      <c r="B168" s="103">
        <v>1.10010199502E11</v>
      </c>
      <c r="C168" s="105"/>
      <c r="D168" s="104" t="s">
        <v>5269</v>
      </c>
      <c r="E168" s="104" t="s">
        <v>5263</v>
      </c>
      <c r="F168" s="103" t="s">
        <v>4678</v>
      </c>
      <c r="G168" s="103" t="s">
        <v>4679</v>
      </c>
      <c r="H168" s="103" t="s">
        <v>5270</v>
      </c>
      <c r="I168" s="103" t="s">
        <v>5271</v>
      </c>
      <c r="J168" s="104" t="s">
        <v>5266</v>
      </c>
      <c r="K168" s="105"/>
      <c r="L168" s="105"/>
    </row>
    <row r="169">
      <c r="A169" s="103" t="s">
        <v>4676</v>
      </c>
      <c r="B169" s="103">
        <v>1.100101996E9</v>
      </c>
      <c r="C169" s="105"/>
      <c r="D169" s="104" t="s">
        <v>5272</v>
      </c>
      <c r="E169" s="104" t="s">
        <v>5273</v>
      </c>
      <c r="F169" s="103" t="s">
        <v>4678</v>
      </c>
      <c r="G169" s="103" t="s">
        <v>4679</v>
      </c>
      <c r="H169" s="103" t="s">
        <v>5274</v>
      </c>
      <c r="I169" s="103" t="s">
        <v>5275</v>
      </c>
      <c r="J169" s="104" t="s">
        <v>5276</v>
      </c>
      <c r="K169" s="105"/>
      <c r="L169" s="105"/>
    </row>
    <row r="170">
      <c r="A170" s="103" t="s">
        <v>4676</v>
      </c>
      <c r="B170" s="103">
        <v>1.10010199601E11</v>
      </c>
      <c r="C170" s="105"/>
      <c r="D170" s="104" t="s">
        <v>5277</v>
      </c>
      <c r="E170" s="104" t="s">
        <v>5278</v>
      </c>
      <c r="F170" s="103" t="s">
        <v>4678</v>
      </c>
      <c r="G170" s="103" t="s">
        <v>4679</v>
      </c>
      <c r="H170" s="103" t="s">
        <v>5279</v>
      </c>
      <c r="I170" s="103" t="s">
        <v>5280</v>
      </c>
      <c r="J170" s="104" t="s">
        <v>5281</v>
      </c>
      <c r="K170" s="105"/>
      <c r="L170" s="105"/>
    </row>
    <row r="171">
      <c r="A171" s="103" t="s">
        <v>4676</v>
      </c>
      <c r="B171" s="103">
        <v>1.10010199603E11</v>
      </c>
      <c r="C171" s="105"/>
      <c r="D171" s="104" t="s">
        <v>5282</v>
      </c>
      <c r="E171" s="104" t="s">
        <v>5283</v>
      </c>
      <c r="F171" s="103" t="s">
        <v>4678</v>
      </c>
      <c r="G171" s="103" t="s">
        <v>4679</v>
      </c>
      <c r="H171" s="103" t="s">
        <v>5284</v>
      </c>
      <c r="I171" s="103" t="s">
        <v>5285</v>
      </c>
      <c r="J171" s="104" t="s">
        <v>5281</v>
      </c>
      <c r="K171" s="105"/>
      <c r="L171" s="105"/>
    </row>
    <row r="172">
      <c r="A172" s="103" t="s">
        <v>4676</v>
      </c>
      <c r="B172" s="103">
        <v>1.10010199604E11</v>
      </c>
      <c r="C172" s="105"/>
      <c r="D172" s="104" t="s">
        <v>5286</v>
      </c>
      <c r="E172" s="104" t="s">
        <v>5283</v>
      </c>
      <c r="F172" s="103" t="s">
        <v>4678</v>
      </c>
      <c r="G172" s="103" t="s">
        <v>4679</v>
      </c>
      <c r="H172" s="103" t="s">
        <v>5287</v>
      </c>
      <c r="I172" s="103" t="s">
        <v>5280</v>
      </c>
      <c r="J172" s="104" t="s">
        <v>5281</v>
      </c>
      <c r="K172" s="105"/>
      <c r="L172" s="105"/>
    </row>
    <row r="173">
      <c r="A173" s="103" t="s">
        <v>4676</v>
      </c>
      <c r="B173" s="103">
        <v>1.10010199605E11</v>
      </c>
      <c r="C173" s="105"/>
      <c r="D173" s="104" t="s">
        <v>5288</v>
      </c>
      <c r="E173" s="104" t="s">
        <v>5289</v>
      </c>
      <c r="F173" s="103" t="s">
        <v>4678</v>
      </c>
      <c r="G173" s="103" t="s">
        <v>4679</v>
      </c>
      <c r="H173" s="103" t="s">
        <v>5290</v>
      </c>
      <c r="I173" s="103">
        <v>7396139.0</v>
      </c>
      <c r="J173" s="104" t="s">
        <v>5281</v>
      </c>
      <c r="K173" s="105"/>
      <c r="L173" s="105"/>
    </row>
    <row r="174">
      <c r="A174" s="103" t="s">
        <v>4676</v>
      </c>
      <c r="B174" s="103">
        <v>1.10010199606E11</v>
      </c>
      <c r="C174" s="105"/>
      <c r="D174" s="104" t="s">
        <v>5272</v>
      </c>
      <c r="E174" s="104" t="s">
        <v>5283</v>
      </c>
      <c r="F174" s="103" t="s">
        <v>4678</v>
      </c>
      <c r="G174" s="103" t="s">
        <v>4679</v>
      </c>
      <c r="H174" s="103" t="s">
        <v>5291</v>
      </c>
      <c r="I174" s="103" t="s">
        <v>5292</v>
      </c>
      <c r="J174" s="104" t="s">
        <v>5276</v>
      </c>
      <c r="K174" s="105"/>
      <c r="L174" s="105"/>
    </row>
    <row r="175">
      <c r="A175" s="103" t="s">
        <v>4676</v>
      </c>
      <c r="B175" s="103">
        <v>1.10010199607E11</v>
      </c>
      <c r="C175" s="105"/>
      <c r="D175" s="104" t="s">
        <v>5277</v>
      </c>
      <c r="E175" s="104" t="s">
        <v>5293</v>
      </c>
      <c r="F175" s="103" t="s">
        <v>4678</v>
      </c>
      <c r="G175" s="103" t="s">
        <v>4679</v>
      </c>
      <c r="H175" s="103" t="s">
        <v>5294</v>
      </c>
      <c r="I175" s="103" t="s">
        <v>5295</v>
      </c>
      <c r="J175" s="104" t="s">
        <v>5281</v>
      </c>
      <c r="K175" s="105"/>
      <c r="L175" s="105"/>
    </row>
    <row r="176">
      <c r="A176" s="103" t="s">
        <v>4676</v>
      </c>
      <c r="B176" s="103">
        <v>1.10010213E9</v>
      </c>
      <c r="C176" s="105"/>
      <c r="D176" s="104" t="s">
        <v>5296</v>
      </c>
      <c r="E176" s="104" t="s">
        <v>5297</v>
      </c>
      <c r="F176" s="103" t="s">
        <v>4678</v>
      </c>
      <c r="G176" s="103" t="s">
        <v>4679</v>
      </c>
      <c r="H176" s="103" t="s">
        <v>5298</v>
      </c>
      <c r="I176" s="103">
        <v>3.143144865E9</v>
      </c>
      <c r="J176" s="104" t="s">
        <v>5299</v>
      </c>
      <c r="K176" s="105"/>
      <c r="L176" s="105"/>
    </row>
    <row r="177">
      <c r="A177" s="103" t="s">
        <v>4676</v>
      </c>
      <c r="B177" s="103">
        <v>1.10010213001E11</v>
      </c>
      <c r="C177" s="105"/>
      <c r="D177" s="104" t="s">
        <v>5300</v>
      </c>
      <c r="E177" s="106"/>
      <c r="F177" s="103" t="s">
        <v>4678</v>
      </c>
      <c r="G177" s="103" t="s">
        <v>4679</v>
      </c>
      <c r="H177" s="103" t="s">
        <v>5298</v>
      </c>
      <c r="I177" s="103">
        <v>3.143144865E9</v>
      </c>
      <c r="J177" s="104" t="s">
        <v>5299</v>
      </c>
      <c r="K177" s="105"/>
      <c r="L177" s="105"/>
    </row>
    <row r="178">
      <c r="A178" s="103" t="s">
        <v>4676</v>
      </c>
      <c r="B178" s="103">
        <v>1.100102317E9</v>
      </c>
      <c r="C178" s="105"/>
      <c r="D178" s="104" t="s">
        <v>5301</v>
      </c>
      <c r="E178" s="104" t="s">
        <v>5302</v>
      </c>
      <c r="F178" s="103" t="s">
        <v>4678</v>
      </c>
      <c r="G178" s="103" t="s">
        <v>4679</v>
      </c>
      <c r="H178" s="103" t="s">
        <v>5303</v>
      </c>
      <c r="I178" s="103" t="s">
        <v>5304</v>
      </c>
      <c r="J178" s="104" t="s">
        <v>5305</v>
      </c>
      <c r="K178" s="105"/>
      <c r="L178" s="105"/>
    </row>
    <row r="179">
      <c r="A179" s="103" t="s">
        <v>4676</v>
      </c>
      <c r="B179" s="103">
        <v>1.10010231702E11</v>
      </c>
      <c r="C179" s="105"/>
      <c r="D179" s="104" t="s">
        <v>5306</v>
      </c>
      <c r="E179" s="104" t="s">
        <v>5307</v>
      </c>
      <c r="F179" s="103" t="s">
        <v>4678</v>
      </c>
      <c r="G179" s="103" t="s">
        <v>4679</v>
      </c>
      <c r="H179" s="103" t="s">
        <v>5308</v>
      </c>
      <c r="I179" s="103" t="s">
        <v>5304</v>
      </c>
      <c r="J179" s="104" t="s">
        <v>5305</v>
      </c>
      <c r="K179" s="105"/>
      <c r="L179" s="105"/>
    </row>
    <row r="180">
      <c r="A180" s="103" t="s">
        <v>4676</v>
      </c>
      <c r="B180" s="103">
        <v>1.10010231703E11</v>
      </c>
      <c r="C180" s="105"/>
      <c r="D180" s="104" t="s">
        <v>5309</v>
      </c>
      <c r="E180" s="104" t="s">
        <v>5307</v>
      </c>
      <c r="F180" s="103" t="s">
        <v>4678</v>
      </c>
      <c r="G180" s="103" t="s">
        <v>4679</v>
      </c>
      <c r="H180" s="103" t="s">
        <v>5310</v>
      </c>
      <c r="I180" s="103" t="s">
        <v>5304</v>
      </c>
      <c r="J180" s="104" t="s">
        <v>5305</v>
      </c>
      <c r="K180" s="105"/>
      <c r="L180" s="105"/>
    </row>
    <row r="181">
      <c r="A181" s="103" t="s">
        <v>4676</v>
      </c>
      <c r="B181" s="103">
        <v>1.10010231706E11</v>
      </c>
      <c r="C181" s="105"/>
      <c r="D181" s="104" t="s">
        <v>5311</v>
      </c>
      <c r="E181" s="104" t="s">
        <v>5307</v>
      </c>
      <c r="F181" s="103" t="s">
        <v>4678</v>
      </c>
      <c r="G181" s="103" t="s">
        <v>4679</v>
      </c>
      <c r="H181" s="103" t="s">
        <v>5312</v>
      </c>
      <c r="I181" s="103" t="s">
        <v>5304</v>
      </c>
      <c r="J181" s="104" t="s">
        <v>5305</v>
      </c>
      <c r="K181" s="105"/>
      <c r="L181" s="105"/>
    </row>
    <row r="182">
      <c r="A182" s="103" t="s">
        <v>4676</v>
      </c>
      <c r="B182" s="103">
        <v>1.10010231716E11</v>
      </c>
      <c r="C182" s="105"/>
      <c r="D182" s="104" t="s">
        <v>5313</v>
      </c>
      <c r="E182" s="104" t="s">
        <v>5314</v>
      </c>
      <c r="F182" s="103" t="s">
        <v>4678</v>
      </c>
      <c r="G182" s="103" t="s">
        <v>4679</v>
      </c>
      <c r="H182" s="103" t="s">
        <v>5315</v>
      </c>
      <c r="I182" s="103" t="s">
        <v>5304</v>
      </c>
      <c r="J182" s="104" t="s">
        <v>5305</v>
      </c>
      <c r="K182" s="105"/>
      <c r="L182" s="105"/>
    </row>
    <row r="183">
      <c r="A183" s="103" t="s">
        <v>4676</v>
      </c>
      <c r="B183" s="103">
        <v>1.10010231717E11</v>
      </c>
      <c r="C183" s="105"/>
      <c r="D183" s="104" t="s">
        <v>5316</v>
      </c>
      <c r="E183" s="104" t="s">
        <v>5314</v>
      </c>
      <c r="F183" s="103" t="s">
        <v>4678</v>
      </c>
      <c r="G183" s="103" t="s">
        <v>4679</v>
      </c>
      <c r="H183" s="103" t="s">
        <v>5317</v>
      </c>
      <c r="I183" s="103" t="s">
        <v>5304</v>
      </c>
      <c r="J183" s="104" t="s">
        <v>5305</v>
      </c>
      <c r="K183" s="105"/>
      <c r="L183" s="105"/>
    </row>
    <row r="184">
      <c r="A184" s="103" t="s">
        <v>4676</v>
      </c>
      <c r="B184" s="103">
        <v>1.1001023172E11</v>
      </c>
      <c r="C184" s="105"/>
      <c r="D184" s="104" t="s">
        <v>5318</v>
      </c>
      <c r="E184" s="104" t="s">
        <v>5319</v>
      </c>
      <c r="F184" s="103" t="s">
        <v>4678</v>
      </c>
      <c r="G184" s="103" t="s">
        <v>4679</v>
      </c>
      <c r="H184" s="103" t="s">
        <v>5320</v>
      </c>
      <c r="I184" s="103" t="s">
        <v>5304</v>
      </c>
      <c r="J184" s="104" t="s">
        <v>5305</v>
      </c>
      <c r="K184" s="105"/>
      <c r="L184" s="105"/>
    </row>
    <row r="185">
      <c r="A185" s="103" t="s">
        <v>4676</v>
      </c>
      <c r="B185" s="103">
        <v>1.10010231721E11</v>
      </c>
      <c r="C185" s="105"/>
      <c r="D185" s="104" t="s">
        <v>5321</v>
      </c>
      <c r="E185" s="104" t="s">
        <v>5314</v>
      </c>
      <c r="F185" s="103" t="s">
        <v>4678</v>
      </c>
      <c r="G185" s="103" t="s">
        <v>4679</v>
      </c>
      <c r="H185" s="103" t="s">
        <v>5322</v>
      </c>
      <c r="I185" s="103" t="s">
        <v>5304</v>
      </c>
      <c r="J185" s="104" t="s">
        <v>5305</v>
      </c>
      <c r="K185" s="105"/>
      <c r="L185" s="105"/>
    </row>
    <row r="186">
      <c r="A186" s="103" t="s">
        <v>4676</v>
      </c>
      <c r="B186" s="103">
        <v>1.10010231722E11</v>
      </c>
      <c r="C186" s="105"/>
      <c r="D186" s="104" t="s">
        <v>5323</v>
      </c>
      <c r="E186" s="104" t="s">
        <v>5314</v>
      </c>
      <c r="F186" s="103" t="s">
        <v>4678</v>
      </c>
      <c r="G186" s="103" t="s">
        <v>4679</v>
      </c>
      <c r="H186" s="103" t="s">
        <v>5324</v>
      </c>
      <c r="I186" s="103" t="s">
        <v>5304</v>
      </c>
      <c r="J186" s="104" t="s">
        <v>5305</v>
      </c>
      <c r="K186" s="105"/>
      <c r="L186" s="105"/>
    </row>
    <row r="187">
      <c r="A187" s="103" t="s">
        <v>4676</v>
      </c>
      <c r="B187" s="103">
        <v>1.10010231723E11</v>
      </c>
      <c r="C187" s="105"/>
      <c r="D187" s="104" t="s">
        <v>5325</v>
      </c>
      <c r="E187" s="104" t="s">
        <v>5326</v>
      </c>
      <c r="F187" s="103" t="s">
        <v>4678</v>
      </c>
      <c r="G187" s="103" t="s">
        <v>4679</v>
      </c>
      <c r="H187" s="103" t="s">
        <v>5327</v>
      </c>
      <c r="I187" s="103" t="s">
        <v>5304</v>
      </c>
      <c r="J187" s="104" t="s">
        <v>5305</v>
      </c>
      <c r="K187" s="105"/>
      <c r="L187" s="105"/>
    </row>
    <row r="188">
      <c r="A188" s="103" t="s">
        <v>4676</v>
      </c>
      <c r="B188" s="103">
        <v>1.10010231724E11</v>
      </c>
      <c r="C188" s="105"/>
      <c r="D188" s="104" t="s">
        <v>5328</v>
      </c>
      <c r="E188" s="104" t="s">
        <v>5326</v>
      </c>
      <c r="F188" s="103" t="s">
        <v>4678</v>
      </c>
      <c r="G188" s="103" t="s">
        <v>4679</v>
      </c>
      <c r="H188" s="103" t="s">
        <v>5329</v>
      </c>
      <c r="I188" s="103" t="s">
        <v>5304</v>
      </c>
      <c r="J188" s="104" t="s">
        <v>5305</v>
      </c>
      <c r="K188" s="105"/>
      <c r="L188" s="105"/>
    </row>
    <row r="189">
      <c r="A189" s="103" t="s">
        <v>4676</v>
      </c>
      <c r="B189" s="103">
        <v>1.10010231725E11</v>
      </c>
      <c r="C189" s="105"/>
      <c r="D189" s="104" t="s">
        <v>5330</v>
      </c>
      <c r="E189" s="104" t="s">
        <v>5326</v>
      </c>
      <c r="F189" s="103" t="s">
        <v>4678</v>
      </c>
      <c r="G189" s="103" t="s">
        <v>4679</v>
      </c>
      <c r="H189" s="103" t="s">
        <v>5331</v>
      </c>
      <c r="I189" s="103" t="s">
        <v>5304</v>
      </c>
      <c r="J189" s="104" t="s">
        <v>5305</v>
      </c>
      <c r="K189" s="105"/>
      <c r="L189" s="105"/>
    </row>
    <row r="190">
      <c r="A190" s="103" t="s">
        <v>4676</v>
      </c>
      <c r="B190" s="103">
        <v>1.10010231727E11</v>
      </c>
      <c r="C190" s="105"/>
      <c r="D190" s="104" t="s">
        <v>5332</v>
      </c>
      <c r="E190" s="104" t="s">
        <v>5333</v>
      </c>
      <c r="F190" s="103" t="s">
        <v>4678</v>
      </c>
      <c r="G190" s="103" t="s">
        <v>4679</v>
      </c>
      <c r="H190" s="103" t="s">
        <v>5334</v>
      </c>
      <c r="I190" s="103">
        <v>3.155776677E9</v>
      </c>
      <c r="J190" s="104" t="s">
        <v>5305</v>
      </c>
      <c r="K190" s="105"/>
      <c r="L190" s="105"/>
    </row>
    <row r="191">
      <c r="A191" s="103" t="s">
        <v>4676</v>
      </c>
      <c r="B191" s="103">
        <v>1.100102324E9</v>
      </c>
      <c r="C191" s="105"/>
      <c r="D191" s="104" t="s">
        <v>5335</v>
      </c>
      <c r="E191" s="104" t="s">
        <v>5336</v>
      </c>
      <c r="F191" s="103" t="s">
        <v>4678</v>
      </c>
      <c r="G191" s="103" t="s">
        <v>4679</v>
      </c>
      <c r="H191" s="103" t="s">
        <v>5337</v>
      </c>
      <c r="I191" s="103">
        <v>6.016214621E9</v>
      </c>
      <c r="J191" s="104" t="s">
        <v>5338</v>
      </c>
      <c r="K191" s="107" t="s">
        <v>5339</v>
      </c>
      <c r="L191" s="105"/>
    </row>
    <row r="192">
      <c r="A192" s="103" t="s">
        <v>4676</v>
      </c>
      <c r="B192" s="103">
        <v>1.10010232401E11</v>
      </c>
      <c r="C192" s="105"/>
      <c r="D192" s="104" t="s">
        <v>5335</v>
      </c>
      <c r="E192" s="104" t="s">
        <v>5340</v>
      </c>
      <c r="F192" s="103" t="s">
        <v>4678</v>
      </c>
      <c r="G192" s="103" t="s">
        <v>4679</v>
      </c>
      <c r="H192" s="103" t="s">
        <v>5341</v>
      </c>
      <c r="I192" s="103">
        <v>6.016214621E9</v>
      </c>
      <c r="J192" s="104" t="s">
        <v>5342</v>
      </c>
      <c r="K192" s="105"/>
      <c r="L192" s="105"/>
    </row>
    <row r="193">
      <c r="A193" s="103" t="s">
        <v>4676</v>
      </c>
      <c r="B193" s="103">
        <v>1.100102334E9</v>
      </c>
      <c r="C193" s="105"/>
      <c r="D193" s="104" t="s">
        <v>5343</v>
      </c>
      <c r="E193" s="104" t="s">
        <v>5344</v>
      </c>
      <c r="F193" s="103" t="s">
        <v>4678</v>
      </c>
      <c r="G193" s="103" t="s">
        <v>4679</v>
      </c>
      <c r="H193" s="103" t="s">
        <v>5345</v>
      </c>
      <c r="I193" s="103" t="s">
        <v>5346</v>
      </c>
      <c r="J193" s="104" t="s">
        <v>5347</v>
      </c>
      <c r="K193" s="105"/>
      <c r="L193" s="105"/>
    </row>
    <row r="194">
      <c r="A194" s="103" t="s">
        <v>4676</v>
      </c>
      <c r="B194" s="103">
        <v>1.10010233401E11</v>
      </c>
      <c r="C194" s="105"/>
      <c r="D194" s="104" t="s">
        <v>5348</v>
      </c>
      <c r="E194" s="106"/>
      <c r="F194" s="103" t="s">
        <v>4678</v>
      </c>
      <c r="G194" s="103" t="s">
        <v>4679</v>
      </c>
      <c r="H194" s="103" t="s">
        <v>5345</v>
      </c>
      <c r="I194" s="103" t="s">
        <v>5346</v>
      </c>
      <c r="J194" s="104" t="s">
        <v>5347</v>
      </c>
      <c r="K194" s="105"/>
      <c r="L194" s="105"/>
    </row>
    <row r="195">
      <c r="A195" s="103" t="s">
        <v>4676</v>
      </c>
      <c r="B195" s="103">
        <v>1.100102404E9</v>
      </c>
      <c r="C195" s="105"/>
      <c r="D195" s="104" t="s">
        <v>5349</v>
      </c>
      <c r="E195" s="104" t="s">
        <v>5350</v>
      </c>
      <c r="F195" s="103" t="s">
        <v>4678</v>
      </c>
      <c r="G195" s="103" t="s">
        <v>4679</v>
      </c>
      <c r="H195" s="103" t="s">
        <v>5351</v>
      </c>
      <c r="I195" s="103" t="s">
        <v>5352</v>
      </c>
      <c r="J195" s="104" t="s">
        <v>5353</v>
      </c>
      <c r="K195" s="107" t="s">
        <v>5354</v>
      </c>
      <c r="L195" s="105"/>
    </row>
    <row r="196">
      <c r="A196" s="103" t="s">
        <v>4676</v>
      </c>
      <c r="B196" s="103">
        <v>1.10010240401E11</v>
      </c>
      <c r="C196" s="105"/>
      <c r="D196" s="104" t="s">
        <v>5355</v>
      </c>
      <c r="E196" s="104" t="s">
        <v>5356</v>
      </c>
      <c r="F196" s="103" t="s">
        <v>4678</v>
      </c>
      <c r="G196" s="103" t="s">
        <v>4679</v>
      </c>
      <c r="H196" s="103" t="s">
        <v>5357</v>
      </c>
      <c r="I196" s="103" t="s">
        <v>5358</v>
      </c>
      <c r="J196" s="104" t="s">
        <v>5353</v>
      </c>
      <c r="K196" s="107" t="s">
        <v>5359</v>
      </c>
      <c r="L196" s="105"/>
    </row>
    <row r="197">
      <c r="A197" s="103" t="s">
        <v>4676</v>
      </c>
      <c r="B197" s="103">
        <v>1.10010240402E11</v>
      </c>
      <c r="C197" s="105"/>
      <c r="D197" s="104" t="s">
        <v>5360</v>
      </c>
      <c r="E197" s="104" t="s">
        <v>5356</v>
      </c>
      <c r="F197" s="103" t="s">
        <v>4678</v>
      </c>
      <c r="G197" s="103" t="s">
        <v>4679</v>
      </c>
      <c r="H197" s="103" t="s">
        <v>5361</v>
      </c>
      <c r="I197" s="103" t="s">
        <v>5358</v>
      </c>
      <c r="J197" s="104" t="s">
        <v>5353</v>
      </c>
      <c r="K197" s="105"/>
      <c r="L197" s="105"/>
    </row>
    <row r="198">
      <c r="A198" s="103" t="s">
        <v>4676</v>
      </c>
      <c r="B198" s="103">
        <v>1.10010240403E11</v>
      </c>
      <c r="C198" s="105"/>
      <c r="D198" s="104" t="s">
        <v>5362</v>
      </c>
      <c r="E198" s="104" t="s">
        <v>5356</v>
      </c>
      <c r="F198" s="103" t="s">
        <v>4678</v>
      </c>
      <c r="G198" s="103" t="s">
        <v>4679</v>
      </c>
      <c r="H198" s="103" t="s">
        <v>5363</v>
      </c>
      <c r="I198" s="103" t="s">
        <v>5358</v>
      </c>
      <c r="J198" s="104" t="s">
        <v>5353</v>
      </c>
      <c r="K198" s="105"/>
      <c r="L198" s="105"/>
    </row>
    <row r="199">
      <c r="A199" s="103" t="s">
        <v>4676</v>
      </c>
      <c r="B199" s="103">
        <v>1.10010240406E11</v>
      </c>
      <c r="C199" s="105"/>
      <c r="D199" s="104" t="s">
        <v>5364</v>
      </c>
      <c r="E199" s="104" t="s">
        <v>5356</v>
      </c>
      <c r="F199" s="103" t="s">
        <v>4678</v>
      </c>
      <c r="G199" s="103" t="s">
        <v>4679</v>
      </c>
      <c r="H199" s="103" t="s">
        <v>5365</v>
      </c>
      <c r="I199" s="103" t="s">
        <v>5358</v>
      </c>
      <c r="J199" s="104" t="s">
        <v>5353</v>
      </c>
      <c r="K199" s="105"/>
      <c r="L199" s="105"/>
    </row>
    <row r="200">
      <c r="A200" s="103" t="s">
        <v>4676</v>
      </c>
      <c r="B200" s="103">
        <v>1.10010240416E11</v>
      </c>
      <c r="C200" s="105"/>
      <c r="D200" s="104" t="s">
        <v>5366</v>
      </c>
      <c r="E200" s="104" t="s">
        <v>5356</v>
      </c>
      <c r="F200" s="103" t="s">
        <v>4678</v>
      </c>
      <c r="G200" s="103" t="s">
        <v>4679</v>
      </c>
      <c r="H200" s="103" t="s">
        <v>5367</v>
      </c>
      <c r="I200" s="103" t="s">
        <v>5358</v>
      </c>
      <c r="J200" s="104" t="s">
        <v>5353</v>
      </c>
      <c r="K200" s="105"/>
      <c r="L200" s="105"/>
    </row>
    <row r="201">
      <c r="A201" s="103" t="s">
        <v>4676</v>
      </c>
      <c r="B201" s="103">
        <v>1.10010240417E11</v>
      </c>
      <c r="C201" s="105"/>
      <c r="D201" s="104" t="s">
        <v>5368</v>
      </c>
      <c r="E201" s="104" t="s">
        <v>5356</v>
      </c>
      <c r="F201" s="103" t="s">
        <v>4678</v>
      </c>
      <c r="G201" s="103" t="s">
        <v>4679</v>
      </c>
      <c r="H201" s="103" t="s">
        <v>5369</v>
      </c>
      <c r="I201" s="103" t="s">
        <v>5370</v>
      </c>
      <c r="J201" s="104" t="s">
        <v>5353</v>
      </c>
      <c r="K201" s="105"/>
      <c r="L201" s="105"/>
    </row>
    <row r="202">
      <c r="A202" s="103" t="s">
        <v>4676</v>
      </c>
      <c r="B202" s="103">
        <v>1.10010240428E11</v>
      </c>
      <c r="C202" s="105"/>
      <c r="D202" s="104" t="s">
        <v>5371</v>
      </c>
      <c r="E202" s="104" t="s">
        <v>5356</v>
      </c>
      <c r="F202" s="103" t="s">
        <v>4678</v>
      </c>
      <c r="G202" s="103" t="s">
        <v>4679</v>
      </c>
      <c r="H202" s="103" t="s">
        <v>5372</v>
      </c>
      <c r="I202" s="103" t="s">
        <v>5370</v>
      </c>
      <c r="J202" s="104" t="s">
        <v>5353</v>
      </c>
      <c r="K202" s="105"/>
      <c r="L202" s="105"/>
    </row>
    <row r="203">
      <c r="A203" s="103" t="s">
        <v>4676</v>
      </c>
      <c r="B203" s="103">
        <v>1.10010240434E11</v>
      </c>
      <c r="C203" s="105"/>
      <c r="D203" s="104" t="s">
        <v>5373</v>
      </c>
      <c r="E203" s="104" t="s">
        <v>5356</v>
      </c>
      <c r="F203" s="103" t="s">
        <v>4678</v>
      </c>
      <c r="G203" s="103" t="s">
        <v>4679</v>
      </c>
      <c r="H203" s="103" t="s">
        <v>5374</v>
      </c>
      <c r="I203" s="103" t="s">
        <v>5370</v>
      </c>
      <c r="J203" s="104" t="s">
        <v>5353</v>
      </c>
      <c r="K203" s="105"/>
      <c r="L203" s="105"/>
    </row>
    <row r="204">
      <c r="A204" s="103" t="s">
        <v>4676</v>
      </c>
      <c r="B204" s="103">
        <v>1.100102447E9</v>
      </c>
      <c r="C204" s="105"/>
      <c r="D204" s="104" t="s">
        <v>5375</v>
      </c>
      <c r="E204" s="104" t="s">
        <v>5376</v>
      </c>
      <c r="F204" s="103" t="s">
        <v>4678</v>
      </c>
      <c r="G204" s="103" t="s">
        <v>4679</v>
      </c>
      <c r="H204" s="103" t="s">
        <v>5377</v>
      </c>
      <c r="I204" s="103">
        <v>2830180.0</v>
      </c>
      <c r="J204" s="104" t="s">
        <v>5378</v>
      </c>
      <c r="K204" s="105"/>
      <c r="L204" s="105"/>
    </row>
    <row r="205">
      <c r="A205" s="103" t="s">
        <v>4676</v>
      </c>
      <c r="B205" s="103">
        <v>1.10010244701E11</v>
      </c>
      <c r="C205" s="105"/>
      <c r="D205" s="104" t="s">
        <v>5375</v>
      </c>
      <c r="E205" s="106"/>
      <c r="F205" s="103" t="s">
        <v>4678</v>
      </c>
      <c r="G205" s="103" t="s">
        <v>4679</v>
      </c>
      <c r="H205" s="103" t="s">
        <v>5377</v>
      </c>
      <c r="I205" s="105"/>
      <c r="J205" s="106"/>
      <c r="K205" s="105"/>
      <c r="L205" s="105"/>
    </row>
    <row r="206">
      <c r="A206" s="103" t="s">
        <v>4676</v>
      </c>
      <c r="B206" s="103">
        <v>1.10010244702E11</v>
      </c>
      <c r="C206" s="105"/>
      <c r="D206" s="104" t="s">
        <v>5375</v>
      </c>
      <c r="E206" s="106"/>
      <c r="F206" s="103" t="s">
        <v>4678</v>
      </c>
      <c r="G206" s="103" t="s">
        <v>4679</v>
      </c>
      <c r="H206" s="103" t="s">
        <v>5379</v>
      </c>
      <c r="I206" s="103">
        <v>2364078.0</v>
      </c>
      <c r="J206" s="104" t="s">
        <v>5380</v>
      </c>
      <c r="K206" s="105"/>
      <c r="L206" s="105"/>
    </row>
    <row r="207">
      <c r="A207" s="103" t="s">
        <v>4676</v>
      </c>
      <c r="B207" s="103">
        <v>1.100102539E9</v>
      </c>
      <c r="C207" s="105"/>
      <c r="D207" s="104" t="s">
        <v>5381</v>
      </c>
      <c r="E207" s="104" t="s">
        <v>5382</v>
      </c>
      <c r="F207" s="103" t="s">
        <v>4678</v>
      </c>
      <c r="G207" s="103" t="s">
        <v>4679</v>
      </c>
      <c r="H207" s="103" t="s">
        <v>5383</v>
      </c>
      <c r="I207" s="103" t="s">
        <v>5384</v>
      </c>
      <c r="J207" s="104" t="s">
        <v>5385</v>
      </c>
      <c r="K207" s="105"/>
      <c r="L207" s="105"/>
    </row>
    <row r="208">
      <c r="A208" s="103" t="s">
        <v>4676</v>
      </c>
      <c r="B208" s="103">
        <v>1.10010253901E11</v>
      </c>
      <c r="C208" s="105"/>
      <c r="D208" s="104" t="s">
        <v>5386</v>
      </c>
      <c r="E208" s="104" t="s">
        <v>5387</v>
      </c>
      <c r="F208" s="103" t="s">
        <v>4678</v>
      </c>
      <c r="G208" s="103" t="s">
        <v>4679</v>
      </c>
      <c r="H208" s="103" t="s">
        <v>5383</v>
      </c>
      <c r="I208" s="103">
        <v>6185414.0</v>
      </c>
      <c r="J208" s="104" t="s">
        <v>5385</v>
      </c>
      <c r="K208" s="105"/>
      <c r="L208" s="105"/>
    </row>
    <row r="209">
      <c r="A209" s="103" t="s">
        <v>4676</v>
      </c>
      <c r="B209" s="103">
        <v>1.10010254E9</v>
      </c>
      <c r="C209" s="105"/>
      <c r="D209" s="104" t="s">
        <v>5388</v>
      </c>
      <c r="E209" s="104" t="s">
        <v>5389</v>
      </c>
      <c r="F209" s="103" t="s">
        <v>4678</v>
      </c>
      <c r="G209" s="103" t="s">
        <v>4679</v>
      </c>
      <c r="H209" s="103" t="s">
        <v>5390</v>
      </c>
      <c r="I209" s="103" t="s">
        <v>5391</v>
      </c>
      <c r="J209" s="104" t="s">
        <v>5392</v>
      </c>
      <c r="K209" s="107" t="s">
        <v>5393</v>
      </c>
      <c r="L209" s="105"/>
    </row>
    <row r="210">
      <c r="A210" s="103" t="s">
        <v>4676</v>
      </c>
      <c r="B210" s="103">
        <v>1.10010254001E11</v>
      </c>
      <c r="C210" s="105"/>
      <c r="D210" s="104" t="s">
        <v>5388</v>
      </c>
      <c r="E210" s="104" t="s">
        <v>5394</v>
      </c>
      <c r="F210" s="103" t="s">
        <v>4678</v>
      </c>
      <c r="G210" s="103" t="s">
        <v>4679</v>
      </c>
      <c r="H210" s="103" t="s">
        <v>5395</v>
      </c>
      <c r="I210" s="103" t="s">
        <v>5396</v>
      </c>
      <c r="J210" s="104" t="s">
        <v>5392</v>
      </c>
      <c r="K210" s="105"/>
      <c r="L210" s="105"/>
    </row>
    <row r="211">
      <c r="A211" s="103" t="s">
        <v>4676</v>
      </c>
      <c r="B211" s="103">
        <v>1.100102545E9</v>
      </c>
      <c r="C211" s="105"/>
      <c r="D211" s="104" t="s">
        <v>5397</v>
      </c>
      <c r="E211" s="104" t="s">
        <v>5398</v>
      </c>
      <c r="F211" s="103" t="s">
        <v>4678</v>
      </c>
      <c r="G211" s="103" t="s">
        <v>4679</v>
      </c>
      <c r="H211" s="103" t="s">
        <v>5399</v>
      </c>
      <c r="I211" s="103">
        <v>3.144582408E9</v>
      </c>
      <c r="J211" s="104" t="s">
        <v>5400</v>
      </c>
      <c r="K211" s="105"/>
      <c r="L211" s="105"/>
    </row>
    <row r="212">
      <c r="A212" s="103" t="s">
        <v>4676</v>
      </c>
      <c r="B212" s="103">
        <v>1.10010254503E11</v>
      </c>
      <c r="C212" s="105"/>
      <c r="D212" s="104" t="s">
        <v>5401</v>
      </c>
      <c r="E212" s="104" t="s">
        <v>5402</v>
      </c>
      <c r="F212" s="103" t="s">
        <v>4678</v>
      </c>
      <c r="G212" s="103" t="s">
        <v>4679</v>
      </c>
      <c r="H212" s="103" t="s">
        <v>5399</v>
      </c>
      <c r="I212" s="103">
        <v>3.144582408E9</v>
      </c>
      <c r="J212" s="104" t="s">
        <v>5400</v>
      </c>
      <c r="K212" s="105"/>
      <c r="L212" s="105"/>
    </row>
    <row r="213">
      <c r="A213" s="103" t="s">
        <v>4676</v>
      </c>
      <c r="B213" s="103">
        <v>1.100102622E9</v>
      </c>
      <c r="C213" s="105"/>
      <c r="D213" s="104" t="s">
        <v>5403</v>
      </c>
      <c r="E213" s="104" t="s">
        <v>5404</v>
      </c>
      <c r="F213" s="103" t="s">
        <v>4678</v>
      </c>
      <c r="G213" s="103" t="s">
        <v>4679</v>
      </c>
      <c r="H213" s="103" t="s">
        <v>5405</v>
      </c>
      <c r="I213" s="103">
        <v>7420842.0</v>
      </c>
      <c r="J213" s="104" t="s">
        <v>5406</v>
      </c>
      <c r="K213" s="107" t="s">
        <v>5407</v>
      </c>
      <c r="L213" s="105"/>
    </row>
    <row r="214">
      <c r="A214" s="103" t="s">
        <v>4676</v>
      </c>
      <c r="B214" s="103">
        <v>1.10010262201E11</v>
      </c>
      <c r="C214" s="105"/>
      <c r="D214" s="104" t="s">
        <v>5403</v>
      </c>
      <c r="E214" s="104" t="s">
        <v>5408</v>
      </c>
      <c r="F214" s="103" t="s">
        <v>4678</v>
      </c>
      <c r="G214" s="103" t="s">
        <v>4679</v>
      </c>
      <c r="H214" s="103" t="s">
        <v>5405</v>
      </c>
      <c r="I214" s="103">
        <v>7420842.0</v>
      </c>
      <c r="J214" s="104" t="s">
        <v>5406</v>
      </c>
      <c r="K214" s="105"/>
      <c r="L214" s="105"/>
    </row>
    <row r="215">
      <c r="A215" s="103" t="s">
        <v>4676</v>
      </c>
      <c r="B215" s="103">
        <v>1.10010262202E11</v>
      </c>
      <c r="C215" s="105"/>
      <c r="D215" s="104" t="s">
        <v>5409</v>
      </c>
      <c r="E215" s="104" t="s">
        <v>5408</v>
      </c>
      <c r="F215" s="103" t="s">
        <v>4678</v>
      </c>
      <c r="G215" s="103" t="s">
        <v>4679</v>
      </c>
      <c r="H215" s="103" t="s">
        <v>5410</v>
      </c>
      <c r="I215" s="105"/>
      <c r="J215" s="104" t="s">
        <v>5406</v>
      </c>
      <c r="K215" s="105"/>
      <c r="L215" s="105"/>
    </row>
    <row r="216">
      <c r="A216" s="103" t="s">
        <v>4676</v>
      </c>
      <c r="B216" s="103">
        <v>1.100102894E9</v>
      </c>
      <c r="C216" s="105"/>
      <c r="D216" s="104" t="s">
        <v>5411</v>
      </c>
      <c r="E216" s="104" t="s">
        <v>5412</v>
      </c>
      <c r="F216" s="103" t="s">
        <v>4678</v>
      </c>
      <c r="G216" s="103" t="s">
        <v>4679</v>
      </c>
      <c r="H216" s="103" t="s">
        <v>5413</v>
      </c>
      <c r="I216" s="103" t="s">
        <v>5414</v>
      </c>
      <c r="J216" s="104" t="s">
        <v>5415</v>
      </c>
      <c r="K216" s="105"/>
      <c r="L216" s="105"/>
    </row>
    <row r="217">
      <c r="A217" s="103" t="s">
        <v>4676</v>
      </c>
      <c r="B217" s="103">
        <v>1.10010289401E11</v>
      </c>
      <c r="C217" s="105"/>
      <c r="D217" s="104" t="s">
        <v>5411</v>
      </c>
      <c r="E217" s="104" t="s">
        <v>5416</v>
      </c>
      <c r="F217" s="103" t="s">
        <v>4678</v>
      </c>
      <c r="G217" s="103" t="s">
        <v>4679</v>
      </c>
      <c r="H217" s="103" t="s">
        <v>5417</v>
      </c>
      <c r="I217" s="103" t="s">
        <v>5418</v>
      </c>
      <c r="J217" s="104" t="s">
        <v>5415</v>
      </c>
      <c r="K217" s="105"/>
      <c r="L217" s="105"/>
    </row>
    <row r="218">
      <c r="A218" s="103" t="s">
        <v>4676</v>
      </c>
      <c r="B218" s="103">
        <v>1.100103016E9</v>
      </c>
      <c r="C218" s="105"/>
      <c r="D218" s="104" t="s">
        <v>5419</v>
      </c>
      <c r="E218" s="104" t="s">
        <v>5420</v>
      </c>
      <c r="F218" s="103" t="s">
        <v>4678</v>
      </c>
      <c r="G218" s="103" t="s">
        <v>4679</v>
      </c>
      <c r="H218" s="103" t="s">
        <v>5421</v>
      </c>
      <c r="I218" s="103">
        <v>6128426.0</v>
      </c>
      <c r="J218" s="104" t="s">
        <v>5422</v>
      </c>
      <c r="K218" s="105"/>
      <c r="L218" s="105"/>
    </row>
    <row r="219">
      <c r="A219" s="103" t="s">
        <v>4676</v>
      </c>
      <c r="B219" s="103">
        <v>1.10010301601E11</v>
      </c>
      <c r="C219" s="105"/>
      <c r="D219" s="104" t="s">
        <v>5423</v>
      </c>
      <c r="E219" s="104" t="s">
        <v>5424</v>
      </c>
      <c r="F219" s="103" t="s">
        <v>4678</v>
      </c>
      <c r="G219" s="103" t="s">
        <v>4679</v>
      </c>
      <c r="H219" s="103" t="s">
        <v>5425</v>
      </c>
      <c r="I219" s="103">
        <v>6128426.0</v>
      </c>
      <c r="J219" s="104" t="s">
        <v>5426</v>
      </c>
      <c r="K219" s="105"/>
      <c r="L219" s="105"/>
    </row>
    <row r="220">
      <c r="A220" s="103" t="s">
        <v>4676</v>
      </c>
      <c r="B220" s="103">
        <v>1.10010302E9</v>
      </c>
      <c r="C220" s="105"/>
      <c r="D220" s="104" t="s">
        <v>5427</v>
      </c>
      <c r="E220" s="104" t="s">
        <v>5428</v>
      </c>
      <c r="F220" s="103" t="s">
        <v>4678</v>
      </c>
      <c r="G220" s="103" t="s">
        <v>4679</v>
      </c>
      <c r="H220" s="103" t="s">
        <v>5429</v>
      </c>
      <c r="I220" s="103" t="s">
        <v>5430</v>
      </c>
      <c r="J220" s="104" t="s">
        <v>5431</v>
      </c>
      <c r="K220" s="105"/>
      <c r="L220" s="105"/>
    </row>
    <row r="221">
      <c r="A221" s="103" t="s">
        <v>4676</v>
      </c>
      <c r="B221" s="103">
        <v>1.10010302001E11</v>
      </c>
      <c r="C221" s="105"/>
      <c r="D221" s="104" t="s">
        <v>5432</v>
      </c>
      <c r="E221" s="106"/>
      <c r="F221" s="103" t="s">
        <v>4678</v>
      </c>
      <c r="G221" s="103" t="s">
        <v>4679</v>
      </c>
      <c r="H221" s="103" t="s">
        <v>5429</v>
      </c>
      <c r="I221" s="103" t="s">
        <v>5430</v>
      </c>
      <c r="J221" s="104" t="s">
        <v>5433</v>
      </c>
      <c r="K221" s="105"/>
      <c r="L221" s="105"/>
    </row>
    <row r="222">
      <c r="A222" s="103" t="s">
        <v>4676</v>
      </c>
      <c r="B222" s="103">
        <v>1.100103031E9</v>
      </c>
      <c r="C222" s="105"/>
      <c r="D222" s="104" t="s">
        <v>5434</v>
      </c>
      <c r="E222" s="104" t="s">
        <v>5435</v>
      </c>
      <c r="F222" s="103" t="s">
        <v>4678</v>
      </c>
      <c r="G222" s="103" t="s">
        <v>4679</v>
      </c>
      <c r="H222" s="103" t="s">
        <v>5436</v>
      </c>
      <c r="I222" s="103">
        <v>3.184025134E9</v>
      </c>
      <c r="J222" s="104" t="s">
        <v>5437</v>
      </c>
      <c r="K222" s="105"/>
      <c r="L222" s="105"/>
    </row>
    <row r="223">
      <c r="A223" s="103" t="s">
        <v>4676</v>
      </c>
      <c r="B223" s="103">
        <v>1.10010303101E11</v>
      </c>
      <c r="C223" s="105"/>
      <c r="D223" s="104" t="s">
        <v>5438</v>
      </c>
      <c r="E223" s="104" t="s">
        <v>5439</v>
      </c>
      <c r="F223" s="103" t="s">
        <v>4678</v>
      </c>
      <c r="G223" s="103" t="s">
        <v>4679</v>
      </c>
      <c r="H223" s="103" t="s">
        <v>5440</v>
      </c>
      <c r="I223" s="103">
        <v>3.184025134E9</v>
      </c>
      <c r="J223" s="104" t="s">
        <v>5437</v>
      </c>
      <c r="K223" s="105"/>
      <c r="L223" s="105"/>
    </row>
    <row r="224">
      <c r="A224" s="103" t="s">
        <v>4676</v>
      </c>
      <c r="B224" s="103">
        <v>1.100103071E9</v>
      </c>
      <c r="C224" s="105"/>
      <c r="D224" s="104" t="s">
        <v>5441</v>
      </c>
      <c r="E224" s="104" t="s">
        <v>5442</v>
      </c>
      <c r="F224" s="103" t="s">
        <v>4678</v>
      </c>
      <c r="G224" s="103" t="s">
        <v>4679</v>
      </c>
      <c r="H224" s="103" t="s">
        <v>5443</v>
      </c>
      <c r="I224" s="103">
        <v>3402120.0</v>
      </c>
      <c r="J224" s="104" t="s">
        <v>5444</v>
      </c>
      <c r="K224" s="105"/>
      <c r="L224" s="105"/>
    </row>
    <row r="225">
      <c r="A225" s="103" t="s">
        <v>4676</v>
      </c>
      <c r="B225" s="103">
        <v>1.10010307101E11</v>
      </c>
      <c r="C225" s="105"/>
      <c r="D225" s="104" t="s">
        <v>5445</v>
      </c>
      <c r="E225" s="106"/>
      <c r="F225" s="103" t="s">
        <v>4678</v>
      </c>
      <c r="G225" s="103" t="s">
        <v>4679</v>
      </c>
      <c r="H225" s="103" t="s">
        <v>5443</v>
      </c>
      <c r="I225" s="105"/>
      <c r="J225" s="104" t="s">
        <v>5444</v>
      </c>
      <c r="K225" s="105"/>
      <c r="L225" s="105"/>
    </row>
    <row r="226">
      <c r="A226" s="103" t="s">
        <v>4676</v>
      </c>
      <c r="B226" s="103">
        <v>1.100103113E9</v>
      </c>
      <c r="C226" s="105"/>
      <c r="D226" s="104" t="s">
        <v>5446</v>
      </c>
      <c r="E226" s="104" t="s">
        <v>5447</v>
      </c>
      <c r="F226" s="103" t="s">
        <v>4678</v>
      </c>
      <c r="G226" s="103" t="s">
        <v>4679</v>
      </c>
      <c r="H226" s="103" t="s">
        <v>5448</v>
      </c>
      <c r="I226" s="103">
        <v>3384338.0</v>
      </c>
      <c r="J226" s="104" t="s">
        <v>5449</v>
      </c>
      <c r="K226" s="105"/>
      <c r="L226" s="105"/>
    </row>
    <row r="227">
      <c r="A227" s="103" t="s">
        <v>4676</v>
      </c>
      <c r="B227" s="103">
        <v>1.10010311301E11</v>
      </c>
      <c r="C227" s="105"/>
      <c r="D227" s="104" t="s">
        <v>5446</v>
      </c>
      <c r="E227" s="106"/>
      <c r="F227" s="103" t="s">
        <v>4678</v>
      </c>
      <c r="G227" s="103" t="s">
        <v>4679</v>
      </c>
      <c r="H227" s="103" t="s">
        <v>5448</v>
      </c>
      <c r="I227" s="103">
        <v>3384338.0</v>
      </c>
      <c r="J227" s="104" t="s">
        <v>5449</v>
      </c>
      <c r="K227" s="105"/>
      <c r="L227" s="105"/>
    </row>
    <row r="228">
      <c r="A228" s="103" t="s">
        <v>4676</v>
      </c>
      <c r="B228" s="103">
        <v>1.100103155E9</v>
      </c>
      <c r="C228" s="105"/>
      <c r="D228" s="104" t="s">
        <v>5450</v>
      </c>
      <c r="E228" s="104" t="s">
        <v>5451</v>
      </c>
      <c r="F228" s="103" t="s">
        <v>4678</v>
      </c>
      <c r="G228" s="103" t="s">
        <v>4679</v>
      </c>
      <c r="H228" s="103" t="s">
        <v>5452</v>
      </c>
      <c r="I228" s="103" t="s">
        <v>5453</v>
      </c>
      <c r="J228" s="104" t="s">
        <v>5454</v>
      </c>
      <c r="K228" s="107" t="s">
        <v>5455</v>
      </c>
      <c r="L228" s="105"/>
    </row>
    <row r="229">
      <c r="A229" s="103" t="s">
        <v>4676</v>
      </c>
      <c r="B229" s="103">
        <v>1.10010315501E11</v>
      </c>
      <c r="C229" s="105"/>
      <c r="D229" s="104" t="s">
        <v>5450</v>
      </c>
      <c r="E229" s="104" t="s">
        <v>5456</v>
      </c>
      <c r="F229" s="103" t="s">
        <v>4678</v>
      </c>
      <c r="G229" s="103" t="s">
        <v>4679</v>
      </c>
      <c r="H229" s="103" t="s">
        <v>5457</v>
      </c>
      <c r="I229" s="103" t="s">
        <v>5453</v>
      </c>
      <c r="J229" s="104" t="s">
        <v>5454</v>
      </c>
      <c r="K229" s="105"/>
      <c r="L229" s="105"/>
    </row>
    <row r="230">
      <c r="A230" s="103" t="s">
        <v>4676</v>
      </c>
      <c r="B230" s="103">
        <v>1.10010315503E11</v>
      </c>
      <c r="C230" s="105"/>
      <c r="D230" s="104" t="s">
        <v>5458</v>
      </c>
      <c r="E230" s="104" t="s">
        <v>5459</v>
      </c>
      <c r="F230" s="103" t="s">
        <v>4678</v>
      </c>
      <c r="G230" s="103" t="s">
        <v>4679</v>
      </c>
      <c r="H230" s="103" t="s">
        <v>5460</v>
      </c>
      <c r="I230" s="103" t="s">
        <v>5453</v>
      </c>
      <c r="J230" s="104" t="s">
        <v>5454</v>
      </c>
      <c r="K230" s="105"/>
      <c r="L230" s="105"/>
    </row>
    <row r="231">
      <c r="A231" s="103" t="s">
        <v>4676</v>
      </c>
      <c r="B231" s="103">
        <v>1.10010315505E11</v>
      </c>
      <c r="C231" s="105"/>
      <c r="D231" s="104" t="s">
        <v>5461</v>
      </c>
      <c r="E231" s="104" t="s">
        <v>5459</v>
      </c>
      <c r="F231" s="103" t="s">
        <v>4678</v>
      </c>
      <c r="G231" s="103" t="s">
        <v>4679</v>
      </c>
      <c r="H231" s="103" t="s">
        <v>5462</v>
      </c>
      <c r="I231" s="103" t="s">
        <v>5453</v>
      </c>
      <c r="J231" s="104" t="s">
        <v>5454</v>
      </c>
      <c r="K231" s="105"/>
      <c r="L231" s="105"/>
    </row>
    <row r="232">
      <c r="A232" s="103" t="s">
        <v>4676</v>
      </c>
      <c r="B232" s="103">
        <v>1.100103183E9</v>
      </c>
      <c r="C232" s="105"/>
      <c r="D232" s="104" t="s">
        <v>5463</v>
      </c>
      <c r="E232" s="104" t="s">
        <v>5464</v>
      </c>
      <c r="F232" s="103" t="s">
        <v>4678</v>
      </c>
      <c r="G232" s="103" t="s">
        <v>4679</v>
      </c>
      <c r="H232" s="103" t="s">
        <v>5465</v>
      </c>
      <c r="I232" s="103" t="s">
        <v>5466</v>
      </c>
      <c r="J232" s="104" t="s">
        <v>5467</v>
      </c>
      <c r="K232" s="105"/>
      <c r="L232" s="105"/>
    </row>
    <row r="233">
      <c r="A233" s="103" t="s">
        <v>4676</v>
      </c>
      <c r="B233" s="103">
        <v>1.10010318301E11</v>
      </c>
      <c r="C233" s="105"/>
      <c r="D233" s="104" t="s">
        <v>5463</v>
      </c>
      <c r="E233" s="106"/>
      <c r="F233" s="103" t="s">
        <v>4678</v>
      </c>
      <c r="G233" s="103" t="s">
        <v>4679</v>
      </c>
      <c r="H233" s="103" t="s">
        <v>5465</v>
      </c>
      <c r="I233" s="103" t="s">
        <v>5466</v>
      </c>
      <c r="J233" s="104" t="s">
        <v>5467</v>
      </c>
      <c r="K233" s="105"/>
      <c r="L233" s="105"/>
    </row>
    <row r="234">
      <c r="A234" s="103" t="s">
        <v>4676</v>
      </c>
      <c r="B234" s="103">
        <v>1.100103209E9</v>
      </c>
      <c r="C234" s="105"/>
      <c r="D234" s="104" t="s">
        <v>5468</v>
      </c>
      <c r="E234" s="106"/>
      <c r="F234" s="103" t="s">
        <v>4678</v>
      </c>
      <c r="G234" s="103" t="s">
        <v>4679</v>
      </c>
      <c r="H234" s="103" t="s">
        <v>5469</v>
      </c>
      <c r="I234" s="103" t="s">
        <v>5470</v>
      </c>
      <c r="J234" s="104" t="s">
        <v>5471</v>
      </c>
      <c r="K234" s="105"/>
      <c r="L234" s="105"/>
    </row>
    <row r="235">
      <c r="A235" s="103" t="s">
        <v>4676</v>
      </c>
      <c r="B235" s="103">
        <v>1.10010320901E11</v>
      </c>
      <c r="C235" s="105"/>
      <c r="D235" s="104" t="s">
        <v>5472</v>
      </c>
      <c r="E235" s="104" t="s">
        <v>5473</v>
      </c>
      <c r="F235" s="103" t="s">
        <v>4678</v>
      </c>
      <c r="G235" s="103" t="s">
        <v>4679</v>
      </c>
      <c r="H235" s="103" t="s">
        <v>5469</v>
      </c>
      <c r="I235" s="103" t="s">
        <v>5470</v>
      </c>
      <c r="J235" s="104" t="s">
        <v>5471</v>
      </c>
      <c r="K235" s="105"/>
      <c r="L235" s="105"/>
    </row>
    <row r="236">
      <c r="A236" s="103" t="s">
        <v>4676</v>
      </c>
      <c r="B236" s="103">
        <v>1.100103266E9</v>
      </c>
      <c r="C236" s="105"/>
      <c r="D236" s="104" t="s">
        <v>5474</v>
      </c>
      <c r="E236" s="104" t="s">
        <v>5475</v>
      </c>
      <c r="F236" s="103" t="s">
        <v>4678</v>
      </c>
      <c r="G236" s="103" t="s">
        <v>4679</v>
      </c>
      <c r="H236" s="103" t="s">
        <v>5476</v>
      </c>
      <c r="I236" s="103" t="s">
        <v>5477</v>
      </c>
      <c r="J236" s="104" t="s">
        <v>5478</v>
      </c>
      <c r="K236" s="105"/>
      <c r="L236" s="105"/>
    </row>
    <row r="237">
      <c r="A237" s="103" t="s">
        <v>4676</v>
      </c>
      <c r="B237" s="103">
        <v>1.10010326601E11</v>
      </c>
      <c r="C237" s="105"/>
      <c r="D237" s="104" t="s">
        <v>5474</v>
      </c>
      <c r="E237" s="104" t="s">
        <v>5479</v>
      </c>
      <c r="F237" s="103" t="s">
        <v>4678</v>
      </c>
      <c r="G237" s="103" t="s">
        <v>4679</v>
      </c>
      <c r="H237" s="103" t="s">
        <v>5476</v>
      </c>
      <c r="I237" s="103">
        <v>2878154.0</v>
      </c>
      <c r="J237" s="104" t="s">
        <v>5478</v>
      </c>
      <c r="K237" s="105"/>
      <c r="L237" s="105"/>
    </row>
    <row r="238">
      <c r="A238" s="103" t="s">
        <v>4676</v>
      </c>
      <c r="B238" s="103">
        <v>1.10010326602E11</v>
      </c>
      <c r="C238" s="105"/>
      <c r="D238" s="104" t="s">
        <v>5480</v>
      </c>
      <c r="E238" s="104" t="s">
        <v>5479</v>
      </c>
      <c r="F238" s="103" t="s">
        <v>4678</v>
      </c>
      <c r="G238" s="103" t="s">
        <v>4679</v>
      </c>
      <c r="H238" s="103" t="s">
        <v>5481</v>
      </c>
      <c r="I238" s="103" t="s">
        <v>5482</v>
      </c>
      <c r="J238" s="104" t="s">
        <v>5478</v>
      </c>
      <c r="K238" s="105"/>
      <c r="L238" s="105"/>
    </row>
    <row r="239">
      <c r="A239" s="103" t="s">
        <v>4676</v>
      </c>
      <c r="B239" s="103">
        <v>1.100103279E9</v>
      </c>
      <c r="C239" s="105"/>
      <c r="D239" s="104" t="s">
        <v>5483</v>
      </c>
      <c r="E239" s="104" t="s">
        <v>5484</v>
      </c>
      <c r="F239" s="103" t="s">
        <v>4678</v>
      </c>
      <c r="G239" s="103" t="s">
        <v>4679</v>
      </c>
      <c r="H239" s="103" t="s">
        <v>5485</v>
      </c>
      <c r="I239" s="103">
        <v>3.138542565E9</v>
      </c>
      <c r="J239" s="104" t="s">
        <v>5486</v>
      </c>
      <c r="K239" s="107" t="s">
        <v>5487</v>
      </c>
      <c r="L239" s="105"/>
    </row>
    <row r="240">
      <c r="A240" s="103" t="s">
        <v>4676</v>
      </c>
      <c r="B240" s="103">
        <v>1.10010327901E11</v>
      </c>
      <c r="C240" s="105"/>
      <c r="D240" s="104" t="s">
        <v>5483</v>
      </c>
      <c r="E240" s="104" t="s">
        <v>5488</v>
      </c>
      <c r="F240" s="103" t="s">
        <v>4678</v>
      </c>
      <c r="G240" s="103" t="s">
        <v>4679</v>
      </c>
      <c r="H240" s="103" t="s">
        <v>5489</v>
      </c>
      <c r="I240" s="103">
        <v>3.138542565E9</v>
      </c>
      <c r="J240" s="104" t="s">
        <v>5486</v>
      </c>
      <c r="K240" s="105"/>
      <c r="L240" s="105"/>
    </row>
    <row r="241">
      <c r="A241" s="103" t="s">
        <v>4676</v>
      </c>
      <c r="B241" s="103">
        <v>1.100103323E9</v>
      </c>
      <c r="C241" s="105"/>
      <c r="D241" s="104" t="s">
        <v>5490</v>
      </c>
      <c r="E241" s="104" t="s">
        <v>5491</v>
      </c>
      <c r="F241" s="103" t="s">
        <v>4678</v>
      </c>
      <c r="G241" s="103" t="s">
        <v>4679</v>
      </c>
      <c r="H241" s="103" t="s">
        <v>5492</v>
      </c>
      <c r="I241" s="103">
        <v>5313807.0</v>
      </c>
      <c r="J241" s="104" t="s">
        <v>5493</v>
      </c>
      <c r="K241" s="103" t="s">
        <v>5494</v>
      </c>
      <c r="L241" s="105"/>
    </row>
    <row r="242">
      <c r="A242" s="103" t="s">
        <v>4676</v>
      </c>
      <c r="B242" s="103">
        <v>1.10010332301E11</v>
      </c>
      <c r="C242" s="105"/>
      <c r="D242" s="104" t="s">
        <v>5490</v>
      </c>
      <c r="E242" s="104" t="s">
        <v>5491</v>
      </c>
      <c r="F242" s="103" t="s">
        <v>4678</v>
      </c>
      <c r="G242" s="103" t="s">
        <v>4679</v>
      </c>
      <c r="H242" s="103" t="s">
        <v>5492</v>
      </c>
      <c r="I242" s="103">
        <v>5313807.0</v>
      </c>
      <c r="J242" s="104" t="s">
        <v>5493</v>
      </c>
      <c r="K242" s="105"/>
      <c r="L242" s="105"/>
    </row>
    <row r="243">
      <c r="A243" s="103" t="s">
        <v>4676</v>
      </c>
      <c r="B243" s="103">
        <v>1.100103371E9</v>
      </c>
      <c r="C243" s="105"/>
      <c r="D243" s="104" t="s">
        <v>5495</v>
      </c>
      <c r="E243" s="104" t="s">
        <v>5496</v>
      </c>
      <c r="F243" s="103" t="s">
        <v>4678</v>
      </c>
      <c r="G243" s="103" t="s">
        <v>4679</v>
      </c>
      <c r="H243" s="103" t="s">
        <v>5497</v>
      </c>
      <c r="I243" s="103">
        <v>6.017031245E9</v>
      </c>
      <c r="J243" s="104" t="s">
        <v>5498</v>
      </c>
      <c r="K243" s="105"/>
      <c r="L243" s="105"/>
    </row>
    <row r="244">
      <c r="A244" s="103" t="s">
        <v>4676</v>
      </c>
      <c r="B244" s="103">
        <v>1.10010337101E11</v>
      </c>
      <c r="C244" s="105"/>
      <c r="D244" s="104" t="s">
        <v>5495</v>
      </c>
      <c r="E244" s="104" t="s">
        <v>5499</v>
      </c>
      <c r="F244" s="103" t="s">
        <v>4678</v>
      </c>
      <c r="G244" s="103" t="s">
        <v>4679</v>
      </c>
      <c r="H244" s="103" t="s">
        <v>5500</v>
      </c>
      <c r="I244" s="103">
        <v>5200010.0</v>
      </c>
      <c r="J244" s="104" t="s">
        <v>5501</v>
      </c>
      <c r="K244" s="105"/>
      <c r="L244" s="105"/>
    </row>
    <row r="245">
      <c r="A245" s="103" t="s">
        <v>4676</v>
      </c>
      <c r="B245" s="103">
        <v>1.10010345E9</v>
      </c>
      <c r="C245" s="105"/>
      <c r="D245" s="104" t="s">
        <v>5502</v>
      </c>
      <c r="E245" s="104" t="s">
        <v>5503</v>
      </c>
      <c r="F245" s="103" t="s">
        <v>4678</v>
      </c>
      <c r="G245" s="103" t="s">
        <v>4679</v>
      </c>
      <c r="H245" s="103" t="s">
        <v>5504</v>
      </c>
      <c r="I245" s="103">
        <v>3.157939993E9</v>
      </c>
      <c r="J245" s="104" t="s">
        <v>5505</v>
      </c>
      <c r="K245" s="107" t="s">
        <v>5506</v>
      </c>
      <c r="L245" s="105"/>
    </row>
    <row r="246">
      <c r="A246" s="103" t="s">
        <v>4676</v>
      </c>
      <c r="B246" s="103">
        <v>1.10010345001E11</v>
      </c>
      <c r="C246" s="105"/>
      <c r="D246" s="104" t="s">
        <v>5507</v>
      </c>
      <c r="E246" s="104" t="s">
        <v>5508</v>
      </c>
      <c r="F246" s="103" t="s">
        <v>4678</v>
      </c>
      <c r="G246" s="103" t="s">
        <v>4679</v>
      </c>
      <c r="H246" s="103" t="s">
        <v>5504</v>
      </c>
      <c r="I246" s="103">
        <v>3.157939993E9</v>
      </c>
      <c r="J246" s="104" t="s">
        <v>5505</v>
      </c>
      <c r="K246" s="105"/>
      <c r="L246" s="105"/>
    </row>
    <row r="247">
      <c r="A247" s="103" t="s">
        <v>4676</v>
      </c>
      <c r="B247" s="103">
        <v>1.100103543E9</v>
      </c>
      <c r="C247" s="105"/>
      <c r="D247" s="104" t="s">
        <v>5509</v>
      </c>
      <c r="E247" s="104" t="s">
        <v>5510</v>
      </c>
      <c r="F247" s="103" t="s">
        <v>4678</v>
      </c>
      <c r="G247" s="103" t="s">
        <v>4679</v>
      </c>
      <c r="H247" s="103" t="s">
        <v>5511</v>
      </c>
      <c r="I247" s="103">
        <v>3003303.0</v>
      </c>
      <c r="J247" s="104" t="s">
        <v>5512</v>
      </c>
      <c r="K247" s="105"/>
      <c r="L247" s="105"/>
    </row>
    <row r="248">
      <c r="A248" s="103" t="s">
        <v>4676</v>
      </c>
      <c r="B248" s="103">
        <v>1.10010354301E11</v>
      </c>
      <c r="C248" s="105"/>
      <c r="D248" s="104" t="s">
        <v>5513</v>
      </c>
      <c r="E248" s="106"/>
      <c r="F248" s="103" t="s">
        <v>4678</v>
      </c>
      <c r="G248" s="103" t="s">
        <v>4679</v>
      </c>
      <c r="H248" s="103" t="s">
        <v>5514</v>
      </c>
      <c r="I248" s="103">
        <v>3003303.0</v>
      </c>
      <c r="J248" s="104" t="s">
        <v>5512</v>
      </c>
      <c r="K248" s="105"/>
      <c r="L248" s="105"/>
    </row>
    <row r="249">
      <c r="A249" s="103" t="s">
        <v>4676</v>
      </c>
      <c r="B249" s="103">
        <v>1.10010354302E11</v>
      </c>
      <c r="C249" s="105"/>
      <c r="D249" s="104" t="s">
        <v>5515</v>
      </c>
      <c r="E249" s="104" t="s">
        <v>5516</v>
      </c>
      <c r="F249" s="103" t="s">
        <v>4678</v>
      </c>
      <c r="G249" s="103" t="s">
        <v>4679</v>
      </c>
      <c r="H249" s="103" t="s">
        <v>5517</v>
      </c>
      <c r="I249" s="103" t="s">
        <v>5518</v>
      </c>
      <c r="J249" s="104" t="s">
        <v>5512</v>
      </c>
      <c r="K249" s="105"/>
      <c r="L249" s="105"/>
    </row>
    <row r="250">
      <c r="A250" s="103" t="s">
        <v>4676</v>
      </c>
      <c r="B250" s="103">
        <v>1.100103579E9</v>
      </c>
      <c r="C250" s="105"/>
      <c r="D250" s="104" t="s">
        <v>5519</v>
      </c>
      <c r="E250" s="104" t="s">
        <v>5520</v>
      </c>
      <c r="F250" s="103" t="s">
        <v>4678</v>
      </c>
      <c r="G250" s="103" t="s">
        <v>4679</v>
      </c>
      <c r="H250" s="103" t="s">
        <v>5521</v>
      </c>
      <c r="I250" s="103">
        <v>6.016107177E9</v>
      </c>
      <c r="J250" s="104" t="s">
        <v>5522</v>
      </c>
      <c r="K250" s="105"/>
      <c r="L250" s="105"/>
    </row>
    <row r="251">
      <c r="A251" s="103" t="s">
        <v>4676</v>
      </c>
      <c r="B251" s="103">
        <v>1.10010357901E11</v>
      </c>
      <c r="C251" s="105"/>
      <c r="D251" s="104" t="s">
        <v>5523</v>
      </c>
      <c r="E251" s="104" t="s">
        <v>5524</v>
      </c>
      <c r="F251" s="103" t="s">
        <v>4678</v>
      </c>
      <c r="G251" s="103" t="s">
        <v>4679</v>
      </c>
      <c r="H251" s="103" t="s">
        <v>5521</v>
      </c>
      <c r="I251" s="105"/>
      <c r="J251" s="104" t="s">
        <v>5525</v>
      </c>
      <c r="K251" s="105"/>
      <c r="L251" s="105"/>
    </row>
    <row r="252">
      <c r="A252" s="103" t="s">
        <v>4676</v>
      </c>
      <c r="B252" s="103">
        <v>1.10010357902E11</v>
      </c>
      <c r="C252" s="105"/>
      <c r="D252" s="104" t="s">
        <v>5526</v>
      </c>
      <c r="E252" s="104" t="s">
        <v>5527</v>
      </c>
      <c r="F252" s="103" t="s">
        <v>4678</v>
      </c>
      <c r="G252" s="103" t="s">
        <v>4679</v>
      </c>
      <c r="H252" s="103" t="s">
        <v>5528</v>
      </c>
      <c r="I252" s="103">
        <v>7458988.0</v>
      </c>
      <c r="J252" s="104" t="s">
        <v>5525</v>
      </c>
      <c r="K252" s="105"/>
      <c r="L252" s="105"/>
    </row>
    <row r="253">
      <c r="A253" s="103" t="s">
        <v>4676</v>
      </c>
      <c r="B253" s="103">
        <v>1.100103694E9</v>
      </c>
      <c r="C253" s="105"/>
      <c r="D253" s="104" t="s">
        <v>5529</v>
      </c>
      <c r="E253" s="104" t="s">
        <v>5530</v>
      </c>
      <c r="F253" s="103" t="s">
        <v>4678</v>
      </c>
      <c r="G253" s="103" t="s">
        <v>4679</v>
      </c>
      <c r="H253" s="103" t="s">
        <v>5531</v>
      </c>
      <c r="I253" s="103" t="s">
        <v>5532</v>
      </c>
      <c r="J253" s="104" t="s">
        <v>5533</v>
      </c>
      <c r="K253" s="105"/>
      <c r="L253" s="105"/>
    </row>
    <row r="254">
      <c r="A254" s="103" t="s">
        <v>4676</v>
      </c>
      <c r="B254" s="103">
        <v>1.10010369401E11</v>
      </c>
      <c r="C254" s="105"/>
      <c r="D254" s="104" t="s">
        <v>5529</v>
      </c>
      <c r="E254" s="104" t="s">
        <v>5534</v>
      </c>
      <c r="F254" s="103" t="s">
        <v>4678</v>
      </c>
      <c r="G254" s="103" t="s">
        <v>4679</v>
      </c>
      <c r="H254" s="103" t="s">
        <v>5535</v>
      </c>
      <c r="I254" s="103" t="s">
        <v>5536</v>
      </c>
      <c r="J254" s="104" t="s">
        <v>5537</v>
      </c>
      <c r="K254" s="105"/>
      <c r="L254" s="105"/>
    </row>
    <row r="255">
      <c r="A255" s="103" t="s">
        <v>4676</v>
      </c>
      <c r="B255" s="103">
        <v>1.10010369406E11</v>
      </c>
      <c r="C255" s="105"/>
      <c r="D255" s="104" t="s">
        <v>5538</v>
      </c>
      <c r="E255" s="104" t="s">
        <v>5534</v>
      </c>
      <c r="F255" s="103" t="s">
        <v>4678</v>
      </c>
      <c r="G255" s="103" t="s">
        <v>4679</v>
      </c>
      <c r="H255" s="103" t="s">
        <v>5539</v>
      </c>
      <c r="I255" s="103" t="s">
        <v>5536</v>
      </c>
      <c r="J255" s="104" t="s">
        <v>5540</v>
      </c>
      <c r="K255" s="105"/>
      <c r="L255" s="105"/>
    </row>
    <row r="256">
      <c r="A256" s="103" t="s">
        <v>4676</v>
      </c>
      <c r="B256" s="103">
        <v>1.100103708E9</v>
      </c>
      <c r="C256" s="105"/>
      <c r="D256" s="104" t="s">
        <v>5541</v>
      </c>
      <c r="E256" s="104" t="s">
        <v>5542</v>
      </c>
      <c r="F256" s="103" t="s">
        <v>4678</v>
      </c>
      <c r="G256" s="103" t="s">
        <v>4679</v>
      </c>
      <c r="H256" s="103" t="s">
        <v>5543</v>
      </c>
      <c r="I256" s="103" t="s">
        <v>5544</v>
      </c>
      <c r="J256" s="104" t="s">
        <v>5545</v>
      </c>
      <c r="K256" s="107" t="s">
        <v>5546</v>
      </c>
      <c r="L256" s="105"/>
    </row>
    <row r="257">
      <c r="A257" s="103" t="s">
        <v>4676</v>
      </c>
      <c r="B257" s="103">
        <v>1.10010370802E11</v>
      </c>
      <c r="C257" s="105"/>
      <c r="D257" s="104" t="s">
        <v>5547</v>
      </c>
      <c r="E257" s="104" t="s">
        <v>5548</v>
      </c>
      <c r="F257" s="103" t="s">
        <v>4678</v>
      </c>
      <c r="G257" s="103" t="s">
        <v>4679</v>
      </c>
      <c r="H257" s="103" t="s">
        <v>5543</v>
      </c>
      <c r="I257" s="103" t="s">
        <v>5549</v>
      </c>
      <c r="J257" s="104" t="s">
        <v>5545</v>
      </c>
      <c r="K257" s="105"/>
      <c r="L257" s="105"/>
    </row>
    <row r="258">
      <c r="A258" s="103" t="s">
        <v>4676</v>
      </c>
      <c r="B258" s="103">
        <v>1.100103863E9</v>
      </c>
      <c r="C258" s="105"/>
      <c r="D258" s="104" t="s">
        <v>5550</v>
      </c>
      <c r="E258" s="104" t="s">
        <v>5551</v>
      </c>
      <c r="F258" s="103" t="s">
        <v>4678</v>
      </c>
      <c r="G258" s="103" t="s">
        <v>4679</v>
      </c>
      <c r="H258" s="103" t="s">
        <v>5552</v>
      </c>
      <c r="I258" s="103">
        <v>3348891.0</v>
      </c>
      <c r="J258" s="104" t="s">
        <v>5553</v>
      </c>
      <c r="K258" s="105"/>
      <c r="L258" s="105"/>
    </row>
    <row r="259">
      <c r="A259" s="103" t="s">
        <v>4676</v>
      </c>
      <c r="B259" s="103">
        <v>1.10010386301E11</v>
      </c>
      <c r="C259" s="105"/>
      <c r="D259" s="104" t="s">
        <v>5550</v>
      </c>
      <c r="E259" s="104" t="s">
        <v>5554</v>
      </c>
      <c r="F259" s="103" t="s">
        <v>4678</v>
      </c>
      <c r="G259" s="103" t="s">
        <v>4679</v>
      </c>
      <c r="H259" s="103" t="s">
        <v>5555</v>
      </c>
      <c r="I259" s="103">
        <v>3348891.0</v>
      </c>
      <c r="J259" s="104" t="s">
        <v>5553</v>
      </c>
      <c r="K259" s="105"/>
      <c r="L259" s="105"/>
    </row>
    <row r="260">
      <c r="A260" s="103" t="s">
        <v>4676</v>
      </c>
      <c r="B260" s="103">
        <v>1.10010386302E11</v>
      </c>
      <c r="C260" s="105"/>
      <c r="D260" s="104" t="s">
        <v>5556</v>
      </c>
      <c r="E260" s="104" t="s">
        <v>5554</v>
      </c>
      <c r="F260" s="103" t="s">
        <v>4678</v>
      </c>
      <c r="G260" s="103" t="s">
        <v>4679</v>
      </c>
      <c r="H260" s="103" t="s">
        <v>5557</v>
      </c>
      <c r="I260" s="103">
        <v>4406352.0</v>
      </c>
      <c r="J260" s="104" t="s">
        <v>5553</v>
      </c>
      <c r="K260" s="105"/>
      <c r="L260" s="105"/>
    </row>
    <row r="261">
      <c r="A261" s="103" t="s">
        <v>4676</v>
      </c>
      <c r="B261" s="103">
        <v>1.10010386304E11</v>
      </c>
      <c r="C261" s="105"/>
      <c r="D261" s="104" t="s">
        <v>5558</v>
      </c>
      <c r="E261" s="104" t="s">
        <v>5554</v>
      </c>
      <c r="F261" s="103" t="s">
        <v>4678</v>
      </c>
      <c r="G261" s="103" t="s">
        <v>4679</v>
      </c>
      <c r="H261" s="103" t="s">
        <v>5559</v>
      </c>
      <c r="I261" s="103">
        <v>7442198.0</v>
      </c>
      <c r="J261" s="104" t="s">
        <v>5553</v>
      </c>
      <c r="K261" s="105"/>
      <c r="L261" s="105"/>
    </row>
    <row r="262">
      <c r="A262" s="103" t="s">
        <v>4676</v>
      </c>
      <c r="B262" s="103">
        <v>1.10010386305E11</v>
      </c>
      <c r="C262" s="105"/>
      <c r="D262" s="104" t="s">
        <v>5560</v>
      </c>
      <c r="E262" s="104" t="s">
        <v>5554</v>
      </c>
      <c r="F262" s="103" t="s">
        <v>4678</v>
      </c>
      <c r="G262" s="103" t="s">
        <v>4679</v>
      </c>
      <c r="H262" s="103" t="s">
        <v>5561</v>
      </c>
      <c r="I262" s="103">
        <v>3.175858238E9</v>
      </c>
      <c r="J262" s="104" t="s">
        <v>5553</v>
      </c>
      <c r="K262" s="105"/>
      <c r="L262" s="105"/>
    </row>
    <row r="263">
      <c r="A263" s="103" t="s">
        <v>4676</v>
      </c>
      <c r="B263" s="103">
        <v>1.100103916E9</v>
      </c>
      <c r="C263" s="105"/>
      <c r="D263" s="104" t="s">
        <v>5562</v>
      </c>
      <c r="E263" s="104" t="s">
        <v>5563</v>
      </c>
      <c r="F263" s="103" t="s">
        <v>4678</v>
      </c>
      <c r="G263" s="103" t="s">
        <v>4679</v>
      </c>
      <c r="H263" s="103" t="s">
        <v>5564</v>
      </c>
      <c r="I263" s="103">
        <v>3487349.0</v>
      </c>
      <c r="J263" s="104" t="s">
        <v>5565</v>
      </c>
      <c r="K263" s="105"/>
      <c r="L263" s="105"/>
    </row>
    <row r="264">
      <c r="A264" s="103" t="s">
        <v>4676</v>
      </c>
      <c r="B264" s="103">
        <v>1.10010391601E11</v>
      </c>
      <c r="C264" s="105"/>
      <c r="D264" s="104" t="s">
        <v>5562</v>
      </c>
      <c r="E264" s="104" t="s">
        <v>5566</v>
      </c>
      <c r="F264" s="103" t="s">
        <v>4678</v>
      </c>
      <c r="G264" s="103" t="s">
        <v>4679</v>
      </c>
      <c r="H264" s="103" t="s">
        <v>5567</v>
      </c>
      <c r="I264" s="103">
        <v>3487349.0</v>
      </c>
      <c r="J264" s="104" t="s">
        <v>5565</v>
      </c>
      <c r="K264" s="105"/>
      <c r="L264" s="105"/>
    </row>
    <row r="265">
      <c r="A265" s="103" t="s">
        <v>4676</v>
      </c>
      <c r="B265" s="103">
        <v>1.100103973E9</v>
      </c>
      <c r="C265" s="105"/>
      <c r="D265" s="104" t="s">
        <v>5568</v>
      </c>
      <c r="E265" s="104" t="s">
        <v>5569</v>
      </c>
      <c r="F265" s="103" t="s">
        <v>4678</v>
      </c>
      <c r="G265" s="103" t="s">
        <v>4679</v>
      </c>
      <c r="H265" s="103" t="s">
        <v>5570</v>
      </c>
      <c r="I265" s="103" t="s">
        <v>5571</v>
      </c>
      <c r="J265" s="104" t="s">
        <v>5572</v>
      </c>
      <c r="K265" s="107" t="s">
        <v>5573</v>
      </c>
      <c r="L265" s="105"/>
    </row>
    <row r="266">
      <c r="A266" s="103" t="s">
        <v>4676</v>
      </c>
      <c r="B266" s="103">
        <v>1.10010397301E11</v>
      </c>
      <c r="C266" s="105"/>
      <c r="D266" s="104" t="s">
        <v>5568</v>
      </c>
      <c r="E266" s="104" t="s">
        <v>5574</v>
      </c>
      <c r="F266" s="103" t="s">
        <v>4678</v>
      </c>
      <c r="G266" s="103" t="s">
        <v>4679</v>
      </c>
      <c r="H266" s="103" t="s">
        <v>5575</v>
      </c>
      <c r="I266" s="103" t="s">
        <v>5571</v>
      </c>
      <c r="J266" s="104" t="s">
        <v>5576</v>
      </c>
      <c r="K266" s="105"/>
      <c r="L266" s="105"/>
    </row>
    <row r="267">
      <c r="A267" s="103" t="s">
        <v>4676</v>
      </c>
      <c r="B267" s="103">
        <v>1.10010397304E11</v>
      </c>
      <c r="C267" s="105"/>
      <c r="D267" s="104" t="s">
        <v>5577</v>
      </c>
      <c r="E267" s="104" t="s">
        <v>5574</v>
      </c>
      <c r="F267" s="103" t="s">
        <v>4678</v>
      </c>
      <c r="G267" s="103" t="s">
        <v>4679</v>
      </c>
      <c r="H267" s="103" t="s">
        <v>5578</v>
      </c>
      <c r="I267" s="103" t="s">
        <v>5579</v>
      </c>
      <c r="J267" s="104" t="s">
        <v>5572</v>
      </c>
      <c r="K267" s="105"/>
      <c r="L267" s="105"/>
    </row>
    <row r="268">
      <c r="A268" s="103" t="s">
        <v>4676</v>
      </c>
      <c r="B268" s="103">
        <v>1.10010397305E11</v>
      </c>
      <c r="C268" s="105"/>
      <c r="D268" s="104" t="s">
        <v>5580</v>
      </c>
      <c r="E268" s="104" t="s">
        <v>5574</v>
      </c>
      <c r="F268" s="103" t="s">
        <v>4678</v>
      </c>
      <c r="G268" s="103" t="s">
        <v>4679</v>
      </c>
      <c r="H268" s="103" t="s">
        <v>5581</v>
      </c>
      <c r="I268" s="103">
        <v>4672111.0</v>
      </c>
      <c r="J268" s="104" t="s">
        <v>5572</v>
      </c>
      <c r="K268" s="105"/>
      <c r="L268" s="105"/>
    </row>
    <row r="269">
      <c r="A269" s="103" t="s">
        <v>4676</v>
      </c>
      <c r="B269" s="103">
        <v>1.10010397306E11</v>
      </c>
      <c r="C269" s="105"/>
      <c r="D269" s="104" t="s">
        <v>5582</v>
      </c>
      <c r="E269" s="104" t="s">
        <v>5574</v>
      </c>
      <c r="F269" s="103" t="s">
        <v>4678</v>
      </c>
      <c r="G269" s="103" t="s">
        <v>4679</v>
      </c>
      <c r="H269" s="103" t="s">
        <v>5583</v>
      </c>
      <c r="I269" s="103">
        <v>3906305.0</v>
      </c>
      <c r="J269" s="104" t="s">
        <v>5572</v>
      </c>
      <c r="K269" s="105"/>
      <c r="L269" s="105"/>
    </row>
    <row r="270">
      <c r="A270" s="103" t="s">
        <v>4676</v>
      </c>
      <c r="B270" s="103">
        <v>1.100103975E9</v>
      </c>
      <c r="C270" s="105"/>
      <c r="D270" s="104" t="s">
        <v>5584</v>
      </c>
      <c r="E270" s="104" t="s">
        <v>5585</v>
      </c>
      <c r="F270" s="103" t="s">
        <v>4678</v>
      </c>
      <c r="G270" s="103" t="s">
        <v>4679</v>
      </c>
      <c r="H270" s="103" t="s">
        <v>5586</v>
      </c>
      <c r="I270" s="103" t="s">
        <v>5587</v>
      </c>
      <c r="J270" s="104" t="s">
        <v>5588</v>
      </c>
      <c r="K270" s="107" t="s">
        <v>5589</v>
      </c>
      <c r="L270" s="105"/>
    </row>
    <row r="271">
      <c r="A271" s="103" t="s">
        <v>4676</v>
      </c>
      <c r="B271" s="103">
        <v>1.10010397501E11</v>
      </c>
      <c r="C271" s="105"/>
      <c r="D271" s="104" t="s">
        <v>5584</v>
      </c>
      <c r="E271" s="104" t="s">
        <v>5590</v>
      </c>
      <c r="F271" s="103" t="s">
        <v>4678</v>
      </c>
      <c r="G271" s="103" t="s">
        <v>4679</v>
      </c>
      <c r="H271" s="103" t="s">
        <v>5591</v>
      </c>
      <c r="I271" s="103" t="s">
        <v>5587</v>
      </c>
      <c r="J271" s="104" t="s">
        <v>5588</v>
      </c>
      <c r="K271" s="105"/>
      <c r="L271" s="105"/>
    </row>
    <row r="272">
      <c r="A272" s="103" t="s">
        <v>4676</v>
      </c>
      <c r="B272" s="103">
        <v>1.100103998E9</v>
      </c>
      <c r="C272" s="105"/>
      <c r="D272" s="104" t="s">
        <v>5592</v>
      </c>
      <c r="E272" s="104" t="s">
        <v>5593</v>
      </c>
      <c r="F272" s="103" t="s">
        <v>4678</v>
      </c>
      <c r="G272" s="103" t="s">
        <v>4679</v>
      </c>
      <c r="H272" s="103" t="s">
        <v>5594</v>
      </c>
      <c r="I272" s="103">
        <v>6433318.0</v>
      </c>
      <c r="J272" s="104" t="s">
        <v>5595</v>
      </c>
      <c r="K272" s="107" t="s">
        <v>5596</v>
      </c>
      <c r="L272" s="105"/>
    </row>
    <row r="273">
      <c r="A273" s="103" t="s">
        <v>4676</v>
      </c>
      <c r="B273" s="103">
        <v>1.10010399801E11</v>
      </c>
      <c r="C273" s="105"/>
      <c r="D273" s="104" t="s">
        <v>5592</v>
      </c>
      <c r="E273" s="104" t="s">
        <v>5597</v>
      </c>
      <c r="F273" s="103" t="s">
        <v>4678</v>
      </c>
      <c r="G273" s="103" t="s">
        <v>4679</v>
      </c>
      <c r="H273" s="103" t="s">
        <v>5594</v>
      </c>
      <c r="I273" s="103" t="s">
        <v>5598</v>
      </c>
      <c r="J273" s="104" t="s">
        <v>5599</v>
      </c>
      <c r="K273" s="105"/>
      <c r="L273" s="105"/>
    </row>
    <row r="274">
      <c r="A274" s="103" t="s">
        <v>4676</v>
      </c>
      <c r="B274" s="103">
        <v>1.100104014E9</v>
      </c>
      <c r="C274" s="105"/>
      <c r="D274" s="104" t="s">
        <v>5600</v>
      </c>
      <c r="E274" s="104" t="s">
        <v>5601</v>
      </c>
      <c r="F274" s="103" t="s">
        <v>4678</v>
      </c>
      <c r="G274" s="103" t="s">
        <v>4679</v>
      </c>
      <c r="H274" s="103" t="s">
        <v>5602</v>
      </c>
      <c r="I274" s="103" t="s">
        <v>5603</v>
      </c>
      <c r="J274" s="104" t="s">
        <v>5604</v>
      </c>
      <c r="K274" s="107" t="s">
        <v>5605</v>
      </c>
      <c r="L274" s="105"/>
    </row>
    <row r="275">
      <c r="A275" s="103" t="s">
        <v>4676</v>
      </c>
      <c r="B275" s="103">
        <v>1.10010401401E11</v>
      </c>
      <c r="C275" s="105"/>
      <c r="D275" s="104" t="s">
        <v>5606</v>
      </c>
      <c r="E275" s="104" t="s">
        <v>5607</v>
      </c>
      <c r="F275" s="103" t="s">
        <v>4678</v>
      </c>
      <c r="G275" s="103" t="s">
        <v>4679</v>
      </c>
      <c r="H275" s="103" t="s">
        <v>5608</v>
      </c>
      <c r="I275" s="103" t="s">
        <v>5603</v>
      </c>
      <c r="J275" s="104" t="s">
        <v>5604</v>
      </c>
      <c r="K275" s="105"/>
      <c r="L275" s="105"/>
    </row>
    <row r="276">
      <c r="A276" s="103" t="s">
        <v>4676</v>
      </c>
      <c r="B276" s="103">
        <v>1.100104035E9</v>
      </c>
      <c r="C276" s="105"/>
      <c r="D276" s="104" t="s">
        <v>5609</v>
      </c>
      <c r="E276" s="104" t="s">
        <v>5610</v>
      </c>
      <c r="F276" s="103" t="s">
        <v>4678</v>
      </c>
      <c r="G276" s="103" t="s">
        <v>4679</v>
      </c>
      <c r="H276" s="103" t="s">
        <v>5611</v>
      </c>
      <c r="I276" s="103" t="s">
        <v>5612</v>
      </c>
      <c r="J276" s="104" t="s">
        <v>5613</v>
      </c>
      <c r="K276" s="105"/>
      <c r="L276" s="105"/>
    </row>
    <row r="277">
      <c r="A277" s="103" t="s">
        <v>4676</v>
      </c>
      <c r="B277" s="103">
        <v>1.10010403504E11</v>
      </c>
      <c r="C277" s="105"/>
      <c r="D277" s="104" t="s">
        <v>5614</v>
      </c>
      <c r="E277" s="104" t="s">
        <v>5615</v>
      </c>
      <c r="F277" s="103" t="s">
        <v>4678</v>
      </c>
      <c r="G277" s="103" t="s">
        <v>4679</v>
      </c>
      <c r="H277" s="103" t="s">
        <v>5616</v>
      </c>
      <c r="I277" s="103" t="s">
        <v>5612</v>
      </c>
      <c r="J277" s="104" t="s">
        <v>5613</v>
      </c>
      <c r="K277" s="105"/>
      <c r="L277" s="105"/>
    </row>
    <row r="278">
      <c r="A278" s="103" t="s">
        <v>4676</v>
      </c>
      <c r="B278" s="103">
        <v>1.10010403505E11</v>
      </c>
      <c r="C278" s="105"/>
      <c r="D278" s="104" t="s">
        <v>5617</v>
      </c>
      <c r="E278" s="104" t="s">
        <v>5615</v>
      </c>
      <c r="F278" s="103" t="s">
        <v>4678</v>
      </c>
      <c r="G278" s="103" t="s">
        <v>4679</v>
      </c>
      <c r="H278" s="103" t="s">
        <v>5618</v>
      </c>
      <c r="I278" s="103" t="s">
        <v>5612</v>
      </c>
      <c r="J278" s="104" t="s">
        <v>5613</v>
      </c>
      <c r="K278" s="105"/>
      <c r="L278" s="105"/>
    </row>
    <row r="279">
      <c r="A279" s="103" t="s">
        <v>4676</v>
      </c>
      <c r="B279" s="103">
        <v>1.10010403506E11</v>
      </c>
      <c r="C279" s="105"/>
      <c r="D279" s="104" t="s">
        <v>5619</v>
      </c>
      <c r="E279" s="104" t="s">
        <v>5615</v>
      </c>
      <c r="F279" s="103" t="s">
        <v>4678</v>
      </c>
      <c r="G279" s="103" t="s">
        <v>4679</v>
      </c>
      <c r="H279" s="103" t="s">
        <v>5620</v>
      </c>
      <c r="I279" s="103" t="s">
        <v>5612</v>
      </c>
      <c r="J279" s="104" t="s">
        <v>5613</v>
      </c>
      <c r="K279" s="105"/>
      <c r="L279" s="105"/>
    </row>
    <row r="280">
      <c r="A280" s="103" t="s">
        <v>4676</v>
      </c>
      <c r="B280" s="103">
        <v>1.10010403508E11</v>
      </c>
      <c r="C280" s="105"/>
      <c r="D280" s="104" t="s">
        <v>5621</v>
      </c>
      <c r="E280" s="104" t="s">
        <v>5615</v>
      </c>
      <c r="F280" s="103" t="s">
        <v>4678</v>
      </c>
      <c r="G280" s="103" t="s">
        <v>4679</v>
      </c>
      <c r="H280" s="103" t="s">
        <v>5622</v>
      </c>
      <c r="I280" s="103" t="s">
        <v>5612</v>
      </c>
      <c r="J280" s="104" t="s">
        <v>5613</v>
      </c>
      <c r="K280" s="105"/>
      <c r="L280" s="105"/>
    </row>
    <row r="281">
      <c r="A281" s="103" t="s">
        <v>4676</v>
      </c>
      <c r="B281" s="103">
        <v>1.10010403509E11</v>
      </c>
      <c r="C281" s="105"/>
      <c r="D281" s="104" t="s">
        <v>5623</v>
      </c>
      <c r="E281" s="104" t="s">
        <v>5615</v>
      </c>
      <c r="F281" s="103" t="s">
        <v>4678</v>
      </c>
      <c r="G281" s="103" t="s">
        <v>4679</v>
      </c>
      <c r="H281" s="103" t="s">
        <v>5624</v>
      </c>
      <c r="I281" s="103" t="s">
        <v>5612</v>
      </c>
      <c r="J281" s="104" t="s">
        <v>5613</v>
      </c>
      <c r="K281" s="105"/>
      <c r="L281" s="105"/>
    </row>
    <row r="282">
      <c r="A282" s="103" t="s">
        <v>4676</v>
      </c>
      <c r="B282" s="103">
        <v>1.1001040351E11</v>
      </c>
      <c r="C282" s="105"/>
      <c r="D282" s="104" t="s">
        <v>5625</v>
      </c>
      <c r="E282" s="104" t="s">
        <v>5615</v>
      </c>
      <c r="F282" s="103" t="s">
        <v>4678</v>
      </c>
      <c r="G282" s="103" t="s">
        <v>4679</v>
      </c>
      <c r="H282" s="103" t="s">
        <v>5626</v>
      </c>
      <c r="I282" s="103" t="s">
        <v>5612</v>
      </c>
      <c r="J282" s="104" t="s">
        <v>5613</v>
      </c>
      <c r="K282" s="105"/>
      <c r="L282" s="105"/>
    </row>
    <row r="283">
      <c r="A283" s="103" t="s">
        <v>4676</v>
      </c>
      <c r="B283" s="103">
        <v>1.10010403511E11</v>
      </c>
      <c r="C283" s="105"/>
      <c r="D283" s="104" t="s">
        <v>5627</v>
      </c>
      <c r="E283" s="104" t="s">
        <v>5615</v>
      </c>
      <c r="F283" s="103" t="s">
        <v>4678</v>
      </c>
      <c r="G283" s="103" t="s">
        <v>4679</v>
      </c>
      <c r="H283" s="103" t="s">
        <v>5628</v>
      </c>
      <c r="I283" s="103" t="s">
        <v>5612</v>
      </c>
      <c r="J283" s="104" t="s">
        <v>5613</v>
      </c>
      <c r="K283" s="105"/>
      <c r="L283" s="105"/>
    </row>
    <row r="284">
      <c r="A284" s="103" t="s">
        <v>4676</v>
      </c>
      <c r="B284" s="103">
        <v>1.10010403512E11</v>
      </c>
      <c r="C284" s="105"/>
      <c r="D284" s="104" t="s">
        <v>5629</v>
      </c>
      <c r="E284" s="104" t="s">
        <v>5615</v>
      </c>
      <c r="F284" s="103" t="s">
        <v>4678</v>
      </c>
      <c r="G284" s="103" t="s">
        <v>4679</v>
      </c>
      <c r="H284" s="103" t="s">
        <v>5630</v>
      </c>
      <c r="I284" s="103" t="s">
        <v>5612</v>
      </c>
      <c r="J284" s="104" t="s">
        <v>5613</v>
      </c>
      <c r="K284" s="105"/>
      <c r="L284" s="105"/>
    </row>
    <row r="285">
      <c r="A285" s="103" t="s">
        <v>4676</v>
      </c>
      <c r="B285" s="103">
        <v>1.10010403513E11</v>
      </c>
      <c r="C285" s="105"/>
      <c r="D285" s="104" t="s">
        <v>5631</v>
      </c>
      <c r="E285" s="104" t="s">
        <v>5615</v>
      </c>
      <c r="F285" s="103" t="s">
        <v>4678</v>
      </c>
      <c r="G285" s="103" t="s">
        <v>4679</v>
      </c>
      <c r="H285" s="103" t="s">
        <v>5632</v>
      </c>
      <c r="I285" s="103" t="s">
        <v>5612</v>
      </c>
      <c r="J285" s="104" t="s">
        <v>5613</v>
      </c>
      <c r="K285" s="105"/>
      <c r="L285" s="105"/>
    </row>
    <row r="286">
      <c r="A286" s="103" t="s">
        <v>4676</v>
      </c>
      <c r="B286" s="103">
        <v>1.10010403514E11</v>
      </c>
      <c r="C286" s="105"/>
      <c r="D286" s="104" t="s">
        <v>5633</v>
      </c>
      <c r="E286" s="104" t="s">
        <v>5615</v>
      </c>
      <c r="F286" s="103" t="s">
        <v>4678</v>
      </c>
      <c r="G286" s="103" t="s">
        <v>4679</v>
      </c>
      <c r="H286" s="103" t="s">
        <v>5634</v>
      </c>
      <c r="I286" s="103" t="s">
        <v>5612</v>
      </c>
      <c r="J286" s="104" t="s">
        <v>5613</v>
      </c>
      <c r="K286" s="105"/>
      <c r="L286" s="105"/>
    </row>
    <row r="287">
      <c r="A287" s="103" t="s">
        <v>4676</v>
      </c>
      <c r="B287" s="103">
        <v>1.10010403515E11</v>
      </c>
      <c r="C287" s="105"/>
      <c r="D287" s="104" t="s">
        <v>5635</v>
      </c>
      <c r="E287" s="104" t="s">
        <v>5615</v>
      </c>
      <c r="F287" s="103" t="s">
        <v>4678</v>
      </c>
      <c r="G287" s="103" t="s">
        <v>4679</v>
      </c>
      <c r="H287" s="103" t="s">
        <v>5636</v>
      </c>
      <c r="I287" s="103" t="s">
        <v>5612</v>
      </c>
      <c r="J287" s="104" t="s">
        <v>5613</v>
      </c>
      <c r="K287" s="105"/>
      <c r="L287" s="105"/>
    </row>
    <row r="288">
      <c r="A288" s="103" t="s">
        <v>4676</v>
      </c>
      <c r="B288" s="103">
        <v>1.10010403516E11</v>
      </c>
      <c r="C288" s="105"/>
      <c r="D288" s="104" t="s">
        <v>5637</v>
      </c>
      <c r="E288" s="104" t="s">
        <v>5615</v>
      </c>
      <c r="F288" s="103" t="s">
        <v>4678</v>
      </c>
      <c r="G288" s="103" t="s">
        <v>4679</v>
      </c>
      <c r="H288" s="103" t="s">
        <v>5638</v>
      </c>
      <c r="I288" s="103" t="s">
        <v>5612</v>
      </c>
      <c r="J288" s="104" t="s">
        <v>5613</v>
      </c>
      <c r="K288" s="105"/>
      <c r="L288" s="105"/>
    </row>
    <row r="289">
      <c r="A289" s="103" t="s">
        <v>4676</v>
      </c>
      <c r="B289" s="103">
        <v>1.10010403517E11</v>
      </c>
      <c r="C289" s="105"/>
      <c r="D289" s="104" t="s">
        <v>5639</v>
      </c>
      <c r="E289" s="104" t="s">
        <v>5615</v>
      </c>
      <c r="F289" s="103" t="s">
        <v>4678</v>
      </c>
      <c r="G289" s="103" t="s">
        <v>4679</v>
      </c>
      <c r="H289" s="103" t="s">
        <v>5640</v>
      </c>
      <c r="I289" s="103" t="s">
        <v>5612</v>
      </c>
      <c r="J289" s="104" t="s">
        <v>5613</v>
      </c>
      <c r="K289" s="105"/>
      <c r="L289" s="105"/>
    </row>
    <row r="290">
      <c r="A290" s="103" t="s">
        <v>4676</v>
      </c>
      <c r="B290" s="103">
        <v>1.10010403518E11</v>
      </c>
      <c r="C290" s="105"/>
      <c r="D290" s="104" t="s">
        <v>5641</v>
      </c>
      <c r="E290" s="104" t="s">
        <v>5615</v>
      </c>
      <c r="F290" s="103" t="s">
        <v>4678</v>
      </c>
      <c r="G290" s="103" t="s">
        <v>4679</v>
      </c>
      <c r="H290" s="103" t="s">
        <v>5642</v>
      </c>
      <c r="I290" s="103" t="s">
        <v>5612</v>
      </c>
      <c r="J290" s="104" t="s">
        <v>5613</v>
      </c>
      <c r="K290" s="105"/>
      <c r="L290" s="105"/>
    </row>
    <row r="291">
      <c r="A291" s="103" t="s">
        <v>4676</v>
      </c>
      <c r="B291" s="103">
        <v>1.10010403519E11</v>
      </c>
      <c r="C291" s="105"/>
      <c r="D291" s="104" t="s">
        <v>5643</v>
      </c>
      <c r="E291" s="104" t="s">
        <v>5615</v>
      </c>
      <c r="F291" s="103" t="s">
        <v>4678</v>
      </c>
      <c r="G291" s="103" t="s">
        <v>4679</v>
      </c>
      <c r="H291" s="103" t="s">
        <v>5644</v>
      </c>
      <c r="I291" s="103" t="s">
        <v>5612</v>
      </c>
      <c r="J291" s="104" t="s">
        <v>5613</v>
      </c>
      <c r="K291" s="105"/>
      <c r="L291" s="105"/>
    </row>
    <row r="292">
      <c r="A292" s="103" t="s">
        <v>4676</v>
      </c>
      <c r="B292" s="103">
        <v>1.1001040352E11</v>
      </c>
      <c r="C292" s="105"/>
      <c r="D292" s="104" t="s">
        <v>5645</v>
      </c>
      <c r="E292" s="104" t="s">
        <v>5615</v>
      </c>
      <c r="F292" s="103" t="s">
        <v>4678</v>
      </c>
      <c r="G292" s="103" t="s">
        <v>4679</v>
      </c>
      <c r="H292" s="103" t="s">
        <v>5646</v>
      </c>
      <c r="I292" s="103" t="s">
        <v>5612</v>
      </c>
      <c r="J292" s="104" t="s">
        <v>5613</v>
      </c>
      <c r="K292" s="105"/>
      <c r="L292" s="105"/>
    </row>
    <row r="293">
      <c r="A293" s="103" t="s">
        <v>4676</v>
      </c>
      <c r="B293" s="103">
        <v>1.10010403521E11</v>
      </c>
      <c r="C293" s="105"/>
      <c r="D293" s="104" t="s">
        <v>5647</v>
      </c>
      <c r="E293" s="104" t="s">
        <v>5615</v>
      </c>
      <c r="F293" s="103" t="s">
        <v>4678</v>
      </c>
      <c r="G293" s="103" t="s">
        <v>4679</v>
      </c>
      <c r="H293" s="103" t="s">
        <v>5648</v>
      </c>
      <c r="I293" s="103" t="s">
        <v>5612</v>
      </c>
      <c r="J293" s="104" t="s">
        <v>5613</v>
      </c>
      <c r="K293" s="105"/>
      <c r="L293" s="105"/>
    </row>
    <row r="294">
      <c r="A294" s="103" t="s">
        <v>4676</v>
      </c>
      <c r="B294" s="103">
        <v>1.10010403522E11</v>
      </c>
      <c r="C294" s="105"/>
      <c r="D294" s="104" t="s">
        <v>5649</v>
      </c>
      <c r="E294" s="104" t="s">
        <v>5615</v>
      </c>
      <c r="F294" s="103" t="s">
        <v>4678</v>
      </c>
      <c r="G294" s="103" t="s">
        <v>4679</v>
      </c>
      <c r="H294" s="103" t="s">
        <v>5650</v>
      </c>
      <c r="I294" s="103" t="s">
        <v>5612</v>
      </c>
      <c r="J294" s="104" t="s">
        <v>5613</v>
      </c>
      <c r="K294" s="105"/>
      <c r="L294" s="105"/>
    </row>
    <row r="295">
      <c r="A295" s="103" t="s">
        <v>4676</v>
      </c>
      <c r="B295" s="103">
        <v>1.10010403523E11</v>
      </c>
      <c r="C295" s="105"/>
      <c r="D295" s="104" t="s">
        <v>5651</v>
      </c>
      <c r="E295" s="104" t="s">
        <v>5615</v>
      </c>
      <c r="F295" s="103" t="s">
        <v>4678</v>
      </c>
      <c r="G295" s="103" t="s">
        <v>4679</v>
      </c>
      <c r="H295" s="103" t="s">
        <v>5652</v>
      </c>
      <c r="I295" s="103" t="s">
        <v>5612</v>
      </c>
      <c r="J295" s="104" t="s">
        <v>5653</v>
      </c>
      <c r="K295" s="105"/>
      <c r="L295" s="105"/>
    </row>
    <row r="296">
      <c r="A296" s="103" t="s">
        <v>4676</v>
      </c>
      <c r="B296" s="103">
        <v>1.10010403524E11</v>
      </c>
      <c r="C296" s="105"/>
      <c r="D296" s="104" t="s">
        <v>5654</v>
      </c>
      <c r="E296" s="104" t="s">
        <v>5615</v>
      </c>
      <c r="F296" s="103" t="s">
        <v>4678</v>
      </c>
      <c r="G296" s="103" t="s">
        <v>4679</v>
      </c>
      <c r="H296" s="103" t="s">
        <v>5655</v>
      </c>
      <c r="I296" s="103" t="s">
        <v>5612</v>
      </c>
      <c r="J296" s="104" t="s">
        <v>5653</v>
      </c>
      <c r="K296" s="105"/>
      <c r="L296" s="105"/>
    </row>
    <row r="297">
      <c r="A297" s="103" t="s">
        <v>4676</v>
      </c>
      <c r="B297" s="103">
        <v>1.100104052E9</v>
      </c>
      <c r="C297" s="105"/>
      <c r="D297" s="104" t="s">
        <v>5656</v>
      </c>
      <c r="E297" s="104" t="s">
        <v>5657</v>
      </c>
      <c r="F297" s="103" t="s">
        <v>4678</v>
      </c>
      <c r="G297" s="103" t="s">
        <v>4679</v>
      </c>
      <c r="H297" s="103" t="s">
        <v>5658</v>
      </c>
      <c r="I297" s="103">
        <v>6293929.0</v>
      </c>
      <c r="J297" s="104" t="s">
        <v>5659</v>
      </c>
      <c r="K297" s="107" t="s">
        <v>5660</v>
      </c>
      <c r="L297" s="105"/>
    </row>
    <row r="298">
      <c r="A298" s="103" t="s">
        <v>4676</v>
      </c>
      <c r="B298" s="103">
        <v>1.10010405201E11</v>
      </c>
      <c r="C298" s="105"/>
      <c r="D298" s="104" t="s">
        <v>5661</v>
      </c>
      <c r="E298" s="104" t="s">
        <v>5662</v>
      </c>
      <c r="F298" s="103" t="s">
        <v>4678</v>
      </c>
      <c r="G298" s="103" t="s">
        <v>4679</v>
      </c>
      <c r="H298" s="103" t="s">
        <v>5663</v>
      </c>
      <c r="I298" s="103" t="s">
        <v>5664</v>
      </c>
      <c r="J298" s="104" t="s">
        <v>5665</v>
      </c>
      <c r="K298" s="105"/>
      <c r="L298" s="105"/>
    </row>
    <row r="299">
      <c r="A299" s="103" t="s">
        <v>4676</v>
      </c>
      <c r="B299" s="103">
        <v>1.10010405203E11</v>
      </c>
      <c r="C299" s="105"/>
      <c r="D299" s="104" t="s">
        <v>5666</v>
      </c>
      <c r="E299" s="104" t="s">
        <v>5657</v>
      </c>
      <c r="F299" s="103" t="s">
        <v>4678</v>
      </c>
      <c r="G299" s="103" t="s">
        <v>4679</v>
      </c>
      <c r="H299" s="103" t="s">
        <v>5667</v>
      </c>
      <c r="I299" s="103">
        <v>6293929.0</v>
      </c>
      <c r="J299" s="104" t="s">
        <v>5665</v>
      </c>
      <c r="K299" s="105"/>
      <c r="L299" s="105"/>
    </row>
    <row r="300">
      <c r="A300" s="103" t="s">
        <v>4676</v>
      </c>
      <c r="B300" s="103">
        <v>1.10010405205E11</v>
      </c>
      <c r="C300" s="105"/>
      <c r="D300" s="104" t="s">
        <v>5668</v>
      </c>
      <c r="E300" s="104" t="s">
        <v>5669</v>
      </c>
      <c r="F300" s="103" t="s">
        <v>4678</v>
      </c>
      <c r="G300" s="103" t="s">
        <v>4679</v>
      </c>
      <c r="H300" s="103" t="s">
        <v>5670</v>
      </c>
      <c r="I300" s="103">
        <v>2451544.0</v>
      </c>
      <c r="J300" s="104" t="s">
        <v>5665</v>
      </c>
      <c r="K300" s="105"/>
      <c r="L300" s="105"/>
    </row>
    <row r="301">
      <c r="A301" s="103" t="s">
        <v>4676</v>
      </c>
      <c r="B301" s="103">
        <v>1.100104131E9</v>
      </c>
      <c r="C301" s="105"/>
      <c r="D301" s="104" t="s">
        <v>5671</v>
      </c>
      <c r="E301" s="104" t="s">
        <v>5672</v>
      </c>
      <c r="F301" s="103" t="s">
        <v>4678</v>
      </c>
      <c r="G301" s="103" t="s">
        <v>4679</v>
      </c>
      <c r="H301" s="103" t="s">
        <v>5673</v>
      </c>
      <c r="I301" s="103">
        <v>7443333.0</v>
      </c>
      <c r="J301" s="104" t="s">
        <v>5674</v>
      </c>
      <c r="K301" s="105"/>
      <c r="L301" s="105"/>
    </row>
    <row r="302">
      <c r="A302" s="103" t="s">
        <v>4676</v>
      </c>
      <c r="B302" s="103">
        <v>1.10010413101E11</v>
      </c>
      <c r="C302" s="105"/>
      <c r="D302" s="104" t="s">
        <v>5671</v>
      </c>
      <c r="E302" s="104" t="s">
        <v>5675</v>
      </c>
      <c r="F302" s="103" t="s">
        <v>4678</v>
      </c>
      <c r="G302" s="103" t="s">
        <v>4679</v>
      </c>
      <c r="H302" s="103" t="s">
        <v>5676</v>
      </c>
      <c r="I302" s="103">
        <v>7443333.0</v>
      </c>
      <c r="J302" s="104" t="s">
        <v>5674</v>
      </c>
      <c r="K302" s="105"/>
      <c r="L302" s="105"/>
    </row>
    <row r="303">
      <c r="A303" s="103" t="s">
        <v>4676</v>
      </c>
      <c r="B303" s="103">
        <v>1.100104155E9</v>
      </c>
      <c r="C303" s="105"/>
      <c r="D303" s="104" t="s">
        <v>5677</v>
      </c>
      <c r="E303" s="104" t="s">
        <v>5678</v>
      </c>
      <c r="F303" s="103" t="s">
        <v>4678</v>
      </c>
      <c r="G303" s="103" t="s">
        <v>4679</v>
      </c>
      <c r="H303" s="103" t="s">
        <v>5679</v>
      </c>
      <c r="I303" s="103">
        <v>3.202752005E9</v>
      </c>
      <c r="J303" s="104" t="s">
        <v>5680</v>
      </c>
      <c r="K303" s="105"/>
      <c r="L303" s="105"/>
    </row>
    <row r="304">
      <c r="A304" s="103" t="s">
        <v>4676</v>
      </c>
      <c r="B304" s="103">
        <v>1.10010415502E11</v>
      </c>
      <c r="C304" s="105"/>
      <c r="D304" s="104" t="s">
        <v>5677</v>
      </c>
      <c r="E304" s="104" t="s">
        <v>5681</v>
      </c>
      <c r="F304" s="103" t="s">
        <v>4678</v>
      </c>
      <c r="G304" s="103" t="s">
        <v>4679</v>
      </c>
      <c r="H304" s="103" t="s">
        <v>5682</v>
      </c>
      <c r="I304" s="103">
        <v>3.202752005E9</v>
      </c>
      <c r="J304" s="104" t="s">
        <v>5680</v>
      </c>
      <c r="K304" s="105"/>
      <c r="L304" s="105"/>
    </row>
    <row r="305">
      <c r="A305" s="103" t="s">
        <v>4676</v>
      </c>
      <c r="B305" s="103">
        <v>1.100104166E9</v>
      </c>
      <c r="C305" s="105"/>
      <c r="D305" s="104" t="s">
        <v>5683</v>
      </c>
      <c r="E305" s="104" t="s">
        <v>5684</v>
      </c>
      <c r="F305" s="103" t="s">
        <v>4678</v>
      </c>
      <c r="G305" s="103" t="s">
        <v>4679</v>
      </c>
      <c r="H305" s="103" t="s">
        <v>5685</v>
      </c>
      <c r="I305" s="103" t="s">
        <v>5686</v>
      </c>
      <c r="J305" s="104" t="s">
        <v>5687</v>
      </c>
      <c r="K305" s="105"/>
      <c r="L305" s="105"/>
    </row>
    <row r="306">
      <c r="A306" s="103" t="s">
        <v>4676</v>
      </c>
      <c r="B306" s="103">
        <v>1.10010416601E11</v>
      </c>
      <c r="C306" s="105"/>
      <c r="D306" s="104" t="s">
        <v>5683</v>
      </c>
      <c r="E306" s="104" t="s">
        <v>5688</v>
      </c>
      <c r="F306" s="103" t="s">
        <v>4678</v>
      </c>
      <c r="G306" s="103" t="s">
        <v>4679</v>
      </c>
      <c r="H306" s="103" t="s">
        <v>5685</v>
      </c>
      <c r="I306" s="103" t="s">
        <v>5689</v>
      </c>
      <c r="J306" s="104" t="s">
        <v>5687</v>
      </c>
      <c r="K306" s="105"/>
      <c r="L306" s="105"/>
    </row>
    <row r="307">
      <c r="A307" s="103" t="s">
        <v>4676</v>
      </c>
      <c r="B307" s="103">
        <v>1.100104261E9</v>
      </c>
      <c r="C307" s="105"/>
      <c r="D307" s="104" t="s">
        <v>5690</v>
      </c>
      <c r="E307" s="104" t="s">
        <v>5691</v>
      </c>
      <c r="F307" s="103" t="s">
        <v>4678</v>
      </c>
      <c r="G307" s="103" t="s">
        <v>4679</v>
      </c>
      <c r="H307" s="103" t="s">
        <v>5692</v>
      </c>
      <c r="I307" s="103" t="s">
        <v>5693</v>
      </c>
      <c r="J307" s="104" t="s">
        <v>5694</v>
      </c>
      <c r="K307" s="105"/>
      <c r="L307" s="105"/>
    </row>
    <row r="308">
      <c r="A308" s="103" t="s">
        <v>4676</v>
      </c>
      <c r="B308" s="103">
        <v>1.10010426101E11</v>
      </c>
      <c r="C308" s="105"/>
      <c r="D308" s="104" t="s">
        <v>5695</v>
      </c>
      <c r="E308" s="104" t="s">
        <v>5696</v>
      </c>
      <c r="F308" s="103" t="s">
        <v>4678</v>
      </c>
      <c r="G308" s="103" t="s">
        <v>4679</v>
      </c>
      <c r="H308" s="103" t="s">
        <v>5697</v>
      </c>
      <c r="I308" s="103" t="s">
        <v>5693</v>
      </c>
      <c r="J308" s="104" t="s">
        <v>5694</v>
      </c>
      <c r="K308" s="105"/>
      <c r="L308" s="105"/>
    </row>
    <row r="309">
      <c r="A309" s="103" t="s">
        <v>4676</v>
      </c>
      <c r="B309" s="103">
        <v>1.10010426103E11</v>
      </c>
      <c r="C309" s="105"/>
      <c r="D309" s="104" t="s">
        <v>5698</v>
      </c>
      <c r="E309" s="104" t="s">
        <v>5696</v>
      </c>
      <c r="F309" s="103" t="s">
        <v>4678</v>
      </c>
      <c r="G309" s="103" t="s">
        <v>4679</v>
      </c>
      <c r="H309" s="103" t="s">
        <v>5699</v>
      </c>
      <c r="I309" s="103" t="s">
        <v>5693</v>
      </c>
      <c r="J309" s="104" t="s">
        <v>5694</v>
      </c>
      <c r="K309" s="105"/>
      <c r="L309" s="105"/>
    </row>
    <row r="310">
      <c r="A310" s="103" t="s">
        <v>4676</v>
      </c>
      <c r="B310" s="103">
        <v>1.10010426105E11</v>
      </c>
      <c r="C310" s="105"/>
      <c r="D310" s="104" t="s">
        <v>5700</v>
      </c>
      <c r="E310" s="104" t="s">
        <v>5696</v>
      </c>
      <c r="F310" s="103" t="s">
        <v>4678</v>
      </c>
      <c r="G310" s="103" t="s">
        <v>4679</v>
      </c>
      <c r="H310" s="103" t="s">
        <v>5701</v>
      </c>
      <c r="I310" s="103" t="s">
        <v>5693</v>
      </c>
      <c r="J310" s="104" t="s">
        <v>5694</v>
      </c>
      <c r="K310" s="105"/>
      <c r="L310" s="105"/>
    </row>
    <row r="311">
      <c r="A311" s="103" t="s">
        <v>4676</v>
      </c>
      <c r="B311" s="103">
        <v>1.10010426106E11</v>
      </c>
      <c r="C311" s="105"/>
      <c r="D311" s="104" t="s">
        <v>5702</v>
      </c>
      <c r="E311" s="104" t="s">
        <v>5696</v>
      </c>
      <c r="F311" s="103" t="s">
        <v>4678</v>
      </c>
      <c r="G311" s="103" t="s">
        <v>4679</v>
      </c>
      <c r="H311" s="103" t="s">
        <v>5703</v>
      </c>
      <c r="I311" s="103" t="s">
        <v>5704</v>
      </c>
      <c r="J311" s="104" t="s">
        <v>5694</v>
      </c>
      <c r="K311" s="105"/>
      <c r="L311" s="105"/>
    </row>
    <row r="312">
      <c r="A312" s="103" t="s">
        <v>4676</v>
      </c>
      <c r="B312" s="103">
        <v>1.10010426107E11</v>
      </c>
      <c r="C312" s="105"/>
      <c r="D312" s="104" t="s">
        <v>5705</v>
      </c>
      <c r="E312" s="104" t="s">
        <v>5696</v>
      </c>
      <c r="F312" s="103" t="s">
        <v>4678</v>
      </c>
      <c r="G312" s="103" t="s">
        <v>4679</v>
      </c>
      <c r="H312" s="103" t="s">
        <v>5706</v>
      </c>
      <c r="I312" s="103" t="s">
        <v>5693</v>
      </c>
      <c r="J312" s="104" t="s">
        <v>5694</v>
      </c>
      <c r="K312" s="105"/>
      <c r="L312" s="105"/>
    </row>
    <row r="313">
      <c r="A313" s="103" t="s">
        <v>4676</v>
      </c>
      <c r="B313" s="103">
        <v>1.10010426108E11</v>
      </c>
      <c r="C313" s="105"/>
      <c r="D313" s="104" t="s">
        <v>5707</v>
      </c>
      <c r="E313" s="104" t="s">
        <v>5696</v>
      </c>
      <c r="F313" s="103" t="s">
        <v>4678</v>
      </c>
      <c r="G313" s="103" t="s">
        <v>4679</v>
      </c>
      <c r="H313" s="103" t="s">
        <v>5708</v>
      </c>
      <c r="I313" s="103">
        <v>7455560.0</v>
      </c>
      <c r="J313" s="104" t="s">
        <v>5694</v>
      </c>
      <c r="K313" s="105"/>
      <c r="L313" s="105"/>
    </row>
    <row r="314">
      <c r="A314" s="103" t="s">
        <v>4676</v>
      </c>
      <c r="B314" s="103">
        <v>1.100104311E9</v>
      </c>
      <c r="C314" s="105"/>
      <c r="D314" s="104" t="s">
        <v>5709</v>
      </c>
      <c r="E314" s="106"/>
      <c r="F314" s="103" t="s">
        <v>4678</v>
      </c>
      <c r="G314" s="103" t="s">
        <v>4679</v>
      </c>
      <c r="H314" s="103" t="s">
        <v>5710</v>
      </c>
      <c r="I314" s="103" t="s">
        <v>5711</v>
      </c>
      <c r="J314" s="104" t="s">
        <v>5712</v>
      </c>
      <c r="K314" s="107" t="s">
        <v>5713</v>
      </c>
      <c r="L314" s="105"/>
    </row>
    <row r="315">
      <c r="A315" s="103" t="s">
        <v>4676</v>
      </c>
      <c r="B315" s="103">
        <v>1.10010431101E11</v>
      </c>
      <c r="C315" s="105"/>
      <c r="D315" s="104" t="s">
        <v>5709</v>
      </c>
      <c r="E315" s="104" t="s">
        <v>5714</v>
      </c>
      <c r="F315" s="103" t="s">
        <v>4678</v>
      </c>
      <c r="G315" s="103" t="s">
        <v>4679</v>
      </c>
      <c r="H315" s="103" t="s">
        <v>5710</v>
      </c>
      <c r="I315" s="103" t="s">
        <v>5711</v>
      </c>
      <c r="J315" s="104" t="s">
        <v>5715</v>
      </c>
      <c r="K315" s="105"/>
      <c r="L315" s="105"/>
    </row>
    <row r="316">
      <c r="A316" s="103" t="s">
        <v>4676</v>
      </c>
      <c r="B316" s="103">
        <v>1.100104321E9</v>
      </c>
      <c r="C316" s="105"/>
      <c r="D316" s="104" t="s">
        <v>5716</v>
      </c>
      <c r="E316" s="104" t="s">
        <v>5717</v>
      </c>
      <c r="F316" s="103" t="s">
        <v>4678</v>
      </c>
      <c r="G316" s="103" t="s">
        <v>4679</v>
      </c>
      <c r="H316" s="103" t="s">
        <v>5718</v>
      </c>
      <c r="I316" s="103">
        <v>6103925.0</v>
      </c>
      <c r="J316" s="104" t="s">
        <v>5719</v>
      </c>
      <c r="K316" s="105"/>
      <c r="L316" s="105"/>
    </row>
    <row r="317">
      <c r="A317" s="103" t="s">
        <v>4676</v>
      </c>
      <c r="B317" s="103">
        <v>1.10010432101E11</v>
      </c>
      <c r="C317" s="105"/>
      <c r="D317" s="104" t="s">
        <v>5716</v>
      </c>
      <c r="E317" s="104" t="s">
        <v>5717</v>
      </c>
      <c r="F317" s="103" t="s">
        <v>4678</v>
      </c>
      <c r="G317" s="103" t="s">
        <v>4679</v>
      </c>
      <c r="H317" s="103" t="s">
        <v>5720</v>
      </c>
      <c r="I317" s="103">
        <v>6103925.0</v>
      </c>
      <c r="J317" s="104" t="s">
        <v>5721</v>
      </c>
      <c r="K317" s="105"/>
      <c r="L317" s="105"/>
    </row>
    <row r="318">
      <c r="A318" s="103" t="s">
        <v>4676</v>
      </c>
      <c r="B318" s="103">
        <v>1.100104372E9</v>
      </c>
      <c r="C318" s="105"/>
      <c r="D318" s="104" t="s">
        <v>5722</v>
      </c>
      <c r="E318" s="104" t="s">
        <v>5723</v>
      </c>
      <c r="F318" s="103" t="s">
        <v>4678</v>
      </c>
      <c r="G318" s="103" t="s">
        <v>4679</v>
      </c>
      <c r="H318" s="103" t="s">
        <v>5724</v>
      </c>
      <c r="I318" s="103">
        <v>2686808.0</v>
      </c>
      <c r="J318" s="106"/>
      <c r="K318" s="105"/>
      <c r="L318" s="105"/>
    </row>
    <row r="319">
      <c r="A319" s="103" t="s">
        <v>4676</v>
      </c>
      <c r="B319" s="103">
        <v>1.10010437201E11</v>
      </c>
      <c r="C319" s="105"/>
      <c r="D319" s="104" t="s">
        <v>5725</v>
      </c>
      <c r="E319" s="106"/>
      <c r="F319" s="103" t="s">
        <v>4678</v>
      </c>
      <c r="G319" s="103" t="s">
        <v>4679</v>
      </c>
      <c r="H319" s="103" t="s">
        <v>5724</v>
      </c>
      <c r="I319" s="105"/>
      <c r="J319" s="106"/>
      <c r="K319" s="105"/>
      <c r="L319" s="105"/>
    </row>
    <row r="320">
      <c r="A320" s="103" t="s">
        <v>4676</v>
      </c>
      <c r="B320" s="103">
        <v>1.100104404E9</v>
      </c>
      <c r="C320" s="105"/>
      <c r="D320" s="104" t="s">
        <v>5726</v>
      </c>
      <c r="E320" s="104" t="s">
        <v>5727</v>
      </c>
      <c r="F320" s="103" t="s">
        <v>4678</v>
      </c>
      <c r="G320" s="103" t="s">
        <v>4679</v>
      </c>
      <c r="H320" s="103" t="s">
        <v>5728</v>
      </c>
      <c r="I320" s="103" t="s">
        <v>5729</v>
      </c>
      <c r="J320" s="104" t="s">
        <v>5730</v>
      </c>
      <c r="K320" s="107" t="s">
        <v>5731</v>
      </c>
      <c r="L320" s="105"/>
    </row>
    <row r="321">
      <c r="A321" s="103" t="s">
        <v>4676</v>
      </c>
      <c r="B321" s="103">
        <v>1.10010440401E11</v>
      </c>
      <c r="C321" s="105"/>
      <c r="D321" s="104" t="s">
        <v>5732</v>
      </c>
      <c r="E321" s="104" t="s">
        <v>5733</v>
      </c>
      <c r="F321" s="103" t="s">
        <v>4678</v>
      </c>
      <c r="G321" s="103" t="s">
        <v>4679</v>
      </c>
      <c r="H321" s="103" t="s">
        <v>5734</v>
      </c>
      <c r="I321" s="103">
        <v>3450900.0</v>
      </c>
      <c r="J321" s="104" t="s">
        <v>5735</v>
      </c>
      <c r="K321" s="105"/>
      <c r="L321" s="105"/>
    </row>
    <row r="322">
      <c r="A322" s="103" t="s">
        <v>4676</v>
      </c>
      <c r="B322" s="103">
        <v>1.10010440412E11</v>
      </c>
      <c r="C322" s="105"/>
      <c r="D322" s="104" t="s">
        <v>5736</v>
      </c>
      <c r="E322" s="104" t="s">
        <v>5733</v>
      </c>
      <c r="F322" s="103" t="s">
        <v>4678</v>
      </c>
      <c r="G322" s="103" t="s">
        <v>4679</v>
      </c>
      <c r="H322" s="103" t="s">
        <v>5737</v>
      </c>
      <c r="I322" s="103" t="s">
        <v>5738</v>
      </c>
      <c r="J322" s="104" t="s">
        <v>5739</v>
      </c>
      <c r="K322" s="105"/>
      <c r="L322" s="105"/>
    </row>
    <row r="323">
      <c r="A323" s="103" t="s">
        <v>4676</v>
      </c>
      <c r="B323" s="103">
        <v>1.10010440413E11</v>
      </c>
      <c r="C323" s="105"/>
      <c r="D323" s="104" t="s">
        <v>5740</v>
      </c>
      <c r="E323" s="104" t="s">
        <v>5733</v>
      </c>
      <c r="F323" s="103" t="s">
        <v>4678</v>
      </c>
      <c r="G323" s="103" t="s">
        <v>4679</v>
      </c>
      <c r="H323" s="103" t="s">
        <v>5741</v>
      </c>
      <c r="I323" s="103" t="s">
        <v>5742</v>
      </c>
      <c r="J323" s="104" t="s">
        <v>5743</v>
      </c>
      <c r="K323" s="105"/>
      <c r="L323" s="105"/>
    </row>
    <row r="324">
      <c r="A324" s="103" t="s">
        <v>4676</v>
      </c>
      <c r="B324" s="103">
        <v>1.100104471E9</v>
      </c>
      <c r="C324" s="105"/>
      <c r="D324" s="104" t="s">
        <v>5744</v>
      </c>
      <c r="E324" s="104" t="s">
        <v>5745</v>
      </c>
      <c r="F324" s="103" t="s">
        <v>4678</v>
      </c>
      <c r="G324" s="103" t="s">
        <v>4679</v>
      </c>
      <c r="H324" s="103" t="s">
        <v>5746</v>
      </c>
      <c r="I324" s="103">
        <v>5489744.0</v>
      </c>
      <c r="J324" s="104" t="s">
        <v>5747</v>
      </c>
      <c r="K324" s="105"/>
      <c r="L324" s="105"/>
    </row>
    <row r="325">
      <c r="A325" s="103" t="s">
        <v>4676</v>
      </c>
      <c r="B325" s="103">
        <v>1.10010447101E11</v>
      </c>
      <c r="C325" s="105"/>
      <c r="D325" s="104" t="s">
        <v>5748</v>
      </c>
      <c r="E325" s="106"/>
      <c r="F325" s="103" t="s">
        <v>4678</v>
      </c>
      <c r="G325" s="103" t="s">
        <v>4679</v>
      </c>
      <c r="H325" s="103" t="s">
        <v>5749</v>
      </c>
      <c r="I325" s="105"/>
      <c r="J325" s="104" t="s">
        <v>5750</v>
      </c>
      <c r="K325" s="105"/>
      <c r="L325" s="105"/>
    </row>
    <row r="326">
      <c r="A326" s="103" t="s">
        <v>4676</v>
      </c>
      <c r="B326" s="103">
        <v>1.100104488E9</v>
      </c>
      <c r="C326" s="105"/>
      <c r="D326" s="104" t="s">
        <v>5751</v>
      </c>
      <c r="E326" s="104" t="s">
        <v>5752</v>
      </c>
      <c r="F326" s="103" t="s">
        <v>4678</v>
      </c>
      <c r="G326" s="103" t="s">
        <v>4679</v>
      </c>
      <c r="H326" s="103" t="s">
        <v>5753</v>
      </c>
      <c r="I326" s="103" t="s">
        <v>5754</v>
      </c>
      <c r="J326" s="104" t="s">
        <v>5755</v>
      </c>
      <c r="K326" s="105"/>
      <c r="L326" s="105"/>
    </row>
    <row r="327">
      <c r="A327" s="103" t="s">
        <v>4676</v>
      </c>
      <c r="B327" s="103">
        <v>1.10010448801E11</v>
      </c>
      <c r="C327" s="105"/>
      <c r="D327" s="104" t="s">
        <v>5756</v>
      </c>
      <c r="E327" s="104" t="s">
        <v>5757</v>
      </c>
      <c r="F327" s="103" t="s">
        <v>4678</v>
      </c>
      <c r="G327" s="103" t="s">
        <v>4679</v>
      </c>
      <c r="H327" s="103" t="s">
        <v>5758</v>
      </c>
      <c r="I327" s="103" t="s">
        <v>5759</v>
      </c>
      <c r="J327" s="104" t="s">
        <v>5760</v>
      </c>
      <c r="K327" s="105"/>
      <c r="L327" s="105"/>
    </row>
    <row r="328">
      <c r="A328" s="103" t="s">
        <v>4676</v>
      </c>
      <c r="B328" s="103">
        <v>1.10010448803E11</v>
      </c>
      <c r="C328" s="105"/>
      <c r="D328" s="104" t="s">
        <v>5761</v>
      </c>
      <c r="E328" s="104" t="s">
        <v>5757</v>
      </c>
      <c r="F328" s="103" t="s">
        <v>4678</v>
      </c>
      <c r="G328" s="103" t="s">
        <v>4679</v>
      </c>
      <c r="H328" s="103" t="s">
        <v>5762</v>
      </c>
      <c r="I328" s="103" t="s">
        <v>5759</v>
      </c>
      <c r="J328" s="104" t="s">
        <v>5760</v>
      </c>
      <c r="K328" s="105"/>
      <c r="L328" s="105"/>
    </row>
    <row r="329">
      <c r="A329" s="103" t="s">
        <v>4676</v>
      </c>
      <c r="B329" s="103">
        <v>1.10010448805E11</v>
      </c>
      <c r="C329" s="105"/>
      <c r="D329" s="104" t="s">
        <v>5763</v>
      </c>
      <c r="E329" s="104" t="s">
        <v>5757</v>
      </c>
      <c r="F329" s="103" t="s">
        <v>4678</v>
      </c>
      <c r="G329" s="103" t="s">
        <v>4679</v>
      </c>
      <c r="H329" s="103" t="s">
        <v>5764</v>
      </c>
      <c r="I329" s="103" t="s">
        <v>5765</v>
      </c>
      <c r="J329" s="104" t="s">
        <v>5760</v>
      </c>
      <c r="K329" s="105"/>
      <c r="L329" s="105"/>
    </row>
    <row r="330">
      <c r="A330" s="103" t="s">
        <v>4676</v>
      </c>
      <c r="B330" s="103">
        <v>1.10010448806E11</v>
      </c>
      <c r="C330" s="105"/>
      <c r="D330" s="104" t="s">
        <v>5766</v>
      </c>
      <c r="E330" s="104" t="s">
        <v>5757</v>
      </c>
      <c r="F330" s="103" t="s">
        <v>4678</v>
      </c>
      <c r="G330" s="103" t="s">
        <v>4679</v>
      </c>
      <c r="H330" s="103" t="s">
        <v>5767</v>
      </c>
      <c r="I330" s="103">
        <v>3797910.0</v>
      </c>
      <c r="J330" s="104" t="s">
        <v>5768</v>
      </c>
      <c r="K330" s="105"/>
      <c r="L330" s="105"/>
    </row>
    <row r="331">
      <c r="A331" s="103" t="s">
        <v>4676</v>
      </c>
      <c r="B331" s="103">
        <v>1.10010449E9</v>
      </c>
      <c r="C331" s="105"/>
      <c r="D331" s="104" t="s">
        <v>5769</v>
      </c>
      <c r="E331" s="104" t="s">
        <v>5752</v>
      </c>
      <c r="F331" s="103" t="s">
        <v>4678</v>
      </c>
      <c r="G331" s="103" t="s">
        <v>4679</v>
      </c>
      <c r="H331" s="103" t="s">
        <v>5770</v>
      </c>
      <c r="I331" s="103" t="s">
        <v>5754</v>
      </c>
      <c r="J331" s="104" t="s">
        <v>5771</v>
      </c>
      <c r="K331" s="107" t="s">
        <v>5772</v>
      </c>
      <c r="L331" s="105"/>
    </row>
    <row r="332">
      <c r="A332" s="103" t="s">
        <v>4676</v>
      </c>
      <c r="B332" s="103">
        <v>1.10010449001E11</v>
      </c>
      <c r="C332" s="105"/>
      <c r="D332" s="104" t="s">
        <v>5773</v>
      </c>
      <c r="E332" s="104" t="s">
        <v>5757</v>
      </c>
      <c r="F332" s="103" t="s">
        <v>4678</v>
      </c>
      <c r="G332" s="103" t="s">
        <v>4679</v>
      </c>
      <c r="H332" s="103" t="s">
        <v>5774</v>
      </c>
      <c r="I332" s="103" t="s">
        <v>5759</v>
      </c>
      <c r="J332" s="104" t="s">
        <v>5775</v>
      </c>
      <c r="K332" s="105"/>
      <c r="L332" s="105"/>
    </row>
    <row r="333">
      <c r="A333" s="103" t="s">
        <v>4676</v>
      </c>
      <c r="B333" s="103">
        <v>1.10010449002E11</v>
      </c>
      <c r="C333" s="105"/>
      <c r="D333" s="104" t="s">
        <v>5776</v>
      </c>
      <c r="E333" s="104" t="s">
        <v>5757</v>
      </c>
      <c r="F333" s="103" t="s">
        <v>4678</v>
      </c>
      <c r="G333" s="103" t="s">
        <v>4679</v>
      </c>
      <c r="H333" s="103" t="s">
        <v>5777</v>
      </c>
      <c r="I333" s="103" t="s">
        <v>5759</v>
      </c>
      <c r="J333" s="104" t="s">
        <v>5775</v>
      </c>
      <c r="K333" s="105"/>
      <c r="L333" s="105"/>
    </row>
    <row r="334">
      <c r="A334" s="103" t="s">
        <v>4676</v>
      </c>
      <c r="B334" s="103">
        <v>1.100104529E9</v>
      </c>
      <c r="C334" s="105"/>
      <c r="D334" s="104" t="s">
        <v>5778</v>
      </c>
      <c r="E334" s="104" t="s">
        <v>5779</v>
      </c>
      <c r="F334" s="103" t="s">
        <v>4678</v>
      </c>
      <c r="G334" s="103" t="s">
        <v>4679</v>
      </c>
      <c r="H334" s="103" t="s">
        <v>5780</v>
      </c>
      <c r="I334" s="103" t="s">
        <v>5781</v>
      </c>
      <c r="J334" s="104" t="s">
        <v>5782</v>
      </c>
      <c r="K334" s="105"/>
      <c r="L334" s="105"/>
    </row>
    <row r="335">
      <c r="A335" s="103" t="s">
        <v>4676</v>
      </c>
      <c r="B335" s="103">
        <v>1.10010452901E11</v>
      </c>
      <c r="C335" s="105"/>
      <c r="D335" s="104" t="s">
        <v>5783</v>
      </c>
      <c r="E335" s="104" t="s">
        <v>5784</v>
      </c>
      <c r="F335" s="103" t="s">
        <v>4678</v>
      </c>
      <c r="G335" s="103" t="s">
        <v>4679</v>
      </c>
      <c r="H335" s="103" t="s">
        <v>5780</v>
      </c>
      <c r="I335" s="103">
        <v>2151807.0</v>
      </c>
      <c r="J335" s="104" t="s">
        <v>5785</v>
      </c>
      <c r="K335" s="105"/>
      <c r="L335" s="105"/>
    </row>
    <row r="336">
      <c r="A336" s="103" t="s">
        <v>4676</v>
      </c>
      <c r="B336" s="103">
        <v>1.10010457E9</v>
      </c>
      <c r="C336" s="105"/>
      <c r="D336" s="104" t="s">
        <v>5786</v>
      </c>
      <c r="E336" s="104" t="s">
        <v>5787</v>
      </c>
      <c r="F336" s="103" t="s">
        <v>4678</v>
      </c>
      <c r="G336" s="103" t="s">
        <v>4679</v>
      </c>
      <c r="H336" s="103" t="s">
        <v>5788</v>
      </c>
      <c r="I336" s="103" t="s">
        <v>5789</v>
      </c>
      <c r="J336" s="104" t="s">
        <v>5790</v>
      </c>
      <c r="K336" s="105"/>
      <c r="L336" s="105"/>
    </row>
    <row r="337">
      <c r="A337" s="103" t="s">
        <v>4676</v>
      </c>
      <c r="B337" s="103">
        <v>1.10010457001E11</v>
      </c>
      <c r="C337" s="105"/>
      <c r="D337" s="104" t="s">
        <v>5791</v>
      </c>
      <c r="E337" s="104" t="s">
        <v>5792</v>
      </c>
      <c r="F337" s="103" t="s">
        <v>4678</v>
      </c>
      <c r="G337" s="103" t="s">
        <v>4679</v>
      </c>
      <c r="H337" s="103" t="s">
        <v>5793</v>
      </c>
      <c r="I337" s="103" t="s">
        <v>5789</v>
      </c>
      <c r="J337" s="104" t="s">
        <v>5794</v>
      </c>
      <c r="K337" s="105"/>
      <c r="L337" s="105"/>
    </row>
    <row r="338">
      <c r="A338" s="103" t="s">
        <v>4676</v>
      </c>
      <c r="B338" s="103">
        <v>1.100104573E9</v>
      </c>
      <c r="C338" s="105"/>
      <c r="D338" s="104" t="s">
        <v>5795</v>
      </c>
      <c r="E338" s="104" t="s">
        <v>5796</v>
      </c>
      <c r="F338" s="103" t="s">
        <v>4678</v>
      </c>
      <c r="G338" s="103" t="s">
        <v>4679</v>
      </c>
      <c r="H338" s="103" t="s">
        <v>5797</v>
      </c>
      <c r="I338" s="103" t="s">
        <v>5798</v>
      </c>
      <c r="J338" s="104" t="s">
        <v>5799</v>
      </c>
      <c r="K338" s="105"/>
      <c r="L338" s="105"/>
    </row>
    <row r="339">
      <c r="A339" s="103" t="s">
        <v>4676</v>
      </c>
      <c r="B339" s="103">
        <v>1.10010457303E11</v>
      </c>
      <c r="C339" s="105"/>
      <c r="D339" s="104" t="s">
        <v>5800</v>
      </c>
      <c r="E339" s="104" t="s">
        <v>5801</v>
      </c>
      <c r="F339" s="103" t="s">
        <v>4678</v>
      </c>
      <c r="G339" s="103" t="s">
        <v>4679</v>
      </c>
      <c r="H339" s="103" t="s">
        <v>5802</v>
      </c>
      <c r="I339" s="103" t="s">
        <v>5803</v>
      </c>
      <c r="J339" s="104" t="s">
        <v>5804</v>
      </c>
      <c r="K339" s="105"/>
      <c r="L339" s="105"/>
    </row>
    <row r="340">
      <c r="A340" s="103" t="s">
        <v>4676</v>
      </c>
      <c r="B340" s="103">
        <v>1.10010457304E11</v>
      </c>
      <c r="C340" s="105"/>
      <c r="D340" s="104" t="s">
        <v>5805</v>
      </c>
      <c r="E340" s="104" t="s">
        <v>5801</v>
      </c>
      <c r="F340" s="103" t="s">
        <v>4678</v>
      </c>
      <c r="G340" s="103" t="s">
        <v>4679</v>
      </c>
      <c r="H340" s="103" t="s">
        <v>5806</v>
      </c>
      <c r="I340" s="103" t="s">
        <v>5807</v>
      </c>
      <c r="J340" s="104" t="s">
        <v>5808</v>
      </c>
      <c r="K340" s="105"/>
      <c r="L340" s="105"/>
    </row>
    <row r="341">
      <c r="A341" s="103" t="s">
        <v>4676</v>
      </c>
      <c r="B341" s="103">
        <v>1.100104769E9</v>
      </c>
      <c r="C341" s="105"/>
      <c r="D341" s="104" t="s">
        <v>5809</v>
      </c>
      <c r="E341" s="104" t="s">
        <v>5752</v>
      </c>
      <c r="F341" s="103" t="s">
        <v>4678</v>
      </c>
      <c r="G341" s="103" t="s">
        <v>4679</v>
      </c>
      <c r="H341" s="103" t="s">
        <v>5810</v>
      </c>
      <c r="I341" s="103" t="s">
        <v>5754</v>
      </c>
      <c r="J341" s="104" t="s">
        <v>5811</v>
      </c>
      <c r="K341" s="105"/>
      <c r="L341" s="105"/>
    </row>
    <row r="342">
      <c r="A342" s="103" t="s">
        <v>4676</v>
      </c>
      <c r="B342" s="103">
        <v>1.10010476901E11</v>
      </c>
      <c r="C342" s="105"/>
      <c r="D342" s="104" t="s">
        <v>5809</v>
      </c>
      <c r="E342" s="104" t="s">
        <v>5757</v>
      </c>
      <c r="F342" s="103" t="s">
        <v>4678</v>
      </c>
      <c r="G342" s="103" t="s">
        <v>4679</v>
      </c>
      <c r="H342" s="103" t="s">
        <v>5812</v>
      </c>
      <c r="I342" s="103" t="s">
        <v>5759</v>
      </c>
      <c r="J342" s="104" t="s">
        <v>5813</v>
      </c>
      <c r="K342" s="105"/>
      <c r="L342" s="105"/>
    </row>
    <row r="343">
      <c r="A343" s="103" t="s">
        <v>4676</v>
      </c>
      <c r="B343" s="103">
        <v>1.10010487E9</v>
      </c>
      <c r="C343" s="105"/>
      <c r="D343" s="104" t="s">
        <v>5814</v>
      </c>
      <c r="E343" s="104" t="s">
        <v>5815</v>
      </c>
      <c r="F343" s="103" t="s">
        <v>4678</v>
      </c>
      <c r="G343" s="103" t="s">
        <v>4679</v>
      </c>
      <c r="H343" s="103" t="s">
        <v>5816</v>
      </c>
      <c r="I343" s="103">
        <v>6158788.0</v>
      </c>
      <c r="J343" s="104" t="s">
        <v>5817</v>
      </c>
      <c r="K343" s="107" t="s">
        <v>5818</v>
      </c>
      <c r="L343" s="105"/>
    </row>
    <row r="344">
      <c r="A344" s="103" t="s">
        <v>4676</v>
      </c>
      <c r="B344" s="103">
        <v>1.10010487001E11</v>
      </c>
      <c r="C344" s="105"/>
      <c r="D344" s="104" t="s">
        <v>5819</v>
      </c>
      <c r="E344" s="104" t="s">
        <v>5820</v>
      </c>
      <c r="F344" s="103" t="s">
        <v>4678</v>
      </c>
      <c r="G344" s="103" t="s">
        <v>4679</v>
      </c>
      <c r="H344" s="103" t="s">
        <v>5821</v>
      </c>
      <c r="I344" s="105"/>
      <c r="J344" s="104" t="s">
        <v>5817</v>
      </c>
      <c r="K344" s="105"/>
      <c r="L344" s="105"/>
    </row>
    <row r="345">
      <c r="A345" s="103" t="s">
        <v>4676</v>
      </c>
      <c r="B345" s="103">
        <v>1.100105022E9</v>
      </c>
      <c r="C345" s="105"/>
      <c r="D345" s="104" t="s">
        <v>5822</v>
      </c>
      <c r="E345" s="104" t="s">
        <v>5823</v>
      </c>
      <c r="F345" s="103" t="s">
        <v>4678</v>
      </c>
      <c r="G345" s="103" t="s">
        <v>4679</v>
      </c>
      <c r="H345" s="103" t="s">
        <v>5824</v>
      </c>
      <c r="I345" s="103">
        <v>2301052.0</v>
      </c>
      <c r="J345" s="106"/>
      <c r="K345" s="105"/>
      <c r="L345" s="105"/>
    </row>
    <row r="346">
      <c r="A346" s="103" t="s">
        <v>4676</v>
      </c>
      <c r="B346" s="103">
        <v>1.10010502201E11</v>
      </c>
      <c r="C346" s="105"/>
      <c r="D346" s="104" t="s">
        <v>5825</v>
      </c>
      <c r="E346" s="106"/>
      <c r="F346" s="103" t="s">
        <v>4678</v>
      </c>
      <c r="G346" s="103" t="s">
        <v>4679</v>
      </c>
      <c r="H346" s="103" t="s">
        <v>5824</v>
      </c>
      <c r="I346" s="105"/>
      <c r="J346" s="106"/>
      <c r="K346" s="105"/>
      <c r="L346" s="105"/>
    </row>
    <row r="347">
      <c r="A347" s="103" t="s">
        <v>4676</v>
      </c>
      <c r="B347" s="103">
        <v>1.10010504E9</v>
      </c>
      <c r="C347" s="105"/>
      <c r="D347" s="104" t="s">
        <v>5826</v>
      </c>
      <c r="E347" s="104" t="s">
        <v>5827</v>
      </c>
      <c r="F347" s="103" t="s">
        <v>4678</v>
      </c>
      <c r="G347" s="103" t="s">
        <v>4679</v>
      </c>
      <c r="H347" s="103" t="s">
        <v>5828</v>
      </c>
      <c r="I347" s="103" t="s">
        <v>5829</v>
      </c>
      <c r="J347" s="104" t="s">
        <v>5830</v>
      </c>
      <c r="K347" s="105"/>
      <c r="L347" s="105"/>
    </row>
    <row r="348">
      <c r="A348" s="103" t="s">
        <v>4676</v>
      </c>
      <c r="B348" s="103">
        <v>1.10010504001E11</v>
      </c>
      <c r="C348" s="105"/>
      <c r="D348" s="104" t="s">
        <v>5826</v>
      </c>
      <c r="E348" s="106"/>
      <c r="F348" s="103" t="s">
        <v>4678</v>
      </c>
      <c r="G348" s="103" t="s">
        <v>4679</v>
      </c>
      <c r="H348" s="103" t="s">
        <v>5828</v>
      </c>
      <c r="I348" s="103" t="s">
        <v>5829</v>
      </c>
      <c r="J348" s="104" t="s">
        <v>5830</v>
      </c>
      <c r="K348" s="105"/>
      <c r="L348" s="105"/>
    </row>
    <row r="349">
      <c r="A349" s="103" t="s">
        <v>4676</v>
      </c>
      <c r="B349" s="103">
        <v>1.100105076E9</v>
      </c>
      <c r="C349" s="105"/>
      <c r="D349" s="104" t="s">
        <v>5831</v>
      </c>
      <c r="E349" s="104" t="s">
        <v>5832</v>
      </c>
      <c r="F349" s="103" t="s">
        <v>4678</v>
      </c>
      <c r="G349" s="103" t="s">
        <v>4679</v>
      </c>
      <c r="H349" s="103" t="s">
        <v>5833</v>
      </c>
      <c r="I349" s="103">
        <v>6164480.0</v>
      </c>
      <c r="J349" s="104" t="s">
        <v>5834</v>
      </c>
      <c r="K349" s="105"/>
      <c r="L349" s="105"/>
    </row>
    <row r="350">
      <c r="A350" s="103" t="s">
        <v>4676</v>
      </c>
      <c r="B350" s="103">
        <v>1.10010507601E11</v>
      </c>
      <c r="C350" s="105"/>
      <c r="D350" s="104" t="s">
        <v>5831</v>
      </c>
      <c r="E350" s="104" t="s">
        <v>5835</v>
      </c>
      <c r="F350" s="103" t="s">
        <v>4678</v>
      </c>
      <c r="G350" s="103" t="s">
        <v>4679</v>
      </c>
      <c r="H350" s="103" t="s">
        <v>5833</v>
      </c>
      <c r="I350" s="103">
        <v>6164480.0</v>
      </c>
      <c r="J350" s="104" t="s">
        <v>5834</v>
      </c>
      <c r="K350" s="105"/>
      <c r="L350" s="105"/>
    </row>
    <row r="351">
      <c r="A351" s="103" t="s">
        <v>4676</v>
      </c>
      <c r="B351" s="103">
        <v>1.100105098E9</v>
      </c>
      <c r="C351" s="105"/>
      <c r="D351" s="104" t="s">
        <v>5836</v>
      </c>
      <c r="E351" s="104" t="s">
        <v>5837</v>
      </c>
      <c r="F351" s="103" t="s">
        <v>4678</v>
      </c>
      <c r="G351" s="103" t="s">
        <v>4679</v>
      </c>
      <c r="H351" s="103" t="s">
        <v>5838</v>
      </c>
      <c r="I351" s="103">
        <v>7420428.0</v>
      </c>
      <c r="J351" s="104" t="s">
        <v>5839</v>
      </c>
      <c r="K351" s="105"/>
      <c r="L351" s="105"/>
    </row>
    <row r="352">
      <c r="A352" s="103" t="s">
        <v>4676</v>
      </c>
      <c r="B352" s="103">
        <v>1.10010509802E11</v>
      </c>
      <c r="C352" s="105"/>
      <c r="D352" s="104" t="s">
        <v>5840</v>
      </c>
      <c r="E352" s="104" t="s">
        <v>5841</v>
      </c>
      <c r="F352" s="103" t="s">
        <v>4678</v>
      </c>
      <c r="G352" s="103" t="s">
        <v>4679</v>
      </c>
      <c r="H352" s="103" t="s">
        <v>5842</v>
      </c>
      <c r="I352" s="103">
        <v>7420428.0</v>
      </c>
      <c r="J352" s="104" t="s">
        <v>5839</v>
      </c>
      <c r="K352" s="105"/>
      <c r="L352" s="105"/>
    </row>
    <row r="353">
      <c r="A353" s="103" t="s">
        <v>4676</v>
      </c>
      <c r="B353" s="103">
        <v>1.1001052E9</v>
      </c>
      <c r="C353" s="105"/>
      <c r="D353" s="104" t="s">
        <v>5843</v>
      </c>
      <c r="E353" s="104" t="s">
        <v>5844</v>
      </c>
      <c r="F353" s="103" t="s">
        <v>4678</v>
      </c>
      <c r="G353" s="103" t="s">
        <v>4679</v>
      </c>
      <c r="H353" s="103" t="s">
        <v>5845</v>
      </c>
      <c r="I353" s="103">
        <v>3.102193697E9</v>
      </c>
      <c r="J353" s="104" t="s">
        <v>5846</v>
      </c>
      <c r="K353" s="107" t="s">
        <v>5847</v>
      </c>
      <c r="L353" s="105"/>
    </row>
    <row r="354">
      <c r="A354" s="103" t="s">
        <v>4676</v>
      </c>
      <c r="B354" s="103">
        <v>1.10010520015E11</v>
      </c>
      <c r="C354" s="105"/>
      <c r="D354" s="104" t="s">
        <v>5848</v>
      </c>
      <c r="E354" s="104" t="s">
        <v>5849</v>
      </c>
      <c r="F354" s="103" t="s">
        <v>4678</v>
      </c>
      <c r="G354" s="103" t="s">
        <v>4679</v>
      </c>
      <c r="H354" s="103" t="s">
        <v>5850</v>
      </c>
      <c r="I354" s="103">
        <v>3.2102193697E10</v>
      </c>
      <c r="J354" s="104" t="s">
        <v>5846</v>
      </c>
      <c r="K354" s="105"/>
      <c r="L354" s="105"/>
    </row>
    <row r="355">
      <c r="A355" s="103" t="s">
        <v>4676</v>
      </c>
      <c r="B355" s="103">
        <v>1.10010520016E11</v>
      </c>
      <c r="C355" s="105"/>
      <c r="D355" s="104" t="s">
        <v>5851</v>
      </c>
      <c r="E355" s="104" t="s">
        <v>5849</v>
      </c>
      <c r="F355" s="103" t="s">
        <v>4678</v>
      </c>
      <c r="G355" s="103" t="s">
        <v>4679</v>
      </c>
      <c r="H355" s="103" t="s">
        <v>5852</v>
      </c>
      <c r="I355" s="103">
        <v>3.102193697E9</v>
      </c>
      <c r="J355" s="104" t="s">
        <v>5846</v>
      </c>
      <c r="K355" s="105"/>
      <c r="L355" s="105"/>
    </row>
    <row r="356">
      <c r="A356" s="103" t="s">
        <v>4676</v>
      </c>
      <c r="B356" s="103">
        <v>1.10010520017E11</v>
      </c>
      <c r="C356" s="105"/>
      <c r="D356" s="104" t="s">
        <v>5853</v>
      </c>
      <c r="E356" s="104" t="s">
        <v>5849</v>
      </c>
      <c r="F356" s="103" t="s">
        <v>4678</v>
      </c>
      <c r="G356" s="103" t="s">
        <v>4679</v>
      </c>
      <c r="H356" s="103" t="s">
        <v>5854</v>
      </c>
      <c r="I356" s="103">
        <v>3.102193697E9</v>
      </c>
      <c r="J356" s="104" t="s">
        <v>5846</v>
      </c>
      <c r="K356" s="105"/>
      <c r="L356" s="105"/>
    </row>
    <row r="357">
      <c r="A357" s="103" t="s">
        <v>4676</v>
      </c>
      <c r="B357" s="103">
        <v>1.10010520018E11</v>
      </c>
      <c r="C357" s="105"/>
      <c r="D357" s="104" t="s">
        <v>5855</v>
      </c>
      <c r="E357" s="104" t="s">
        <v>5849</v>
      </c>
      <c r="F357" s="103" t="s">
        <v>4678</v>
      </c>
      <c r="G357" s="103" t="s">
        <v>4679</v>
      </c>
      <c r="H357" s="103" t="s">
        <v>5856</v>
      </c>
      <c r="I357" s="103">
        <v>3.102193697E9</v>
      </c>
      <c r="J357" s="104" t="s">
        <v>5846</v>
      </c>
      <c r="K357" s="105"/>
      <c r="L357" s="105"/>
    </row>
    <row r="358">
      <c r="A358" s="103" t="s">
        <v>4676</v>
      </c>
      <c r="B358" s="103">
        <v>1.100105213E9</v>
      </c>
      <c r="C358" s="105"/>
      <c r="D358" s="104" t="s">
        <v>5857</v>
      </c>
      <c r="E358" s="104" t="s">
        <v>5858</v>
      </c>
      <c r="F358" s="103" t="s">
        <v>4678</v>
      </c>
      <c r="G358" s="103" t="s">
        <v>4679</v>
      </c>
      <c r="H358" s="103" t="s">
        <v>5859</v>
      </c>
      <c r="I358" s="103">
        <v>3001373.0</v>
      </c>
      <c r="J358" s="104" t="s">
        <v>5860</v>
      </c>
      <c r="K358" s="105"/>
      <c r="L358" s="105"/>
    </row>
    <row r="359">
      <c r="A359" s="103" t="s">
        <v>4676</v>
      </c>
      <c r="B359" s="103">
        <v>1.10010521301E11</v>
      </c>
      <c r="C359" s="105"/>
      <c r="D359" s="104" t="s">
        <v>5857</v>
      </c>
      <c r="E359" s="104" t="s">
        <v>5861</v>
      </c>
      <c r="F359" s="103" t="s">
        <v>4678</v>
      </c>
      <c r="G359" s="103" t="s">
        <v>4679</v>
      </c>
      <c r="H359" s="103" t="s">
        <v>5862</v>
      </c>
      <c r="I359" s="103" t="s">
        <v>5863</v>
      </c>
      <c r="J359" s="104" t="s">
        <v>5860</v>
      </c>
      <c r="K359" s="105"/>
      <c r="L359" s="105"/>
    </row>
    <row r="360">
      <c r="A360" s="103" t="s">
        <v>4676</v>
      </c>
      <c r="B360" s="103">
        <v>1.100105227E9</v>
      </c>
      <c r="C360" s="105"/>
      <c r="D360" s="104" t="s">
        <v>5864</v>
      </c>
      <c r="E360" s="104" t="s">
        <v>5865</v>
      </c>
      <c r="F360" s="103" t="s">
        <v>4678</v>
      </c>
      <c r="G360" s="103" t="s">
        <v>4679</v>
      </c>
      <c r="H360" s="103" t="s">
        <v>5866</v>
      </c>
      <c r="I360" s="103">
        <v>5938150.0</v>
      </c>
      <c r="J360" s="104" t="s">
        <v>5867</v>
      </c>
      <c r="K360" s="107" t="s">
        <v>5868</v>
      </c>
      <c r="L360" s="105"/>
    </row>
    <row r="361">
      <c r="A361" s="103" t="s">
        <v>4676</v>
      </c>
      <c r="B361" s="103">
        <v>1.10010522701E11</v>
      </c>
      <c r="C361" s="105"/>
      <c r="D361" s="104" t="s">
        <v>5864</v>
      </c>
      <c r="E361" s="104" t="s">
        <v>5869</v>
      </c>
      <c r="F361" s="103" t="s">
        <v>4678</v>
      </c>
      <c r="G361" s="103" t="s">
        <v>4679</v>
      </c>
      <c r="H361" s="103" t="s">
        <v>5870</v>
      </c>
      <c r="I361" s="103">
        <v>5938150.0</v>
      </c>
      <c r="J361" s="104" t="s">
        <v>5871</v>
      </c>
      <c r="K361" s="105"/>
      <c r="L361" s="105"/>
    </row>
    <row r="362">
      <c r="A362" s="103" t="s">
        <v>4676</v>
      </c>
      <c r="B362" s="103">
        <v>1.100105239E9</v>
      </c>
      <c r="C362" s="105"/>
      <c r="D362" s="104" t="s">
        <v>5872</v>
      </c>
      <c r="E362" s="104" t="s">
        <v>5873</v>
      </c>
      <c r="F362" s="103" t="s">
        <v>4678</v>
      </c>
      <c r="G362" s="103" t="s">
        <v>4679</v>
      </c>
      <c r="H362" s="103" t="s">
        <v>5874</v>
      </c>
      <c r="I362" s="103">
        <v>6227835.0</v>
      </c>
      <c r="J362" s="104" t="s">
        <v>5875</v>
      </c>
      <c r="K362" s="105"/>
      <c r="L362" s="105"/>
    </row>
    <row r="363">
      <c r="A363" s="103" t="s">
        <v>4676</v>
      </c>
      <c r="B363" s="103">
        <v>1.10010523901E11</v>
      </c>
      <c r="C363" s="105"/>
      <c r="D363" s="104" t="s">
        <v>5872</v>
      </c>
      <c r="E363" s="104" t="s">
        <v>5876</v>
      </c>
      <c r="F363" s="103" t="s">
        <v>4678</v>
      </c>
      <c r="G363" s="103" t="s">
        <v>4679</v>
      </c>
      <c r="H363" s="103" t="s">
        <v>5874</v>
      </c>
      <c r="I363" s="105"/>
      <c r="J363" s="104" t="s">
        <v>5877</v>
      </c>
      <c r="K363" s="105"/>
      <c r="L363" s="105"/>
    </row>
    <row r="364">
      <c r="A364" s="103" t="s">
        <v>4676</v>
      </c>
      <c r="B364" s="103">
        <v>1.100105262E9</v>
      </c>
      <c r="C364" s="105"/>
      <c r="D364" s="104" t="s">
        <v>5878</v>
      </c>
      <c r="E364" s="104" t="s">
        <v>5879</v>
      </c>
      <c r="F364" s="103" t="s">
        <v>4678</v>
      </c>
      <c r="G364" s="103" t="s">
        <v>4679</v>
      </c>
      <c r="H364" s="103" t="s">
        <v>5880</v>
      </c>
      <c r="I364" s="103" t="s">
        <v>5881</v>
      </c>
      <c r="J364" s="104" t="s">
        <v>5882</v>
      </c>
      <c r="K364" s="107" t="s">
        <v>5883</v>
      </c>
      <c r="L364" s="105"/>
    </row>
    <row r="365">
      <c r="A365" s="103" t="s">
        <v>4676</v>
      </c>
      <c r="B365" s="103">
        <v>1.10010526201E11</v>
      </c>
      <c r="C365" s="105"/>
      <c r="D365" s="104" t="s">
        <v>5878</v>
      </c>
      <c r="E365" s="104" t="s">
        <v>5884</v>
      </c>
      <c r="F365" s="103" t="s">
        <v>4678</v>
      </c>
      <c r="G365" s="103" t="s">
        <v>4679</v>
      </c>
      <c r="H365" s="103" t="s">
        <v>5880</v>
      </c>
      <c r="I365" s="103" t="s">
        <v>5885</v>
      </c>
      <c r="J365" s="104" t="s">
        <v>5886</v>
      </c>
      <c r="K365" s="105"/>
      <c r="L365" s="105"/>
    </row>
    <row r="366">
      <c r="A366" s="103" t="s">
        <v>4676</v>
      </c>
      <c r="B366" s="103">
        <v>1.10010526203E11</v>
      </c>
      <c r="C366" s="105"/>
      <c r="D366" s="104" t="s">
        <v>5887</v>
      </c>
      <c r="E366" s="104" t="s">
        <v>5884</v>
      </c>
      <c r="F366" s="103" t="s">
        <v>4678</v>
      </c>
      <c r="G366" s="103" t="s">
        <v>4679</v>
      </c>
      <c r="H366" s="103" t="s">
        <v>5888</v>
      </c>
      <c r="I366" s="103" t="s">
        <v>5889</v>
      </c>
      <c r="J366" s="104" t="s">
        <v>5886</v>
      </c>
      <c r="K366" s="105"/>
      <c r="L366" s="105"/>
    </row>
    <row r="367">
      <c r="A367" s="103" t="s">
        <v>4676</v>
      </c>
      <c r="B367" s="103">
        <v>1.100105271E9</v>
      </c>
      <c r="C367" s="105"/>
      <c r="D367" s="104" t="s">
        <v>5890</v>
      </c>
      <c r="E367" s="104" t="s">
        <v>5891</v>
      </c>
      <c r="F367" s="103" t="s">
        <v>4678</v>
      </c>
      <c r="G367" s="103" t="s">
        <v>4679</v>
      </c>
      <c r="H367" s="103" t="s">
        <v>5892</v>
      </c>
      <c r="I367" s="103" t="s">
        <v>5893</v>
      </c>
      <c r="J367" s="104" t="s">
        <v>5894</v>
      </c>
      <c r="K367" s="107" t="s">
        <v>5895</v>
      </c>
      <c r="L367" s="105"/>
    </row>
    <row r="368">
      <c r="A368" s="103" t="s">
        <v>4676</v>
      </c>
      <c r="B368" s="103">
        <v>1.10010527101E11</v>
      </c>
      <c r="C368" s="105"/>
      <c r="D368" s="104" t="s">
        <v>5890</v>
      </c>
      <c r="E368" s="104" t="s">
        <v>5896</v>
      </c>
      <c r="F368" s="103" t="s">
        <v>4678</v>
      </c>
      <c r="G368" s="103" t="s">
        <v>4679</v>
      </c>
      <c r="H368" s="103" t="s">
        <v>5892</v>
      </c>
      <c r="I368" s="103" t="s">
        <v>5897</v>
      </c>
      <c r="J368" s="104" t="s">
        <v>5894</v>
      </c>
      <c r="K368" s="105"/>
      <c r="L368" s="105"/>
    </row>
    <row r="369">
      <c r="A369" s="103" t="s">
        <v>4676</v>
      </c>
      <c r="B369" s="103">
        <v>1.100105322E9</v>
      </c>
      <c r="C369" s="105"/>
      <c r="D369" s="104" t="s">
        <v>5898</v>
      </c>
      <c r="E369" s="104" t="s">
        <v>5899</v>
      </c>
      <c r="F369" s="103" t="s">
        <v>4678</v>
      </c>
      <c r="G369" s="103" t="s">
        <v>4679</v>
      </c>
      <c r="H369" s="103" t="s">
        <v>5900</v>
      </c>
      <c r="I369" s="103">
        <v>5870366.0</v>
      </c>
      <c r="J369" s="104" t="s">
        <v>5901</v>
      </c>
      <c r="K369" s="105"/>
      <c r="L369" s="105"/>
    </row>
    <row r="370">
      <c r="A370" s="103" t="s">
        <v>4676</v>
      </c>
      <c r="B370" s="103">
        <v>1.10010532201E11</v>
      </c>
      <c r="C370" s="105"/>
      <c r="D370" s="104" t="s">
        <v>5902</v>
      </c>
      <c r="E370" s="104" t="s">
        <v>5903</v>
      </c>
      <c r="F370" s="103" t="s">
        <v>4678</v>
      </c>
      <c r="G370" s="103" t="s">
        <v>4679</v>
      </c>
      <c r="H370" s="103" t="s">
        <v>5900</v>
      </c>
      <c r="I370" s="103">
        <v>5870366.0</v>
      </c>
      <c r="J370" s="104" t="s">
        <v>5901</v>
      </c>
      <c r="K370" s="105"/>
      <c r="L370" s="105"/>
    </row>
    <row r="371">
      <c r="A371" s="103" t="s">
        <v>4676</v>
      </c>
      <c r="B371" s="103">
        <v>1.100105464E9</v>
      </c>
      <c r="C371" s="105"/>
      <c r="D371" s="104" t="s">
        <v>5904</v>
      </c>
      <c r="E371" s="104" t="s">
        <v>5905</v>
      </c>
      <c r="F371" s="103" t="s">
        <v>4678</v>
      </c>
      <c r="G371" s="103" t="s">
        <v>4679</v>
      </c>
      <c r="H371" s="103" t="s">
        <v>5906</v>
      </c>
      <c r="I371" s="103">
        <v>2657599.0</v>
      </c>
      <c r="J371" s="104" t="s">
        <v>5907</v>
      </c>
      <c r="K371" s="105"/>
      <c r="L371" s="105"/>
    </row>
    <row r="372">
      <c r="A372" s="103" t="s">
        <v>4676</v>
      </c>
      <c r="B372" s="103">
        <v>1.10010546401E11</v>
      </c>
      <c r="C372" s="105"/>
      <c r="D372" s="104" t="s">
        <v>5908</v>
      </c>
      <c r="E372" s="106"/>
      <c r="F372" s="103" t="s">
        <v>4678</v>
      </c>
      <c r="G372" s="103" t="s">
        <v>4679</v>
      </c>
      <c r="H372" s="103" t="s">
        <v>5906</v>
      </c>
      <c r="I372" s="103">
        <v>2654118.0</v>
      </c>
      <c r="J372" s="104" t="s">
        <v>5909</v>
      </c>
      <c r="K372" s="105"/>
      <c r="L372" s="105"/>
    </row>
    <row r="373">
      <c r="A373" s="103" t="s">
        <v>4676</v>
      </c>
      <c r="B373" s="103">
        <v>1.10010548E9</v>
      </c>
      <c r="C373" s="105"/>
      <c r="D373" s="104" t="s">
        <v>5910</v>
      </c>
      <c r="E373" s="106"/>
      <c r="F373" s="103" t="s">
        <v>4678</v>
      </c>
      <c r="G373" s="103" t="s">
        <v>4679</v>
      </c>
      <c r="H373" s="103" t="s">
        <v>5911</v>
      </c>
      <c r="I373" s="103">
        <v>3.103039409E9</v>
      </c>
      <c r="J373" s="104" t="s">
        <v>5912</v>
      </c>
      <c r="K373" s="107" t="s">
        <v>5913</v>
      </c>
      <c r="L373" s="105"/>
    </row>
    <row r="374">
      <c r="A374" s="103" t="s">
        <v>4676</v>
      </c>
      <c r="B374" s="103">
        <v>1.10010548027E11</v>
      </c>
      <c r="C374" s="105"/>
      <c r="D374" s="104" t="s">
        <v>5914</v>
      </c>
      <c r="E374" s="104" t="s">
        <v>5915</v>
      </c>
      <c r="F374" s="103" t="s">
        <v>4678</v>
      </c>
      <c r="G374" s="103" t="s">
        <v>4679</v>
      </c>
      <c r="H374" s="103" t="s">
        <v>5916</v>
      </c>
      <c r="I374" s="103">
        <v>3.103039409E9</v>
      </c>
      <c r="J374" s="104" t="s">
        <v>5912</v>
      </c>
      <c r="K374" s="105"/>
      <c r="L374" s="105"/>
    </row>
    <row r="375">
      <c r="A375" s="103" t="s">
        <v>4676</v>
      </c>
      <c r="B375" s="103">
        <v>1.10010548028E11</v>
      </c>
      <c r="C375" s="105"/>
      <c r="D375" s="104" t="s">
        <v>5917</v>
      </c>
      <c r="E375" s="104" t="s">
        <v>5918</v>
      </c>
      <c r="F375" s="103" t="s">
        <v>4678</v>
      </c>
      <c r="G375" s="103" t="s">
        <v>4679</v>
      </c>
      <c r="H375" s="103" t="s">
        <v>5919</v>
      </c>
      <c r="I375" s="103">
        <v>3.103039409E9</v>
      </c>
      <c r="J375" s="104" t="s">
        <v>5912</v>
      </c>
      <c r="K375" s="105"/>
      <c r="L375" s="105"/>
    </row>
    <row r="376">
      <c r="A376" s="103" t="s">
        <v>4676</v>
      </c>
      <c r="B376" s="103">
        <v>1.10010548029E11</v>
      </c>
      <c r="C376" s="105"/>
      <c r="D376" s="104" t="s">
        <v>5920</v>
      </c>
      <c r="E376" s="104" t="s">
        <v>5915</v>
      </c>
      <c r="F376" s="103" t="s">
        <v>4678</v>
      </c>
      <c r="G376" s="103" t="s">
        <v>4679</v>
      </c>
      <c r="H376" s="103" t="s">
        <v>5921</v>
      </c>
      <c r="I376" s="103" t="s">
        <v>5922</v>
      </c>
      <c r="J376" s="104" t="s">
        <v>5912</v>
      </c>
      <c r="K376" s="105"/>
      <c r="L376" s="105"/>
    </row>
    <row r="377">
      <c r="A377" s="103" t="s">
        <v>4676</v>
      </c>
      <c r="B377" s="103">
        <v>1.1001054803E11</v>
      </c>
      <c r="C377" s="105"/>
      <c r="D377" s="104" t="s">
        <v>5923</v>
      </c>
      <c r="E377" s="104" t="s">
        <v>5915</v>
      </c>
      <c r="F377" s="103" t="s">
        <v>4678</v>
      </c>
      <c r="G377" s="103" t="s">
        <v>4679</v>
      </c>
      <c r="H377" s="103" t="s">
        <v>5924</v>
      </c>
      <c r="I377" s="103">
        <v>3.103039409E9</v>
      </c>
      <c r="J377" s="104" t="s">
        <v>5912</v>
      </c>
      <c r="K377" s="105"/>
      <c r="L377" s="105"/>
    </row>
    <row r="378">
      <c r="A378" s="103" t="s">
        <v>4676</v>
      </c>
      <c r="B378" s="103">
        <v>1.10010548031E11</v>
      </c>
      <c r="C378" s="105"/>
      <c r="D378" s="104" t="s">
        <v>5925</v>
      </c>
      <c r="E378" s="104" t="s">
        <v>5926</v>
      </c>
      <c r="F378" s="103" t="s">
        <v>4678</v>
      </c>
      <c r="G378" s="103" t="s">
        <v>4679</v>
      </c>
      <c r="H378" s="103" t="s">
        <v>5927</v>
      </c>
      <c r="I378" s="103">
        <v>3.103039409E9</v>
      </c>
      <c r="J378" s="104" t="s">
        <v>5912</v>
      </c>
      <c r="K378" s="105"/>
      <c r="L378" s="105"/>
    </row>
    <row r="379">
      <c r="A379" s="103" t="s">
        <v>4676</v>
      </c>
      <c r="B379" s="103">
        <v>1.10010549E9</v>
      </c>
      <c r="C379" s="105"/>
      <c r="D379" s="104" t="s">
        <v>5928</v>
      </c>
      <c r="E379" s="104" t="s">
        <v>5929</v>
      </c>
      <c r="F379" s="103" t="s">
        <v>4678</v>
      </c>
      <c r="G379" s="103" t="s">
        <v>4679</v>
      </c>
      <c r="H379" s="103" t="s">
        <v>5930</v>
      </c>
      <c r="I379" s="103">
        <v>6.01631528E9</v>
      </c>
      <c r="J379" s="104" t="s">
        <v>5931</v>
      </c>
      <c r="K379" s="105"/>
      <c r="L379" s="105"/>
    </row>
    <row r="380">
      <c r="A380" s="103" t="s">
        <v>4676</v>
      </c>
      <c r="B380" s="103">
        <v>1.10010549001E11</v>
      </c>
      <c r="C380" s="105"/>
      <c r="D380" s="104" t="s">
        <v>5928</v>
      </c>
      <c r="E380" s="104" t="s">
        <v>5932</v>
      </c>
      <c r="F380" s="103" t="s">
        <v>4678</v>
      </c>
      <c r="G380" s="103" t="s">
        <v>4679</v>
      </c>
      <c r="H380" s="103" t="s">
        <v>5930</v>
      </c>
      <c r="I380" s="105"/>
      <c r="J380" s="104" t="s">
        <v>5931</v>
      </c>
      <c r="K380" s="105"/>
      <c r="L380" s="105"/>
    </row>
    <row r="381">
      <c r="A381" s="103" t="s">
        <v>4676</v>
      </c>
      <c r="B381" s="103">
        <v>1.100105506E9</v>
      </c>
      <c r="C381" s="105"/>
      <c r="D381" s="104" t="s">
        <v>5933</v>
      </c>
      <c r="E381" s="104" t="s">
        <v>5934</v>
      </c>
      <c r="F381" s="103" t="s">
        <v>4678</v>
      </c>
      <c r="G381" s="103" t="s">
        <v>4679</v>
      </c>
      <c r="H381" s="103" t="s">
        <v>5935</v>
      </c>
      <c r="I381" s="103" t="s">
        <v>5936</v>
      </c>
      <c r="J381" s="104" t="s">
        <v>5937</v>
      </c>
      <c r="K381" s="105"/>
      <c r="L381" s="105"/>
    </row>
    <row r="382">
      <c r="A382" s="103" t="s">
        <v>4676</v>
      </c>
      <c r="B382" s="103">
        <v>1.10010550605E11</v>
      </c>
      <c r="C382" s="105"/>
      <c r="D382" s="104" t="s">
        <v>5938</v>
      </c>
      <c r="E382" s="104" t="s">
        <v>5939</v>
      </c>
      <c r="F382" s="103" t="s">
        <v>4678</v>
      </c>
      <c r="G382" s="103" t="s">
        <v>4679</v>
      </c>
      <c r="H382" s="103" t="s">
        <v>5940</v>
      </c>
      <c r="I382" s="103" t="s">
        <v>5936</v>
      </c>
      <c r="J382" s="104" t="s">
        <v>5937</v>
      </c>
      <c r="K382" s="105"/>
      <c r="L382" s="105"/>
    </row>
    <row r="383">
      <c r="A383" s="103" t="s">
        <v>4676</v>
      </c>
      <c r="B383" s="103">
        <v>1.100105577E9</v>
      </c>
      <c r="C383" s="105"/>
      <c r="D383" s="104" t="s">
        <v>5941</v>
      </c>
      <c r="E383" s="104" t="s">
        <v>5942</v>
      </c>
      <c r="F383" s="103" t="s">
        <v>4678</v>
      </c>
      <c r="G383" s="103" t="s">
        <v>4679</v>
      </c>
      <c r="H383" s="103" t="s">
        <v>5943</v>
      </c>
      <c r="I383" s="103" t="s">
        <v>5944</v>
      </c>
      <c r="J383" s="104" t="s">
        <v>5945</v>
      </c>
      <c r="K383" s="105"/>
      <c r="L383" s="105"/>
    </row>
    <row r="384">
      <c r="A384" s="103" t="s">
        <v>4676</v>
      </c>
      <c r="B384" s="103">
        <v>1.10010557701E11</v>
      </c>
      <c r="C384" s="105"/>
      <c r="D384" s="104" t="s">
        <v>5941</v>
      </c>
      <c r="E384" s="104" t="s">
        <v>5946</v>
      </c>
      <c r="F384" s="103" t="s">
        <v>4678</v>
      </c>
      <c r="G384" s="103" t="s">
        <v>4679</v>
      </c>
      <c r="H384" s="103" t="s">
        <v>5943</v>
      </c>
      <c r="I384" s="103" t="s">
        <v>5947</v>
      </c>
      <c r="J384" s="104" t="s">
        <v>5945</v>
      </c>
      <c r="K384" s="105"/>
      <c r="L384" s="105"/>
    </row>
    <row r="385">
      <c r="A385" s="103" t="s">
        <v>4676</v>
      </c>
      <c r="B385" s="103">
        <v>1.100105597E9</v>
      </c>
      <c r="C385" s="105"/>
      <c r="D385" s="104" t="s">
        <v>5948</v>
      </c>
      <c r="E385" s="104" t="s">
        <v>5949</v>
      </c>
      <c r="F385" s="103" t="s">
        <v>4678</v>
      </c>
      <c r="G385" s="103" t="s">
        <v>4679</v>
      </c>
      <c r="H385" s="103" t="s">
        <v>5950</v>
      </c>
      <c r="I385" s="103" t="s">
        <v>5951</v>
      </c>
      <c r="J385" s="104" t="s">
        <v>5952</v>
      </c>
      <c r="K385" s="105"/>
      <c r="L385" s="105"/>
    </row>
    <row r="386">
      <c r="A386" s="103" t="s">
        <v>4676</v>
      </c>
      <c r="B386" s="103">
        <v>1.10010559701E11</v>
      </c>
      <c r="C386" s="105"/>
      <c r="D386" s="104" t="s">
        <v>5953</v>
      </c>
      <c r="E386" s="104" t="s">
        <v>5954</v>
      </c>
      <c r="F386" s="103" t="s">
        <v>4678</v>
      </c>
      <c r="G386" s="103" t="s">
        <v>4679</v>
      </c>
      <c r="H386" s="103" t="s">
        <v>5955</v>
      </c>
      <c r="I386" s="103" t="s">
        <v>5951</v>
      </c>
      <c r="J386" s="104" t="s">
        <v>5952</v>
      </c>
      <c r="K386" s="105"/>
      <c r="L386" s="105"/>
    </row>
    <row r="387">
      <c r="A387" s="103" t="s">
        <v>4676</v>
      </c>
      <c r="B387" s="103">
        <v>1.10010559702E11</v>
      </c>
      <c r="C387" s="105"/>
      <c r="D387" s="104" t="s">
        <v>5956</v>
      </c>
      <c r="E387" s="104" t="s">
        <v>5957</v>
      </c>
      <c r="F387" s="103" t="s">
        <v>4678</v>
      </c>
      <c r="G387" s="103" t="s">
        <v>4679</v>
      </c>
      <c r="H387" s="103" t="s">
        <v>5958</v>
      </c>
      <c r="I387" s="103" t="s">
        <v>5951</v>
      </c>
      <c r="J387" s="104" t="s">
        <v>5952</v>
      </c>
      <c r="K387" s="105"/>
      <c r="L387" s="105"/>
    </row>
    <row r="388">
      <c r="A388" s="103" t="s">
        <v>4676</v>
      </c>
      <c r="B388" s="103">
        <v>1.10010559704E11</v>
      </c>
      <c r="C388" s="105"/>
      <c r="D388" s="104" t="s">
        <v>5959</v>
      </c>
      <c r="E388" s="104" t="s">
        <v>5954</v>
      </c>
      <c r="F388" s="103" t="s">
        <v>4678</v>
      </c>
      <c r="G388" s="103" t="s">
        <v>4679</v>
      </c>
      <c r="H388" s="103" t="s">
        <v>5960</v>
      </c>
      <c r="I388" s="103" t="s">
        <v>5951</v>
      </c>
      <c r="J388" s="104" t="s">
        <v>5952</v>
      </c>
      <c r="K388" s="105"/>
      <c r="L388" s="105"/>
    </row>
    <row r="389">
      <c r="A389" s="103" t="s">
        <v>4676</v>
      </c>
      <c r="B389" s="103">
        <v>1.10010559705E11</v>
      </c>
      <c r="C389" s="105"/>
      <c r="D389" s="104" t="s">
        <v>5961</v>
      </c>
      <c r="E389" s="104" t="s">
        <v>5954</v>
      </c>
      <c r="F389" s="103" t="s">
        <v>4678</v>
      </c>
      <c r="G389" s="103" t="s">
        <v>4679</v>
      </c>
      <c r="H389" s="103" t="s">
        <v>5962</v>
      </c>
      <c r="I389" s="103" t="s">
        <v>5951</v>
      </c>
      <c r="J389" s="104" t="s">
        <v>5952</v>
      </c>
      <c r="K389" s="105"/>
      <c r="L389" s="105"/>
    </row>
    <row r="390">
      <c r="A390" s="103" t="s">
        <v>4676</v>
      </c>
      <c r="B390" s="103">
        <v>1.10010559711E11</v>
      </c>
      <c r="C390" s="105"/>
      <c r="D390" s="104" t="s">
        <v>5963</v>
      </c>
      <c r="E390" s="104" t="s">
        <v>5954</v>
      </c>
      <c r="F390" s="103" t="s">
        <v>4678</v>
      </c>
      <c r="G390" s="103" t="s">
        <v>4679</v>
      </c>
      <c r="H390" s="103" t="s">
        <v>5964</v>
      </c>
      <c r="I390" s="103" t="s">
        <v>5951</v>
      </c>
      <c r="J390" s="104" t="s">
        <v>5952</v>
      </c>
      <c r="K390" s="105"/>
      <c r="L390" s="105"/>
    </row>
    <row r="391">
      <c r="A391" s="103" t="s">
        <v>4676</v>
      </c>
      <c r="B391" s="103">
        <v>1.10010559712E11</v>
      </c>
      <c r="C391" s="105"/>
      <c r="D391" s="104" t="s">
        <v>5965</v>
      </c>
      <c r="E391" s="104" t="s">
        <v>5954</v>
      </c>
      <c r="F391" s="103" t="s">
        <v>4678</v>
      </c>
      <c r="G391" s="103" t="s">
        <v>4679</v>
      </c>
      <c r="H391" s="103" t="s">
        <v>5966</v>
      </c>
      <c r="I391" s="103" t="s">
        <v>5951</v>
      </c>
      <c r="J391" s="104" t="s">
        <v>5952</v>
      </c>
      <c r="K391" s="105"/>
      <c r="L391" s="105"/>
    </row>
    <row r="392">
      <c r="A392" s="103" t="s">
        <v>4676</v>
      </c>
      <c r="B392" s="103">
        <v>1.10010559713E11</v>
      </c>
      <c r="C392" s="105"/>
      <c r="D392" s="104" t="s">
        <v>5967</v>
      </c>
      <c r="E392" s="104" t="s">
        <v>5954</v>
      </c>
      <c r="F392" s="103" t="s">
        <v>4678</v>
      </c>
      <c r="G392" s="103" t="s">
        <v>4679</v>
      </c>
      <c r="H392" s="103" t="s">
        <v>5968</v>
      </c>
      <c r="I392" s="103" t="s">
        <v>5951</v>
      </c>
      <c r="J392" s="104" t="s">
        <v>5952</v>
      </c>
      <c r="K392" s="105"/>
      <c r="L392" s="105"/>
    </row>
    <row r="393">
      <c r="A393" s="103" t="s">
        <v>4676</v>
      </c>
      <c r="B393" s="103">
        <v>1.10010559714E11</v>
      </c>
      <c r="C393" s="105"/>
      <c r="D393" s="104" t="s">
        <v>5969</v>
      </c>
      <c r="E393" s="104" t="s">
        <v>5954</v>
      </c>
      <c r="F393" s="103" t="s">
        <v>4678</v>
      </c>
      <c r="G393" s="103" t="s">
        <v>4679</v>
      </c>
      <c r="H393" s="103" t="s">
        <v>5970</v>
      </c>
      <c r="I393" s="103" t="s">
        <v>5951</v>
      </c>
      <c r="J393" s="104" t="s">
        <v>5952</v>
      </c>
      <c r="K393" s="105"/>
      <c r="L393" s="105"/>
    </row>
    <row r="394">
      <c r="A394" s="103" t="s">
        <v>4676</v>
      </c>
      <c r="B394" s="103">
        <v>1.10010559719E11</v>
      </c>
      <c r="C394" s="105"/>
      <c r="D394" s="104" t="s">
        <v>5971</v>
      </c>
      <c r="E394" s="104" t="s">
        <v>5972</v>
      </c>
      <c r="F394" s="103" t="s">
        <v>4678</v>
      </c>
      <c r="G394" s="103" t="s">
        <v>4679</v>
      </c>
      <c r="H394" s="103" t="s">
        <v>5973</v>
      </c>
      <c r="I394" s="103" t="s">
        <v>5951</v>
      </c>
      <c r="J394" s="104" t="s">
        <v>5952</v>
      </c>
      <c r="K394" s="105"/>
      <c r="L394" s="105"/>
    </row>
    <row r="395">
      <c r="A395" s="103" t="s">
        <v>4676</v>
      </c>
      <c r="B395" s="103">
        <v>1.10010559725E11</v>
      </c>
      <c r="C395" s="105"/>
      <c r="D395" s="104" t="s">
        <v>5974</v>
      </c>
      <c r="E395" s="104" t="s">
        <v>5954</v>
      </c>
      <c r="F395" s="103" t="s">
        <v>4678</v>
      </c>
      <c r="G395" s="103" t="s">
        <v>4679</v>
      </c>
      <c r="H395" s="103" t="s">
        <v>5975</v>
      </c>
      <c r="I395" s="103" t="s">
        <v>5951</v>
      </c>
      <c r="J395" s="104" t="s">
        <v>5952</v>
      </c>
      <c r="K395" s="105"/>
      <c r="L395" s="105"/>
    </row>
    <row r="396">
      <c r="A396" s="103" t="s">
        <v>4676</v>
      </c>
      <c r="B396" s="103">
        <v>1.10010559726E11</v>
      </c>
      <c r="C396" s="105"/>
      <c r="D396" s="104" t="s">
        <v>5976</v>
      </c>
      <c r="E396" s="104" t="s">
        <v>5954</v>
      </c>
      <c r="F396" s="103" t="s">
        <v>4678</v>
      </c>
      <c r="G396" s="103" t="s">
        <v>4679</v>
      </c>
      <c r="H396" s="103" t="s">
        <v>5977</v>
      </c>
      <c r="I396" s="103" t="s">
        <v>5951</v>
      </c>
      <c r="J396" s="104" t="s">
        <v>5952</v>
      </c>
      <c r="K396" s="105"/>
      <c r="L396" s="105"/>
    </row>
    <row r="397">
      <c r="A397" s="103" t="s">
        <v>4676</v>
      </c>
      <c r="B397" s="103">
        <v>1.10010559727E11</v>
      </c>
      <c r="C397" s="105"/>
      <c r="D397" s="104" t="s">
        <v>5978</v>
      </c>
      <c r="E397" s="104" t="s">
        <v>5954</v>
      </c>
      <c r="F397" s="103" t="s">
        <v>4678</v>
      </c>
      <c r="G397" s="103" t="s">
        <v>4679</v>
      </c>
      <c r="H397" s="103" t="s">
        <v>5979</v>
      </c>
      <c r="I397" s="103" t="s">
        <v>5951</v>
      </c>
      <c r="J397" s="104" t="s">
        <v>5952</v>
      </c>
      <c r="K397" s="105"/>
      <c r="L397" s="105"/>
    </row>
    <row r="398">
      <c r="A398" s="103" t="s">
        <v>4676</v>
      </c>
      <c r="B398" s="103">
        <v>1.1001055973E11</v>
      </c>
      <c r="C398" s="105"/>
      <c r="D398" s="104" t="s">
        <v>5980</v>
      </c>
      <c r="E398" s="104" t="s">
        <v>5954</v>
      </c>
      <c r="F398" s="103" t="s">
        <v>4678</v>
      </c>
      <c r="G398" s="103" t="s">
        <v>4679</v>
      </c>
      <c r="H398" s="103" t="s">
        <v>5981</v>
      </c>
      <c r="I398" s="103" t="s">
        <v>5951</v>
      </c>
      <c r="J398" s="104" t="s">
        <v>5952</v>
      </c>
      <c r="K398" s="105"/>
      <c r="L398" s="105"/>
    </row>
    <row r="399">
      <c r="A399" s="103" t="s">
        <v>4676</v>
      </c>
      <c r="B399" s="103">
        <v>1.10010559732E11</v>
      </c>
      <c r="C399" s="105"/>
      <c r="D399" s="104" t="s">
        <v>5982</v>
      </c>
      <c r="E399" s="104" t="s">
        <v>5954</v>
      </c>
      <c r="F399" s="103" t="s">
        <v>4678</v>
      </c>
      <c r="G399" s="103" t="s">
        <v>4679</v>
      </c>
      <c r="H399" s="103" t="s">
        <v>5983</v>
      </c>
      <c r="I399" s="103" t="s">
        <v>5951</v>
      </c>
      <c r="J399" s="104" t="s">
        <v>5952</v>
      </c>
      <c r="K399" s="105"/>
      <c r="L399" s="105"/>
    </row>
    <row r="400">
      <c r="A400" s="103" t="s">
        <v>4676</v>
      </c>
      <c r="B400" s="103">
        <v>1.10010559733E11</v>
      </c>
      <c r="C400" s="105"/>
      <c r="D400" s="104" t="s">
        <v>5984</v>
      </c>
      <c r="E400" s="104" t="s">
        <v>5954</v>
      </c>
      <c r="F400" s="103" t="s">
        <v>4678</v>
      </c>
      <c r="G400" s="103" t="s">
        <v>4679</v>
      </c>
      <c r="H400" s="103" t="s">
        <v>5985</v>
      </c>
      <c r="I400" s="103" t="s">
        <v>5951</v>
      </c>
      <c r="J400" s="104" t="s">
        <v>5952</v>
      </c>
      <c r="K400" s="105"/>
      <c r="L400" s="105"/>
    </row>
    <row r="401">
      <c r="A401" s="103" t="s">
        <v>4676</v>
      </c>
      <c r="B401" s="103">
        <v>1.10010559735E11</v>
      </c>
      <c r="C401" s="105"/>
      <c r="D401" s="104" t="s">
        <v>5986</v>
      </c>
      <c r="E401" s="104" t="s">
        <v>5987</v>
      </c>
      <c r="F401" s="103" t="s">
        <v>4678</v>
      </c>
      <c r="G401" s="103" t="s">
        <v>4679</v>
      </c>
      <c r="H401" s="103" t="s">
        <v>5988</v>
      </c>
      <c r="I401" s="103" t="s">
        <v>5989</v>
      </c>
      <c r="J401" s="104" t="s">
        <v>5952</v>
      </c>
      <c r="K401" s="105"/>
      <c r="L401" s="105"/>
    </row>
    <row r="402">
      <c r="A402" s="103" t="s">
        <v>4676</v>
      </c>
      <c r="B402" s="103">
        <v>1.10010559736E11</v>
      </c>
      <c r="C402" s="105"/>
      <c r="D402" s="104" t="s">
        <v>5990</v>
      </c>
      <c r="E402" s="104" t="s">
        <v>5954</v>
      </c>
      <c r="F402" s="103" t="s">
        <v>4678</v>
      </c>
      <c r="G402" s="103" t="s">
        <v>4679</v>
      </c>
      <c r="H402" s="103" t="s">
        <v>5991</v>
      </c>
      <c r="I402" s="103" t="s">
        <v>5992</v>
      </c>
      <c r="J402" s="104" t="s">
        <v>5952</v>
      </c>
      <c r="K402" s="105"/>
      <c r="L402" s="105"/>
    </row>
    <row r="403">
      <c r="A403" s="103" t="s">
        <v>4676</v>
      </c>
      <c r="B403" s="103">
        <v>1.10010559737E11</v>
      </c>
      <c r="C403" s="105"/>
      <c r="D403" s="104" t="s">
        <v>5993</v>
      </c>
      <c r="E403" s="104" t="s">
        <v>5994</v>
      </c>
      <c r="F403" s="103" t="s">
        <v>4678</v>
      </c>
      <c r="G403" s="103" t="s">
        <v>4679</v>
      </c>
      <c r="H403" s="103" t="s">
        <v>5995</v>
      </c>
      <c r="I403" s="103" t="s">
        <v>5996</v>
      </c>
      <c r="J403" s="104" t="s">
        <v>5952</v>
      </c>
      <c r="K403" s="105"/>
      <c r="L403" s="105"/>
    </row>
    <row r="404">
      <c r="A404" s="103" t="s">
        <v>4676</v>
      </c>
      <c r="B404" s="103">
        <v>1.10010559739E11</v>
      </c>
      <c r="C404" s="105"/>
      <c r="D404" s="104" t="s">
        <v>5997</v>
      </c>
      <c r="E404" s="104" t="s">
        <v>5954</v>
      </c>
      <c r="F404" s="103" t="s">
        <v>4678</v>
      </c>
      <c r="G404" s="103" t="s">
        <v>4679</v>
      </c>
      <c r="H404" s="103" t="s">
        <v>5998</v>
      </c>
      <c r="I404" s="103" t="s">
        <v>5999</v>
      </c>
      <c r="J404" s="104" t="s">
        <v>5952</v>
      </c>
      <c r="K404" s="105"/>
      <c r="L404" s="105"/>
    </row>
    <row r="405">
      <c r="A405" s="103" t="s">
        <v>4676</v>
      </c>
      <c r="B405" s="103">
        <v>1.1001055974E11</v>
      </c>
      <c r="C405" s="105"/>
      <c r="D405" s="104" t="s">
        <v>6000</v>
      </c>
      <c r="E405" s="104" t="s">
        <v>5954</v>
      </c>
      <c r="F405" s="103" t="s">
        <v>4678</v>
      </c>
      <c r="G405" s="103" t="s">
        <v>4679</v>
      </c>
      <c r="H405" s="103" t="s">
        <v>6001</v>
      </c>
      <c r="I405" s="103" t="s">
        <v>6002</v>
      </c>
      <c r="J405" s="104" t="s">
        <v>5952</v>
      </c>
      <c r="K405" s="105"/>
      <c r="L405" s="105"/>
    </row>
    <row r="406">
      <c r="A406" s="103" t="s">
        <v>4676</v>
      </c>
      <c r="B406" s="103">
        <v>1.10010559741E11</v>
      </c>
      <c r="C406" s="105"/>
      <c r="D406" s="104" t="s">
        <v>6003</v>
      </c>
      <c r="E406" s="104" t="s">
        <v>5954</v>
      </c>
      <c r="F406" s="103" t="s">
        <v>4678</v>
      </c>
      <c r="G406" s="103" t="s">
        <v>4679</v>
      </c>
      <c r="H406" s="103" t="s">
        <v>6004</v>
      </c>
      <c r="I406" s="103" t="s">
        <v>6005</v>
      </c>
      <c r="J406" s="104" t="s">
        <v>5952</v>
      </c>
      <c r="K406" s="105"/>
      <c r="L406" s="105"/>
    </row>
    <row r="407">
      <c r="A407" s="103" t="s">
        <v>4676</v>
      </c>
      <c r="B407" s="103">
        <v>1.100105606E9</v>
      </c>
      <c r="C407" s="105"/>
      <c r="D407" s="104" t="s">
        <v>6006</v>
      </c>
      <c r="E407" s="104" t="s">
        <v>6007</v>
      </c>
      <c r="F407" s="103" t="s">
        <v>4678</v>
      </c>
      <c r="G407" s="103" t="s">
        <v>4679</v>
      </c>
      <c r="H407" s="103" t="s">
        <v>6008</v>
      </c>
      <c r="I407" s="103" t="s">
        <v>6009</v>
      </c>
      <c r="J407" s="104" t="s">
        <v>6010</v>
      </c>
      <c r="K407" s="105"/>
      <c r="L407" s="105"/>
    </row>
    <row r="408">
      <c r="A408" s="103" t="s">
        <v>4676</v>
      </c>
      <c r="B408" s="103">
        <v>1.10010560604E11</v>
      </c>
      <c r="C408" s="105"/>
      <c r="D408" s="104" t="s">
        <v>6011</v>
      </c>
      <c r="E408" s="104" t="s">
        <v>6012</v>
      </c>
      <c r="F408" s="103" t="s">
        <v>4678</v>
      </c>
      <c r="G408" s="103" t="s">
        <v>4679</v>
      </c>
      <c r="H408" s="103" t="s">
        <v>6013</v>
      </c>
      <c r="I408" s="103">
        <v>2392210.0</v>
      </c>
      <c r="J408" s="104" t="s">
        <v>6010</v>
      </c>
      <c r="K408" s="105"/>
      <c r="L408" s="105"/>
    </row>
    <row r="409">
      <c r="A409" s="103" t="s">
        <v>4676</v>
      </c>
      <c r="B409" s="103">
        <v>1.10010560605E11</v>
      </c>
      <c r="C409" s="105"/>
      <c r="D409" s="104" t="s">
        <v>6014</v>
      </c>
      <c r="E409" s="104" t="s">
        <v>6015</v>
      </c>
      <c r="F409" s="103" t="s">
        <v>4678</v>
      </c>
      <c r="G409" s="103" t="s">
        <v>4679</v>
      </c>
      <c r="H409" s="103" t="s">
        <v>6016</v>
      </c>
      <c r="I409" s="103">
        <v>2456810.0</v>
      </c>
      <c r="J409" s="104" t="s">
        <v>6010</v>
      </c>
      <c r="K409" s="105"/>
      <c r="L409" s="105"/>
    </row>
    <row r="410">
      <c r="A410" s="103" t="s">
        <v>4676</v>
      </c>
      <c r="B410" s="103">
        <v>1.10010560606E11</v>
      </c>
      <c r="C410" s="105"/>
      <c r="D410" s="104" t="s">
        <v>6006</v>
      </c>
      <c r="E410" s="104" t="s">
        <v>6017</v>
      </c>
      <c r="F410" s="103" t="s">
        <v>4678</v>
      </c>
      <c r="G410" s="103" t="s">
        <v>4679</v>
      </c>
      <c r="H410" s="103" t="s">
        <v>6018</v>
      </c>
      <c r="I410" s="103" t="s">
        <v>6009</v>
      </c>
      <c r="J410" s="104" t="s">
        <v>6010</v>
      </c>
      <c r="K410" s="105"/>
      <c r="L410" s="105"/>
    </row>
    <row r="411">
      <c r="A411" s="103" t="s">
        <v>4676</v>
      </c>
      <c r="B411" s="103">
        <v>1.100105618E9</v>
      </c>
      <c r="C411" s="105"/>
      <c r="D411" s="104" t="s">
        <v>6019</v>
      </c>
      <c r="E411" s="104" t="s">
        <v>6020</v>
      </c>
      <c r="F411" s="103" t="s">
        <v>4678</v>
      </c>
      <c r="G411" s="103" t="s">
        <v>4679</v>
      </c>
      <c r="H411" s="103" t="s">
        <v>6021</v>
      </c>
      <c r="I411" s="103">
        <v>6030303.0</v>
      </c>
      <c r="J411" s="104" t="s">
        <v>6022</v>
      </c>
      <c r="K411" s="107" t="s">
        <v>6023</v>
      </c>
      <c r="L411" s="105"/>
    </row>
    <row r="412">
      <c r="A412" s="103" t="s">
        <v>4676</v>
      </c>
      <c r="B412" s="103">
        <v>1.10010561801E11</v>
      </c>
      <c r="C412" s="105"/>
      <c r="D412" s="104" t="s">
        <v>6019</v>
      </c>
      <c r="E412" s="104" t="s">
        <v>6024</v>
      </c>
      <c r="F412" s="103" t="s">
        <v>4678</v>
      </c>
      <c r="G412" s="103" t="s">
        <v>4679</v>
      </c>
      <c r="H412" s="103" t="s">
        <v>6021</v>
      </c>
      <c r="I412" s="103" t="s">
        <v>6025</v>
      </c>
      <c r="J412" s="104" t="s">
        <v>6022</v>
      </c>
      <c r="K412" s="105"/>
      <c r="L412" s="105"/>
    </row>
    <row r="413">
      <c r="A413" s="103" t="s">
        <v>4676</v>
      </c>
      <c r="B413" s="103">
        <v>1.10010561805E11</v>
      </c>
      <c r="C413" s="105"/>
      <c r="D413" s="104" t="s">
        <v>6026</v>
      </c>
      <c r="E413" s="104" t="s">
        <v>6024</v>
      </c>
      <c r="F413" s="103" t="s">
        <v>4678</v>
      </c>
      <c r="G413" s="103" t="s">
        <v>4679</v>
      </c>
      <c r="H413" s="103" t="s">
        <v>6027</v>
      </c>
      <c r="I413" s="103" t="s">
        <v>6025</v>
      </c>
      <c r="J413" s="104" t="s">
        <v>6022</v>
      </c>
      <c r="K413" s="105"/>
      <c r="L413" s="105"/>
    </row>
    <row r="414">
      <c r="A414" s="103" t="s">
        <v>4676</v>
      </c>
      <c r="B414" s="103">
        <v>1.10010561808E11</v>
      </c>
      <c r="C414" s="105"/>
      <c r="D414" s="104" t="s">
        <v>6028</v>
      </c>
      <c r="E414" s="104" t="s">
        <v>6029</v>
      </c>
      <c r="F414" s="103" t="s">
        <v>4678</v>
      </c>
      <c r="G414" s="103" t="s">
        <v>4679</v>
      </c>
      <c r="H414" s="103" t="s">
        <v>6030</v>
      </c>
      <c r="I414" s="103" t="s">
        <v>6031</v>
      </c>
      <c r="J414" s="104" t="s">
        <v>6022</v>
      </c>
      <c r="K414" s="105"/>
      <c r="L414" s="105"/>
    </row>
    <row r="415">
      <c r="A415" s="103" t="s">
        <v>4676</v>
      </c>
      <c r="B415" s="103">
        <v>1.1001056181E11</v>
      </c>
      <c r="C415" s="105"/>
      <c r="D415" s="104" t="s">
        <v>6032</v>
      </c>
      <c r="E415" s="104" t="s">
        <v>6033</v>
      </c>
      <c r="F415" s="103" t="s">
        <v>4678</v>
      </c>
      <c r="G415" s="103" t="s">
        <v>4679</v>
      </c>
      <c r="H415" s="103" t="s">
        <v>6034</v>
      </c>
      <c r="I415" s="103">
        <v>6030303.0</v>
      </c>
      <c r="J415" s="104" t="s">
        <v>6035</v>
      </c>
      <c r="K415" s="105"/>
      <c r="L415" s="105"/>
    </row>
    <row r="416">
      <c r="A416" s="103" t="s">
        <v>4676</v>
      </c>
      <c r="B416" s="103">
        <v>1.10010561813E11</v>
      </c>
      <c r="C416" s="105"/>
      <c r="D416" s="104" t="s">
        <v>6036</v>
      </c>
      <c r="E416" s="104" t="s">
        <v>6024</v>
      </c>
      <c r="F416" s="103" t="s">
        <v>4678</v>
      </c>
      <c r="G416" s="103" t="s">
        <v>4679</v>
      </c>
      <c r="H416" s="103" t="s">
        <v>6037</v>
      </c>
      <c r="I416" s="103">
        <v>6030303.0</v>
      </c>
      <c r="J416" s="104" t="s">
        <v>6022</v>
      </c>
      <c r="K416" s="105"/>
      <c r="L416" s="105"/>
    </row>
    <row r="417">
      <c r="A417" s="103" t="s">
        <v>4676</v>
      </c>
      <c r="B417" s="103">
        <v>1.10010561814E11</v>
      </c>
      <c r="C417" s="105"/>
      <c r="D417" s="104" t="s">
        <v>6038</v>
      </c>
      <c r="E417" s="104" t="s">
        <v>6024</v>
      </c>
      <c r="F417" s="103" t="s">
        <v>4678</v>
      </c>
      <c r="G417" s="103" t="s">
        <v>4679</v>
      </c>
      <c r="H417" s="103" t="s">
        <v>6039</v>
      </c>
      <c r="I417" s="103">
        <v>6030303.0</v>
      </c>
      <c r="J417" s="104" t="s">
        <v>6022</v>
      </c>
      <c r="K417" s="105"/>
      <c r="L417" s="105"/>
    </row>
    <row r="418">
      <c r="A418" s="103" t="s">
        <v>4676</v>
      </c>
      <c r="B418" s="103">
        <v>1.10010561815E11</v>
      </c>
      <c r="C418" s="105"/>
      <c r="D418" s="104" t="s">
        <v>6040</v>
      </c>
      <c r="E418" s="104" t="s">
        <v>6024</v>
      </c>
      <c r="F418" s="103" t="s">
        <v>4678</v>
      </c>
      <c r="G418" s="103" t="s">
        <v>4679</v>
      </c>
      <c r="H418" s="103" t="s">
        <v>6041</v>
      </c>
      <c r="I418" s="103">
        <v>6030303.0</v>
      </c>
      <c r="J418" s="104" t="s">
        <v>6022</v>
      </c>
      <c r="K418" s="105"/>
      <c r="L418" s="105"/>
    </row>
    <row r="419">
      <c r="A419" s="103" t="s">
        <v>4676</v>
      </c>
      <c r="B419" s="103">
        <v>1.10010561816E11</v>
      </c>
      <c r="C419" s="105"/>
      <c r="D419" s="104" t="s">
        <v>6042</v>
      </c>
      <c r="E419" s="104" t="s">
        <v>6024</v>
      </c>
      <c r="F419" s="103" t="s">
        <v>4678</v>
      </c>
      <c r="G419" s="103" t="s">
        <v>4679</v>
      </c>
      <c r="H419" s="103" t="s">
        <v>6043</v>
      </c>
      <c r="I419" s="103">
        <v>6030303.0</v>
      </c>
      <c r="J419" s="104" t="s">
        <v>6022</v>
      </c>
      <c r="K419" s="105"/>
      <c r="L419" s="105"/>
    </row>
    <row r="420">
      <c r="A420" s="103" t="s">
        <v>4676</v>
      </c>
      <c r="B420" s="103">
        <v>1.10010561817E11</v>
      </c>
      <c r="C420" s="105"/>
      <c r="D420" s="104" t="s">
        <v>6044</v>
      </c>
      <c r="E420" s="104" t="s">
        <v>6024</v>
      </c>
      <c r="F420" s="103" t="s">
        <v>4678</v>
      </c>
      <c r="G420" s="103" t="s">
        <v>4679</v>
      </c>
      <c r="H420" s="103" t="s">
        <v>6045</v>
      </c>
      <c r="I420" s="103">
        <v>6030303.0</v>
      </c>
      <c r="J420" s="104" t="s">
        <v>6022</v>
      </c>
      <c r="K420" s="105"/>
      <c r="L420" s="105"/>
    </row>
    <row r="421">
      <c r="A421" s="103" t="s">
        <v>4676</v>
      </c>
      <c r="B421" s="103">
        <v>1.10010561818E11</v>
      </c>
      <c r="C421" s="105"/>
      <c r="D421" s="104" t="s">
        <v>6046</v>
      </c>
      <c r="E421" s="104" t="s">
        <v>6024</v>
      </c>
      <c r="F421" s="103" t="s">
        <v>4678</v>
      </c>
      <c r="G421" s="103" t="s">
        <v>4679</v>
      </c>
      <c r="H421" s="103" t="s">
        <v>6047</v>
      </c>
      <c r="I421" s="103">
        <v>6.016030303E9</v>
      </c>
      <c r="J421" s="104" t="s">
        <v>6022</v>
      </c>
      <c r="K421" s="105"/>
      <c r="L421" s="105"/>
    </row>
    <row r="422">
      <c r="A422" s="103" t="s">
        <v>4676</v>
      </c>
      <c r="B422" s="103">
        <v>1.10010562E9</v>
      </c>
      <c r="C422" s="105"/>
      <c r="D422" s="104" t="s">
        <v>6048</v>
      </c>
      <c r="E422" s="104" t="s">
        <v>6049</v>
      </c>
      <c r="F422" s="103" t="s">
        <v>4678</v>
      </c>
      <c r="G422" s="103" t="s">
        <v>4679</v>
      </c>
      <c r="H422" s="103" t="s">
        <v>6050</v>
      </c>
      <c r="I422" s="103">
        <v>3047026.0</v>
      </c>
      <c r="J422" s="104" t="s">
        <v>6051</v>
      </c>
      <c r="K422" s="105"/>
      <c r="L422" s="105"/>
    </row>
    <row r="423">
      <c r="A423" s="103" t="s">
        <v>4676</v>
      </c>
      <c r="B423" s="103">
        <v>1.10010562001E11</v>
      </c>
      <c r="C423" s="105"/>
      <c r="D423" s="104" t="s">
        <v>6052</v>
      </c>
      <c r="E423" s="104" t="s">
        <v>6053</v>
      </c>
      <c r="F423" s="103" t="s">
        <v>4678</v>
      </c>
      <c r="G423" s="103" t="s">
        <v>4679</v>
      </c>
      <c r="H423" s="103" t="s">
        <v>6054</v>
      </c>
      <c r="I423" s="103">
        <v>3047026.0</v>
      </c>
      <c r="J423" s="104" t="s">
        <v>6055</v>
      </c>
      <c r="K423" s="105"/>
      <c r="L423" s="105"/>
    </row>
    <row r="424">
      <c r="A424" s="103" t="s">
        <v>4676</v>
      </c>
      <c r="B424" s="103">
        <v>1.100105659E9</v>
      </c>
      <c r="C424" s="105"/>
      <c r="D424" s="104" t="s">
        <v>6056</v>
      </c>
      <c r="E424" s="106"/>
      <c r="F424" s="103" t="s">
        <v>4678</v>
      </c>
      <c r="G424" s="103" t="s">
        <v>4679</v>
      </c>
      <c r="H424" s="103" t="s">
        <v>6057</v>
      </c>
      <c r="I424" s="103" t="s">
        <v>6058</v>
      </c>
      <c r="J424" s="104" t="s">
        <v>6059</v>
      </c>
      <c r="K424" s="107" t="s">
        <v>6060</v>
      </c>
      <c r="L424" s="105"/>
    </row>
    <row r="425">
      <c r="A425" s="103" t="s">
        <v>4676</v>
      </c>
      <c r="B425" s="103">
        <v>1.10010565901E11</v>
      </c>
      <c r="C425" s="105"/>
      <c r="D425" s="104" t="s">
        <v>6056</v>
      </c>
      <c r="E425" s="104" t="s">
        <v>6061</v>
      </c>
      <c r="F425" s="103" t="s">
        <v>4678</v>
      </c>
      <c r="G425" s="103" t="s">
        <v>4679</v>
      </c>
      <c r="H425" s="103" t="s">
        <v>6057</v>
      </c>
      <c r="I425" s="103" t="s">
        <v>6058</v>
      </c>
      <c r="J425" s="104" t="s">
        <v>6062</v>
      </c>
      <c r="K425" s="105"/>
      <c r="L425" s="105"/>
    </row>
    <row r="426">
      <c r="A426" s="103" t="s">
        <v>4676</v>
      </c>
      <c r="B426" s="103">
        <v>1.100105668E9</v>
      </c>
      <c r="C426" s="105"/>
      <c r="D426" s="104" t="s">
        <v>6063</v>
      </c>
      <c r="E426" s="104" t="s">
        <v>6064</v>
      </c>
      <c r="F426" s="103" t="s">
        <v>4678</v>
      </c>
      <c r="G426" s="103" t="s">
        <v>4679</v>
      </c>
      <c r="H426" s="103" t="s">
        <v>6065</v>
      </c>
      <c r="I426" s="103" t="s">
        <v>6066</v>
      </c>
      <c r="J426" s="104" t="s">
        <v>6067</v>
      </c>
      <c r="K426" s="105"/>
      <c r="L426" s="105"/>
    </row>
    <row r="427">
      <c r="A427" s="103" t="s">
        <v>4676</v>
      </c>
      <c r="B427" s="103">
        <v>1.10010566801E11</v>
      </c>
      <c r="C427" s="105"/>
      <c r="D427" s="104" t="s">
        <v>6063</v>
      </c>
      <c r="E427" s="104" t="s">
        <v>6068</v>
      </c>
      <c r="F427" s="103" t="s">
        <v>4678</v>
      </c>
      <c r="G427" s="103" t="s">
        <v>4679</v>
      </c>
      <c r="H427" s="103" t="s">
        <v>6065</v>
      </c>
      <c r="I427" s="103" t="s">
        <v>6069</v>
      </c>
      <c r="J427" s="104" t="s">
        <v>6067</v>
      </c>
      <c r="K427" s="105"/>
      <c r="L427" s="105"/>
    </row>
    <row r="428">
      <c r="A428" s="103" t="s">
        <v>4676</v>
      </c>
      <c r="B428" s="103">
        <v>1.10010566809E11</v>
      </c>
      <c r="C428" s="105"/>
      <c r="D428" s="104" t="s">
        <v>6063</v>
      </c>
      <c r="E428" s="104" t="s">
        <v>6068</v>
      </c>
      <c r="F428" s="103" t="s">
        <v>4678</v>
      </c>
      <c r="G428" s="103" t="s">
        <v>4679</v>
      </c>
      <c r="H428" s="103" t="s">
        <v>6070</v>
      </c>
      <c r="I428" s="103" t="s">
        <v>6071</v>
      </c>
      <c r="J428" s="104" t="s">
        <v>6072</v>
      </c>
      <c r="K428" s="105"/>
      <c r="L428" s="105"/>
    </row>
    <row r="429">
      <c r="A429" s="103" t="s">
        <v>4676</v>
      </c>
      <c r="B429" s="103">
        <v>1.100105681E9</v>
      </c>
      <c r="C429" s="105"/>
      <c r="D429" s="104" t="s">
        <v>6073</v>
      </c>
      <c r="E429" s="104" t="s">
        <v>6074</v>
      </c>
      <c r="F429" s="103" t="s">
        <v>4678</v>
      </c>
      <c r="G429" s="103" t="s">
        <v>4679</v>
      </c>
      <c r="H429" s="103" t="s">
        <v>6075</v>
      </c>
      <c r="I429" s="103" t="s">
        <v>6076</v>
      </c>
      <c r="J429" s="104" t="s">
        <v>6077</v>
      </c>
      <c r="K429" s="105"/>
      <c r="L429" s="105"/>
    </row>
    <row r="430">
      <c r="A430" s="103" t="s">
        <v>4676</v>
      </c>
      <c r="B430" s="103">
        <v>1.10010568101E11</v>
      </c>
      <c r="C430" s="105"/>
      <c r="D430" s="104" t="s">
        <v>6073</v>
      </c>
      <c r="E430" s="104" t="s">
        <v>6078</v>
      </c>
      <c r="F430" s="103" t="s">
        <v>4678</v>
      </c>
      <c r="G430" s="103" t="s">
        <v>4679</v>
      </c>
      <c r="H430" s="103" t="s">
        <v>6075</v>
      </c>
      <c r="I430" s="103" t="s">
        <v>6079</v>
      </c>
      <c r="J430" s="104" t="s">
        <v>6077</v>
      </c>
      <c r="K430" s="105"/>
      <c r="L430" s="105"/>
    </row>
    <row r="431">
      <c r="A431" s="103" t="s">
        <v>4676</v>
      </c>
      <c r="B431" s="103">
        <v>1.100105711E9</v>
      </c>
      <c r="C431" s="105"/>
      <c r="D431" s="104" t="s">
        <v>6080</v>
      </c>
      <c r="E431" s="104" t="s">
        <v>6081</v>
      </c>
      <c r="F431" s="103" t="s">
        <v>4678</v>
      </c>
      <c r="G431" s="103" t="s">
        <v>4679</v>
      </c>
      <c r="H431" s="103" t="s">
        <v>6082</v>
      </c>
      <c r="I431" s="103" t="s">
        <v>6083</v>
      </c>
      <c r="J431" s="104" t="s">
        <v>6084</v>
      </c>
      <c r="K431" s="107" t="s">
        <v>6085</v>
      </c>
      <c r="L431" s="105"/>
    </row>
    <row r="432">
      <c r="A432" s="103" t="s">
        <v>4676</v>
      </c>
      <c r="B432" s="103">
        <v>1.10010571101E11</v>
      </c>
      <c r="C432" s="105"/>
      <c r="D432" s="104" t="s">
        <v>6086</v>
      </c>
      <c r="E432" s="104" t="s">
        <v>6087</v>
      </c>
      <c r="F432" s="103" t="s">
        <v>4678</v>
      </c>
      <c r="G432" s="103" t="s">
        <v>4679</v>
      </c>
      <c r="H432" s="103" t="s">
        <v>6088</v>
      </c>
      <c r="I432" s="103" t="s">
        <v>6083</v>
      </c>
      <c r="J432" s="104" t="s">
        <v>6084</v>
      </c>
      <c r="K432" s="105"/>
      <c r="L432" s="105"/>
    </row>
    <row r="433">
      <c r="A433" s="103" t="s">
        <v>4676</v>
      </c>
      <c r="B433" s="103">
        <v>1.10010571102E11</v>
      </c>
      <c r="C433" s="105"/>
      <c r="D433" s="104" t="s">
        <v>6089</v>
      </c>
      <c r="E433" s="104" t="s">
        <v>6090</v>
      </c>
      <c r="F433" s="103" t="s">
        <v>4678</v>
      </c>
      <c r="G433" s="103" t="s">
        <v>4679</v>
      </c>
      <c r="H433" s="103" t="s">
        <v>6091</v>
      </c>
      <c r="I433" s="103" t="s">
        <v>6083</v>
      </c>
      <c r="J433" s="104" t="s">
        <v>6084</v>
      </c>
      <c r="K433" s="105"/>
      <c r="L433" s="105"/>
    </row>
    <row r="434">
      <c r="A434" s="103" t="s">
        <v>4676</v>
      </c>
      <c r="B434" s="103">
        <v>1.10010571103E11</v>
      </c>
      <c r="C434" s="105"/>
      <c r="D434" s="104" t="s">
        <v>6092</v>
      </c>
      <c r="E434" s="104" t="s">
        <v>6090</v>
      </c>
      <c r="F434" s="103" t="s">
        <v>4678</v>
      </c>
      <c r="G434" s="103" t="s">
        <v>4679</v>
      </c>
      <c r="H434" s="103" t="s">
        <v>6093</v>
      </c>
      <c r="I434" s="103" t="s">
        <v>6083</v>
      </c>
      <c r="J434" s="104" t="s">
        <v>6084</v>
      </c>
      <c r="K434" s="105"/>
      <c r="L434" s="105"/>
    </row>
    <row r="435">
      <c r="A435" s="103" t="s">
        <v>4676</v>
      </c>
      <c r="B435" s="103">
        <v>1.10010571114E11</v>
      </c>
      <c r="C435" s="105"/>
      <c r="D435" s="104" t="s">
        <v>6094</v>
      </c>
      <c r="E435" s="104" t="s">
        <v>6095</v>
      </c>
      <c r="F435" s="103" t="s">
        <v>4678</v>
      </c>
      <c r="G435" s="103" t="s">
        <v>4679</v>
      </c>
      <c r="H435" s="103" t="s">
        <v>6096</v>
      </c>
      <c r="I435" s="103" t="s">
        <v>6083</v>
      </c>
      <c r="J435" s="104" t="s">
        <v>6084</v>
      </c>
      <c r="K435" s="105"/>
      <c r="L435" s="105"/>
    </row>
    <row r="436">
      <c r="A436" s="103" t="s">
        <v>4676</v>
      </c>
      <c r="B436" s="103">
        <v>1.10010571116E11</v>
      </c>
      <c r="C436" s="105"/>
      <c r="D436" s="104" t="s">
        <v>6097</v>
      </c>
      <c r="E436" s="104" t="s">
        <v>6090</v>
      </c>
      <c r="F436" s="103" t="s">
        <v>4678</v>
      </c>
      <c r="G436" s="103" t="s">
        <v>4679</v>
      </c>
      <c r="H436" s="103" t="s">
        <v>6098</v>
      </c>
      <c r="I436" s="103" t="s">
        <v>6099</v>
      </c>
      <c r="J436" s="104" t="s">
        <v>6084</v>
      </c>
      <c r="K436" s="105"/>
      <c r="L436" s="105"/>
    </row>
    <row r="437">
      <c r="A437" s="103" t="s">
        <v>4676</v>
      </c>
      <c r="B437" s="103">
        <v>1.10010571118E11</v>
      </c>
      <c r="C437" s="105"/>
      <c r="D437" s="104" t="s">
        <v>6100</v>
      </c>
      <c r="E437" s="104" t="s">
        <v>6090</v>
      </c>
      <c r="F437" s="103" t="s">
        <v>4678</v>
      </c>
      <c r="G437" s="103" t="s">
        <v>4679</v>
      </c>
      <c r="H437" s="103" t="s">
        <v>6101</v>
      </c>
      <c r="I437" s="103" t="s">
        <v>6083</v>
      </c>
      <c r="J437" s="104" t="s">
        <v>6084</v>
      </c>
      <c r="K437" s="105"/>
      <c r="L437" s="105"/>
    </row>
    <row r="438">
      <c r="A438" s="103" t="s">
        <v>4676</v>
      </c>
      <c r="B438" s="103">
        <v>1.10010571119E11</v>
      </c>
      <c r="C438" s="105"/>
      <c r="D438" s="104" t="s">
        <v>6102</v>
      </c>
      <c r="E438" s="104" t="s">
        <v>6103</v>
      </c>
      <c r="F438" s="103" t="s">
        <v>4678</v>
      </c>
      <c r="G438" s="103" t="s">
        <v>4679</v>
      </c>
      <c r="H438" s="103" t="s">
        <v>6104</v>
      </c>
      <c r="I438" s="103" t="s">
        <v>6099</v>
      </c>
      <c r="J438" s="104" t="s">
        <v>6084</v>
      </c>
      <c r="K438" s="105"/>
      <c r="L438" s="105"/>
    </row>
    <row r="439">
      <c r="A439" s="103" t="s">
        <v>4676</v>
      </c>
      <c r="B439" s="103">
        <v>1.10010571121E11</v>
      </c>
      <c r="C439" s="105"/>
      <c r="D439" s="104" t="s">
        <v>6105</v>
      </c>
      <c r="E439" s="104" t="s">
        <v>6087</v>
      </c>
      <c r="F439" s="103" t="s">
        <v>4678</v>
      </c>
      <c r="G439" s="103" t="s">
        <v>4679</v>
      </c>
      <c r="H439" s="103" t="s">
        <v>6106</v>
      </c>
      <c r="I439" s="103" t="s">
        <v>6099</v>
      </c>
      <c r="J439" s="104" t="s">
        <v>6084</v>
      </c>
      <c r="K439" s="105"/>
      <c r="L439" s="105"/>
    </row>
    <row r="440">
      <c r="A440" s="103" t="s">
        <v>4676</v>
      </c>
      <c r="B440" s="103">
        <v>1.10010571123E11</v>
      </c>
      <c r="C440" s="105"/>
      <c r="D440" s="104" t="s">
        <v>6107</v>
      </c>
      <c r="E440" s="104" t="s">
        <v>6090</v>
      </c>
      <c r="F440" s="103" t="s">
        <v>4678</v>
      </c>
      <c r="G440" s="103" t="s">
        <v>4679</v>
      </c>
      <c r="H440" s="103" t="s">
        <v>6108</v>
      </c>
      <c r="I440" s="103" t="s">
        <v>6099</v>
      </c>
      <c r="J440" s="104" t="s">
        <v>6084</v>
      </c>
      <c r="K440" s="105"/>
      <c r="L440" s="105"/>
    </row>
    <row r="441">
      <c r="A441" s="103" t="s">
        <v>4676</v>
      </c>
      <c r="B441" s="103">
        <v>1.10010571125E11</v>
      </c>
      <c r="C441" s="105"/>
      <c r="D441" s="104" t="s">
        <v>6109</v>
      </c>
      <c r="E441" s="104" t="s">
        <v>6110</v>
      </c>
      <c r="F441" s="103" t="s">
        <v>4678</v>
      </c>
      <c r="G441" s="103" t="s">
        <v>4679</v>
      </c>
      <c r="H441" s="103" t="s">
        <v>6111</v>
      </c>
      <c r="I441" s="103" t="s">
        <v>6099</v>
      </c>
      <c r="J441" s="104" t="s">
        <v>6084</v>
      </c>
      <c r="K441" s="105"/>
      <c r="L441" s="105"/>
    </row>
    <row r="442">
      <c r="A442" s="103" t="s">
        <v>4676</v>
      </c>
      <c r="B442" s="103">
        <v>1.10010571126E11</v>
      </c>
      <c r="C442" s="105"/>
      <c r="D442" s="104" t="s">
        <v>6112</v>
      </c>
      <c r="E442" s="104" t="s">
        <v>6110</v>
      </c>
      <c r="F442" s="103" t="s">
        <v>4678</v>
      </c>
      <c r="G442" s="103" t="s">
        <v>4679</v>
      </c>
      <c r="H442" s="103" t="s">
        <v>6113</v>
      </c>
      <c r="I442" s="103" t="s">
        <v>6099</v>
      </c>
      <c r="J442" s="104" t="s">
        <v>6084</v>
      </c>
      <c r="K442" s="105"/>
      <c r="L442" s="105"/>
    </row>
    <row r="443">
      <c r="A443" s="103" t="s">
        <v>4676</v>
      </c>
      <c r="B443" s="103">
        <v>1.10010571127E11</v>
      </c>
      <c r="C443" s="105"/>
      <c r="D443" s="104" t="s">
        <v>6114</v>
      </c>
      <c r="E443" s="104" t="s">
        <v>6110</v>
      </c>
      <c r="F443" s="103" t="s">
        <v>4678</v>
      </c>
      <c r="G443" s="103" t="s">
        <v>4679</v>
      </c>
      <c r="H443" s="103" t="s">
        <v>6115</v>
      </c>
      <c r="I443" s="103" t="s">
        <v>6099</v>
      </c>
      <c r="J443" s="104" t="s">
        <v>6084</v>
      </c>
      <c r="K443" s="105"/>
      <c r="L443" s="105"/>
    </row>
    <row r="444">
      <c r="A444" s="103" t="s">
        <v>4676</v>
      </c>
      <c r="B444" s="103">
        <v>1.10010571128E11</v>
      </c>
      <c r="C444" s="105"/>
      <c r="D444" s="104" t="s">
        <v>6116</v>
      </c>
      <c r="E444" s="104" t="s">
        <v>6090</v>
      </c>
      <c r="F444" s="103" t="s">
        <v>4678</v>
      </c>
      <c r="G444" s="103" t="s">
        <v>4679</v>
      </c>
      <c r="H444" s="103" t="s">
        <v>6117</v>
      </c>
      <c r="I444" s="103">
        <v>6.017435519E9</v>
      </c>
      <c r="J444" s="104" t="s">
        <v>6084</v>
      </c>
      <c r="K444" s="105"/>
      <c r="L444" s="105"/>
    </row>
    <row r="445">
      <c r="A445" s="103" t="s">
        <v>4676</v>
      </c>
      <c r="B445" s="103">
        <v>1.10010571129E11</v>
      </c>
      <c r="C445" s="105"/>
      <c r="D445" s="104" t="s">
        <v>6118</v>
      </c>
      <c r="E445" s="104" t="s">
        <v>6090</v>
      </c>
      <c r="F445" s="103" t="s">
        <v>4678</v>
      </c>
      <c r="G445" s="103" t="s">
        <v>4679</v>
      </c>
      <c r="H445" s="103" t="s">
        <v>6119</v>
      </c>
      <c r="I445" s="103" t="s">
        <v>6120</v>
      </c>
      <c r="J445" s="104" t="s">
        <v>6084</v>
      </c>
      <c r="K445" s="105"/>
      <c r="L445" s="105"/>
    </row>
    <row r="446">
      <c r="A446" s="103" t="s">
        <v>4676</v>
      </c>
      <c r="B446" s="103">
        <v>1.100105715E9</v>
      </c>
      <c r="C446" s="105"/>
      <c r="D446" s="104" t="s">
        <v>6121</v>
      </c>
      <c r="E446" s="104" t="s">
        <v>6122</v>
      </c>
      <c r="F446" s="103" t="s">
        <v>4678</v>
      </c>
      <c r="G446" s="103" t="s">
        <v>4679</v>
      </c>
      <c r="H446" s="103" t="s">
        <v>6123</v>
      </c>
      <c r="I446" s="103" t="s">
        <v>6124</v>
      </c>
      <c r="J446" s="104" t="s">
        <v>6125</v>
      </c>
      <c r="K446" s="105"/>
      <c r="L446" s="105"/>
    </row>
    <row r="447">
      <c r="A447" s="103" t="s">
        <v>4676</v>
      </c>
      <c r="B447" s="103">
        <v>1.10010571501E11</v>
      </c>
      <c r="C447" s="105"/>
      <c r="D447" s="104" t="s">
        <v>6121</v>
      </c>
      <c r="E447" s="104" t="s">
        <v>6122</v>
      </c>
      <c r="F447" s="103" t="s">
        <v>4678</v>
      </c>
      <c r="G447" s="103" t="s">
        <v>4679</v>
      </c>
      <c r="H447" s="103" t="s">
        <v>6123</v>
      </c>
      <c r="I447" s="103" t="s">
        <v>6124</v>
      </c>
      <c r="J447" s="104" t="s">
        <v>6125</v>
      </c>
      <c r="K447" s="105"/>
      <c r="L447" s="105"/>
    </row>
    <row r="448">
      <c r="A448" s="103" t="s">
        <v>4676</v>
      </c>
      <c r="B448" s="103">
        <v>1.100105725E9</v>
      </c>
      <c r="C448" s="105"/>
      <c r="D448" s="104" t="s">
        <v>6126</v>
      </c>
      <c r="E448" s="104" t="s">
        <v>6127</v>
      </c>
      <c r="F448" s="103" t="s">
        <v>4678</v>
      </c>
      <c r="G448" s="103" t="s">
        <v>4679</v>
      </c>
      <c r="H448" s="103" t="s">
        <v>6128</v>
      </c>
      <c r="I448" s="103">
        <v>2921277.0</v>
      </c>
      <c r="J448" s="104" t="s">
        <v>6129</v>
      </c>
      <c r="K448" s="107" t="s">
        <v>6130</v>
      </c>
      <c r="L448" s="105"/>
    </row>
    <row r="449">
      <c r="A449" s="103" t="s">
        <v>4676</v>
      </c>
      <c r="B449" s="103">
        <v>1.10010572501E11</v>
      </c>
      <c r="C449" s="105"/>
      <c r="D449" s="104" t="s">
        <v>6131</v>
      </c>
      <c r="E449" s="104" t="s">
        <v>6132</v>
      </c>
      <c r="F449" s="103" t="s">
        <v>4678</v>
      </c>
      <c r="G449" s="103" t="s">
        <v>4679</v>
      </c>
      <c r="H449" s="103" t="s">
        <v>6133</v>
      </c>
      <c r="I449" s="103">
        <v>2921277.0</v>
      </c>
      <c r="J449" s="104" t="s">
        <v>6129</v>
      </c>
      <c r="K449" s="105"/>
      <c r="L449" s="105"/>
    </row>
    <row r="450">
      <c r="A450" s="103" t="s">
        <v>4676</v>
      </c>
      <c r="B450" s="103">
        <v>1.10010572508E11</v>
      </c>
      <c r="C450" s="105"/>
      <c r="D450" s="104" t="s">
        <v>6134</v>
      </c>
      <c r="E450" s="104" t="s">
        <v>6135</v>
      </c>
      <c r="F450" s="103" t="s">
        <v>4678</v>
      </c>
      <c r="G450" s="103" t="s">
        <v>4679</v>
      </c>
      <c r="H450" s="103" t="s">
        <v>6136</v>
      </c>
      <c r="I450" s="103">
        <v>3.219389403E9</v>
      </c>
      <c r="J450" s="104" t="s">
        <v>6129</v>
      </c>
      <c r="K450" s="105"/>
      <c r="L450" s="105"/>
    </row>
    <row r="451">
      <c r="A451" s="103" t="s">
        <v>4676</v>
      </c>
      <c r="B451" s="103">
        <v>1.100105742E9</v>
      </c>
      <c r="C451" s="105"/>
      <c r="D451" s="104" t="s">
        <v>6137</v>
      </c>
      <c r="E451" s="104" t="s">
        <v>6138</v>
      </c>
      <c r="F451" s="103" t="s">
        <v>4678</v>
      </c>
      <c r="G451" s="103" t="s">
        <v>4679</v>
      </c>
      <c r="H451" s="103" t="s">
        <v>6139</v>
      </c>
      <c r="I451" s="103" t="s">
        <v>6140</v>
      </c>
      <c r="J451" s="104" t="s">
        <v>6141</v>
      </c>
      <c r="K451" s="105"/>
      <c r="L451" s="105"/>
    </row>
    <row r="452">
      <c r="A452" s="103" t="s">
        <v>4676</v>
      </c>
      <c r="B452" s="103">
        <v>1.10010574201E11</v>
      </c>
      <c r="C452" s="105"/>
      <c r="D452" s="104" t="s">
        <v>6142</v>
      </c>
      <c r="E452" s="104" t="s">
        <v>6143</v>
      </c>
      <c r="F452" s="103" t="s">
        <v>4678</v>
      </c>
      <c r="G452" s="103" t="s">
        <v>4679</v>
      </c>
      <c r="H452" s="103" t="s">
        <v>6144</v>
      </c>
      <c r="I452" s="103" t="s">
        <v>6140</v>
      </c>
      <c r="J452" s="104" t="s">
        <v>6141</v>
      </c>
      <c r="K452" s="105"/>
      <c r="L452" s="105"/>
    </row>
    <row r="453">
      <c r="A453" s="103" t="s">
        <v>4676</v>
      </c>
      <c r="B453" s="103">
        <v>1.100105758E9</v>
      </c>
      <c r="C453" s="105"/>
      <c r="D453" s="104" t="s">
        <v>6145</v>
      </c>
      <c r="E453" s="104" t="s">
        <v>6146</v>
      </c>
      <c r="F453" s="103" t="s">
        <v>4678</v>
      </c>
      <c r="G453" s="103" t="s">
        <v>4679</v>
      </c>
      <c r="H453" s="103" t="s">
        <v>6147</v>
      </c>
      <c r="I453" s="103">
        <v>6217519.0</v>
      </c>
      <c r="J453" s="104" t="s">
        <v>6148</v>
      </c>
      <c r="K453" s="105"/>
      <c r="L453" s="105"/>
    </row>
    <row r="454">
      <c r="A454" s="103" t="s">
        <v>4676</v>
      </c>
      <c r="B454" s="103">
        <v>1.10010575801E11</v>
      </c>
      <c r="C454" s="105"/>
      <c r="D454" s="104" t="s">
        <v>6145</v>
      </c>
      <c r="E454" s="104" t="s">
        <v>6149</v>
      </c>
      <c r="F454" s="103" t="s">
        <v>4678</v>
      </c>
      <c r="G454" s="103" t="s">
        <v>4679</v>
      </c>
      <c r="H454" s="103" t="s">
        <v>6150</v>
      </c>
      <c r="I454" s="103" t="s">
        <v>6151</v>
      </c>
      <c r="J454" s="104" t="s">
        <v>6148</v>
      </c>
      <c r="K454" s="105"/>
      <c r="L454" s="105"/>
    </row>
    <row r="455">
      <c r="A455" s="103" t="s">
        <v>4676</v>
      </c>
      <c r="B455" s="103">
        <v>1.10010575802E11</v>
      </c>
      <c r="C455" s="105"/>
      <c r="D455" s="104" t="s">
        <v>6152</v>
      </c>
      <c r="E455" s="104" t="s">
        <v>6149</v>
      </c>
      <c r="F455" s="103" t="s">
        <v>4678</v>
      </c>
      <c r="G455" s="103" t="s">
        <v>4679</v>
      </c>
      <c r="H455" s="103" t="s">
        <v>6153</v>
      </c>
      <c r="I455" s="103" t="s">
        <v>6154</v>
      </c>
      <c r="J455" s="104" t="s">
        <v>6148</v>
      </c>
      <c r="K455" s="105"/>
      <c r="L455" s="105"/>
    </row>
    <row r="456">
      <c r="A456" s="103" t="s">
        <v>4676</v>
      </c>
      <c r="B456" s="103">
        <v>1.100105766E9</v>
      </c>
      <c r="C456" s="105"/>
      <c r="D456" s="104" t="s">
        <v>6155</v>
      </c>
      <c r="E456" s="104" t="s">
        <v>6156</v>
      </c>
      <c r="F456" s="103" t="s">
        <v>4678</v>
      </c>
      <c r="G456" s="103" t="s">
        <v>4679</v>
      </c>
      <c r="H456" s="103" t="s">
        <v>6157</v>
      </c>
      <c r="I456" s="103">
        <v>6210069.0</v>
      </c>
      <c r="J456" s="104" t="s">
        <v>6158</v>
      </c>
      <c r="K456" s="105"/>
      <c r="L456" s="105"/>
    </row>
    <row r="457">
      <c r="A457" s="103" t="s">
        <v>4676</v>
      </c>
      <c r="B457" s="103">
        <v>1.10010576601E11</v>
      </c>
      <c r="C457" s="105"/>
      <c r="D457" s="104" t="s">
        <v>6155</v>
      </c>
      <c r="E457" s="104" t="s">
        <v>6159</v>
      </c>
      <c r="F457" s="103" t="s">
        <v>4678</v>
      </c>
      <c r="G457" s="103" t="s">
        <v>4679</v>
      </c>
      <c r="H457" s="103" t="s">
        <v>6160</v>
      </c>
      <c r="I457" s="103" t="s">
        <v>6161</v>
      </c>
      <c r="J457" s="104" t="s">
        <v>6158</v>
      </c>
      <c r="K457" s="105"/>
      <c r="L457" s="105"/>
    </row>
    <row r="458">
      <c r="A458" s="103" t="s">
        <v>4676</v>
      </c>
      <c r="B458" s="103">
        <v>1.100105775E9</v>
      </c>
      <c r="C458" s="105"/>
      <c r="D458" s="104" t="s">
        <v>6162</v>
      </c>
      <c r="E458" s="104" t="s">
        <v>6163</v>
      </c>
      <c r="F458" s="103" t="s">
        <v>4678</v>
      </c>
      <c r="G458" s="103" t="s">
        <v>4679</v>
      </c>
      <c r="H458" s="103" t="s">
        <v>6164</v>
      </c>
      <c r="I458" s="103">
        <v>3.155729586E9</v>
      </c>
      <c r="J458" s="104" t="s">
        <v>6165</v>
      </c>
      <c r="K458" s="105"/>
      <c r="L458" s="105"/>
    </row>
    <row r="459">
      <c r="A459" s="103" t="s">
        <v>4676</v>
      </c>
      <c r="B459" s="103">
        <v>1.10010577501E11</v>
      </c>
      <c r="C459" s="105"/>
      <c r="D459" s="104" t="s">
        <v>6166</v>
      </c>
      <c r="E459" s="104" t="s">
        <v>6167</v>
      </c>
      <c r="F459" s="103" t="s">
        <v>4678</v>
      </c>
      <c r="G459" s="103" t="s">
        <v>4679</v>
      </c>
      <c r="H459" s="103" t="s">
        <v>6164</v>
      </c>
      <c r="I459" s="103">
        <v>6160333.0</v>
      </c>
      <c r="J459" s="104" t="s">
        <v>6168</v>
      </c>
      <c r="K459" s="105"/>
      <c r="L459" s="105"/>
    </row>
    <row r="460">
      <c r="A460" s="103" t="s">
        <v>4676</v>
      </c>
      <c r="B460" s="103">
        <v>1.100105776E9</v>
      </c>
      <c r="C460" s="105"/>
      <c r="D460" s="104" t="s">
        <v>6169</v>
      </c>
      <c r="E460" s="104" t="s">
        <v>6170</v>
      </c>
      <c r="F460" s="103" t="s">
        <v>4678</v>
      </c>
      <c r="G460" s="103" t="s">
        <v>4679</v>
      </c>
      <c r="H460" s="103" t="s">
        <v>6171</v>
      </c>
      <c r="I460" s="103">
        <v>7424172.0</v>
      </c>
      <c r="J460" s="104" t="s">
        <v>6172</v>
      </c>
      <c r="K460" s="107" t="s">
        <v>6173</v>
      </c>
      <c r="L460" s="105"/>
    </row>
    <row r="461">
      <c r="A461" s="103" t="s">
        <v>4676</v>
      </c>
      <c r="B461" s="103">
        <v>1.10010577601E11</v>
      </c>
      <c r="C461" s="105"/>
      <c r="D461" s="104" t="s">
        <v>6169</v>
      </c>
      <c r="E461" s="104" t="s">
        <v>6174</v>
      </c>
      <c r="F461" s="103" t="s">
        <v>4678</v>
      </c>
      <c r="G461" s="103" t="s">
        <v>4679</v>
      </c>
      <c r="H461" s="103" t="s">
        <v>6171</v>
      </c>
      <c r="I461" s="103">
        <v>7424172.0</v>
      </c>
      <c r="J461" s="104" t="s">
        <v>6172</v>
      </c>
      <c r="K461" s="105"/>
      <c r="L461" s="105"/>
    </row>
    <row r="462">
      <c r="A462" s="103" t="s">
        <v>4676</v>
      </c>
      <c r="B462" s="103">
        <v>1.1001058E9</v>
      </c>
      <c r="C462" s="105"/>
      <c r="D462" s="104" t="s">
        <v>6175</v>
      </c>
      <c r="E462" s="104" t="s">
        <v>6176</v>
      </c>
      <c r="F462" s="103" t="s">
        <v>4678</v>
      </c>
      <c r="G462" s="103" t="s">
        <v>4679</v>
      </c>
      <c r="H462" s="103" t="s">
        <v>6177</v>
      </c>
      <c r="I462" s="103">
        <v>3.164920501E9</v>
      </c>
      <c r="J462" s="104" t="s">
        <v>6178</v>
      </c>
      <c r="K462" s="105"/>
      <c r="L462" s="105"/>
    </row>
    <row r="463">
      <c r="A463" s="103" t="s">
        <v>4676</v>
      </c>
      <c r="B463" s="103">
        <v>1.10010580001E11</v>
      </c>
      <c r="C463" s="105"/>
      <c r="D463" s="104" t="s">
        <v>6179</v>
      </c>
      <c r="E463" s="104" t="s">
        <v>6180</v>
      </c>
      <c r="F463" s="103" t="s">
        <v>4678</v>
      </c>
      <c r="G463" s="103" t="s">
        <v>4679</v>
      </c>
      <c r="H463" s="103" t="s">
        <v>6177</v>
      </c>
      <c r="I463" s="103">
        <v>3.164920501E9</v>
      </c>
      <c r="J463" s="104" t="s">
        <v>6178</v>
      </c>
      <c r="K463" s="105"/>
      <c r="L463" s="105"/>
    </row>
    <row r="464">
      <c r="A464" s="103" t="s">
        <v>4676</v>
      </c>
      <c r="B464" s="103">
        <v>1.10010580003E11</v>
      </c>
      <c r="C464" s="105"/>
      <c r="D464" s="104" t="s">
        <v>6175</v>
      </c>
      <c r="E464" s="104" t="s">
        <v>6181</v>
      </c>
      <c r="F464" s="103" t="s">
        <v>4678</v>
      </c>
      <c r="G464" s="103" t="s">
        <v>4679</v>
      </c>
      <c r="H464" s="103" t="s">
        <v>6182</v>
      </c>
      <c r="I464" s="103">
        <v>3.164920501E9</v>
      </c>
      <c r="J464" s="104" t="s">
        <v>6178</v>
      </c>
      <c r="K464" s="105"/>
      <c r="L464" s="105"/>
    </row>
    <row r="465">
      <c r="A465" s="103" t="s">
        <v>4676</v>
      </c>
      <c r="B465" s="103">
        <v>1.100105868E9</v>
      </c>
      <c r="C465" s="105"/>
      <c r="D465" s="104" t="s">
        <v>6183</v>
      </c>
      <c r="E465" s="106"/>
      <c r="F465" s="103" t="s">
        <v>4678</v>
      </c>
      <c r="G465" s="103" t="s">
        <v>4679</v>
      </c>
      <c r="H465" s="103" t="s">
        <v>6184</v>
      </c>
      <c r="I465" s="103" t="s">
        <v>6185</v>
      </c>
      <c r="J465" s="104" t="s">
        <v>6186</v>
      </c>
      <c r="K465" s="107" t="s">
        <v>6187</v>
      </c>
      <c r="L465" s="105"/>
    </row>
    <row r="466">
      <c r="A466" s="103" t="s">
        <v>4676</v>
      </c>
      <c r="B466" s="103">
        <v>1.10010586803E11</v>
      </c>
      <c r="C466" s="105"/>
      <c r="D466" s="104" t="s">
        <v>6188</v>
      </c>
      <c r="E466" s="104" t="s">
        <v>6189</v>
      </c>
      <c r="F466" s="103" t="s">
        <v>4678</v>
      </c>
      <c r="G466" s="103" t="s">
        <v>4679</v>
      </c>
      <c r="H466" s="103" t="s">
        <v>6190</v>
      </c>
      <c r="I466" s="103" t="s">
        <v>6191</v>
      </c>
      <c r="J466" s="104" t="s">
        <v>6192</v>
      </c>
      <c r="K466" s="105"/>
      <c r="L466" s="105"/>
    </row>
    <row r="467">
      <c r="A467" s="103" t="s">
        <v>4676</v>
      </c>
      <c r="B467" s="103">
        <v>1.10010586807E11</v>
      </c>
      <c r="C467" s="105"/>
      <c r="D467" s="104" t="s">
        <v>6193</v>
      </c>
      <c r="E467" s="104" t="s">
        <v>6194</v>
      </c>
      <c r="F467" s="103" t="s">
        <v>4678</v>
      </c>
      <c r="G467" s="103" t="s">
        <v>4679</v>
      </c>
      <c r="H467" s="103" t="s">
        <v>6195</v>
      </c>
      <c r="I467" s="103" t="s">
        <v>6196</v>
      </c>
      <c r="J467" s="104" t="s">
        <v>6197</v>
      </c>
      <c r="K467" s="105"/>
      <c r="L467" s="105"/>
    </row>
    <row r="468">
      <c r="A468" s="103" t="s">
        <v>4676</v>
      </c>
      <c r="B468" s="103">
        <v>1.10010586809E11</v>
      </c>
      <c r="C468" s="105"/>
      <c r="D468" s="104" t="s">
        <v>6198</v>
      </c>
      <c r="E468" s="104" t="s">
        <v>6199</v>
      </c>
      <c r="F468" s="103" t="s">
        <v>4678</v>
      </c>
      <c r="G468" s="103" t="s">
        <v>4679</v>
      </c>
      <c r="H468" s="103" t="s">
        <v>6200</v>
      </c>
      <c r="I468" s="103" t="s">
        <v>6201</v>
      </c>
      <c r="J468" s="104" t="s">
        <v>6202</v>
      </c>
      <c r="K468" s="105"/>
      <c r="L468" s="105"/>
    </row>
    <row r="469">
      <c r="A469" s="103" t="s">
        <v>4676</v>
      </c>
      <c r="B469" s="103">
        <v>1.1001058681E11</v>
      </c>
      <c r="C469" s="105"/>
      <c r="D469" s="104" t="s">
        <v>6203</v>
      </c>
      <c r="E469" s="104" t="s">
        <v>6204</v>
      </c>
      <c r="F469" s="103" t="s">
        <v>4678</v>
      </c>
      <c r="G469" s="103" t="s">
        <v>4679</v>
      </c>
      <c r="H469" s="103" t="s">
        <v>6205</v>
      </c>
      <c r="I469" s="103" t="s">
        <v>6206</v>
      </c>
      <c r="J469" s="104" t="s">
        <v>6207</v>
      </c>
      <c r="K469" s="105"/>
      <c r="L469" s="105"/>
    </row>
    <row r="470">
      <c r="A470" s="103" t="s">
        <v>4676</v>
      </c>
      <c r="B470" s="103">
        <v>1.10010586811E11</v>
      </c>
      <c r="C470" s="105"/>
      <c r="D470" s="104" t="s">
        <v>6208</v>
      </c>
      <c r="E470" s="104" t="s">
        <v>6209</v>
      </c>
      <c r="F470" s="103" t="s">
        <v>4678</v>
      </c>
      <c r="G470" s="103" t="s">
        <v>4679</v>
      </c>
      <c r="H470" s="103" t="s">
        <v>6210</v>
      </c>
      <c r="I470" s="103" t="s">
        <v>6211</v>
      </c>
      <c r="J470" s="104" t="s">
        <v>6212</v>
      </c>
      <c r="K470" s="105"/>
      <c r="L470" s="105"/>
    </row>
    <row r="471">
      <c r="A471" s="103" t="s">
        <v>4676</v>
      </c>
      <c r="B471" s="103">
        <v>1.10010586812E11</v>
      </c>
      <c r="C471" s="105"/>
      <c r="D471" s="104" t="s">
        <v>6213</v>
      </c>
      <c r="E471" s="104" t="s">
        <v>6189</v>
      </c>
      <c r="F471" s="103" t="s">
        <v>4678</v>
      </c>
      <c r="G471" s="103" t="s">
        <v>4679</v>
      </c>
      <c r="H471" s="103" t="s">
        <v>6214</v>
      </c>
      <c r="I471" s="103" t="s">
        <v>6215</v>
      </c>
      <c r="J471" s="104" t="s">
        <v>6216</v>
      </c>
      <c r="K471" s="105"/>
      <c r="L471" s="105"/>
    </row>
    <row r="472">
      <c r="A472" s="103" t="s">
        <v>4676</v>
      </c>
      <c r="B472" s="103">
        <v>1.100105989E9</v>
      </c>
      <c r="C472" s="105"/>
      <c r="D472" s="104" t="s">
        <v>6217</v>
      </c>
      <c r="E472" s="104" t="s">
        <v>6218</v>
      </c>
      <c r="F472" s="103" t="s">
        <v>4678</v>
      </c>
      <c r="G472" s="103" t="s">
        <v>4679</v>
      </c>
      <c r="H472" s="103" t="s">
        <v>6219</v>
      </c>
      <c r="I472" s="103" t="s">
        <v>6220</v>
      </c>
      <c r="J472" s="104" t="s">
        <v>6221</v>
      </c>
      <c r="K472" s="105"/>
      <c r="L472" s="105"/>
    </row>
    <row r="473">
      <c r="A473" s="103" t="s">
        <v>4676</v>
      </c>
      <c r="B473" s="103">
        <v>1.10010598901E11</v>
      </c>
      <c r="C473" s="105"/>
      <c r="D473" s="104" t="s">
        <v>6222</v>
      </c>
      <c r="E473" s="104" t="s">
        <v>6218</v>
      </c>
      <c r="F473" s="103" t="s">
        <v>4678</v>
      </c>
      <c r="G473" s="103" t="s">
        <v>4679</v>
      </c>
      <c r="H473" s="103" t="s">
        <v>6219</v>
      </c>
      <c r="I473" s="103" t="s">
        <v>6223</v>
      </c>
      <c r="J473" s="104" t="s">
        <v>6221</v>
      </c>
      <c r="K473" s="105"/>
      <c r="L473" s="105"/>
    </row>
    <row r="474">
      <c r="A474" s="103" t="s">
        <v>4676</v>
      </c>
      <c r="B474" s="103">
        <v>1.10010598903E11</v>
      </c>
      <c r="C474" s="105"/>
      <c r="D474" s="104" t="s">
        <v>6224</v>
      </c>
      <c r="E474" s="104" t="s">
        <v>6225</v>
      </c>
      <c r="F474" s="103" t="s">
        <v>4678</v>
      </c>
      <c r="G474" s="103" t="s">
        <v>4679</v>
      </c>
      <c r="H474" s="103" t="s">
        <v>6226</v>
      </c>
      <c r="I474" s="103" t="s">
        <v>6227</v>
      </c>
      <c r="J474" s="104" t="s">
        <v>6228</v>
      </c>
      <c r="K474" s="105"/>
      <c r="L474" s="105"/>
    </row>
    <row r="475">
      <c r="A475" s="103" t="s">
        <v>4676</v>
      </c>
      <c r="B475" s="103">
        <v>1.100106016E9</v>
      </c>
      <c r="C475" s="105"/>
      <c r="D475" s="104" t="s">
        <v>6229</v>
      </c>
      <c r="E475" s="104" t="s">
        <v>6230</v>
      </c>
      <c r="F475" s="103" t="s">
        <v>4678</v>
      </c>
      <c r="G475" s="103" t="s">
        <v>4679</v>
      </c>
      <c r="H475" s="103" t="s">
        <v>6231</v>
      </c>
      <c r="I475" s="103">
        <v>2154844.0</v>
      </c>
      <c r="J475" s="104" t="s">
        <v>6232</v>
      </c>
      <c r="K475" s="105"/>
      <c r="L475" s="105"/>
    </row>
    <row r="476">
      <c r="A476" s="103" t="s">
        <v>4676</v>
      </c>
      <c r="B476" s="103">
        <v>1.10010601601E11</v>
      </c>
      <c r="C476" s="105"/>
      <c r="D476" s="104" t="s">
        <v>6233</v>
      </c>
      <c r="E476" s="106"/>
      <c r="F476" s="103" t="s">
        <v>4678</v>
      </c>
      <c r="G476" s="103" t="s">
        <v>4679</v>
      </c>
      <c r="H476" s="103" t="s">
        <v>6231</v>
      </c>
      <c r="I476" s="105"/>
      <c r="J476" s="104" t="s">
        <v>6232</v>
      </c>
      <c r="K476" s="105"/>
      <c r="L476" s="105"/>
    </row>
    <row r="477">
      <c r="A477" s="103" t="s">
        <v>4676</v>
      </c>
      <c r="B477" s="103">
        <v>1.100106024E9</v>
      </c>
      <c r="C477" s="105"/>
      <c r="D477" s="104" t="s">
        <v>6234</v>
      </c>
      <c r="E477" s="104" t="s">
        <v>6235</v>
      </c>
      <c r="F477" s="103" t="s">
        <v>4678</v>
      </c>
      <c r="G477" s="103" t="s">
        <v>4679</v>
      </c>
      <c r="H477" s="103" t="s">
        <v>6236</v>
      </c>
      <c r="I477" s="103" t="s">
        <v>6237</v>
      </c>
      <c r="J477" s="104" t="s">
        <v>6238</v>
      </c>
      <c r="K477" s="107" t="s">
        <v>6239</v>
      </c>
      <c r="L477" s="105"/>
    </row>
    <row r="478">
      <c r="A478" s="103" t="s">
        <v>4676</v>
      </c>
      <c r="B478" s="103">
        <v>1.10010602401E11</v>
      </c>
      <c r="C478" s="105"/>
      <c r="D478" s="104" t="s">
        <v>6240</v>
      </c>
      <c r="E478" s="104" t="s">
        <v>6241</v>
      </c>
      <c r="F478" s="103" t="s">
        <v>4678</v>
      </c>
      <c r="G478" s="103" t="s">
        <v>4679</v>
      </c>
      <c r="H478" s="103" t="s">
        <v>6236</v>
      </c>
      <c r="I478" s="103" t="s">
        <v>6242</v>
      </c>
      <c r="J478" s="104" t="s">
        <v>6243</v>
      </c>
      <c r="K478" s="105"/>
      <c r="L478" s="105"/>
    </row>
    <row r="479">
      <c r="A479" s="103" t="s">
        <v>4676</v>
      </c>
      <c r="B479" s="103">
        <v>1.10010602404E11</v>
      </c>
      <c r="C479" s="105"/>
      <c r="D479" s="104" t="s">
        <v>6244</v>
      </c>
      <c r="E479" s="104" t="s">
        <v>6241</v>
      </c>
      <c r="F479" s="103" t="s">
        <v>4678</v>
      </c>
      <c r="G479" s="103" t="s">
        <v>4679</v>
      </c>
      <c r="H479" s="103" t="s">
        <v>6245</v>
      </c>
      <c r="I479" s="103" t="s">
        <v>6242</v>
      </c>
      <c r="J479" s="104" t="s">
        <v>6243</v>
      </c>
      <c r="K479" s="105"/>
      <c r="L479" s="105"/>
    </row>
    <row r="480">
      <c r="A480" s="103" t="s">
        <v>4676</v>
      </c>
      <c r="B480" s="103">
        <v>1.10010602423E11</v>
      </c>
      <c r="C480" s="105"/>
      <c r="D480" s="104" t="s">
        <v>6246</v>
      </c>
      <c r="E480" s="104" t="s">
        <v>6241</v>
      </c>
      <c r="F480" s="103" t="s">
        <v>4678</v>
      </c>
      <c r="G480" s="103" t="s">
        <v>4679</v>
      </c>
      <c r="H480" s="103" t="s">
        <v>6247</v>
      </c>
      <c r="I480" s="103" t="s">
        <v>6242</v>
      </c>
      <c r="J480" s="104" t="s">
        <v>6243</v>
      </c>
      <c r="K480" s="105"/>
      <c r="L480" s="105"/>
    </row>
    <row r="481">
      <c r="A481" s="103" t="s">
        <v>4676</v>
      </c>
      <c r="B481" s="103">
        <v>1.1001060243E11</v>
      </c>
      <c r="C481" s="105"/>
      <c r="D481" s="104" t="s">
        <v>6248</v>
      </c>
      <c r="E481" s="104" t="s">
        <v>6241</v>
      </c>
      <c r="F481" s="103" t="s">
        <v>4678</v>
      </c>
      <c r="G481" s="103" t="s">
        <v>4679</v>
      </c>
      <c r="H481" s="103" t="s">
        <v>6249</v>
      </c>
      <c r="I481" s="103" t="s">
        <v>6242</v>
      </c>
      <c r="J481" s="104" t="s">
        <v>6243</v>
      </c>
      <c r="K481" s="105"/>
      <c r="L481" s="105"/>
    </row>
    <row r="482">
      <c r="A482" s="103" t="s">
        <v>4676</v>
      </c>
      <c r="B482" s="103">
        <v>1.10010602445E11</v>
      </c>
      <c r="C482" s="105"/>
      <c r="D482" s="104" t="s">
        <v>6250</v>
      </c>
      <c r="E482" s="104" t="s">
        <v>6241</v>
      </c>
      <c r="F482" s="103" t="s">
        <v>4678</v>
      </c>
      <c r="G482" s="103" t="s">
        <v>4679</v>
      </c>
      <c r="H482" s="103" t="s">
        <v>6251</v>
      </c>
      <c r="I482" s="103" t="s">
        <v>6242</v>
      </c>
      <c r="J482" s="104" t="s">
        <v>6252</v>
      </c>
      <c r="K482" s="105"/>
      <c r="L482" s="105"/>
    </row>
    <row r="483">
      <c r="A483" s="103" t="s">
        <v>4676</v>
      </c>
      <c r="B483" s="103">
        <v>1.10010602446E11</v>
      </c>
      <c r="C483" s="105"/>
      <c r="D483" s="104" t="s">
        <v>6253</v>
      </c>
      <c r="E483" s="104" t="s">
        <v>6241</v>
      </c>
      <c r="F483" s="103" t="s">
        <v>4678</v>
      </c>
      <c r="G483" s="103" t="s">
        <v>4679</v>
      </c>
      <c r="H483" s="103" t="s">
        <v>6254</v>
      </c>
      <c r="I483" s="103" t="s">
        <v>6242</v>
      </c>
      <c r="J483" s="104" t="s">
        <v>6243</v>
      </c>
      <c r="K483" s="105"/>
      <c r="L483" s="105"/>
    </row>
    <row r="484">
      <c r="A484" s="103" t="s">
        <v>4676</v>
      </c>
      <c r="B484" s="103">
        <v>1.10010602447E11</v>
      </c>
      <c r="C484" s="105"/>
      <c r="D484" s="104" t="s">
        <v>6255</v>
      </c>
      <c r="E484" s="104" t="s">
        <v>6256</v>
      </c>
      <c r="F484" s="103" t="s">
        <v>4678</v>
      </c>
      <c r="G484" s="103" t="s">
        <v>4679</v>
      </c>
      <c r="H484" s="103" t="s">
        <v>6257</v>
      </c>
      <c r="I484" s="103" t="s">
        <v>6242</v>
      </c>
      <c r="J484" s="104" t="s">
        <v>6258</v>
      </c>
      <c r="K484" s="105"/>
      <c r="L484" s="105"/>
    </row>
    <row r="485">
      <c r="A485" s="103" t="s">
        <v>4676</v>
      </c>
      <c r="B485" s="103">
        <v>1.10010602448E11</v>
      </c>
      <c r="C485" s="105"/>
      <c r="D485" s="104" t="s">
        <v>6259</v>
      </c>
      <c r="E485" s="104" t="s">
        <v>6256</v>
      </c>
      <c r="F485" s="103" t="s">
        <v>4678</v>
      </c>
      <c r="G485" s="103" t="s">
        <v>4679</v>
      </c>
      <c r="H485" s="103" t="s">
        <v>6260</v>
      </c>
      <c r="I485" s="103" t="s">
        <v>6242</v>
      </c>
      <c r="J485" s="104" t="s">
        <v>6258</v>
      </c>
      <c r="K485" s="105"/>
      <c r="L485" s="105"/>
    </row>
    <row r="486">
      <c r="A486" s="103" t="s">
        <v>4676</v>
      </c>
      <c r="B486" s="103">
        <v>1.10010602449E11</v>
      </c>
      <c r="C486" s="105"/>
      <c r="D486" s="104" t="s">
        <v>6261</v>
      </c>
      <c r="E486" s="104" t="s">
        <v>6256</v>
      </c>
      <c r="F486" s="103" t="s">
        <v>4678</v>
      </c>
      <c r="G486" s="103" t="s">
        <v>4679</v>
      </c>
      <c r="H486" s="103" t="s">
        <v>6262</v>
      </c>
      <c r="I486" s="103" t="s">
        <v>6242</v>
      </c>
      <c r="J486" s="104" t="s">
        <v>6263</v>
      </c>
      <c r="K486" s="105"/>
      <c r="L486" s="105"/>
    </row>
    <row r="487">
      <c r="A487" s="103" t="s">
        <v>4676</v>
      </c>
      <c r="B487" s="103">
        <v>1.100106033E9</v>
      </c>
      <c r="C487" s="105"/>
      <c r="D487" s="104" t="s">
        <v>6264</v>
      </c>
      <c r="E487" s="104" t="s">
        <v>6265</v>
      </c>
      <c r="F487" s="103" t="s">
        <v>4678</v>
      </c>
      <c r="G487" s="103" t="s">
        <v>4679</v>
      </c>
      <c r="H487" s="103" t="s">
        <v>6266</v>
      </c>
      <c r="I487" s="103" t="s">
        <v>6267</v>
      </c>
      <c r="J487" s="104" t="s">
        <v>6268</v>
      </c>
      <c r="K487" s="103" t="s">
        <v>6268</v>
      </c>
      <c r="L487" s="105"/>
    </row>
    <row r="488">
      <c r="A488" s="103" t="s">
        <v>4676</v>
      </c>
      <c r="B488" s="103">
        <v>1.10010603301E11</v>
      </c>
      <c r="C488" s="105"/>
      <c r="D488" s="104" t="s">
        <v>6264</v>
      </c>
      <c r="E488" s="104" t="s">
        <v>6265</v>
      </c>
      <c r="F488" s="103" t="s">
        <v>4678</v>
      </c>
      <c r="G488" s="103" t="s">
        <v>4679</v>
      </c>
      <c r="H488" s="103" t="s">
        <v>6266</v>
      </c>
      <c r="I488" s="103" t="s">
        <v>6267</v>
      </c>
      <c r="J488" s="104" t="s">
        <v>6268</v>
      </c>
      <c r="K488" s="105"/>
      <c r="L488" s="105"/>
    </row>
    <row r="489">
      <c r="A489" s="103" t="s">
        <v>4676</v>
      </c>
      <c r="B489" s="103">
        <v>1.100106036E9</v>
      </c>
      <c r="C489" s="105"/>
      <c r="D489" s="104" t="s">
        <v>6269</v>
      </c>
      <c r="E489" s="104" t="s">
        <v>6270</v>
      </c>
      <c r="F489" s="103" t="s">
        <v>4678</v>
      </c>
      <c r="G489" s="103" t="s">
        <v>4679</v>
      </c>
      <c r="H489" s="103" t="s">
        <v>6271</v>
      </c>
      <c r="I489" s="103">
        <v>6217290.0</v>
      </c>
      <c r="J489" s="104" t="s">
        <v>6272</v>
      </c>
      <c r="K489" s="105"/>
      <c r="L489" s="105"/>
    </row>
    <row r="490">
      <c r="A490" s="103" t="s">
        <v>4676</v>
      </c>
      <c r="B490" s="103">
        <v>1.10010603601E11</v>
      </c>
      <c r="C490" s="105"/>
      <c r="D490" s="104" t="s">
        <v>6269</v>
      </c>
      <c r="E490" s="104" t="s">
        <v>6270</v>
      </c>
      <c r="F490" s="103" t="s">
        <v>4678</v>
      </c>
      <c r="G490" s="103" t="s">
        <v>4679</v>
      </c>
      <c r="H490" s="103" t="s">
        <v>6271</v>
      </c>
      <c r="I490" s="103">
        <v>6217290.0</v>
      </c>
      <c r="J490" s="104" t="s">
        <v>6272</v>
      </c>
      <c r="K490" s="105"/>
      <c r="L490" s="105"/>
    </row>
    <row r="491">
      <c r="A491" s="103" t="s">
        <v>4676</v>
      </c>
      <c r="B491" s="103">
        <v>1.100106146E9</v>
      </c>
      <c r="C491" s="105"/>
      <c r="D491" s="104" t="s">
        <v>6273</v>
      </c>
      <c r="E491" s="104" t="s">
        <v>6274</v>
      </c>
      <c r="F491" s="103" t="s">
        <v>4678</v>
      </c>
      <c r="G491" s="103" t="s">
        <v>4679</v>
      </c>
      <c r="H491" s="103" t="s">
        <v>6275</v>
      </c>
      <c r="I491" s="103" t="s">
        <v>6276</v>
      </c>
      <c r="J491" s="104" t="s">
        <v>6277</v>
      </c>
      <c r="K491" s="105"/>
      <c r="L491" s="105"/>
    </row>
    <row r="492">
      <c r="A492" s="103" t="s">
        <v>4676</v>
      </c>
      <c r="B492" s="103">
        <v>1.10010614601E11</v>
      </c>
      <c r="C492" s="105"/>
      <c r="D492" s="104" t="s">
        <v>6278</v>
      </c>
      <c r="E492" s="104" t="s">
        <v>5402</v>
      </c>
      <c r="F492" s="103" t="s">
        <v>4678</v>
      </c>
      <c r="G492" s="103" t="s">
        <v>4679</v>
      </c>
      <c r="H492" s="103" t="s">
        <v>6279</v>
      </c>
      <c r="I492" s="103">
        <v>6257723.0</v>
      </c>
      <c r="J492" s="104" t="s">
        <v>6280</v>
      </c>
      <c r="K492" s="105"/>
      <c r="L492" s="105"/>
    </row>
    <row r="493">
      <c r="A493" s="103" t="s">
        <v>4676</v>
      </c>
      <c r="B493" s="103">
        <v>1.10010614602E11</v>
      </c>
      <c r="C493" s="105"/>
      <c r="D493" s="104" t="s">
        <v>6281</v>
      </c>
      <c r="E493" s="104" t="s">
        <v>5402</v>
      </c>
      <c r="F493" s="103" t="s">
        <v>4678</v>
      </c>
      <c r="G493" s="103" t="s">
        <v>4679</v>
      </c>
      <c r="H493" s="103" t="s">
        <v>6282</v>
      </c>
      <c r="I493" s="103">
        <v>6257723.0</v>
      </c>
      <c r="J493" s="104" t="s">
        <v>6277</v>
      </c>
      <c r="K493" s="105"/>
      <c r="L493" s="105"/>
    </row>
    <row r="494">
      <c r="A494" s="103" t="s">
        <v>4676</v>
      </c>
      <c r="B494" s="103">
        <v>1.100106213E9</v>
      </c>
      <c r="C494" s="105"/>
      <c r="D494" s="104" t="s">
        <v>6283</v>
      </c>
      <c r="E494" s="104" t="s">
        <v>6284</v>
      </c>
      <c r="F494" s="103" t="s">
        <v>4678</v>
      </c>
      <c r="G494" s="103" t="s">
        <v>4679</v>
      </c>
      <c r="H494" s="103" t="s">
        <v>6285</v>
      </c>
      <c r="I494" s="103">
        <v>6232105.0</v>
      </c>
      <c r="J494" s="104" t="s">
        <v>6286</v>
      </c>
      <c r="K494" s="107" t="s">
        <v>6287</v>
      </c>
      <c r="L494" s="105"/>
    </row>
    <row r="495">
      <c r="A495" s="103" t="s">
        <v>4676</v>
      </c>
      <c r="B495" s="103">
        <v>1.10010621302E11</v>
      </c>
      <c r="C495" s="105"/>
      <c r="D495" s="104" t="s">
        <v>6288</v>
      </c>
      <c r="E495" s="106"/>
      <c r="F495" s="103" t="s">
        <v>4678</v>
      </c>
      <c r="G495" s="103" t="s">
        <v>4679</v>
      </c>
      <c r="H495" s="103" t="s">
        <v>6285</v>
      </c>
      <c r="I495" s="103" t="s">
        <v>6289</v>
      </c>
      <c r="J495" s="104" t="s">
        <v>6286</v>
      </c>
      <c r="K495" s="105"/>
      <c r="L495" s="105"/>
    </row>
    <row r="496">
      <c r="A496" s="103" t="s">
        <v>4676</v>
      </c>
      <c r="B496" s="103">
        <v>1.10010621304E11</v>
      </c>
      <c r="C496" s="105"/>
      <c r="D496" s="104" t="s">
        <v>6290</v>
      </c>
      <c r="E496" s="104" t="s">
        <v>6291</v>
      </c>
      <c r="F496" s="103" t="s">
        <v>4678</v>
      </c>
      <c r="G496" s="103" t="s">
        <v>4679</v>
      </c>
      <c r="H496" s="103" t="s">
        <v>6292</v>
      </c>
      <c r="I496" s="103">
        <v>5701446.0</v>
      </c>
      <c r="J496" s="104" t="s">
        <v>6293</v>
      </c>
      <c r="K496" s="105"/>
      <c r="L496" s="105"/>
    </row>
    <row r="497">
      <c r="A497" s="103" t="s">
        <v>4676</v>
      </c>
      <c r="B497" s="103">
        <v>1.10010621307E11</v>
      </c>
      <c r="C497" s="105"/>
      <c r="D497" s="104" t="s">
        <v>6294</v>
      </c>
      <c r="E497" s="104" t="s">
        <v>6295</v>
      </c>
      <c r="F497" s="103" t="s">
        <v>4678</v>
      </c>
      <c r="G497" s="103" t="s">
        <v>4679</v>
      </c>
      <c r="H497" s="103" t="s">
        <v>6296</v>
      </c>
      <c r="I497" s="103" t="s">
        <v>6297</v>
      </c>
      <c r="J497" s="104" t="s">
        <v>6293</v>
      </c>
      <c r="K497" s="105"/>
      <c r="L497" s="105"/>
    </row>
    <row r="498">
      <c r="A498" s="103" t="s">
        <v>4676</v>
      </c>
      <c r="B498" s="103">
        <v>1.100106258E9</v>
      </c>
      <c r="C498" s="105"/>
      <c r="D498" s="104" t="s">
        <v>6298</v>
      </c>
      <c r="E498" s="104" t="s">
        <v>6299</v>
      </c>
      <c r="F498" s="103" t="s">
        <v>4678</v>
      </c>
      <c r="G498" s="103" t="s">
        <v>4679</v>
      </c>
      <c r="H498" s="103" t="s">
        <v>6300</v>
      </c>
      <c r="I498" s="103" t="s">
        <v>6301</v>
      </c>
      <c r="J498" s="104" t="s">
        <v>6302</v>
      </c>
      <c r="K498" s="105"/>
      <c r="L498" s="105"/>
    </row>
    <row r="499">
      <c r="A499" s="103" t="s">
        <v>4676</v>
      </c>
      <c r="B499" s="103">
        <v>1.10010625803E11</v>
      </c>
      <c r="C499" s="105"/>
      <c r="D499" s="104" t="s">
        <v>6303</v>
      </c>
      <c r="E499" s="104" t="s">
        <v>6304</v>
      </c>
      <c r="F499" s="103" t="s">
        <v>4678</v>
      </c>
      <c r="G499" s="103" t="s">
        <v>4679</v>
      </c>
      <c r="H499" s="103" t="s">
        <v>6305</v>
      </c>
      <c r="I499" s="103" t="s">
        <v>6301</v>
      </c>
      <c r="J499" s="104" t="s">
        <v>6302</v>
      </c>
      <c r="K499" s="105"/>
      <c r="L499" s="105"/>
    </row>
    <row r="500">
      <c r="A500" s="103" t="s">
        <v>4676</v>
      </c>
      <c r="B500" s="103">
        <v>1.100106292E9</v>
      </c>
      <c r="C500" s="105"/>
      <c r="D500" s="104" t="s">
        <v>6306</v>
      </c>
      <c r="E500" s="106"/>
      <c r="F500" s="103" t="s">
        <v>4678</v>
      </c>
      <c r="G500" s="103" t="s">
        <v>4679</v>
      </c>
      <c r="H500" s="103" t="s">
        <v>6307</v>
      </c>
      <c r="I500" s="103">
        <v>6261873.0</v>
      </c>
      <c r="J500" s="104" t="s">
        <v>6308</v>
      </c>
      <c r="K500" s="105"/>
      <c r="L500" s="105"/>
    </row>
    <row r="501">
      <c r="A501" s="103" t="s">
        <v>4676</v>
      </c>
      <c r="B501" s="103">
        <v>1.10010629201E11</v>
      </c>
      <c r="C501" s="105"/>
      <c r="D501" s="104" t="s">
        <v>6306</v>
      </c>
      <c r="E501" s="104" t="s">
        <v>6309</v>
      </c>
      <c r="F501" s="103" t="s">
        <v>4678</v>
      </c>
      <c r="G501" s="103" t="s">
        <v>4679</v>
      </c>
      <c r="H501" s="103" t="s">
        <v>6307</v>
      </c>
      <c r="I501" s="103">
        <v>6261873.0</v>
      </c>
      <c r="J501" s="104" t="s">
        <v>6308</v>
      </c>
      <c r="K501" s="105"/>
      <c r="L501" s="105"/>
    </row>
    <row r="502">
      <c r="A502" s="103" t="s">
        <v>4676</v>
      </c>
      <c r="B502" s="103">
        <v>1.100106319E9</v>
      </c>
      <c r="C502" s="105"/>
      <c r="D502" s="104" t="s">
        <v>6310</v>
      </c>
      <c r="E502" s="104" t="s">
        <v>6311</v>
      </c>
      <c r="F502" s="103" t="s">
        <v>4678</v>
      </c>
      <c r="G502" s="103" t="s">
        <v>4679</v>
      </c>
      <c r="H502" s="103" t="s">
        <v>6312</v>
      </c>
      <c r="I502" s="103">
        <v>6473777.0</v>
      </c>
      <c r="J502" s="104" t="s">
        <v>6313</v>
      </c>
      <c r="K502" s="105"/>
      <c r="L502" s="105"/>
    </row>
    <row r="503">
      <c r="A503" s="103" t="s">
        <v>4676</v>
      </c>
      <c r="B503" s="103">
        <v>1.10010631901E11</v>
      </c>
      <c r="C503" s="105"/>
      <c r="D503" s="104" t="s">
        <v>6314</v>
      </c>
      <c r="E503" s="104" t="s">
        <v>6315</v>
      </c>
      <c r="F503" s="103" t="s">
        <v>4678</v>
      </c>
      <c r="G503" s="103" t="s">
        <v>4679</v>
      </c>
      <c r="H503" s="103" t="s">
        <v>6312</v>
      </c>
      <c r="I503" s="103">
        <v>6473777.0</v>
      </c>
      <c r="J503" s="104" t="s">
        <v>6313</v>
      </c>
      <c r="K503" s="105"/>
      <c r="L503" s="105"/>
    </row>
    <row r="504">
      <c r="A504" s="103" t="s">
        <v>4676</v>
      </c>
      <c r="B504" s="103">
        <v>1.100106342E9</v>
      </c>
      <c r="C504" s="105"/>
      <c r="D504" s="104" t="s">
        <v>6316</v>
      </c>
      <c r="E504" s="106"/>
      <c r="F504" s="103" t="s">
        <v>4678</v>
      </c>
      <c r="G504" s="103" t="s">
        <v>4679</v>
      </c>
      <c r="H504" s="103" t="s">
        <v>6317</v>
      </c>
      <c r="I504" s="103">
        <v>3.16051626E9</v>
      </c>
      <c r="J504" s="104" t="s">
        <v>6318</v>
      </c>
      <c r="K504" s="105"/>
      <c r="L504" s="105"/>
    </row>
    <row r="505">
      <c r="A505" s="103" t="s">
        <v>4676</v>
      </c>
      <c r="B505" s="103">
        <v>1.10010634201E11</v>
      </c>
      <c r="C505" s="105"/>
      <c r="D505" s="104" t="s">
        <v>6316</v>
      </c>
      <c r="E505" s="104" t="s">
        <v>6319</v>
      </c>
      <c r="F505" s="103" t="s">
        <v>4678</v>
      </c>
      <c r="G505" s="103" t="s">
        <v>4679</v>
      </c>
      <c r="H505" s="103" t="s">
        <v>6320</v>
      </c>
      <c r="I505" s="103">
        <v>3.16051626E9</v>
      </c>
      <c r="J505" s="104" t="s">
        <v>6321</v>
      </c>
      <c r="K505" s="105"/>
      <c r="L505" s="105"/>
    </row>
    <row r="506">
      <c r="A506" s="103" t="s">
        <v>4676</v>
      </c>
      <c r="B506" s="103">
        <v>1.10010634202E11</v>
      </c>
      <c r="C506" s="105"/>
      <c r="D506" s="104" t="s">
        <v>6316</v>
      </c>
      <c r="E506" s="104" t="s">
        <v>6322</v>
      </c>
      <c r="F506" s="103" t="s">
        <v>4678</v>
      </c>
      <c r="G506" s="103" t="s">
        <v>4679</v>
      </c>
      <c r="H506" s="103" t="s">
        <v>6323</v>
      </c>
      <c r="I506" s="103">
        <v>3.16051626E9</v>
      </c>
      <c r="J506" s="104" t="s">
        <v>6321</v>
      </c>
      <c r="K506" s="105"/>
      <c r="L506" s="105"/>
    </row>
    <row r="507">
      <c r="A507" s="103" t="s">
        <v>4676</v>
      </c>
      <c r="B507" s="103">
        <v>1.100106352E9</v>
      </c>
      <c r="C507" s="105"/>
      <c r="D507" s="104" t="s">
        <v>6324</v>
      </c>
      <c r="E507" s="104" t="s">
        <v>6325</v>
      </c>
      <c r="F507" s="103" t="s">
        <v>4678</v>
      </c>
      <c r="G507" s="103" t="s">
        <v>4679</v>
      </c>
      <c r="H507" s="103" t="s">
        <v>6326</v>
      </c>
      <c r="I507" s="103">
        <v>4422206.0</v>
      </c>
      <c r="J507" s="104" t="s">
        <v>6327</v>
      </c>
      <c r="K507" s="105"/>
      <c r="L507" s="105"/>
    </row>
    <row r="508">
      <c r="A508" s="103" t="s">
        <v>4676</v>
      </c>
      <c r="B508" s="103">
        <v>1.10010635201E11</v>
      </c>
      <c r="C508" s="105"/>
      <c r="D508" s="104" t="s">
        <v>6324</v>
      </c>
      <c r="E508" s="106"/>
      <c r="F508" s="103" t="s">
        <v>4678</v>
      </c>
      <c r="G508" s="103" t="s">
        <v>4679</v>
      </c>
      <c r="H508" s="103" t="s">
        <v>6326</v>
      </c>
      <c r="I508" s="105"/>
      <c r="J508" s="106"/>
      <c r="K508" s="105"/>
      <c r="L508" s="105"/>
    </row>
    <row r="509">
      <c r="A509" s="103" t="s">
        <v>4676</v>
      </c>
      <c r="B509" s="103">
        <v>1.100106447E9</v>
      </c>
      <c r="C509" s="105"/>
      <c r="D509" s="104" t="s">
        <v>6328</v>
      </c>
      <c r="E509" s="104" t="s">
        <v>6329</v>
      </c>
      <c r="F509" s="103" t="s">
        <v>4678</v>
      </c>
      <c r="G509" s="103" t="s">
        <v>4679</v>
      </c>
      <c r="H509" s="103" t="s">
        <v>6330</v>
      </c>
      <c r="I509" s="103">
        <v>2261025.0</v>
      </c>
      <c r="J509" s="104" t="s">
        <v>6331</v>
      </c>
      <c r="K509" s="107" t="s">
        <v>6332</v>
      </c>
      <c r="L509" s="105"/>
    </row>
    <row r="510">
      <c r="A510" s="103" t="s">
        <v>4676</v>
      </c>
      <c r="B510" s="103">
        <v>1.10010644701E11</v>
      </c>
      <c r="C510" s="105"/>
      <c r="D510" s="104" t="s">
        <v>6328</v>
      </c>
      <c r="E510" s="104" t="s">
        <v>6333</v>
      </c>
      <c r="F510" s="103" t="s">
        <v>4678</v>
      </c>
      <c r="G510" s="103" t="s">
        <v>4679</v>
      </c>
      <c r="H510" s="103" t="s">
        <v>6330</v>
      </c>
      <c r="I510" s="103">
        <v>2261025.0</v>
      </c>
      <c r="J510" s="104" t="s">
        <v>6331</v>
      </c>
      <c r="K510" s="105"/>
      <c r="L510" s="105"/>
    </row>
    <row r="511">
      <c r="A511" s="103" t="s">
        <v>4676</v>
      </c>
      <c r="B511" s="103">
        <v>1.100106453E9</v>
      </c>
      <c r="C511" s="105"/>
      <c r="D511" s="104" t="s">
        <v>6334</v>
      </c>
      <c r="E511" s="104" t="s">
        <v>6335</v>
      </c>
      <c r="F511" s="103" t="s">
        <v>4678</v>
      </c>
      <c r="G511" s="103" t="s">
        <v>4679</v>
      </c>
      <c r="H511" s="103" t="s">
        <v>6336</v>
      </c>
      <c r="I511" s="103">
        <v>7460909.0</v>
      </c>
      <c r="J511" s="104" t="s">
        <v>6337</v>
      </c>
      <c r="K511" s="105"/>
      <c r="L511" s="105"/>
    </row>
    <row r="512">
      <c r="A512" s="103" t="s">
        <v>4676</v>
      </c>
      <c r="B512" s="103">
        <v>1.10010645301E11</v>
      </c>
      <c r="C512" s="105"/>
      <c r="D512" s="104" t="s">
        <v>6334</v>
      </c>
      <c r="E512" s="104" t="s">
        <v>6338</v>
      </c>
      <c r="F512" s="103" t="s">
        <v>4678</v>
      </c>
      <c r="G512" s="103" t="s">
        <v>4679</v>
      </c>
      <c r="H512" s="103" t="s">
        <v>6339</v>
      </c>
      <c r="I512" s="103">
        <v>7460909.0</v>
      </c>
      <c r="J512" s="104" t="s">
        <v>6337</v>
      </c>
      <c r="K512" s="105"/>
      <c r="L512" s="105"/>
    </row>
    <row r="513">
      <c r="A513" s="103" t="s">
        <v>4676</v>
      </c>
      <c r="B513" s="103">
        <v>1.10010645306E11</v>
      </c>
      <c r="C513" s="105"/>
      <c r="D513" s="104" t="s">
        <v>6340</v>
      </c>
      <c r="E513" s="104" t="s">
        <v>6338</v>
      </c>
      <c r="F513" s="103" t="s">
        <v>4678</v>
      </c>
      <c r="G513" s="103" t="s">
        <v>4679</v>
      </c>
      <c r="H513" s="103" t="s">
        <v>6341</v>
      </c>
      <c r="I513" s="103">
        <v>7460909.0</v>
      </c>
      <c r="J513" s="104" t="s">
        <v>6337</v>
      </c>
      <c r="K513" s="105"/>
      <c r="L513" s="105"/>
    </row>
    <row r="514">
      <c r="A514" s="103" t="s">
        <v>4676</v>
      </c>
      <c r="B514" s="103">
        <v>1.10010645318E11</v>
      </c>
      <c r="C514" s="105"/>
      <c r="D514" s="104" t="s">
        <v>6342</v>
      </c>
      <c r="E514" s="104" t="s">
        <v>6338</v>
      </c>
      <c r="F514" s="103" t="s">
        <v>4678</v>
      </c>
      <c r="G514" s="103" t="s">
        <v>4679</v>
      </c>
      <c r="H514" s="103" t="s">
        <v>6343</v>
      </c>
      <c r="I514" s="103">
        <v>7460909.0</v>
      </c>
      <c r="J514" s="104" t="s">
        <v>6337</v>
      </c>
      <c r="K514" s="105"/>
      <c r="L514" s="105"/>
    </row>
    <row r="515">
      <c r="A515" s="103" t="s">
        <v>4676</v>
      </c>
      <c r="B515" s="103">
        <v>1.10010645319E11</v>
      </c>
      <c r="C515" s="105"/>
      <c r="D515" s="104" t="s">
        <v>6344</v>
      </c>
      <c r="E515" s="104" t="s">
        <v>6338</v>
      </c>
      <c r="F515" s="103" t="s">
        <v>4678</v>
      </c>
      <c r="G515" s="103" t="s">
        <v>4679</v>
      </c>
      <c r="H515" s="103" t="s">
        <v>6345</v>
      </c>
      <c r="I515" s="103">
        <v>7460909.0</v>
      </c>
      <c r="J515" s="104" t="s">
        <v>6337</v>
      </c>
      <c r="K515" s="105"/>
      <c r="L515" s="105"/>
    </row>
    <row r="516">
      <c r="A516" s="103" t="s">
        <v>4676</v>
      </c>
      <c r="B516" s="103">
        <v>1.10010645322E11</v>
      </c>
      <c r="C516" s="105"/>
      <c r="D516" s="104" t="s">
        <v>6346</v>
      </c>
      <c r="E516" s="104" t="s">
        <v>6338</v>
      </c>
      <c r="F516" s="103" t="s">
        <v>4678</v>
      </c>
      <c r="G516" s="103" t="s">
        <v>4679</v>
      </c>
      <c r="H516" s="103" t="s">
        <v>6347</v>
      </c>
      <c r="I516" s="103" t="s">
        <v>6348</v>
      </c>
      <c r="J516" s="104" t="s">
        <v>6337</v>
      </c>
      <c r="K516" s="105"/>
      <c r="L516" s="105"/>
    </row>
    <row r="517">
      <c r="A517" s="103" t="s">
        <v>4676</v>
      </c>
      <c r="B517" s="103">
        <v>1.10010645323E11</v>
      </c>
      <c r="C517" s="105"/>
      <c r="D517" s="104" t="s">
        <v>6349</v>
      </c>
      <c r="E517" s="104" t="s">
        <v>6338</v>
      </c>
      <c r="F517" s="103" t="s">
        <v>4678</v>
      </c>
      <c r="G517" s="103" t="s">
        <v>4679</v>
      </c>
      <c r="H517" s="103" t="s">
        <v>6350</v>
      </c>
      <c r="I517" s="103" t="s">
        <v>6351</v>
      </c>
      <c r="J517" s="104" t="s">
        <v>6337</v>
      </c>
      <c r="K517" s="105"/>
      <c r="L517" s="105"/>
    </row>
    <row r="518">
      <c r="A518" s="103" t="s">
        <v>4676</v>
      </c>
      <c r="B518" s="103">
        <v>1.10010645324E11</v>
      </c>
      <c r="C518" s="105"/>
      <c r="D518" s="104" t="s">
        <v>6352</v>
      </c>
      <c r="E518" s="104" t="s">
        <v>6338</v>
      </c>
      <c r="F518" s="103" t="s">
        <v>4678</v>
      </c>
      <c r="G518" s="103" t="s">
        <v>4679</v>
      </c>
      <c r="H518" s="103" t="s">
        <v>6353</v>
      </c>
      <c r="I518" s="103" t="s">
        <v>6351</v>
      </c>
      <c r="J518" s="104" t="s">
        <v>6337</v>
      </c>
      <c r="K518" s="105"/>
      <c r="L518" s="105"/>
    </row>
    <row r="519">
      <c r="A519" s="103" t="s">
        <v>4676</v>
      </c>
      <c r="B519" s="103">
        <v>1.100106495E9</v>
      </c>
      <c r="C519" s="105"/>
      <c r="D519" s="104" t="s">
        <v>6354</v>
      </c>
      <c r="E519" s="106"/>
      <c r="F519" s="103" t="s">
        <v>4678</v>
      </c>
      <c r="G519" s="103" t="s">
        <v>4679</v>
      </c>
      <c r="H519" s="103" t="s">
        <v>6355</v>
      </c>
      <c r="I519" s="103" t="s">
        <v>5936</v>
      </c>
      <c r="J519" s="104" t="s">
        <v>5937</v>
      </c>
      <c r="K519" s="107" t="s">
        <v>6356</v>
      </c>
      <c r="L519" s="105"/>
    </row>
    <row r="520">
      <c r="A520" s="103" t="s">
        <v>4676</v>
      </c>
      <c r="B520" s="103">
        <v>1.10010649501E11</v>
      </c>
      <c r="C520" s="105"/>
      <c r="D520" s="104" t="s">
        <v>6357</v>
      </c>
      <c r="E520" s="104" t="s">
        <v>5939</v>
      </c>
      <c r="F520" s="103" t="s">
        <v>4678</v>
      </c>
      <c r="G520" s="103" t="s">
        <v>4679</v>
      </c>
      <c r="H520" s="103" t="s">
        <v>6355</v>
      </c>
      <c r="I520" s="103" t="s">
        <v>5936</v>
      </c>
      <c r="J520" s="104" t="s">
        <v>5937</v>
      </c>
      <c r="K520" s="105"/>
      <c r="L520" s="105"/>
    </row>
    <row r="521">
      <c r="A521" s="103" t="s">
        <v>4676</v>
      </c>
      <c r="B521" s="103">
        <v>1.100106516E9</v>
      </c>
      <c r="C521" s="105"/>
      <c r="D521" s="104" t="s">
        <v>6358</v>
      </c>
      <c r="E521" s="104" t="s">
        <v>6359</v>
      </c>
      <c r="F521" s="103" t="s">
        <v>4678</v>
      </c>
      <c r="G521" s="103" t="s">
        <v>4679</v>
      </c>
      <c r="H521" s="103" t="s">
        <v>6360</v>
      </c>
      <c r="I521" s="103" t="s">
        <v>5936</v>
      </c>
      <c r="J521" s="104" t="s">
        <v>5937</v>
      </c>
      <c r="K521" s="107" t="s">
        <v>6361</v>
      </c>
      <c r="L521" s="105"/>
    </row>
    <row r="522">
      <c r="A522" s="103" t="s">
        <v>4676</v>
      </c>
      <c r="B522" s="103">
        <v>1.10010651605E11</v>
      </c>
      <c r="C522" s="105"/>
      <c r="D522" s="104" t="s">
        <v>6362</v>
      </c>
      <c r="E522" s="104" t="s">
        <v>5939</v>
      </c>
      <c r="F522" s="103" t="s">
        <v>4678</v>
      </c>
      <c r="G522" s="103" t="s">
        <v>4679</v>
      </c>
      <c r="H522" s="103" t="s">
        <v>6363</v>
      </c>
      <c r="I522" s="103" t="s">
        <v>5936</v>
      </c>
      <c r="J522" s="104" t="s">
        <v>5937</v>
      </c>
      <c r="K522" s="105"/>
      <c r="L522" s="105"/>
    </row>
    <row r="523">
      <c r="A523" s="103" t="s">
        <v>4676</v>
      </c>
      <c r="B523" s="103">
        <v>1.100106537E9</v>
      </c>
      <c r="C523" s="105"/>
      <c r="D523" s="104" t="s">
        <v>6364</v>
      </c>
      <c r="E523" s="104" t="s">
        <v>6365</v>
      </c>
      <c r="F523" s="103" t="s">
        <v>4678</v>
      </c>
      <c r="G523" s="103" t="s">
        <v>4679</v>
      </c>
      <c r="H523" s="103" t="s">
        <v>6366</v>
      </c>
      <c r="I523" s="103" t="s">
        <v>6367</v>
      </c>
      <c r="J523" s="104" t="s">
        <v>6368</v>
      </c>
      <c r="K523" s="107" t="s">
        <v>6369</v>
      </c>
      <c r="L523" s="105"/>
    </row>
    <row r="524">
      <c r="A524" s="103" t="s">
        <v>4676</v>
      </c>
      <c r="B524" s="103">
        <v>1.10010653703E11</v>
      </c>
      <c r="C524" s="105"/>
      <c r="D524" s="104" t="s">
        <v>6370</v>
      </c>
      <c r="E524" s="104" t="s">
        <v>6371</v>
      </c>
      <c r="F524" s="103" t="s">
        <v>4678</v>
      </c>
      <c r="G524" s="103" t="s">
        <v>4679</v>
      </c>
      <c r="H524" s="103" t="s">
        <v>6372</v>
      </c>
      <c r="I524" s="103" t="s">
        <v>6373</v>
      </c>
      <c r="J524" s="104" t="s">
        <v>6374</v>
      </c>
      <c r="K524" s="105"/>
      <c r="L524" s="105"/>
    </row>
    <row r="525">
      <c r="A525" s="103" t="s">
        <v>4676</v>
      </c>
      <c r="B525" s="103">
        <v>1.10010653704E11</v>
      </c>
      <c r="C525" s="105"/>
      <c r="D525" s="104" t="s">
        <v>6370</v>
      </c>
      <c r="E525" s="104" t="s">
        <v>6375</v>
      </c>
      <c r="F525" s="103" t="s">
        <v>4678</v>
      </c>
      <c r="G525" s="103" t="s">
        <v>4679</v>
      </c>
      <c r="H525" s="103" t="s">
        <v>6376</v>
      </c>
      <c r="I525" s="103" t="s">
        <v>6377</v>
      </c>
      <c r="J525" s="104" t="s">
        <v>6378</v>
      </c>
      <c r="K525" s="105"/>
      <c r="L525" s="105"/>
    </row>
    <row r="526">
      <c r="A526" s="103" t="s">
        <v>4676</v>
      </c>
      <c r="B526" s="103">
        <v>1.10010653705E11</v>
      </c>
      <c r="C526" s="105"/>
      <c r="D526" s="104" t="s">
        <v>6370</v>
      </c>
      <c r="E526" s="104" t="s">
        <v>6371</v>
      </c>
      <c r="F526" s="103" t="s">
        <v>4678</v>
      </c>
      <c r="G526" s="103" t="s">
        <v>4679</v>
      </c>
      <c r="H526" s="103" t="s">
        <v>6379</v>
      </c>
      <c r="I526" s="103" t="s">
        <v>6380</v>
      </c>
      <c r="J526" s="104" t="s">
        <v>6374</v>
      </c>
      <c r="K526" s="105"/>
      <c r="L526" s="105"/>
    </row>
    <row r="527">
      <c r="A527" s="103" t="s">
        <v>4676</v>
      </c>
      <c r="B527" s="103">
        <v>1.10010658E9</v>
      </c>
      <c r="C527" s="105"/>
      <c r="D527" s="104" t="s">
        <v>6381</v>
      </c>
      <c r="E527" s="104" t="s">
        <v>6382</v>
      </c>
      <c r="F527" s="103" t="s">
        <v>4678</v>
      </c>
      <c r="G527" s="103" t="s">
        <v>4679</v>
      </c>
      <c r="H527" s="103" t="s">
        <v>6383</v>
      </c>
      <c r="I527" s="103" t="s">
        <v>6384</v>
      </c>
      <c r="J527" s="104" t="s">
        <v>6385</v>
      </c>
      <c r="K527" s="105"/>
      <c r="L527" s="105"/>
    </row>
    <row r="528">
      <c r="A528" s="103" t="s">
        <v>4676</v>
      </c>
      <c r="B528" s="103">
        <v>1.10010658002E11</v>
      </c>
      <c r="C528" s="105"/>
      <c r="D528" s="104" t="s">
        <v>6381</v>
      </c>
      <c r="E528" s="104" t="s">
        <v>6386</v>
      </c>
      <c r="F528" s="103" t="s">
        <v>4678</v>
      </c>
      <c r="G528" s="103" t="s">
        <v>4679</v>
      </c>
      <c r="H528" s="103" t="s">
        <v>6383</v>
      </c>
      <c r="I528" s="103" t="s">
        <v>6387</v>
      </c>
      <c r="J528" s="104" t="s">
        <v>6388</v>
      </c>
      <c r="K528" s="105"/>
      <c r="L528" s="105"/>
    </row>
    <row r="529">
      <c r="A529" s="103" t="s">
        <v>4676</v>
      </c>
      <c r="B529" s="103">
        <v>1.100106725E9</v>
      </c>
      <c r="C529" s="105"/>
      <c r="D529" s="104" t="s">
        <v>6389</v>
      </c>
      <c r="E529" s="104" t="s">
        <v>6390</v>
      </c>
      <c r="F529" s="103" t="s">
        <v>4678</v>
      </c>
      <c r="G529" s="103" t="s">
        <v>4679</v>
      </c>
      <c r="H529" s="103" t="s">
        <v>6391</v>
      </c>
      <c r="I529" s="103">
        <v>4505560.0</v>
      </c>
      <c r="J529" s="104" t="s">
        <v>6392</v>
      </c>
      <c r="K529" s="105"/>
      <c r="L529" s="105"/>
    </row>
    <row r="530">
      <c r="A530" s="103" t="s">
        <v>4676</v>
      </c>
      <c r="B530" s="103">
        <v>1.10010672501E11</v>
      </c>
      <c r="C530" s="105"/>
      <c r="D530" s="104" t="s">
        <v>6393</v>
      </c>
      <c r="E530" s="104" t="s">
        <v>6394</v>
      </c>
      <c r="F530" s="103" t="s">
        <v>4678</v>
      </c>
      <c r="G530" s="103" t="s">
        <v>4679</v>
      </c>
      <c r="H530" s="103" t="s">
        <v>6391</v>
      </c>
      <c r="I530" s="105"/>
      <c r="J530" s="104" t="s">
        <v>6395</v>
      </c>
      <c r="K530" s="105"/>
      <c r="L530" s="105"/>
    </row>
    <row r="531">
      <c r="A531" s="103" t="s">
        <v>4676</v>
      </c>
      <c r="B531" s="103">
        <v>1.100106736E9</v>
      </c>
      <c r="C531" s="105"/>
      <c r="D531" s="104" t="s">
        <v>6396</v>
      </c>
      <c r="E531" s="104" t="s">
        <v>6397</v>
      </c>
      <c r="F531" s="103" t="s">
        <v>4678</v>
      </c>
      <c r="G531" s="103" t="s">
        <v>4679</v>
      </c>
      <c r="H531" s="103" t="s">
        <v>6398</v>
      </c>
      <c r="I531" s="103">
        <v>2135040.0</v>
      </c>
      <c r="J531" s="104" t="s">
        <v>6399</v>
      </c>
      <c r="K531" s="105"/>
      <c r="L531" s="105"/>
    </row>
    <row r="532">
      <c r="A532" s="103" t="s">
        <v>4676</v>
      </c>
      <c r="B532" s="103">
        <v>1.10010673601E11</v>
      </c>
      <c r="C532" s="105"/>
      <c r="D532" s="104" t="s">
        <v>6396</v>
      </c>
      <c r="E532" s="104" t="s">
        <v>6400</v>
      </c>
      <c r="F532" s="103" t="s">
        <v>4678</v>
      </c>
      <c r="G532" s="103" t="s">
        <v>4679</v>
      </c>
      <c r="H532" s="103" t="s">
        <v>6401</v>
      </c>
      <c r="I532" s="103">
        <v>2135040.0</v>
      </c>
      <c r="J532" s="104" t="s">
        <v>6402</v>
      </c>
      <c r="K532" s="105"/>
      <c r="L532" s="105"/>
    </row>
    <row r="533">
      <c r="A533" s="103" t="s">
        <v>4676</v>
      </c>
      <c r="B533" s="103">
        <v>1.100106776E9</v>
      </c>
      <c r="C533" s="105"/>
      <c r="D533" s="104" t="s">
        <v>6403</v>
      </c>
      <c r="E533" s="104" t="s">
        <v>6404</v>
      </c>
      <c r="F533" s="103" t="s">
        <v>4678</v>
      </c>
      <c r="G533" s="103" t="s">
        <v>4679</v>
      </c>
      <c r="H533" s="103" t="s">
        <v>6405</v>
      </c>
      <c r="I533" s="103">
        <v>2153666.0</v>
      </c>
      <c r="J533" s="104" t="s">
        <v>6406</v>
      </c>
      <c r="K533" s="105"/>
      <c r="L533" s="105"/>
    </row>
    <row r="534">
      <c r="A534" s="103" t="s">
        <v>4676</v>
      </c>
      <c r="B534" s="103">
        <v>1.10010677601E11</v>
      </c>
      <c r="C534" s="105"/>
      <c r="D534" s="104" t="s">
        <v>6407</v>
      </c>
      <c r="E534" s="106"/>
      <c r="F534" s="103" t="s">
        <v>4678</v>
      </c>
      <c r="G534" s="103" t="s">
        <v>4679</v>
      </c>
      <c r="H534" s="103" t="s">
        <v>6405</v>
      </c>
      <c r="I534" s="103">
        <v>2153666.0</v>
      </c>
      <c r="J534" s="104" t="s">
        <v>6406</v>
      </c>
      <c r="K534" s="105"/>
      <c r="L534" s="105"/>
    </row>
    <row r="535">
      <c r="A535" s="103" t="s">
        <v>4676</v>
      </c>
      <c r="B535" s="103">
        <v>1.10010678E9</v>
      </c>
      <c r="C535" s="105"/>
      <c r="D535" s="104" t="s">
        <v>6408</v>
      </c>
      <c r="E535" s="104" t="s">
        <v>6409</v>
      </c>
      <c r="F535" s="103" t="s">
        <v>4678</v>
      </c>
      <c r="G535" s="103" t="s">
        <v>4679</v>
      </c>
      <c r="H535" s="103" t="s">
        <v>6410</v>
      </c>
      <c r="I535" s="103" t="s">
        <v>6411</v>
      </c>
      <c r="J535" s="104" t="s">
        <v>6412</v>
      </c>
      <c r="K535" s="105"/>
      <c r="L535" s="105"/>
    </row>
    <row r="536">
      <c r="A536" s="103" t="s">
        <v>4676</v>
      </c>
      <c r="B536" s="103">
        <v>1.10010678001E11</v>
      </c>
      <c r="C536" s="105"/>
      <c r="D536" s="104" t="s">
        <v>6408</v>
      </c>
      <c r="E536" s="104" t="s">
        <v>6413</v>
      </c>
      <c r="F536" s="103" t="s">
        <v>4678</v>
      </c>
      <c r="G536" s="103" t="s">
        <v>4679</v>
      </c>
      <c r="H536" s="103" t="s">
        <v>6414</v>
      </c>
      <c r="I536" s="103" t="s">
        <v>6411</v>
      </c>
      <c r="J536" s="104" t="s">
        <v>6412</v>
      </c>
      <c r="K536" s="105"/>
      <c r="L536" s="105"/>
    </row>
    <row r="537">
      <c r="A537" s="103" t="s">
        <v>4676</v>
      </c>
      <c r="B537" s="103">
        <v>1.100106801E9</v>
      </c>
      <c r="C537" s="105"/>
      <c r="D537" s="104" t="s">
        <v>6415</v>
      </c>
      <c r="E537" s="106"/>
      <c r="F537" s="103" t="s">
        <v>4678</v>
      </c>
      <c r="G537" s="103" t="s">
        <v>4679</v>
      </c>
      <c r="H537" s="103" t="s">
        <v>6416</v>
      </c>
      <c r="I537" s="103">
        <v>3.158981781E9</v>
      </c>
      <c r="J537" s="104" t="s">
        <v>6417</v>
      </c>
      <c r="K537" s="107" t="s">
        <v>6418</v>
      </c>
      <c r="L537" s="105"/>
    </row>
    <row r="538">
      <c r="A538" s="103" t="s">
        <v>4676</v>
      </c>
      <c r="B538" s="103">
        <v>1.10010680101E11</v>
      </c>
      <c r="C538" s="105"/>
      <c r="D538" s="104" t="s">
        <v>6419</v>
      </c>
      <c r="E538" s="104" t="s">
        <v>6420</v>
      </c>
      <c r="F538" s="103" t="s">
        <v>4678</v>
      </c>
      <c r="G538" s="103" t="s">
        <v>4679</v>
      </c>
      <c r="H538" s="103" t="s">
        <v>6421</v>
      </c>
      <c r="I538" s="103">
        <v>3.158981781E9</v>
      </c>
      <c r="J538" s="104" t="s">
        <v>6417</v>
      </c>
      <c r="K538" s="105"/>
      <c r="L538" s="105"/>
    </row>
    <row r="539">
      <c r="A539" s="103" t="s">
        <v>4676</v>
      </c>
      <c r="B539" s="103">
        <v>1.100106834E9</v>
      </c>
      <c r="C539" s="105"/>
      <c r="D539" s="104" t="s">
        <v>6422</v>
      </c>
      <c r="E539" s="104" t="s">
        <v>6423</v>
      </c>
      <c r="F539" s="103" t="s">
        <v>4678</v>
      </c>
      <c r="G539" s="103" t="s">
        <v>4679</v>
      </c>
      <c r="H539" s="103" t="s">
        <v>6424</v>
      </c>
      <c r="I539" s="103" t="s">
        <v>6425</v>
      </c>
      <c r="J539" s="104" t="s">
        <v>6426</v>
      </c>
      <c r="K539" s="103" t="s">
        <v>6427</v>
      </c>
      <c r="L539" s="105"/>
    </row>
    <row r="540">
      <c r="A540" s="103" t="s">
        <v>4676</v>
      </c>
      <c r="B540" s="103">
        <v>1.10010683401E11</v>
      </c>
      <c r="C540" s="105"/>
      <c r="D540" s="104" t="s">
        <v>6428</v>
      </c>
      <c r="E540" s="104" t="s">
        <v>6429</v>
      </c>
      <c r="F540" s="103" t="s">
        <v>4678</v>
      </c>
      <c r="G540" s="103" t="s">
        <v>4679</v>
      </c>
      <c r="H540" s="103" t="s">
        <v>6430</v>
      </c>
      <c r="I540" s="103" t="s">
        <v>6431</v>
      </c>
      <c r="J540" s="104" t="s">
        <v>6432</v>
      </c>
      <c r="K540" s="105"/>
      <c r="L540" s="105"/>
    </row>
    <row r="541">
      <c r="A541" s="103" t="s">
        <v>4676</v>
      </c>
      <c r="B541" s="103">
        <v>1.10010683406E11</v>
      </c>
      <c r="C541" s="105"/>
      <c r="D541" s="104" t="s">
        <v>6433</v>
      </c>
      <c r="E541" s="104" t="s">
        <v>6434</v>
      </c>
      <c r="F541" s="103" t="s">
        <v>4678</v>
      </c>
      <c r="G541" s="103" t="s">
        <v>4679</v>
      </c>
      <c r="H541" s="103" t="s">
        <v>6435</v>
      </c>
      <c r="I541" s="103" t="s">
        <v>6436</v>
      </c>
      <c r="J541" s="104" t="s">
        <v>6437</v>
      </c>
      <c r="K541" s="105"/>
      <c r="L541" s="105"/>
    </row>
    <row r="542">
      <c r="A542" s="103" t="s">
        <v>4676</v>
      </c>
      <c r="B542" s="103">
        <v>1.1001068341E11</v>
      </c>
      <c r="C542" s="105"/>
      <c r="D542" s="104" t="s">
        <v>6438</v>
      </c>
      <c r="E542" s="104" t="s">
        <v>6439</v>
      </c>
      <c r="F542" s="103" t="s">
        <v>4678</v>
      </c>
      <c r="G542" s="103" t="s">
        <v>4679</v>
      </c>
      <c r="H542" s="103" t="s">
        <v>6440</v>
      </c>
      <c r="I542" s="103" t="s">
        <v>6441</v>
      </c>
      <c r="J542" s="104" t="s">
        <v>6442</v>
      </c>
      <c r="K542" s="105"/>
      <c r="L542" s="105"/>
    </row>
    <row r="543">
      <c r="A543" s="103" t="s">
        <v>4676</v>
      </c>
      <c r="B543" s="103">
        <v>1.10010683411E11</v>
      </c>
      <c r="C543" s="105"/>
      <c r="D543" s="104" t="s">
        <v>6443</v>
      </c>
      <c r="E543" s="104" t="s">
        <v>6444</v>
      </c>
      <c r="F543" s="103" t="s">
        <v>4678</v>
      </c>
      <c r="G543" s="103" t="s">
        <v>4679</v>
      </c>
      <c r="H543" s="103" t="s">
        <v>6445</v>
      </c>
      <c r="I543" s="103" t="s">
        <v>6446</v>
      </c>
      <c r="J543" s="104" t="s">
        <v>6447</v>
      </c>
      <c r="K543" s="105"/>
      <c r="L543" s="105"/>
    </row>
    <row r="544">
      <c r="A544" s="103" t="s">
        <v>4676</v>
      </c>
      <c r="B544" s="103">
        <v>1.10010683413E11</v>
      </c>
      <c r="C544" s="105"/>
      <c r="D544" s="104" t="s">
        <v>6448</v>
      </c>
      <c r="E544" s="104" t="s">
        <v>6449</v>
      </c>
      <c r="F544" s="103" t="s">
        <v>4678</v>
      </c>
      <c r="G544" s="103" t="s">
        <v>4679</v>
      </c>
      <c r="H544" s="103" t="s">
        <v>6450</v>
      </c>
      <c r="I544" s="103" t="s">
        <v>6451</v>
      </c>
      <c r="J544" s="104" t="s">
        <v>6452</v>
      </c>
      <c r="K544" s="105"/>
      <c r="L544" s="105"/>
    </row>
    <row r="545">
      <c r="A545" s="103" t="s">
        <v>4676</v>
      </c>
      <c r="B545" s="103">
        <v>1.10010683414E11</v>
      </c>
      <c r="C545" s="105"/>
      <c r="D545" s="104" t="s">
        <v>6453</v>
      </c>
      <c r="E545" s="104" t="s">
        <v>6444</v>
      </c>
      <c r="F545" s="103" t="s">
        <v>4678</v>
      </c>
      <c r="G545" s="103" t="s">
        <v>4679</v>
      </c>
      <c r="H545" s="103" t="s">
        <v>6454</v>
      </c>
      <c r="I545" s="103" t="s">
        <v>6455</v>
      </c>
      <c r="J545" s="104" t="s">
        <v>6447</v>
      </c>
      <c r="K545" s="105"/>
      <c r="L545" s="105"/>
    </row>
    <row r="546">
      <c r="A546" s="103" t="s">
        <v>4676</v>
      </c>
      <c r="B546" s="103">
        <v>1.10010683415E11</v>
      </c>
      <c r="C546" s="105"/>
      <c r="D546" s="104" t="s">
        <v>6456</v>
      </c>
      <c r="E546" s="104" t="s">
        <v>6457</v>
      </c>
      <c r="F546" s="103" t="s">
        <v>4678</v>
      </c>
      <c r="G546" s="103" t="s">
        <v>4679</v>
      </c>
      <c r="H546" s="103" t="s">
        <v>6458</v>
      </c>
      <c r="I546" s="103" t="s">
        <v>6459</v>
      </c>
      <c r="J546" s="104" t="s">
        <v>6426</v>
      </c>
      <c r="K546" s="105"/>
      <c r="L546" s="105"/>
    </row>
    <row r="547">
      <c r="A547" s="103" t="s">
        <v>4676</v>
      </c>
      <c r="B547" s="103">
        <v>1.100106901E9</v>
      </c>
      <c r="C547" s="105"/>
      <c r="D547" s="104" t="s">
        <v>6460</v>
      </c>
      <c r="E547" s="104" t="s">
        <v>6461</v>
      </c>
      <c r="F547" s="103" t="s">
        <v>4678</v>
      </c>
      <c r="G547" s="103" t="s">
        <v>4679</v>
      </c>
      <c r="H547" s="103" t="s">
        <v>6462</v>
      </c>
      <c r="I547" s="103" t="s">
        <v>6463</v>
      </c>
      <c r="J547" s="104" t="s">
        <v>6464</v>
      </c>
      <c r="K547" s="105"/>
      <c r="L547" s="105"/>
    </row>
    <row r="548">
      <c r="A548" s="103" t="s">
        <v>4676</v>
      </c>
      <c r="B548" s="103">
        <v>1.10010690101E11</v>
      </c>
      <c r="C548" s="105"/>
      <c r="D548" s="104" t="s">
        <v>6460</v>
      </c>
      <c r="E548" s="106"/>
      <c r="F548" s="103" t="s">
        <v>4678</v>
      </c>
      <c r="G548" s="103" t="s">
        <v>4679</v>
      </c>
      <c r="H548" s="103" t="s">
        <v>6462</v>
      </c>
      <c r="I548" s="103" t="s">
        <v>6465</v>
      </c>
      <c r="J548" s="104" t="s">
        <v>6464</v>
      </c>
      <c r="K548" s="105"/>
      <c r="L548" s="105"/>
    </row>
    <row r="549">
      <c r="A549" s="103" t="s">
        <v>4676</v>
      </c>
      <c r="B549" s="103">
        <v>1.100106913E9</v>
      </c>
      <c r="C549" s="105"/>
      <c r="D549" s="104" t="s">
        <v>6466</v>
      </c>
      <c r="E549" s="104" t="s">
        <v>6467</v>
      </c>
      <c r="F549" s="103" t="s">
        <v>4678</v>
      </c>
      <c r="G549" s="103" t="s">
        <v>4679</v>
      </c>
      <c r="H549" s="103" t="s">
        <v>6468</v>
      </c>
      <c r="I549" s="103">
        <v>7209040.0</v>
      </c>
      <c r="J549" s="104" t="s">
        <v>6469</v>
      </c>
      <c r="K549" s="105"/>
      <c r="L549" s="105"/>
    </row>
    <row r="550">
      <c r="A550" s="103" t="s">
        <v>4676</v>
      </c>
      <c r="B550" s="103">
        <v>1.10010691301E11</v>
      </c>
      <c r="C550" s="105"/>
      <c r="D550" s="104" t="s">
        <v>6466</v>
      </c>
      <c r="E550" s="106"/>
      <c r="F550" s="103" t="s">
        <v>4678</v>
      </c>
      <c r="G550" s="103" t="s">
        <v>4679</v>
      </c>
      <c r="H550" s="103" t="s">
        <v>6468</v>
      </c>
      <c r="I550" s="103">
        <v>7438421.0</v>
      </c>
      <c r="J550" s="104" t="s">
        <v>6469</v>
      </c>
      <c r="K550" s="105"/>
      <c r="L550" s="105"/>
    </row>
    <row r="551">
      <c r="A551" s="103" t="s">
        <v>4676</v>
      </c>
      <c r="B551" s="103">
        <v>1.10010691302E11</v>
      </c>
      <c r="C551" s="105"/>
      <c r="D551" s="104" t="s">
        <v>6470</v>
      </c>
      <c r="E551" s="104" t="s">
        <v>6471</v>
      </c>
      <c r="F551" s="103" t="s">
        <v>4678</v>
      </c>
      <c r="G551" s="103" t="s">
        <v>4679</v>
      </c>
      <c r="H551" s="103" t="s">
        <v>6472</v>
      </c>
      <c r="I551" s="103">
        <v>6266716.0</v>
      </c>
      <c r="J551" s="104" t="s">
        <v>6469</v>
      </c>
      <c r="K551" s="105"/>
      <c r="L551" s="105"/>
    </row>
    <row r="552">
      <c r="A552" s="103" t="s">
        <v>4676</v>
      </c>
      <c r="B552" s="103">
        <v>1.100106948E9</v>
      </c>
      <c r="C552" s="105"/>
      <c r="D552" s="104" t="s">
        <v>6473</v>
      </c>
      <c r="E552" s="104" t="s">
        <v>6474</v>
      </c>
      <c r="F552" s="103" t="s">
        <v>4678</v>
      </c>
      <c r="G552" s="103" t="s">
        <v>4679</v>
      </c>
      <c r="H552" s="103" t="s">
        <v>6475</v>
      </c>
      <c r="I552" s="103">
        <v>5302682.0</v>
      </c>
      <c r="J552" s="104" t="s">
        <v>6476</v>
      </c>
      <c r="K552" s="105"/>
      <c r="L552" s="105"/>
    </row>
    <row r="553">
      <c r="A553" s="103" t="s">
        <v>4676</v>
      </c>
      <c r="B553" s="103">
        <v>1.10010694801E11</v>
      </c>
      <c r="C553" s="105"/>
      <c r="D553" s="104" t="s">
        <v>6477</v>
      </c>
      <c r="E553" s="104" t="s">
        <v>6478</v>
      </c>
      <c r="F553" s="103" t="s">
        <v>4678</v>
      </c>
      <c r="G553" s="103" t="s">
        <v>4679</v>
      </c>
      <c r="H553" s="103" t="s">
        <v>6475</v>
      </c>
      <c r="I553" s="103">
        <v>5302682.0</v>
      </c>
      <c r="J553" s="104" t="s">
        <v>6476</v>
      </c>
      <c r="K553" s="105"/>
      <c r="L553" s="105"/>
    </row>
    <row r="554">
      <c r="A554" s="103" t="s">
        <v>4676</v>
      </c>
      <c r="B554" s="103">
        <v>1.100106954E9</v>
      </c>
      <c r="C554" s="105"/>
      <c r="D554" s="104" t="s">
        <v>6479</v>
      </c>
      <c r="E554" s="104" t="s">
        <v>6480</v>
      </c>
      <c r="F554" s="103" t="s">
        <v>4678</v>
      </c>
      <c r="G554" s="103" t="s">
        <v>4679</v>
      </c>
      <c r="H554" s="103" t="s">
        <v>6481</v>
      </c>
      <c r="I554" s="103">
        <v>5474900.0</v>
      </c>
      <c r="J554" s="106"/>
      <c r="K554" s="105"/>
      <c r="L554" s="105"/>
    </row>
    <row r="555">
      <c r="A555" s="103" t="s">
        <v>4676</v>
      </c>
      <c r="B555" s="103">
        <v>1.10010695402E11</v>
      </c>
      <c r="C555" s="105"/>
      <c r="D555" s="104" t="s">
        <v>6482</v>
      </c>
      <c r="E555" s="106"/>
      <c r="F555" s="103" t="s">
        <v>4678</v>
      </c>
      <c r="G555" s="103" t="s">
        <v>4679</v>
      </c>
      <c r="H555" s="103" t="s">
        <v>6483</v>
      </c>
      <c r="I555" s="105"/>
      <c r="J555" s="106"/>
      <c r="K555" s="105"/>
      <c r="L555" s="105"/>
    </row>
    <row r="556">
      <c r="A556" s="103" t="s">
        <v>4676</v>
      </c>
      <c r="B556" s="103">
        <v>1.10010695403E11</v>
      </c>
      <c r="C556" s="105"/>
      <c r="D556" s="104" t="s">
        <v>6484</v>
      </c>
      <c r="E556" s="106"/>
      <c r="F556" s="103" t="s">
        <v>4678</v>
      </c>
      <c r="G556" s="103" t="s">
        <v>4679</v>
      </c>
      <c r="H556" s="103" t="s">
        <v>6481</v>
      </c>
      <c r="I556" s="105"/>
      <c r="J556" s="106"/>
      <c r="K556" s="105"/>
      <c r="L556" s="105"/>
    </row>
    <row r="557">
      <c r="A557" s="103" t="s">
        <v>4676</v>
      </c>
      <c r="B557" s="103">
        <v>1.10010695404E11</v>
      </c>
      <c r="C557" s="105"/>
      <c r="D557" s="104" t="s">
        <v>6485</v>
      </c>
      <c r="E557" s="106"/>
      <c r="F557" s="103" t="s">
        <v>4678</v>
      </c>
      <c r="G557" s="103" t="s">
        <v>4679</v>
      </c>
      <c r="H557" s="103" t="s">
        <v>6486</v>
      </c>
      <c r="I557" s="105"/>
      <c r="J557" s="106"/>
      <c r="K557" s="105"/>
      <c r="L557" s="105"/>
    </row>
    <row r="558">
      <c r="A558" s="103" t="s">
        <v>4676</v>
      </c>
      <c r="B558" s="103">
        <v>1.10010695405E11</v>
      </c>
      <c r="C558" s="105"/>
      <c r="D558" s="104" t="s">
        <v>6487</v>
      </c>
      <c r="E558" s="106"/>
      <c r="F558" s="103" t="s">
        <v>4678</v>
      </c>
      <c r="G558" s="103" t="s">
        <v>4679</v>
      </c>
      <c r="H558" s="103" t="s">
        <v>6488</v>
      </c>
      <c r="I558" s="105"/>
      <c r="J558" s="106"/>
      <c r="K558" s="105"/>
      <c r="L558" s="105"/>
    </row>
    <row r="559">
      <c r="A559" s="103" t="s">
        <v>4676</v>
      </c>
      <c r="B559" s="103">
        <v>1.10010695406E11</v>
      </c>
      <c r="C559" s="105"/>
      <c r="D559" s="104" t="s">
        <v>6489</v>
      </c>
      <c r="E559" s="106"/>
      <c r="F559" s="103" t="s">
        <v>4678</v>
      </c>
      <c r="G559" s="103" t="s">
        <v>4679</v>
      </c>
      <c r="H559" s="103" t="s">
        <v>6490</v>
      </c>
      <c r="I559" s="105"/>
      <c r="J559" s="106"/>
      <c r="K559" s="105"/>
      <c r="L559" s="105"/>
    </row>
    <row r="560">
      <c r="A560" s="103" t="s">
        <v>4676</v>
      </c>
      <c r="B560" s="103">
        <v>1.10010695407E11</v>
      </c>
      <c r="C560" s="105"/>
      <c r="D560" s="104" t="s">
        <v>6491</v>
      </c>
      <c r="E560" s="104" t="s">
        <v>6492</v>
      </c>
      <c r="F560" s="103" t="s">
        <v>4678</v>
      </c>
      <c r="G560" s="103" t="s">
        <v>4679</v>
      </c>
      <c r="H560" s="103" t="s">
        <v>6493</v>
      </c>
      <c r="I560" s="103">
        <v>2513758.0</v>
      </c>
      <c r="J560" s="104" t="s">
        <v>6494</v>
      </c>
      <c r="K560" s="105"/>
      <c r="L560" s="105"/>
    </row>
    <row r="561">
      <c r="A561" s="103" t="s">
        <v>4676</v>
      </c>
      <c r="B561" s="103">
        <v>1.100106971E9</v>
      </c>
      <c r="C561" s="105"/>
      <c r="D561" s="104" t="s">
        <v>6495</v>
      </c>
      <c r="E561" s="104" t="s">
        <v>6496</v>
      </c>
      <c r="F561" s="103" t="s">
        <v>4678</v>
      </c>
      <c r="G561" s="103" t="s">
        <v>4679</v>
      </c>
      <c r="H561" s="103" t="s">
        <v>6497</v>
      </c>
      <c r="I561" s="103">
        <v>6200937.0</v>
      </c>
      <c r="J561" s="104" t="s">
        <v>6498</v>
      </c>
      <c r="K561" s="105"/>
      <c r="L561" s="105"/>
    </row>
    <row r="562">
      <c r="A562" s="103" t="s">
        <v>4676</v>
      </c>
      <c r="B562" s="103">
        <v>1.10010697101E11</v>
      </c>
      <c r="C562" s="105"/>
      <c r="D562" s="104" t="s">
        <v>6495</v>
      </c>
      <c r="E562" s="106"/>
      <c r="F562" s="103" t="s">
        <v>4678</v>
      </c>
      <c r="G562" s="103" t="s">
        <v>4679</v>
      </c>
      <c r="H562" s="103" t="s">
        <v>6497</v>
      </c>
      <c r="I562" s="105"/>
      <c r="J562" s="104" t="s">
        <v>6498</v>
      </c>
      <c r="K562" s="105"/>
      <c r="L562" s="105"/>
    </row>
    <row r="563">
      <c r="A563" s="103" t="s">
        <v>4676</v>
      </c>
      <c r="B563" s="103">
        <v>1.100107019E9</v>
      </c>
      <c r="C563" s="105"/>
      <c r="D563" s="104" t="s">
        <v>6499</v>
      </c>
      <c r="E563" s="104" t="s">
        <v>6500</v>
      </c>
      <c r="F563" s="103" t="s">
        <v>4678</v>
      </c>
      <c r="G563" s="103" t="s">
        <v>4679</v>
      </c>
      <c r="H563" s="103" t="s">
        <v>6501</v>
      </c>
      <c r="I563" s="103">
        <v>2261256.0</v>
      </c>
      <c r="J563" s="106"/>
      <c r="K563" s="105"/>
      <c r="L563" s="105"/>
    </row>
    <row r="564">
      <c r="A564" s="103" t="s">
        <v>4676</v>
      </c>
      <c r="B564" s="103">
        <v>1.10010701901E11</v>
      </c>
      <c r="C564" s="105"/>
      <c r="D564" s="104" t="s">
        <v>6499</v>
      </c>
      <c r="E564" s="106"/>
      <c r="F564" s="103" t="s">
        <v>4678</v>
      </c>
      <c r="G564" s="103" t="s">
        <v>4679</v>
      </c>
      <c r="H564" s="103" t="s">
        <v>6501</v>
      </c>
      <c r="I564" s="105"/>
      <c r="J564" s="106"/>
      <c r="K564" s="105"/>
      <c r="L564" s="105"/>
    </row>
    <row r="565">
      <c r="A565" s="103" t="s">
        <v>4676</v>
      </c>
      <c r="B565" s="103">
        <v>1.100107034E9</v>
      </c>
      <c r="C565" s="105"/>
      <c r="D565" s="104" t="s">
        <v>6502</v>
      </c>
      <c r="E565" s="104" t="s">
        <v>6503</v>
      </c>
      <c r="F565" s="103" t="s">
        <v>4678</v>
      </c>
      <c r="G565" s="103" t="s">
        <v>4679</v>
      </c>
      <c r="H565" s="103" t="s">
        <v>6504</v>
      </c>
      <c r="I565" s="103" t="s">
        <v>6505</v>
      </c>
      <c r="J565" s="104" t="s">
        <v>6506</v>
      </c>
      <c r="K565" s="107" t="s">
        <v>6507</v>
      </c>
      <c r="L565" s="105"/>
    </row>
    <row r="566">
      <c r="A566" s="103" t="s">
        <v>4676</v>
      </c>
      <c r="B566" s="103">
        <v>1.10010703401E11</v>
      </c>
      <c r="C566" s="105"/>
      <c r="D566" s="104" t="s">
        <v>6508</v>
      </c>
      <c r="E566" s="104" t="s">
        <v>6503</v>
      </c>
      <c r="F566" s="103" t="s">
        <v>4678</v>
      </c>
      <c r="G566" s="103" t="s">
        <v>4679</v>
      </c>
      <c r="H566" s="103" t="s">
        <v>6504</v>
      </c>
      <c r="I566" s="103" t="s">
        <v>6505</v>
      </c>
      <c r="J566" s="104" t="s">
        <v>6506</v>
      </c>
      <c r="K566" s="105"/>
      <c r="L566" s="105"/>
    </row>
    <row r="567">
      <c r="A567" s="103" t="s">
        <v>4676</v>
      </c>
      <c r="B567" s="103">
        <v>1.100107037E9</v>
      </c>
      <c r="C567" s="105"/>
      <c r="D567" s="104" t="s">
        <v>6509</v>
      </c>
      <c r="E567" s="104" t="s">
        <v>6510</v>
      </c>
      <c r="F567" s="103" t="s">
        <v>4678</v>
      </c>
      <c r="G567" s="103" t="s">
        <v>4679</v>
      </c>
      <c r="H567" s="103" t="s">
        <v>6511</v>
      </c>
      <c r="I567" s="103">
        <v>6774390.0</v>
      </c>
      <c r="J567" s="104" t="s">
        <v>6512</v>
      </c>
      <c r="K567" s="105"/>
      <c r="L567" s="105"/>
    </row>
    <row r="568">
      <c r="A568" s="103" t="s">
        <v>4676</v>
      </c>
      <c r="B568" s="103">
        <v>1.10010703701E11</v>
      </c>
      <c r="C568" s="105"/>
      <c r="D568" s="104" t="s">
        <v>6509</v>
      </c>
      <c r="E568" s="104" t="s">
        <v>6513</v>
      </c>
      <c r="F568" s="103" t="s">
        <v>4678</v>
      </c>
      <c r="G568" s="103" t="s">
        <v>4679</v>
      </c>
      <c r="H568" s="103" t="s">
        <v>6514</v>
      </c>
      <c r="I568" s="103">
        <v>3.045253177E9</v>
      </c>
      <c r="J568" s="104" t="s">
        <v>6512</v>
      </c>
      <c r="K568" s="105"/>
      <c r="L568" s="105"/>
    </row>
    <row r="569">
      <c r="A569" s="103" t="s">
        <v>4676</v>
      </c>
      <c r="B569" s="103">
        <v>1.100107039E9</v>
      </c>
      <c r="C569" s="105"/>
      <c r="D569" s="104" t="s">
        <v>6515</v>
      </c>
      <c r="E569" s="104" t="s">
        <v>6516</v>
      </c>
      <c r="F569" s="103" t="s">
        <v>4678</v>
      </c>
      <c r="G569" s="103" t="s">
        <v>4679</v>
      </c>
      <c r="H569" s="103" t="s">
        <v>6517</v>
      </c>
      <c r="I569" s="103" t="s">
        <v>6518</v>
      </c>
      <c r="J569" s="104" t="s">
        <v>6519</v>
      </c>
      <c r="K569" s="105"/>
      <c r="L569" s="105"/>
    </row>
    <row r="570">
      <c r="A570" s="103" t="s">
        <v>4676</v>
      </c>
      <c r="B570" s="103">
        <v>1.10010703901E11</v>
      </c>
      <c r="C570" s="105"/>
      <c r="D570" s="104" t="s">
        <v>6520</v>
      </c>
      <c r="E570" s="104" t="s">
        <v>6521</v>
      </c>
      <c r="F570" s="103" t="s">
        <v>4678</v>
      </c>
      <c r="G570" s="103" t="s">
        <v>4679</v>
      </c>
      <c r="H570" s="103" t="s">
        <v>6517</v>
      </c>
      <c r="I570" s="103" t="s">
        <v>6518</v>
      </c>
      <c r="J570" s="104" t="s">
        <v>6519</v>
      </c>
      <c r="K570" s="105"/>
      <c r="L570" s="105"/>
    </row>
    <row r="571">
      <c r="A571" s="103" t="s">
        <v>4676</v>
      </c>
      <c r="B571" s="103">
        <v>1.10010703902E11</v>
      </c>
      <c r="C571" s="105"/>
      <c r="D571" s="104" t="s">
        <v>6522</v>
      </c>
      <c r="E571" s="104" t="s">
        <v>6523</v>
      </c>
      <c r="F571" s="103" t="s">
        <v>4678</v>
      </c>
      <c r="G571" s="103" t="s">
        <v>4679</v>
      </c>
      <c r="H571" s="103" t="s">
        <v>6524</v>
      </c>
      <c r="I571" s="103" t="s">
        <v>6525</v>
      </c>
      <c r="J571" s="104" t="s">
        <v>6526</v>
      </c>
      <c r="K571" s="105"/>
      <c r="L571" s="105"/>
    </row>
    <row r="572">
      <c r="A572" s="103" t="s">
        <v>4676</v>
      </c>
      <c r="B572" s="103">
        <v>1.100107091E9</v>
      </c>
      <c r="C572" s="105"/>
      <c r="D572" s="104" t="s">
        <v>6527</v>
      </c>
      <c r="E572" s="104" t="s">
        <v>6528</v>
      </c>
      <c r="F572" s="103" t="s">
        <v>4678</v>
      </c>
      <c r="G572" s="103" t="s">
        <v>4679</v>
      </c>
      <c r="H572" s="103" t="s">
        <v>6529</v>
      </c>
      <c r="I572" s="103" t="s">
        <v>6530</v>
      </c>
      <c r="J572" s="104" t="s">
        <v>6531</v>
      </c>
      <c r="K572" s="107" t="s">
        <v>6532</v>
      </c>
      <c r="L572" s="105"/>
    </row>
    <row r="573">
      <c r="A573" s="103" t="s">
        <v>4676</v>
      </c>
      <c r="B573" s="103">
        <v>1.10010709101E11</v>
      </c>
      <c r="C573" s="105"/>
      <c r="D573" s="104" t="s">
        <v>6533</v>
      </c>
      <c r="E573" s="104" t="s">
        <v>6534</v>
      </c>
      <c r="F573" s="103" t="s">
        <v>4678</v>
      </c>
      <c r="G573" s="103" t="s">
        <v>4679</v>
      </c>
      <c r="H573" s="103" t="s">
        <v>6529</v>
      </c>
      <c r="I573" s="103" t="s">
        <v>6530</v>
      </c>
      <c r="J573" s="104" t="s">
        <v>6531</v>
      </c>
      <c r="K573" s="105"/>
      <c r="L573" s="105"/>
    </row>
    <row r="574">
      <c r="A574" s="103" t="s">
        <v>4676</v>
      </c>
      <c r="B574" s="103">
        <v>1.10010709102E11</v>
      </c>
      <c r="C574" s="105"/>
      <c r="D574" s="104" t="s">
        <v>6535</v>
      </c>
      <c r="E574" s="104" t="s">
        <v>6534</v>
      </c>
      <c r="F574" s="103" t="s">
        <v>4678</v>
      </c>
      <c r="G574" s="103" t="s">
        <v>4679</v>
      </c>
      <c r="H574" s="103" t="s">
        <v>6536</v>
      </c>
      <c r="I574" s="103" t="s">
        <v>6537</v>
      </c>
      <c r="J574" s="104" t="s">
        <v>6531</v>
      </c>
      <c r="K574" s="105"/>
      <c r="L574" s="105"/>
    </row>
    <row r="575">
      <c r="A575" s="103" t="s">
        <v>4676</v>
      </c>
      <c r="B575" s="103">
        <v>1.10010709104E11</v>
      </c>
      <c r="C575" s="105"/>
      <c r="D575" s="104" t="s">
        <v>6538</v>
      </c>
      <c r="E575" s="104" t="s">
        <v>6534</v>
      </c>
      <c r="F575" s="103" t="s">
        <v>4678</v>
      </c>
      <c r="G575" s="103" t="s">
        <v>4679</v>
      </c>
      <c r="H575" s="103" t="s">
        <v>6539</v>
      </c>
      <c r="I575" s="103" t="s">
        <v>6540</v>
      </c>
      <c r="J575" s="104" t="s">
        <v>6531</v>
      </c>
      <c r="K575" s="105"/>
      <c r="L575" s="105"/>
    </row>
    <row r="576">
      <c r="A576" s="103" t="s">
        <v>4676</v>
      </c>
      <c r="B576" s="103">
        <v>1.10010709108E11</v>
      </c>
      <c r="C576" s="105"/>
      <c r="D576" s="104" t="s">
        <v>6541</v>
      </c>
      <c r="E576" s="104" t="s">
        <v>6534</v>
      </c>
      <c r="F576" s="103" t="s">
        <v>4678</v>
      </c>
      <c r="G576" s="103" t="s">
        <v>4679</v>
      </c>
      <c r="H576" s="103" t="s">
        <v>6542</v>
      </c>
      <c r="I576" s="103" t="s">
        <v>6543</v>
      </c>
      <c r="J576" s="104" t="s">
        <v>6531</v>
      </c>
      <c r="K576" s="105"/>
      <c r="L576" s="105"/>
    </row>
    <row r="577">
      <c r="A577" s="103" t="s">
        <v>4676</v>
      </c>
      <c r="B577" s="103">
        <v>1.10010709109E11</v>
      </c>
      <c r="C577" s="105"/>
      <c r="D577" s="104" t="s">
        <v>6544</v>
      </c>
      <c r="E577" s="104" t="s">
        <v>6534</v>
      </c>
      <c r="F577" s="103" t="s">
        <v>4678</v>
      </c>
      <c r="G577" s="103" t="s">
        <v>4679</v>
      </c>
      <c r="H577" s="103" t="s">
        <v>6545</v>
      </c>
      <c r="I577" s="103" t="s">
        <v>6546</v>
      </c>
      <c r="J577" s="104" t="s">
        <v>6531</v>
      </c>
      <c r="K577" s="105"/>
      <c r="L577" s="105"/>
    </row>
    <row r="578">
      <c r="A578" s="103" t="s">
        <v>4676</v>
      </c>
      <c r="B578" s="103">
        <v>1.10010709111E11</v>
      </c>
      <c r="C578" s="105"/>
      <c r="D578" s="104" t="s">
        <v>6547</v>
      </c>
      <c r="E578" s="104" t="s">
        <v>6534</v>
      </c>
      <c r="F578" s="103" t="s">
        <v>4678</v>
      </c>
      <c r="G578" s="103" t="s">
        <v>4679</v>
      </c>
      <c r="H578" s="103" t="s">
        <v>6548</v>
      </c>
      <c r="I578" s="103" t="s">
        <v>6549</v>
      </c>
      <c r="J578" s="104" t="s">
        <v>6531</v>
      </c>
      <c r="K578" s="105"/>
      <c r="L578" s="105"/>
    </row>
    <row r="579">
      <c r="A579" s="103" t="s">
        <v>4676</v>
      </c>
      <c r="B579" s="103">
        <v>1.10010709114E11</v>
      </c>
      <c r="C579" s="105"/>
      <c r="D579" s="104" t="s">
        <v>6550</v>
      </c>
      <c r="E579" s="104" t="s">
        <v>6534</v>
      </c>
      <c r="F579" s="103" t="s">
        <v>4678</v>
      </c>
      <c r="G579" s="103" t="s">
        <v>4679</v>
      </c>
      <c r="H579" s="103" t="s">
        <v>6551</v>
      </c>
      <c r="I579" s="103" t="s">
        <v>6552</v>
      </c>
      <c r="J579" s="104" t="s">
        <v>6531</v>
      </c>
      <c r="K579" s="105"/>
      <c r="L579" s="105"/>
    </row>
    <row r="580">
      <c r="A580" s="103" t="s">
        <v>4676</v>
      </c>
      <c r="B580" s="103">
        <v>1.10010709115E11</v>
      </c>
      <c r="C580" s="105"/>
      <c r="D580" s="104" t="s">
        <v>6553</v>
      </c>
      <c r="E580" s="104" t="s">
        <v>6534</v>
      </c>
      <c r="F580" s="103" t="s">
        <v>4678</v>
      </c>
      <c r="G580" s="103" t="s">
        <v>4679</v>
      </c>
      <c r="H580" s="103" t="s">
        <v>6554</v>
      </c>
      <c r="I580" s="103" t="s">
        <v>6555</v>
      </c>
      <c r="J580" s="104" t="s">
        <v>6531</v>
      </c>
      <c r="K580" s="105"/>
      <c r="L580" s="105"/>
    </row>
    <row r="581">
      <c r="A581" s="103" t="s">
        <v>4676</v>
      </c>
      <c r="B581" s="103">
        <v>1.10010709116E11</v>
      </c>
      <c r="C581" s="105"/>
      <c r="D581" s="104" t="s">
        <v>6556</v>
      </c>
      <c r="E581" s="104" t="s">
        <v>6534</v>
      </c>
      <c r="F581" s="103" t="s">
        <v>4678</v>
      </c>
      <c r="G581" s="103" t="s">
        <v>4679</v>
      </c>
      <c r="H581" s="103" t="s">
        <v>6557</v>
      </c>
      <c r="I581" s="103" t="s">
        <v>6558</v>
      </c>
      <c r="J581" s="104" t="s">
        <v>6531</v>
      </c>
      <c r="K581" s="105"/>
      <c r="L581" s="105"/>
    </row>
    <row r="582">
      <c r="A582" s="103" t="s">
        <v>4676</v>
      </c>
      <c r="B582" s="103">
        <v>1.10010709117E11</v>
      </c>
      <c r="C582" s="105"/>
      <c r="D582" s="104" t="s">
        <v>6559</v>
      </c>
      <c r="E582" s="104" t="s">
        <v>6534</v>
      </c>
      <c r="F582" s="103" t="s">
        <v>4678</v>
      </c>
      <c r="G582" s="103" t="s">
        <v>4679</v>
      </c>
      <c r="H582" s="103" t="s">
        <v>6560</v>
      </c>
      <c r="I582" s="103" t="s">
        <v>6561</v>
      </c>
      <c r="J582" s="104" t="s">
        <v>6531</v>
      </c>
      <c r="K582" s="105"/>
      <c r="L582" s="105"/>
    </row>
    <row r="583">
      <c r="A583" s="103" t="s">
        <v>4676</v>
      </c>
      <c r="B583" s="103">
        <v>1.10010709119E11</v>
      </c>
      <c r="C583" s="105"/>
      <c r="D583" s="104" t="s">
        <v>6562</v>
      </c>
      <c r="E583" s="104" t="s">
        <v>6534</v>
      </c>
      <c r="F583" s="103" t="s">
        <v>4678</v>
      </c>
      <c r="G583" s="103" t="s">
        <v>4679</v>
      </c>
      <c r="H583" s="103" t="s">
        <v>6563</v>
      </c>
      <c r="I583" s="103" t="s">
        <v>6564</v>
      </c>
      <c r="J583" s="104" t="s">
        <v>6531</v>
      </c>
      <c r="K583" s="105"/>
      <c r="L583" s="105"/>
    </row>
    <row r="584">
      <c r="A584" s="103" t="s">
        <v>4676</v>
      </c>
      <c r="B584" s="103">
        <v>1.1001070912E11</v>
      </c>
      <c r="C584" s="105"/>
      <c r="D584" s="104" t="s">
        <v>6565</v>
      </c>
      <c r="E584" s="104" t="s">
        <v>6534</v>
      </c>
      <c r="F584" s="103" t="s">
        <v>4678</v>
      </c>
      <c r="G584" s="103" t="s">
        <v>4679</v>
      </c>
      <c r="H584" s="103" t="s">
        <v>6566</v>
      </c>
      <c r="I584" s="103" t="s">
        <v>6567</v>
      </c>
      <c r="J584" s="104" t="s">
        <v>6531</v>
      </c>
      <c r="K584" s="105"/>
      <c r="L584" s="105"/>
    </row>
    <row r="585">
      <c r="A585" s="103" t="s">
        <v>4676</v>
      </c>
      <c r="B585" s="103">
        <v>1.100107119E9</v>
      </c>
      <c r="C585" s="105"/>
      <c r="D585" s="104" t="s">
        <v>6568</v>
      </c>
      <c r="E585" s="104" t="s">
        <v>6569</v>
      </c>
      <c r="F585" s="103" t="s">
        <v>4678</v>
      </c>
      <c r="G585" s="103" t="s">
        <v>4679</v>
      </c>
      <c r="H585" s="103" t="s">
        <v>6570</v>
      </c>
      <c r="I585" s="103">
        <v>7945808.0</v>
      </c>
      <c r="J585" s="104" t="s">
        <v>6571</v>
      </c>
      <c r="K585" s="105"/>
      <c r="L585" s="105"/>
    </row>
    <row r="586">
      <c r="A586" s="103" t="s">
        <v>4676</v>
      </c>
      <c r="B586" s="103">
        <v>1.10010711901E11</v>
      </c>
      <c r="C586" s="105"/>
      <c r="D586" s="104" t="s">
        <v>6568</v>
      </c>
      <c r="E586" s="104" t="s">
        <v>6572</v>
      </c>
      <c r="F586" s="103" t="s">
        <v>4678</v>
      </c>
      <c r="G586" s="103" t="s">
        <v>4679</v>
      </c>
      <c r="H586" s="103" t="s">
        <v>6573</v>
      </c>
      <c r="I586" s="103" t="s">
        <v>6574</v>
      </c>
      <c r="J586" s="104" t="s">
        <v>6575</v>
      </c>
      <c r="K586" s="105"/>
      <c r="L586" s="105"/>
    </row>
    <row r="587">
      <c r="A587" s="103" t="s">
        <v>4676</v>
      </c>
      <c r="B587" s="103">
        <v>1.100107138E9</v>
      </c>
      <c r="C587" s="105"/>
      <c r="D587" s="104" t="s">
        <v>6576</v>
      </c>
      <c r="E587" s="104" t="s">
        <v>6577</v>
      </c>
      <c r="F587" s="103" t="s">
        <v>4678</v>
      </c>
      <c r="G587" s="103" t="s">
        <v>4679</v>
      </c>
      <c r="H587" s="103" t="s">
        <v>6578</v>
      </c>
      <c r="I587" s="103" t="s">
        <v>6579</v>
      </c>
      <c r="J587" s="104" t="s">
        <v>6580</v>
      </c>
      <c r="K587" s="105"/>
      <c r="L587" s="105"/>
    </row>
    <row r="588">
      <c r="A588" s="103" t="s">
        <v>4676</v>
      </c>
      <c r="B588" s="103">
        <v>1.10010713801E11</v>
      </c>
      <c r="C588" s="105"/>
      <c r="D588" s="104" t="s">
        <v>6576</v>
      </c>
      <c r="E588" s="104" t="s">
        <v>6581</v>
      </c>
      <c r="F588" s="103" t="s">
        <v>4678</v>
      </c>
      <c r="G588" s="103" t="s">
        <v>4679</v>
      </c>
      <c r="H588" s="103" t="s">
        <v>6578</v>
      </c>
      <c r="I588" s="103" t="s">
        <v>6579</v>
      </c>
      <c r="J588" s="104" t="s">
        <v>6582</v>
      </c>
      <c r="K588" s="105"/>
      <c r="L588" s="105"/>
    </row>
    <row r="589">
      <c r="A589" s="103" t="s">
        <v>4676</v>
      </c>
      <c r="B589" s="103">
        <v>1.100107161E9</v>
      </c>
      <c r="C589" s="105"/>
      <c r="D589" s="104" t="s">
        <v>6583</v>
      </c>
      <c r="E589" s="104" t="s">
        <v>6584</v>
      </c>
      <c r="F589" s="103" t="s">
        <v>4678</v>
      </c>
      <c r="G589" s="103" t="s">
        <v>4679</v>
      </c>
      <c r="H589" s="103" t="s">
        <v>6585</v>
      </c>
      <c r="I589" s="103" t="s">
        <v>6586</v>
      </c>
      <c r="J589" s="104" t="s">
        <v>6587</v>
      </c>
      <c r="K589" s="107" t="s">
        <v>6588</v>
      </c>
      <c r="L589" s="105"/>
    </row>
    <row r="590">
      <c r="A590" s="103" t="s">
        <v>4676</v>
      </c>
      <c r="B590" s="103">
        <v>1.10010716101E11</v>
      </c>
      <c r="C590" s="105"/>
      <c r="D590" s="104" t="s">
        <v>6589</v>
      </c>
      <c r="E590" s="104" t="s">
        <v>6590</v>
      </c>
      <c r="F590" s="103" t="s">
        <v>4678</v>
      </c>
      <c r="G590" s="103" t="s">
        <v>4679</v>
      </c>
      <c r="H590" s="103" t="s">
        <v>6591</v>
      </c>
      <c r="I590" s="103" t="s">
        <v>6592</v>
      </c>
      <c r="J590" s="104" t="s">
        <v>6587</v>
      </c>
      <c r="K590" s="105"/>
      <c r="L590" s="105"/>
    </row>
    <row r="591">
      <c r="A591" s="103" t="s">
        <v>4676</v>
      </c>
      <c r="B591" s="103">
        <v>1.10010716105E11</v>
      </c>
      <c r="C591" s="105"/>
      <c r="D591" s="104" t="s">
        <v>6593</v>
      </c>
      <c r="E591" s="104" t="s">
        <v>6590</v>
      </c>
      <c r="F591" s="103" t="s">
        <v>4678</v>
      </c>
      <c r="G591" s="103" t="s">
        <v>4679</v>
      </c>
      <c r="H591" s="103" t="s">
        <v>6594</v>
      </c>
      <c r="I591" s="103" t="s">
        <v>6586</v>
      </c>
      <c r="J591" s="104" t="s">
        <v>6587</v>
      </c>
      <c r="K591" s="105"/>
      <c r="L591" s="105"/>
    </row>
    <row r="592">
      <c r="A592" s="103" t="s">
        <v>4676</v>
      </c>
      <c r="B592" s="103">
        <v>1.100107164E9</v>
      </c>
      <c r="C592" s="105"/>
      <c r="D592" s="104" t="s">
        <v>6595</v>
      </c>
      <c r="E592" s="104" t="s">
        <v>6596</v>
      </c>
      <c r="F592" s="103" t="s">
        <v>4678</v>
      </c>
      <c r="G592" s="103" t="s">
        <v>4679</v>
      </c>
      <c r="H592" s="103" t="s">
        <v>6597</v>
      </c>
      <c r="I592" s="103">
        <v>6102059.0</v>
      </c>
      <c r="J592" s="104" t="s">
        <v>6598</v>
      </c>
      <c r="K592" s="105"/>
      <c r="L592" s="105"/>
    </row>
    <row r="593">
      <c r="A593" s="103" t="s">
        <v>4676</v>
      </c>
      <c r="B593" s="103">
        <v>1.10010716401E11</v>
      </c>
      <c r="C593" s="105"/>
      <c r="D593" s="104" t="s">
        <v>6595</v>
      </c>
      <c r="E593" s="106"/>
      <c r="F593" s="103" t="s">
        <v>4678</v>
      </c>
      <c r="G593" s="103" t="s">
        <v>4679</v>
      </c>
      <c r="H593" s="103" t="s">
        <v>6597</v>
      </c>
      <c r="I593" s="105"/>
      <c r="J593" s="104" t="s">
        <v>6598</v>
      </c>
      <c r="K593" s="105"/>
      <c r="L593" s="105"/>
    </row>
    <row r="594">
      <c r="A594" s="103" t="s">
        <v>4676</v>
      </c>
      <c r="B594" s="103">
        <v>1.100107308E9</v>
      </c>
      <c r="C594" s="105"/>
      <c r="D594" s="104" t="s">
        <v>6599</v>
      </c>
      <c r="E594" s="104" t="s">
        <v>6600</v>
      </c>
      <c r="F594" s="103" t="s">
        <v>4678</v>
      </c>
      <c r="G594" s="103" t="s">
        <v>4679</v>
      </c>
      <c r="H594" s="103" t="s">
        <v>6601</v>
      </c>
      <c r="I594" s="103">
        <v>5405838.0</v>
      </c>
      <c r="J594" s="104" t="s">
        <v>6602</v>
      </c>
      <c r="K594" s="105"/>
      <c r="L594" s="105"/>
    </row>
    <row r="595">
      <c r="A595" s="103" t="s">
        <v>4676</v>
      </c>
      <c r="B595" s="103">
        <v>1.10010730801E11</v>
      </c>
      <c r="C595" s="105"/>
      <c r="D595" s="104" t="s">
        <v>6599</v>
      </c>
      <c r="E595" s="104" t="s">
        <v>6603</v>
      </c>
      <c r="F595" s="103" t="s">
        <v>4678</v>
      </c>
      <c r="G595" s="103" t="s">
        <v>4679</v>
      </c>
      <c r="H595" s="103" t="s">
        <v>6604</v>
      </c>
      <c r="I595" s="103">
        <v>5405838.0</v>
      </c>
      <c r="J595" s="104" t="s">
        <v>6602</v>
      </c>
      <c r="K595" s="105"/>
      <c r="L595" s="105"/>
    </row>
    <row r="596">
      <c r="A596" s="103" t="s">
        <v>4676</v>
      </c>
      <c r="B596" s="103">
        <v>1.10010730804E11</v>
      </c>
      <c r="C596" s="105"/>
      <c r="D596" s="104" t="s">
        <v>6605</v>
      </c>
      <c r="E596" s="106"/>
      <c r="F596" s="103" t="s">
        <v>4678</v>
      </c>
      <c r="G596" s="103" t="s">
        <v>4679</v>
      </c>
      <c r="H596" s="103" t="s">
        <v>6606</v>
      </c>
      <c r="I596" s="103">
        <v>2141716.0</v>
      </c>
      <c r="J596" s="104" t="s">
        <v>6602</v>
      </c>
      <c r="K596" s="105"/>
      <c r="L596" s="105"/>
    </row>
    <row r="597">
      <c r="A597" s="103" t="s">
        <v>4676</v>
      </c>
      <c r="B597" s="103">
        <v>1.10010730806E11</v>
      </c>
      <c r="C597" s="105"/>
      <c r="D597" s="104" t="s">
        <v>6599</v>
      </c>
      <c r="E597" s="104" t="s">
        <v>6603</v>
      </c>
      <c r="F597" s="103" t="s">
        <v>4678</v>
      </c>
      <c r="G597" s="103" t="s">
        <v>4679</v>
      </c>
      <c r="H597" s="103" t="s">
        <v>6607</v>
      </c>
      <c r="I597" s="103">
        <v>6862809.0</v>
      </c>
      <c r="J597" s="104" t="s">
        <v>6602</v>
      </c>
      <c r="K597" s="105"/>
      <c r="L597" s="105"/>
    </row>
    <row r="598">
      <c r="A598" s="103" t="s">
        <v>4676</v>
      </c>
      <c r="B598" s="103">
        <v>1.100107313E9</v>
      </c>
      <c r="C598" s="105"/>
      <c r="D598" s="104" t="s">
        <v>6608</v>
      </c>
      <c r="E598" s="104" t="s">
        <v>6609</v>
      </c>
      <c r="F598" s="103" t="s">
        <v>4678</v>
      </c>
      <c r="G598" s="103" t="s">
        <v>4679</v>
      </c>
      <c r="H598" s="103" t="s">
        <v>6610</v>
      </c>
      <c r="I598" s="103" t="s">
        <v>6611</v>
      </c>
      <c r="J598" s="104" t="s">
        <v>6612</v>
      </c>
      <c r="K598" s="105"/>
      <c r="L598" s="105"/>
    </row>
    <row r="599">
      <c r="A599" s="103" t="s">
        <v>4676</v>
      </c>
      <c r="B599" s="103">
        <v>1.10010731301E11</v>
      </c>
      <c r="C599" s="105"/>
      <c r="D599" s="104" t="s">
        <v>6613</v>
      </c>
      <c r="E599" s="104" t="s">
        <v>6614</v>
      </c>
      <c r="F599" s="103" t="s">
        <v>4678</v>
      </c>
      <c r="G599" s="103" t="s">
        <v>4679</v>
      </c>
      <c r="H599" s="103" t="s">
        <v>6615</v>
      </c>
      <c r="I599" s="103" t="s">
        <v>6616</v>
      </c>
      <c r="J599" s="104" t="s">
        <v>6612</v>
      </c>
      <c r="K599" s="105"/>
      <c r="L599" s="105"/>
    </row>
    <row r="600">
      <c r="A600" s="103" t="s">
        <v>4676</v>
      </c>
      <c r="B600" s="103">
        <v>1.100107335E9</v>
      </c>
      <c r="C600" s="105"/>
      <c r="D600" s="104" t="s">
        <v>6617</v>
      </c>
      <c r="E600" s="104" t="s">
        <v>6618</v>
      </c>
      <c r="F600" s="103" t="s">
        <v>4678</v>
      </c>
      <c r="G600" s="103" t="s">
        <v>4679</v>
      </c>
      <c r="H600" s="103" t="s">
        <v>6619</v>
      </c>
      <c r="I600" s="103" t="s">
        <v>6620</v>
      </c>
      <c r="J600" s="104" t="s">
        <v>6621</v>
      </c>
      <c r="K600" s="107" t="s">
        <v>6622</v>
      </c>
      <c r="L600" s="105"/>
    </row>
    <row r="601">
      <c r="A601" s="103" t="s">
        <v>4676</v>
      </c>
      <c r="B601" s="103">
        <v>1.10010733502E11</v>
      </c>
      <c r="C601" s="105"/>
      <c r="D601" s="104" t="s">
        <v>6623</v>
      </c>
      <c r="E601" s="104" t="s">
        <v>6624</v>
      </c>
      <c r="F601" s="103" t="s">
        <v>4678</v>
      </c>
      <c r="G601" s="103" t="s">
        <v>4679</v>
      </c>
      <c r="H601" s="103" t="s">
        <v>6625</v>
      </c>
      <c r="I601" s="103" t="s">
        <v>6620</v>
      </c>
      <c r="J601" s="104" t="s">
        <v>6621</v>
      </c>
      <c r="K601" s="105"/>
      <c r="L601" s="105"/>
    </row>
    <row r="602">
      <c r="A602" s="103" t="s">
        <v>4676</v>
      </c>
      <c r="B602" s="103">
        <v>1.10010733503E11</v>
      </c>
      <c r="C602" s="105"/>
      <c r="D602" s="104" t="s">
        <v>6626</v>
      </c>
      <c r="E602" s="104" t="s">
        <v>6624</v>
      </c>
      <c r="F602" s="103" t="s">
        <v>4678</v>
      </c>
      <c r="G602" s="103" t="s">
        <v>4679</v>
      </c>
      <c r="H602" s="103" t="s">
        <v>6627</v>
      </c>
      <c r="I602" s="103" t="s">
        <v>6620</v>
      </c>
      <c r="J602" s="104" t="s">
        <v>6621</v>
      </c>
      <c r="K602" s="105"/>
      <c r="L602" s="105"/>
    </row>
    <row r="603">
      <c r="A603" s="103" t="s">
        <v>4676</v>
      </c>
      <c r="B603" s="103">
        <v>1.10010733504E11</v>
      </c>
      <c r="C603" s="105"/>
      <c r="D603" s="104" t="s">
        <v>6628</v>
      </c>
      <c r="E603" s="104" t="s">
        <v>6624</v>
      </c>
      <c r="F603" s="103" t="s">
        <v>4678</v>
      </c>
      <c r="G603" s="103" t="s">
        <v>4679</v>
      </c>
      <c r="H603" s="103" t="s">
        <v>6629</v>
      </c>
      <c r="I603" s="103" t="s">
        <v>6620</v>
      </c>
      <c r="J603" s="104" t="s">
        <v>6621</v>
      </c>
      <c r="K603" s="105"/>
      <c r="L603" s="105"/>
    </row>
    <row r="604">
      <c r="A604" s="103" t="s">
        <v>4676</v>
      </c>
      <c r="B604" s="103">
        <v>1.10010733505E11</v>
      </c>
      <c r="C604" s="105"/>
      <c r="D604" s="104" t="s">
        <v>6630</v>
      </c>
      <c r="E604" s="104" t="s">
        <v>6624</v>
      </c>
      <c r="F604" s="103" t="s">
        <v>4678</v>
      </c>
      <c r="G604" s="103" t="s">
        <v>4679</v>
      </c>
      <c r="H604" s="103" t="s">
        <v>6631</v>
      </c>
      <c r="I604" s="103" t="s">
        <v>6620</v>
      </c>
      <c r="J604" s="104" t="s">
        <v>6621</v>
      </c>
      <c r="K604" s="105"/>
      <c r="L604" s="105"/>
    </row>
    <row r="605">
      <c r="A605" s="103" t="s">
        <v>4676</v>
      </c>
      <c r="B605" s="103">
        <v>1.10010733508E11</v>
      </c>
      <c r="C605" s="105"/>
      <c r="D605" s="104" t="s">
        <v>6632</v>
      </c>
      <c r="E605" s="104" t="s">
        <v>6624</v>
      </c>
      <c r="F605" s="103" t="s">
        <v>4678</v>
      </c>
      <c r="G605" s="103" t="s">
        <v>4679</v>
      </c>
      <c r="H605" s="103" t="s">
        <v>6633</v>
      </c>
      <c r="I605" s="103" t="s">
        <v>6620</v>
      </c>
      <c r="J605" s="104" t="s">
        <v>6621</v>
      </c>
      <c r="K605" s="105"/>
      <c r="L605" s="105"/>
    </row>
    <row r="606">
      <c r="A606" s="103" t="s">
        <v>4676</v>
      </c>
      <c r="B606" s="103">
        <v>1.10010733509E11</v>
      </c>
      <c r="C606" s="105"/>
      <c r="D606" s="104" t="s">
        <v>6634</v>
      </c>
      <c r="E606" s="104" t="s">
        <v>6624</v>
      </c>
      <c r="F606" s="103" t="s">
        <v>4678</v>
      </c>
      <c r="G606" s="103" t="s">
        <v>4679</v>
      </c>
      <c r="H606" s="103" t="s">
        <v>6635</v>
      </c>
      <c r="I606" s="103" t="s">
        <v>6620</v>
      </c>
      <c r="J606" s="104" t="s">
        <v>6621</v>
      </c>
      <c r="K606" s="105"/>
      <c r="L606" s="105"/>
    </row>
    <row r="607">
      <c r="A607" s="103" t="s">
        <v>4676</v>
      </c>
      <c r="B607" s="103">
        <v>1.10010733513E11</v>
      </c>
      <c r="C607" s="105"/>
      <c r="D607" s="104" t="s">
        <v>6636</v>
      </c>
      <c r="E607" s="104" t="s">
        <v>6624</v>
      </c>
      <c r="F607" s="103" t="s">
        <v>4678</v>
      </c>
      <c r="G607" s="103" t="s">
        <v>4679</v>
      </c>
      <c r="H607" s="103" t="s">
        <v>6637</v>
      </c>
      <c r="I607" s="103" t="s">
        <v>6620</v>
      </c>
      <c r="J607" s="104" t="s">
        <v>6621</v>
      </c>
      <c r="K607" s="105"/>
      <c r="L607" s="105"/>
    </row>
    <row r="608">
      <c r="A608" s="103" t="s">
        <v>4676</v>
      </c>
      <c r="B608" s="103">
        <v>1.10010733522E11</v>
      </c>
      <c r="C608" s="105"/>
      <c r="D608" s="104" t="s">
        <v>6638</v>
      </c>
      <c r="E608" s="104" t="s">
        <v>6624</v>
      </c>
      <c r="F608" s="103" t="s">
        <v>4678</v>
      </c>
      <c r="G608" s="103" t="s">
        <v>4679</v>
      </c>
      <c r="H608" s="103" t="s">
        <v>6639</v>
      </c>
      <c r="I608" s="103" t="s">
        <v>6620</v>
      </c>
      <c r="J608" s="104" t="s">
        <v>6621</v>
      </c>
      <c r="K608" s="105"/>
      <c r="L608" s="105"/>
    </row>
    <row r="609">
      <c r="A609" s="103" t="s">
        <v>4676</v>
      </c>
      <c r="B609" s="103">
        <v>1.10010733526E11</v>
      </c>
      <c r="C609" s="105"/>
      <c r="D609" s="104" t="s">
        <v>6640</v>
      </c>
      <c r="E609" s="104" t="s">
        <v>6624</v>
      </c>
      <c r="F609" s="103" t="s">
        <v>4678</v>
      </c>
      <c r="G609" s="103" t="s">
        <v>4679</v>
      </c>
      <c r="H609" s="103" t="s">
        <v>6641</v>
      </c>
      <c r="I609" s="103" t="s">
        <v>6620</v>
      </c>
      <c r="J609" s="104" t="s">
        <v>6621</v>
      </c>
      <c r="K609" s="105"/>
      <c r="L609" s="105"/>
    </row>
    <row r="610">
      <c r="A610" s="103" t="s">
        <v>4676</v>
      </c>
      <c r="B610" s="103">
        <v>1.10010733533E11</v>
      </c>
      <c r="C610" s="105"/>
      <c r="D610" s="104" t="s">
        <v>6642</v>
      </c>
      <c r="E610" s="104" t="s">
        <v>6624</v>
      </c>
      <c r="F610" s="103" t="s">
        <v>4678</v>
      </c>
      <c r="G610" s="103" t="s">
        <v>4679</v>
      </c>
      <c r="H610" s="103" t="s">
        <v>6643</v>
      </c>
      <c r="I610" s="103" t="s">
        <v>6620</v>
      </c>
      <c r="J610" s="104" t="s">
        <v>6621</v>
      </c>
      <c r="K610" s="105"/>
      <c r="L610" s="105"/>
    </row>
    <row r="611">
      <c r="A611" s="103" t="s">
        <v>4676</v>
      </c>
      <c r="B611" s="103">
        <v>1.10010733534E11</v>
      </c>
      <c r="C611" s="105"/>
      <c r="D611" s="104" t="s">
        <v>6644</v>
      </c>
      <c r="E611" s="104" t="s">
        <v>6624</v>
      </c>
      <c r="F611" s="103" t="s">
        <v>4678</v>
      </c>
      <c r="G611" s="103" t="s">
        <v>4679</v>
      </c>
      <c r="H611" s="103" t="s">
        <v>6645</v>
      </c>
      <c r="I611" s="103" t="s">
        <v>6620</v>
      </c>
      <c r="J611" s="104" t="s">
        <v>6621</v>
      </c>
      <c r="K611" s="105"/>
      <c r="L611" s="105"/>
    </row>
    <row r="612">
      <c r="A612" s="103" t="s">
        <v>4676</v>
      </c>
      <c r="B612" s="103">
        <v>1.10010733535E11</v>
      </c>
      <c r="C612" s="105"/>
      <c r="D612" s="104" t="s">
        <v>6646</v>
      </c>
      <c r="E612" s="104" t="s">
        <v>6624</v>
      </c>
      <c r="F612" s="103" t="s">
        <v>4678</v>
      </c>
      <c r="G612" s="103" t="s">
        <v>4679</v>
      </c>
      <c r="H612" s="103" t="s">
        <v>6647</v>
      </c>
      <c r="I612" s="103" t="s">
        <v>6620</v>
      </c>
      <c r="J612" s="104" t="s">
        <v>6621</v>
      </c>
      <c r="K612" s="105"/>
      <c r="L612" s="105"/>
    </row>
    <row r="613">
      <c r="A613" s="103" t="s">
        <v>4676</v>
      </c>
      <c r="B613" s="103">
        <v>1.10010733541E11</v>
      </c>
      <c r="C613" s="105"/>
      <c r="D613" s="104" t="s">
        <v>6648</v>
      </c>
      <c r="E613" s="104" t="s">
        <v>6624</v>
      </c>
      <c r="F613" s="103" t="s">
        <v>4678</v>
      </c>
      <c r="G613" s="103" t="s">
        <v>4679</v>
      </c>
      <c r="H613" s="103" t="s">
        <v>6649</v>
      </c>
      <c r="I613" s="103" t="s">
        <v>6620</v>
      </c>
      <c r="J613" s="104" t="s">
        <v>6621</v>
      </c>
      <c r="K613" s="105"/>
      <c r="L613" s="105"/>
    </row>
    <row r="614">
      <c r="A614" s="103" t="s">
        <v>4676</v>
      </c>
      <c r="B614" s="103">
        <v>1.10010733542E11</v>
      </c>
      <c r="C614" s="105"/>
      <c r="D614" s="104" t="s">
        <v>6650</v>
      </c>
      <c r="E614" s="104" t="s">
        <v>6624</v>
      </c>
      <c r="F614" s="103" t="s">
        <v>4678</v>
      </c>
      <c r="G614" s="103" t="s">
        <v>4679</v>
      </c>
      <c r="H614" s="103" t="s">
        <v>6651</v>
      </c>
      <c r="I614" s="103" t="s">
        <v>6620</v>
      </c>
      <c r="J614" s="104" t="s">
        <v>6621</v>
      </c>
      <c r="K614" s="105"/>
      <c r="L614" s="105"/>
    </row>
    <row r="615">
      <c r="A615" s="103" t="s">
        <v>4676</v>
      </c>
      <c r="B615" s="103">
        <v>1.10010733545E11</v>
      </c>
      <c r="C615" s="105"/>
      <c r="D615" s="104" t="s">
        <v>6652</v>
      </c>
      <c r="E615" s="104" t="s">
        <v>6624</v>
      </c>
      <c r="F615" s="103" t="s">
        <v>4678</v>
      </c>
      <c r="G615" s="103" t="s">
        <v>4679</v>
      </c>
      <c r="H615" s="103" t="s">
        <v>6653</v>
      </c>
      <c r="I615" s="103" t="s">
        <v>6620</v>
      </c>
      <c r="J615" s="104" t="s">
        <v>6621</v>
      </c>
      <c r="K615" s="105"/>
      <c r="L615" s="105"/>
    </row>
    <row r="616">
      <c r="A616" s="103" t="s">
        <v>4676</v>
      </c>
      <c r="B616" s="103">
        <v>1.1001073355E11</v>
      </c>
      <c r="C616" s="105"/>
      <c r="D616" s="104" t="s">
        <v>6654</v>
      </c>
      <c r="E616" s="104" t="s">
        <v>6624</v>
      </c>
      <c r="F616" s="103" t="s">
        <v>4678</v>
      </c>
      <c r="G616" s="103" t="s">
        <v>4679</v>
      </c>
      <c r="H616" s="103" t="s">
        <v>6655</v>
      </c>
      <c r="I616" s="103" t="s">
        <v>6620</v>
      </c>
      <c r="J616" s="104" t="s">
        <v>6621</v>
      </c>
      <c r="K616" s="105"/>
      <c r="L616" s="105"/>
    </row>
    <row r="617">
      <c r="A617" s="103" t="s">
        <v>4676</v>
      </c>
      <c r="B617" s="103">
        <v>1.10010733558E11</v>
      </c>
      <c r="C617" s="105"/>
      <c r="D617" s="104" t="s">
        <v>6656</v>
      </c>
      <c r="E617" s="104" t="s">
        <v>6624</v>
      </c>
      <c r="F617" s="103" t="s">
        <v>4678</v>
      </c>
      <c r="G617" s="103" t="s">
        <v>4679</v>
      </c>
      <c r="H617" s="103" t="s">
        <v>6657</v>
      </c>
      <c r="I617" s="103" t="s">
        <v>6620</v>
      </c>
      <c r="J617" s="104" t="s">
        <v>6621</v>
      </c>
      <c r="K617" s="105"/>
      <c r="L617" s="105"/>
    </row>
    <row r="618">
      <c r="A618" s="103" t="s">
        <v>4676</v>
      </c>
      <c r="B618" s="103">
        <v>1.10010733565E11</v>
      </c>
      <c r="C618" s="105"/>
      <c r="D618" s="104" t="s">
        <v>6658</v>
      </c>
      <c r="E618" s="104" t="s">
        <v>6624</v>
      </c>
      <c r="F618" s="103" t="s">
        <v>4678</v>
      </c>
      <c r="G618" s="103" t="s">
        <v>4679</v>
      </c>
      <c r="H618" s="103" t="s">
        <v>6659</v>
      </c>
      <c r="I618" s="103" t="s">
        <v>6620</v>
      </c>
      <c r="J618" s="104" t="s">
        <v>6621</v>
      </c>
      <c r="K618" s="105"/>
      <c r="L618" s="105"/>
    </row>
    <row r="619">
      <c r="A619" s="103" t="s">
        <v>4676</v>
      </c>
      <c r="B619" s="103">
        <v>1.10010733566E11</v>
      </c>
      <c r="C619" s="105"/>
      <c r="D619" s="104" t="s">
        <v>6660</v>
      </c>
      <c r="E619" s="104" t="s">
        <v>6624</v>
      </c>
      <c r="F619" s="103" t="s">
        <v>4678</v>
      </c>
      <c r="G619" s="103" t="s">
        <v>4679</v>
      </c>
      <c r="H619" s="103" t="s">
        <v>6661</v>
      </c>
      <c r="I619" s="103" t="s">
        <v>6620</v>
      </c>
      <c r="J619" s="104" t="s">
        <v>6621</v>
      </c>
      <c r="K619" s="105"/>
      <c r="L619" s="105"/>
    </row>
    <row r="620">
      <c r="A620" s="103" t="s">
        <v>4676</v>
      </c>
      <c r="B620" s="103">
        <v>1.10010733567E11</v>
      </c>
      <c r="C620" s="105"/>
      <c r="D620" s="104" t="s">
        <v>6662</v>
      </c>
      <c r="E620" s="104" t="s">
        <v>6624</v>
      </c>
      <c r="F620" s="103" t="s">
        <v>4678</v>
      </c>
      <c r="G620" s="103" t="s">
        <v>4679</v>
      </c>
      <c r="H620" s="103" t="s">
        <v>6663</v>
      </c>
      <c r="I620" s="103" t="s">
        <v>6620</v>
      </c>
      <c r="J620" s="104" t="s">
        <v>6621</v>
      </c>
      <c r="K620" s="105"/>
      <c r="L620" s="105"/>
    </row>
    <row r="621">
      <c r="A621" s="103" t="s">
        <v>4676</v>
      </c>
      <c r="B621" s="103">
        <v>1.10010733571E11</v>
      </c>
      <c r="C621" s="105"/>
      <c r="D621" s="104" t="s">
        <v>6664</v>
      </c>
      <c r="E621" s="104" t="s">
        <v>6624</v>
      </c>
      <c r="F621" s="103" t="s">
        <v>4678</v>
      </c>
      <c r="G621" s="103" t="s">
        <v>4679</v>
      </c>
      <c r="H621" s="103" t="s">
        <v>6665</v>
      </c>
      <c r="I621" s="103" t="s">
        <v>6620</v>
      </c>
      <c r="J621" s="104" t="s">
        <v>6621</v>
      </c>
      <c r="K621" s="105"/>
      <c r="L621" s="105"/>
    </row>
    <row r="622">
      <c r="A622" s="103" t="s">
        <v>4676</v>
      </c>
      <c r="B622" s="103">
        <v>1.10010733574E11</v>
      </c>
      <c r="C622" s="105"/>
      <c r="D622" s="104" t="s">
        <v>6666</v>
      </c>
      <c r="E622" s="104" t="s">
        <v>6624</v>
      </c>
      <c r="F622" s="103" t="s">
        <v>4678</v>
      </c>
      <c r="G622" s="103" t="s">
        <v>4679</v>
      </c>
      <c r="H622" s="103" t="s">
        <v>6667</v>
      </c>
      <c r="I622" s="103" t="s">
        <v>6620</v>
      </c>
      <c r="J622" s="104" t="s">
        <v>6621</v>
      </c>
      <c r="K622" s="105"/>
      <c r="L622" s="105"/>
    </row>
    <row r="623">
      <c r="A623" s="103" t="s">
        <v>4676</v>
      </c>
      <c r="B623" s="103">
        <v>1.10010733575E11</v>
      </c>
      <c r="C623" s="105"/>
      <c r="D623" s="104" t="s">
        <v>6668</v>
      </c>
      <c r="E623" s="104" t="s">
        <v>6624</v>
      </c>
      <c r="F623" s="103" t="s">
        <v>4678</v>
      </c>
      <c r="G623" s="103" t="s">
        <v>4679</v>
      </c>
      <c r="H623" s="103" t="s">
        <v>6669</v>
      </c>
      <c r="I623" s="103" t="s">
        <v>6620</v>
      </c>
      <c r="J623" s="104" t="s">
        <v>6621</v>
      </c>
      <c r="K623" s="105"/>
      <c r="L623" s="105"/>
    </row>
    <row r="624">
      <c r="A624" s="103" t="s">
        <v>4676</v>
      </c>
      <c r="B624" s="103">
        <v>1.10010733577E11</v>
      </c>
      <c r="C624" s="105"/>
      <c r="D624" s="104" t="s">
        <v>6670</v>
      </c>
      <c r="E624" s="104" t="s">
        <v>6624</v>
      </c>
      <c r="F624" s="103" t="s">
        <v>4678</v>
      </c>
      <c r="G624" s="103" t="s">
        <v>4679</v>
      </c>
      <c r="H624" s="103" t="s">
        <v>6671</v>
      </c>
      <c r="I624" s="103" t="s">
        <v>6620</v>
      </c>
      <c r="J624" s="104" t="s">
        <v>6621</v>
      </c>
      <c r="K624" s="105"/>
      <c r="L624" s="105"/>
    </row>
    <row r="625">
      <c r="A625" s="103" t="s">
        <v>4676</v>
      </c>
      <c r="B625" s="103">
        <v>1.10010733578E11</v>
      </c>
      <c r="C625" s="105"/>
      <c r="D625" s="104" t="s">
        <v>6672</v>
      </c>
      <c r="E625" s="104" t="s">
        <v>6624</v>
      </c>
      <c r="F625" s="103" t="s">
        <v>4678</v>
      </c>
      <c r="G625" s="103" t="s">
        <v>4679</v>
      </c>
      <c r="H625" s="103" t="s">
        <v>6673</v>
      </c>
      <c r="I625" s="103" t="s">
        <v>6620</v>
      </c>
      <c r="J625" s="104" t="s">
        <v>6621</v>
      </c>
      <c r="K625" s="105"/>
      <c r="L625" s="105"/>
    </row>
    <row r="626">
      <c r="A626" s="103" t="s">
        <v>4676</v>
      </c>
      <c r="B626" s="103">
        <v>1.10010733579E11</v>
      </c>
      <c r="C626" s="105"/>
      <c r="D626" s="104" t="s">
        <v>6674</v>
      </c>
      <c r="E626" s="104" t="s">
        <v>6624</v>
      </c>
      <c r="F626" s="103" t="s">
        <v>4678</v>
      </c>
      <c r="G626" s="103" t="s">
        <v>4679</v>
      </c>
      <c r="H626" s="103" t="s">
        <v>6675</v>
      </c>
      <c r="I626" s="103" t="s">
        <v>6620</v>
      </c>
      <c r="J626" s="104" t="s">
        <v>6621</v>
      </c>
      <c r="K626" s="105"/>
      <c r="L626" s="105"/>
    </row>
    <row r="627">
      <c r="A627" s="103" t="s">
        <v>4676</v>
      </c>
      <c r="B627" s="103">
        <v>1.100107352E9</v>
      </c>
      <c r="C627" s="105"/>
      <c r="D627" s="104" t="s">
        <v>6676</v>
      </c>
      <c r="E627" s="104" t="s">
        <v>6677</v>
      </c>
      <c r="F627" s="103" t="s">
        <v>4678</v>
      </c>
      <c r="G627" s="103" t="s">
        <v>4679</v>
      </c>
      <c r="H627" s="103" t="s">
        <v>6678</v>
      </c>
      <c r="I627" s="103">
        <v>2068042.0</v>
      </c>
      <c r="J627" s="106"/>
      <c r="K627" s="105"/>
      <c r="L627" s="105"/>
    </row>
    <row r="628">
      <c r="A628" s="103" t="s">
        <v>4676</v>
      </c>
      <c r="B628" s="103">
        <v>1.10010735201E11</v>
      </c>
      <c r="C628" s="105"/>
      <c r="D628" s="104" t="s">
        <v>6676</v>
      </c>
      <c r="E628" s="106"/>
      <c r="F628" s="103" t="s">
        <v>4678</v>
      </c>
      <c r="G628" s="103" t="s">
        <v>4679</v>
      </c>
      <c r="H628" s="103" t="s">
        <v>6678</v>
      </c>
      <c r="I628" s="105"/>
      <c r="J628" s="106"/>
      <c r="K628" s="105"/>
      <c r="L628" s="105"/>
    </row>
    <row r="629">
      <c r="A629" s="103" t="s">
        <v>4676</v>
      </c>
      <c r="B629" s="103">
        <v>1.100107357E9</v>
      </c>
      <c r="C629" s="105"/>
      <c r="D629" s="104" t="s">
        <v>6679</v>
      </c>
      <c r="E629" s="104" t="s">
        <v>6680</v>
      </c>
      <c r="F629" s="103" t="s">
        <v>4678</v>
      </c>
      <c r="G629" s="103" t="s">
        <v>4679</v>
      </c>
      <c r="H629" s="103" t="s">
        <v>6681</v>
      </c>
      <c r="I629" s="103">
        <v>3258025.0</v>
      </c>
      <c r="J629" s="104" t="s">
        <v>6682</v>
      </c>
      <c r="K629" s="105"/>
      <c r="L629" s="105"/>
    </row>
    <row r="630">
      <c r="A630" s="103" t="s">
        <v>4676</v>
      </c>
      <c r="B630" s="103">
        <v>1.10010735701E11</v>
      </c>
      <c r="C630" s="105"/>
      <c r="D630" s="104" t="s">
        <v>6683</v>
      </c>
      <c r="E630" s="104" t="s">
        <v>6684</v>
      </c>
      <c r="F630" s="103" t="s">
        <v>4678</v>
      </c>
      <c r="G630" s="103" t="s">
        <v>4679</v>
      </c>
      <c r="H630" s="103" t="s">
        <v>6685</v>
      </c>
      <c r="I630" s="103" t="s">
        <v>6686</v>
      </c>
      <c r="J630" s="104" t="s">
        <v>6682</v>
      </c>
      <c r="K630" s="105"/>
      <c r="L630" s="105"/>
    </row>
    <row r="631">
      <c r="A631" s="103" t="s">
        <v>4676</v>
      </c>
      <c r="B631" s="103">
        <v>1.10010735708E11</v>
      </c>
      <c r="C631" s="105"/>
      <c r="D631" s="104" t="s">
        <v>6687</v>
      </c>
      <c r="E631" s="104" t="s">
        <v>6688</v>
      </c>
      <c r="F631" s="103" t="s">
        <v>4678</v>
      </c>
      <c r="G631" s="103" t="s">
        <v>4679</v>
      </c>
      <c r="H631" s="103" t="s">
        <v>6689</v>
      </c>
      <c r="I631" s="103" t="s">
        <v>6690</v>
      </c>
      <c r="J631" s="104" t="s">
        <v>6682</v>
      </c>
      <c r="K631" s="105"/>
      <c r="L631" s="105"/>
    </row>
    <row r="632">
      <c r="A632" s="103" t="s">
        <v>4676</v>
      </c>
      <c r="B632" s="103">
        <v>1.10010735718E11</v>
      </c>
      <c r="C632" s="105"/>
      <c r="D632" s="104" t="s">
        <v>6691</v>
      </c>
      <c r="E632" s="104" t="s">
        <v>6688</v>
      </c>
      <c r="F632" s="103" t="s">
        <v>4678</v>
      </c>
      <c r="G632" s="103" t="s">
        <v>4679</v>
      </c>
      <c r="H632" s="103" t="s">
        <v>6692</v>
      </c>
      <c r="I632" s="103" t="s">
        <v>6693</v>
      </c>
      <c r="J632" s="104" t="s">
        <v>6682</v>
      </c>
      <c r="K632" s="105"/>
      <c r="L632" s="105"/>
    </row>
    <row r="633">
      <c r="A633" s="103" t="s">
        <v>4676</v>
      </c>
      <c r="B633" s="103">
        <v>1.1001073572E11</v>
      </c>
      <c r="C633" s="105"/>
      <c r="D633" s="104" t="s">
        <v>6694</v>
      </c>
      <c r="E633" s="104" t="s">
        <v>6688</v>
      </c>
      <c r="F633" s="103" t="s">
        <v>4678</v>
      </c>
      <c r="G633" s="103" t="s">
        <v>4679</v>
      </c>
      <c r="H633" s="103" t="s">
        <v>6695</v>
      </c>
      <c r="I633" s="103" t="s">
        <v>6696</v>
      </c>
      <c r="J633" s="104" t="s">
        <v>6682</v>
      </c>
      <c r="K633" s="105"/>
      <c r="L633" s="105"/>
    </row>
    <row r="634">
      <c r="A634" s="103" t="s">
        <v>4676</v>
      </c>
      <c r="B634" s="103">
        <v>1.10010735724E11</v>
      </c>
      <c r="C634" s="105"/>
      <c r="D634" s="104" t="s">
        <v>6697</v>
      </c>
      <c r="E634" s="104" t="s">
        <v>6688</v>
      </c>
      <c r="F634" s="103" t="s">
        <v>4678</v>
      </c>
      <c r="G634" s="103" t="s">
        <v>4679</v>
      </c>
      <c r="H634" s="103" t="s">
        <v>6698</v>
      </c>
      <c r="I634" s="103" t="s">
        <v>6699</v>
      </c>
      <c r="J634" s="104" t="s">
        <v>6682</v>
      </c>
      <c r="K634" s="105"/>
      <c r="L634" s="105"/>
    </row>
    <row r="635">
      <c r="A635" s="103" t="s">
        <v>4676</v>
      </c>
      <c r="B635" s="103">
        <v>1.10010735725E11</v>
      </c>
      <c r="C635" s="105"/>
      <c r="D635" s="104" t="s">
        <v>6700</v>
      </c>
      <c r="E635" s="104" t="s">
        <v>6688</v>
      </c>
      <c r="F635" s="103" t="s">
        <v>4678</v>
      </c>
      <c r="G635" s="103" t="s">
        <v>4679</v>
      </c>
      <c r="H635" s="103" t="s">
        <v>6701</v>
      </c>
      <c r="I635" s="103" t="s">
        <v>6702</v>
      </c>
      <c r="J635" s="104" t="s">
        <v>6682</v>
      </c>
      <c r="K635" s="105"/>
      <c r="L635" s="105"/>
    </row>
    <row r="636">
      <c r="A636" s="103" t="s">
        <v>4676</v>
      </c>
      <c r="B636" s="103">
        <v>1.10010735726E11</v>
      </c>
      <c r="C636" s="105"/>
      <c r="D636" s="104" t="s">
        <v>6703</v>
      </c>
      <c r="E636" s="104" t="s">
        <v>6688</v>
      </c>
      <c r="F636" s="103" t="s">
        <v>4678</v>
      </c>
      <c r="G636" s="103" t="s">
        <v>4679</v>
      </c>
      <c r="H636" s="103" t="s">
        <v>6704</v>
      </c>
      <c r="I636" s="103" t="s">
        <v>6705</v>
      </c>
      <c r="J636" s="104" t="s">
        <v>6682</v>
      </c>
      <c r="K636" s="105"/>
      <c r="L636" s="105"/>
    </row>
    <row r="637">
      <c r="A637" s="103" t="s">
        <v>4676</v>
      </c>
      <c r="B637" s="103">
        <v>1.10010735727E11</v>
      </c>
      <c r="C637" s="105"/>
      <c r="D637" s="104" t="s">
        <v>6706</v>
      </c>
      <c r="E637" s="104" t="s">
        <v>6688</v>
      </c>
      <c r="F637" s="103" t="s">
        <v>4678</v>
      </c>
      <c r="G637" s="103" t="s">
        <v>4679</v>
      </c>
      <c r="H637" s="103" t="s">
        <v>6707</v>
      </c>
      <c r="I637" s="103" t="s">
        <v>6708</v>
      </c>
      <c r="J637" s="104" t="s">
        <v>6682</v>
      </c>
      <c r="K637" s="105"/>
      <c r="L637" s="105"/>
    </row>
    <row r="638">
      <c r="A638" s="103" t="s">
        <v>4676</v>
      </c>
      <c r="B638" s="103">
        <v>1.10010735728E11</v>
      </c>
      <c r="C638" s="105"/>
      <c r="D638" s="104" t="s">
        <v>6709</v>
      </c>
      <c r="E638" s="104" t="s">
        <v>6688</v>
      </c>
      <c r="F638" s="103" t="s">
        <v>4678</v>
      </c>
      <c r="G638" s="103" t="s">
        <v>4679</v>
      </c>
      <c r="H638" s="103" t="s">
        <v>6710</v>
      </c>
      <c r="I638" s="103" t="s">
        <v>6711</v>
      </c>
      <c r="J638" s="104" t="s">
        <v>6682</v>
      </c>
      <c r="K638" s="105"/>
      <c r="L638" s="105"/>
    </row>
    <row r="639">
      <c r="A639" s="103" t="s">
        <v>4676</v>
      </c>
      <c r="B639" s="103">
        <v>1.10010735732E11</v>
      </c>
      <c r="C639" s="105"/>
      <c r="D639" s="104" t="s">
        <v>6712</v>
      </c>
      <c r="E639" s="104" t="s">
        <v>6688</v>
      </c>
      <c r="F639" s="103" t="s">
        <v>4678</v>
      </c>
      <c r="G639" s="103" t="s">
        <v>4679</v>
      </c>
      <c r="H639" s="103" t="s">
        <v>6713</v>
      </c>
      <c r="I639" s="103" t="s">
        <v>6714</v>
      </c>
      <c r="J639" s="104" t="s">
        <v>6682</v>
      </c>
      <c r="K639" s="105"/>
      <c r="L639" s="105"/>
    </row>
    <row r="640">
      <c r="A640" s="103" t="s">
        <v>4676</v>
      </c>
      <c r="B640" s="103">
        <v>1.10010735736E11</v>
      </c>
      <c r="C640" s="105"/>
      <c r="D640" s="104" t="s">
        <v>6715</v>
      </c>
      <c r="E640" s="104" t="s">
        <v>6716</v>
      </c>
      <c r="F640" s="103" t="s">
        <v>4678</v>
      </c>
      <c r="G640" s="103" t="s">
        <v>4679</v>
      </c>
      <c r="H640" s="103" t="s">
        <v>6717</v>
      </c>
      <c r="I640" s="103" t="s">
        <v>6718</v>
      </c>
      <c r="J640" s="104" t="s">
        <v>6682</v>
      </c>
      <c r="K640" s="105"/>
      <c r="L640" s="105"/>
    </row>
    <row r="641">
      <c r="A641" s="103" t="s">
        <v>4676</v>
      </c>
      <c r="B641" s="103">
        <v>1.10010735738E11</v>
      </c>
      <c r="C641" s="105"/>
      <c r="D641" s="104" t="s">
        <v>6719</v>
      </c>
      <c r="E641" s="104" t="s">
        <v>6720</v>
      </c>
      <c r="F641" s="103" t="s">
        <v>4678</v>
      </c>
      <c r="G641" s="103" t="s">
        <v>4679</v>
      </c>
      <c r="H641" s="103" t="s">
        <v>6721</v>
      </c>
      <c r="I641" s="103" t="s">
        <v>6722</v>
      </c>
      <c r="J641" s="104" t="s">
        <v>6682</v>
      </c>
      <c r="K641" s="105"/>
      <c r="L641" s="105"/>
    </row>
    <row r="642">
      <c r="A642" s="103" t="s">
        <v>4676</v>
      </c>
      <c r="B642" s="103">
        <v>1.10010735739E11</v>
      </c>
      <c r="C642" s="105"/>
      <c r="D642" s="104" t="s">
        <v>6723</v>
      </c>
      <c r="E642" s="104" t="s">
        <v>6688</v>
      </c>
      <c r="F642" s="103" t="s">
        <v>4678</v>
      </c>
      <c r="G642" s="103" t="s">
        <v>4679</v>
      </c>
      <c r="H642" s="103" t="s">
        <v>6724</v>
      </c>
      <c r="I642" s="103" t="s">
        <v>6725</v>
      </c>
      <c r="J642" s="104" t="s">
        <v>6682</v>
      </c>
      <c r="K642" s="105"/>
      <c r="L642" s="105"/>
    </row>
    <row r="643">
      <c r="A643" s="103" t="s">
        <v>4676</v>
      </c>
      <c r="B643" s="103">
        <v>1.10010735741E11</v>
      </c>
      <c r="C643" s="105"/>
      <c r="D643" s="104" t="s">
        <v>6726</v>
      </c>
      <c r="E643" s="104" t="s">
        <v>6684</v>
      </c>
      <c r="F643" s="103" t="s">
        <v>4678</v>
      </c>
      <c r="G643" s="103" t="s">
        <v>4679</v>
      </c>
      <c r="H643" s="103" t="s">
        <v>6727</v>
      </c>
      <c r="I643" s="103">
        <v>6.013258025E9</v>
      </c>
      <c r="J643" s="104" t="s">
        <v>6682</v>
      </c>
      <c r="K643" s="105"/>
      <c r="L643" s="105"/>
    </row>
    <row r="644">
      <c r="A644" s="103" t="s">
        <v>4676</v>
      </c>
      <c r="B644" s="103">
        <v>1.100107392E9</v>
      </c>
      <c r="C644" s="105"/>
      <c r="D644" s="104" t="s">
        <v>6728</v>
      </c>
      <c r="E644" s="104" t="s">
        <v>6729</v>
      </c>
      <c r="F644" s="103" t="s">
        <v>4678</v>
      </c>
      <c r="G644" s="103" t="s">
        <v>4679</v>
      </c>
      <c r="H644" s="103" t="s">
        <v>6730</v>
      </c>
      <c r="I644" s="103">
        <v>6164300.0</v>
      </c>
      <c r="J644" s="104" t="s">
        <v>6731</v>
      </c>
      <c r="K644" s="105"/>
      <c r="L644" s="105"/>
    </row>
    <row r="645">
      <c r="A645" s="103" t="s">
        <v>4676</v>
      </c>
      <c r="B645" s="103">
        <v>1.10010739201E11</v>
      </c>
      <c r="C645" s="105"/>
      <c r="D645" s="104" t="s">
        <v>6732</v>
      </c>
      <c r="E645" s="104" t="s">
        <v>6733</v>
      </c>
      <c r="F645" s="103" t="s">
        <v>4678</v>
      </c>
      <c r="G645" s="103" t="s">
        <v>4679</v>
      </c>
      <c r="H645" s="103" t="s">
        <v>6734</v>
      </c>
      <c r="I645" s="103">
        <v>6164300.0</v>
      </c>
      <c r="J645" s="104" t="s">
        <v>6731</v>
      </c>
      <c r="K645" s="105"/>
      <c r="L645" s="105"/>
    </row>
    <row r="646">
      <c r="A646" s="103" t="s">
        <v>4676</v>
      </c>
      <c r="B646" s="103">
        <v>1.100107408E9</v>
      </c>
      <c r="C646" s="105"/>
      <c r="D646" s="104" t="s">
        <v>6735</v>
      </c>
      <c r="E646" s="104" t="s">
        <v>6736</v>
      </c>
      <c r="F646" s="103" t="s">
        <v>4678</v>
      </c>
      <c r="G646" s="103" t="s">
        <v>4679</v>
      </c>
      <c r="H646" s="103" t="s">
        <v>6737</v>
      </c>
      <c r="I646" s="103">
        <v>6371160.0</v>
      </c>
      <c r="J646" s="104" t="s">
        <v>6738</v>
      </c>
      <c r="K646" s="105"/>
      <c r="L646" s="105"/>
    </row>
    <row r="647">
      <c r="A647" s="103" t="s">
        <v>4676</v>
      </c>
      <c r="B647" s="103">
        <v>1.10010740801E11</v>
      </c>
      <c r="C647" s="105"/>
      <c r="D647" s="104" t="s">
        <v>6735</v>
      </c>
      <c r="E647" s="106"/>
      <c r="F647" s="103" t="s">
        <v>4678</v>
      </c>
      <c r="G647" s="103" t="s">
        <v>4679</v>
      </c>
      <c r="H647" s="103" t="s">
        <v>6737</v>
      </c>
      <c r="I647" s="105"/>
      <c r="J647" s="106"/>
      <c r="K647" s="105"/>
      <c r="L647" s="105"/>
    </row>
    <row r="648">
      <c r="A648" s="103" t="s">
        <v>4676</v>
      </c>
      <c r="B648" s="103">
        <v>1.100107411E9</v>
      </c>
      <c r="C648" s="105"/>
      <c r="D648" s="104" t="s">
        <v>6739</v>
      </c>
      <c r="E648" s="104" t="s">
        <v>6740</v>
      </c>
      <c r="F648" s="103" t="s">
        <v>4678</v>
      </c>
      <c r="G648" s="103" t="s">
        <v>4679</v>
      </c>
      <c r="H648" s="103" t="s">
        <v>6741</v>
      </c>
      <c r="I648" s="103">
        <v>2454906.0</v>
      </c>
      <c r="J648" s="104" t="s">
        <v>6742</v>
      </c>
      <c r="K648" s="105"/>
      <c r="L648" s="105"/>
    </row>
    <row r="649">
      <c r="A649" s="103" t="s">
        <v>4676</v>
      </c>
      <c r="B649" s="103">
        <v>1.10010741101E11</v>
      </c>
      <c r="C649" s="105"/>
      <c r="D649" s="104" t="s">
        <v>6743</v>
      </c>
      <c r="E649" s="104" t="s">
        <v>6744</v>
      </c>
      <c r="F649" s="103" t="s">
        <v>4678</v>
      </c>
      <c r="G649" s="103" t="s">
        <v>4679</v>
      </c>
      <c r="H649" s="103" t="s">
        <v>6741</v>
      </c>
      <c r="I649" s="103">
        <v>2454906.0</v>
      </c>
      <c r="J649" s="104" t="s">
        <v>6745</v>
      </c>
      <c r="K649" s="105"/>
      <c r="L649" s="105"/>
    </row>
    <row r="650">
      <c r="A650" s="103" t="s">
        <v>4676</v>
      </c>
      <c r="B650" s="103">
        <v>1.10010744E9</v>
      </c>
      <c r="C650" s="105"/>
      <c r="D650" s="104" t="s">
        <v>6746</v>
      </c>
      <c r="E650" s="104" t="s">
        <v>6747</v>
      </c>
      <c r="F650" s="103" t="s">
        <v>4678</v>
      </c>
      <c r="G650" s="103" t="s">
        <v>4679</v>
      </c>
      <c r="H650" s="103" t="s">
        <v>6748</v>
      </c>
      <c r="I650" s="103">
        <v>2596001.0</v>
      </c>
      <c r="J650" s="104" t="s">
        <v>6749</v>
      </c>
      <c r="K650" s="105"/>
      <c r="L650" s="105"/>
    </row>
    <row r="651">
      <c r="A651" s="103" t="s">
        <v>4676</v>
      </c>
      <c r="B651" s="103">
        <v>1.10010744001E11</v>
      </c>
      <c r="C651" s="105"/>
      <c r="D651" s="104" t="s">
        <v>6750</v>
      </c>
      <c r="E651" s="104" t="s">
        <v>6751</v>
      </c>
      <c r="F651" s="103" t="s">
        <v>4678</v>
      </c>
      <c r="G651" s="103" t="s">
        <v>4679</v>
      </c>
      <c r="H651" s="103" t="s">
        <v>6752</v>
      </c>
      <c r="I651" s="103">
        <v>2596000.0</v>
      </c>
      <c r="J651" s="104" t="s">
        <v>6749</v>
      </c>
      <c r="K651" s="105"/>
      <c r="L651" s="105"/>
    </row>
    <row r="652">
      <c r="A652" s="103" t="s">
        <v>4676</v>
      </c>
      <c r="B652" s="103">
        <v>1.10010744002E11</v>
      </c>
      <c r="C652" s="105"/>
      <c r="D652" s="104" t="s">
        <v>6753</v>
      </c>
      <c r="E652" s="104" t="s">
        <v>6751</v>
      </c>
      <c r="F652" s="103" t="s">
        <v>4678</v>
      </c>
      <c r="G652" s="103" t="s">
        <v>4679</v>
      </c>
      <c r="H652" s="103" t="s">
        <v>6754</v>
      </c>
      <c r="I652" s="103">
        <v>6815696.0</v>
      </c>
      <c r="J652" s="104" t="s">
        <v>6755</v>
      </c>
      <c r="K652" s="105"/>
      <c r="L652" s="105"/>
    </row>
    <row r="653">
      <c r="A653" s="103" t="s">
        <v>4676</v>
      </c>
      <c r="B653" s="103">
        <v>1.10010744003E11</v>
      </c>
      <c r="C653" s="105"/>
      <c r="D653" s="104" t="s">
        <v>6756</v>
      </c>
      <c r="E653" s="104" t="s">
        <v>6751</v>
      </c>
      <c r="F653" s="103" t="s">
        <v>4678</v>
      </c>
      <c r="G653" s="103" t="s">
        <v>4679</v>
      </c>
      <c r="H653" s="103" t="s">
        <v>6757</v>
      </c>
      <c r="I653" s="103">
        <v>2596000.0</v>
      </c>
      <c r="J653" s="104" t="s">
        <v>6749</v>
      </c>
      <c r="K653" s="105"/>
      <c r="L653" s="105"/>
    </row>
    <row r="654">
      <c r="A654" s="103" t="s">
        <v>4676</v>
      </c>
      <c r="B654" s="103">
        <v>1.10010744004E11</v>
      </c>
      <c r="C654" s="105"/>
      <c r="D654" s="104" t="s">
        <v>6758</v>
      </c>
      <c r="E654" s="104" t="s">
        <v>6759</v>
      </c>
      <c r="F654" s="103" t="s">
        <v>4678</v>
      </c>
      <c r="G654" s="103" t="s">
        <v>4679</v>
      </c>
      <c r="H654" s="103" t="s">
        <v>6760</v>
      </c>
      <c r="I654" s="103">
        <v>2596000.0</v>
      </c>
      <c r="J654" s="104" t="s">
        <v>6749</v>
      </c>
      <c r="K654" s="105"/>
      <c r="L654" s="105"/>
    </row>
    <row r="655">
      <c r="A655" s="103" t="s">
        <v>4676</v>
      </c>
      <c r="B655" s="103">
        <v>1.100107458E9</v>
      </c>
      <c r="C655" s="105"/>
      <c r="D655" s="104" t="s">
        <v>6761</v>
      </c>
      <c r="E655" s="104" t="s">
        <v>6762</v>
      </c>
      <c r="F655" s="103" t="s">
        <v>4678</v>
      </c>
      <c r="G655" s="103" t="s">
        <v>4679</v>
      </c>
      <c r="H655" s="103" t="s">
        <v>6763</v>
      </c>
      <c r="I655" s="103">
        <v>7720642.0</v>
      </c>
      <c r="J655" s="104" t="s">
        <v>6764</v>
      </c>
      <c r="K655" s="105"/>
      <c r="L655" s="105"/>
    </row>
    <row r="656">
      <c r="A656" s="103" t="s">
        <v>4676</v>
      </c>
      <c r="B656" s="103">
        <v>1.10010745801E11</v>
      </c>
      <c r="C656" s="105"/>
      <c r="D656" s="104" t="s">
        <v>6761</v>
      </c>
      <c r="E656" s="106"/>
      <c r="F656" s="103" t="s">
        <v>4678</v>
      </c>
      <c r="G656" s="103" t="s">
        <v>4679</v>
      </c>
      <c r="H656" s="103" t="s">
        <v>6763</v>
      </c>
      <c r="I656" s="105"/>
      <c r="J656" s="106"/>
      <c r="K656" s="105"/>
      <c r="L656" s="105"/>
    </row>
    <row r="657">
      <c r="A657" s="103" t="s">
        <v>4676</v>
      </c>
      <c r="B657" s="103">
        <v>1.100107481E9</v>
      </c>
      <c r="C657" s="105"/>
      <c r="D657" s="104" t="s">
        <v>6765</v>
      </c>
      <c r="E657" s="104" t="s">
        <v>6766</v>
      </c>
      <c r="F657" s="103" t="s">
        <v>4678</v>
      </c>
      <c r="G657" s="103" t="s">
        <v>4679</v>
      </c>
      <c r="H657" s="103" t="s">
        <v>6767</v>
      </c>
      <c r="I657" s="103">
        <v>6273477.0</v>
      </c>
      <c r="J657" s="104" t="s">
        <v>6768</v>
      </c>
      <c r="K657" s="105"/>
      <c r="L657" s="105"/>
    </row>
    <row r="658">
      <c r="A658" s="103" t="s">
        <v>4676</v>
      </c>
      <c r="B658" s="103">
        <v>1.10010748101E11</v>
      </c>
      <c r="C658" s="105"/>
      <c r="D658" s="104" t="s">
        <v>6769</v>
      </c>
      <c r="E658" s="104" t="s">
        <v>6770</v>
      </c>
      <c r="F658" s="103" t="s">
        <v>4678</v>
      </c>
      <c r="G658" s="103" t="s">
        <v>4679</v>
      </c>
      <c r="H658" s="103" t="s">
        <v>6771</v>
      </c>
      <c r="I658" s="103">
        <v>5201001.0</v>
      </c>
      <c r="J658" s="104" t="s">
        <v>6768</v>
      </c>
      <c r="K658" s="105"/>
      <c r="L658" s="105"/>
    </row>
    <row r="659">
      <c r="A659" s="103" t="s">
        <v>4676</v>
      </c>
      <c r="B659" s="103">
        <v>1.10010748102E11</v>
      </c>
      <c r="C659" s="105"/>
      <c r="D659" s="104" t="s">
        <v>6772</v>
      </c>
      <c r="E659" s="104" t="s">
        <v>5402</v>
      </c>
      <c r="F659" s="103" t="s">
        <v>4678</v>
      </c>
      <c r="G659" s="103" t="s">
        <v>4679</v>
      </c>
      <c r="H659" s="103" t="s">
        <v>6773</v>
      </c>
      <c r="I659" s="103">
        <v>5700811.0</v>
      </c>
      <c r="J659" s="104" t="s">
        <v>6774</v>
      </c>
      <c r="K659" s="105"/>
      <c r="L659" s="105"/>
    </row>
    <row r="660">
      <c r="A660" s="103" t="s">
        <v>4676</v>
      </c>
      <c r="B660" s="103">
        <v>1.10010748104E11</v>
      </c>
      <c r="C660" s="105"/>
      <c r="D660" s="104" t="s">
        <v>6775</v>
      </c>
      <c r="E660" s="104" t="s">
        <v>6776</v>
      </c>
      <c r="F660" s="103" t="s">
        <v>4678</v>
      </c>
      <c r="G660" s="103" t="s">
        <v>4679</v>
      </c>
      <c r="H660" s="103" t="s">
        <v>6777</v>
      </c>
      <c r="I660" s="103" t="s">
        <v>6778</v>
      </c>
      <c r="J660" s="104" t="s">
        <v>6768</v>
      </c>
      <c r="K660" s="105"/>
      <c r="L660" s="105"/>
    </row>
    <row r="661">
      <c r="A661" s="103" t="s">
        <v>4676</v>
      </c>
      <c r="B661" s="103">
        <v>1.10010748105E11</v>
      </c>
      <c r="C661" s="105"/>
      <c r="D661" s="104" t="s">
        <v>6779</v>
      </c>
      <c r="E661" s="104" t="s">
        <v>6776</v>
      </c>
      <c r="F661" s="103" t="s">
        <v>4678</v>
      </c>
      <c r="G661" s="103" t="s">
        <v>4679</v>
      </c>
      <c r="H661" s="103" t="s">
        <v>6780</v>
      </c>
      <c r="I661" s="103" t="s">
        <v>6781</v>
      </c>
      <c r="J661" s="104" t="s">
        <v>6768</v>
      </c>
      <c r="K661" s="105"/>
      <c r="L661" s="105"/>
    </row>
    <row r="662">
      <c r="A662" s="103" t="s">
        <v>4676</v>
      </c>
      <c r="B662" s="103">
        <v>1.10010748106E11</v>
      </c>
      <c r="C662" s="105"/>
      <c r="D662" s="104" t="s">
        <v>6782</v>
      </c>
      <c r="E662" s="104" t="s">
        <v>5402</v>
      </c>
      <c r="F662" s="103" t="s">
        <v>4678</v>
      </c>
      <c r="G662" s="103" t="s">
        <v>4679</v>
      </c>
      <c r="H662" s="103" t="s">
        <v>6783</v>
      </c>
      <c r="I662" s="103">
        <v>6.015895424E9</v>
      </c>
      <c r="J662" s="104" t="s">
        <v>6768</v>
      </c>
      <c r="K662" s="105"/>
      <c r="L662" s="105"/>
    </row>
    <row r="663">
      <c r="A663" s="103" t="s">
        <v>4676</v>
      </c>
      <c r="B663" s="103">
        <v>1.100107491E9</v>
      </c>
      <c r="C663" s="105"/>
      <c r="D663" s="104" t="s">
        <v>6784</v>
      </c>
      <c r="E663" s="104" t="s">
        <v>6785</v>
      </c>
      <c r="F663" s="103" t="s">
        <v>4678</v>
      </c>
      <c r="G663" s="103" t="s">
        <v>4679</v>
      </c>
      <c r="H663" s="103" t="s">
        <v>6786</v>
      </c>
      <c r="I663" s="103">
        <v>2673148.0</v>
      </c>
      <c r="J663" s="106"/>
      <c r="K663" s="105"/>
      <c r="L663" s="105"/>
    </row>
    <row r="664">
      <c r="A664" s="103" t="s">
        <v>4676</v>
      </c>
      <c r="B664" s="103">
        <v>1.10010749101E11</v>
      </c>
      <c r="C664" s="105"/>
      <c r="D664" s="104" t="s">
        <v>6784</v>
      </c>
      <c r="E664" s="106"/>
      <c r="F664" s="103" t="s">
        <v>4678</v>
      </c>
      <c r="G664" s="103" t="s">
        <v>4679</v>
      </c>
      <c r="H664" s="103" t="s">
        <v>6786</v>
      </c>
      <c r="I664" s="105"/>
      <c r="J664" s="106"/>
      <c r="K664" s="105"/>
      <c r="L664" s="105"/>
    </row>
    <row r="665">
      <c r="A665" s="103" t="s">
        <v>4676</v>
      </c>
      <c r="B665" s="103">
        <v>1.100107519E9</v>
      </c>
      <c r="C665" s="105"/>
      <c r="D665" s="104" t="s">
        <v>6787</v>
      </c>
      <c r="E665" s="104" t="s">
        <v>6788</v>
      </c>
      <c r="F665" s="103" t="s">
        <v>4678</v>
      </c>
      <c r="G665" s="103" t="s">
        <v>4679</v>
      </c>
      <c r="H665" s="103" t="s">
        <v>6789</v>
      </c>
      <c r="I665" s="103">
        <v>6806910.0</v>
      </c>
      <c r="J665" s="104" t="s">
        <v>6790</v>
      </c>
      <c r="K665" s="107" t="s">
        <v>6791</v>
      </c>
      <c r="L665" s="105"/>
    </row>
    <row r="666">
      <c r="A666" s="103" t="s">
        <v>4676</v>
      </c>
      <c r="B666" s="103">
        <v>1.10010751901E11</v>
      </c>
      <c r="C666" s="105"/>
      <c r="D666" s="104" t="s">
        <v>6792</v>
      </c>
      <c r="E666" s="104" t="s">
        <v>6793</v>
      </c>
      <c r="F666" s="103" t="s">
        <v>4678</v>
      </c>
      <c r="G666" s="103" t="s">
        <v>4679</v>
      </c>
      <c r="H666" s="103" t="s">
        <v>6789</v>
      </c>
      <c r="I666" s="103" t="s">
        <v>6794</v>
      </c>
      <c r="J666" s="104" t="s">
        <v>6790</v>
      </c>
      <c r="K666" s="105"/>
      <c r="L666" s="105"/>
    </row>
    <row r="667">
      <c r="A667" s="103" t="s">
        <v>4676</v>
      </c>
      <c r="B667" s="103">
        <v>1.10010751902E11</v>
      </c>
      <c r="C667" s="105"/>
      <c r="D667" s="104" t="s">
        <v>6795</v>
      </c>
      <c r="E667" s="104" t="s">
        <v>6796</v>
      </c>
      <c r="F667" s="103" t="s">
        <v>4678</v>
      </c>
      <c r="G667" s="103" t="s">
        <v>4679</v>
      </c>
      <c r="H667" s="103" t="s">
        <v>6797</v>
      </c>
      <c r="I667" s="103">
        <v>3.107699467E9</v>
      </c>
      <c r="J667" s="104" t="s">
        <v>6790</v>
      </c>
      <c r="K667" s="105"/>
      <c r="L667" s="105"/>
    </row>
    <row r="668">
      <c r="A668" s="103" t="s">
        <v>4676</v>
      </c>
      <c r="B668" s="103">
        <v>1.100107521E9</v>
      </c>
      <c r="C668" s="105"/>
      <c r="D668" s="104" t="s">
        <v>6798</v>
      </c>
      <c r="E668" s="104" t="s">
        <v>6799</v>
      </c>
      <c r="F668" s="103" t="s">
        <v>4678</v>
      </c>
      <c r="G668" s="103" t="s">
        <v>4679</v>
      </c>
      <c r="H668" s="103" t="s">
        <v>6800</v>
      </c>
      <c r="I668" s="103" t="s">
        <v>6801</v>
      </c>
      <c r="J668" s="104" t="s">
        <v>6802</v>
      </c>
      <c r="K668" s="107" t="s">
        <v>6803</v>
      </c>
      <c r="L668" s="105"/>
    </row>
    <row r="669">
      <c r="A669" s="103" t="s">
        <v>4676</v>
      </c>
      <c r="B669" s="103">
        <v>1.10010752101E11</v>
      </c>
      <c r="C669" s="105"/>
      <c r="D669" s="104" t="s">
        <v>6804</v>
      </c>
      <c r="E669" s="104" t="s">
        <v>6618</v>
      </c>
      <c r="F669" s="103" t="s">
        <v>4678</v>
      </c>
      <c r="G669" s="103" t="s">
        <v>4679</v>
      </c>
      <c r="H669" s="103" t="s">
        <v>6805</v>
      </c>
      <c r="I669" s="103" t="s">
        <v>6806</v>
      </c>
      <c r="J669" s="104" t="s">
        <v>6802</v>
      </c>
      <c r="K669" s="105"/>
      <c r="L669" s="105"/>
    </row>
    <row r="670">
      <c r="A670" s="103" t="s">
        <v>4676</v>
      </c>
      <c r="B670" s="103">
        <v>1.100107524E9</v>
      </c>
      <c r="C670" s="105"/>
      <c r="D670" s="104" t="s">
        <v>6807</v>
      </c>
      <c r="E670" s="104" t="s">
        <v>6808</v>
      </c>
      <c r="F670" s="103" t="s">
        <v>4678</v>
      </c>
      <c r="G670" s="103" t="s">
        <v>4679</v>
      </c>
      <c r="H670" s="103" t="s">
        <v>6809</v>
      </c>
      <c r="I670" s="103">
        <v>5239373.0</v>
      </c>
      <c r="J670" s="104" t="s">
        <v>6810</v>
      </c>
      <c r="K670" s="105"/>
      <c r="L670" s="105"/>
    </row>
    <row r="671">
      <c r="A671" s="103" t="s">
        <v>4676</v>
      </c>
      <c r="B671" s="103">
        <v>1.10010752401E11</v>
      </c>
      <c r="C671" s="105"/>
      <c r="D671" s="104" t="s">
        <v>6811</v>
      </c>
      <c r="E671" s="106"/>
      <c r="F671" s="103" t="s">
        <v>4678</v>
      </c>
      <c r="G671" s="103" t="s">
        <v>4679</v>
      </c>
      <c r="H671" s="103" t="s">
        <v>6809</v>
      </c>
      <c r="I671" s="105"/>
      <c r="J671" s="104" t="s">
        <v>6812</v>
      </c>
      <c r="K671" s="105"/>
      <c r="L671" s="105"/>
    </row>
    <row r="672">
      <c r="A672" s="103" t="s">
        <v>4676</v>
      </c>
      <c r="B672" s="103">
        <v>1.100107547E9</v>
      </c>
      <c r="C672" s="105"/>
      <c r="D672" s="104" t="s">
        <v>6813</v>
      </c>
      <c r="E672" s="104" t="s">
        <v>6814</v>
      </c>
      <c r="F672" s="103" t="s">
        <v>4678</v>
      </c>
      <c r="G672" s="103" t="s">
        <v>4679</v>
      </c>
      <c r="H672" s="103" t="s">
        <v>6815</v>
      </c>
      <c r="I672" s="103">
        <v>7442412.0</v>
      </c>
      <c r="J672" s="104" t="s">
        <v>6816</v>
      </c>
      <c r="K672" s="107" t="s">
        <v>6817</v>
      </c>
      <c r="L672" s="105"/>
    </row>
    <row r="673">
      <c r="A673" s="103" t="s">
        <v>4676</v>
      </c>
      <c r="B673" s="103">
        <v>1.10010754701E11</v>
      </c>
      <c r="C673" s="105"/>
      <c r="D673" s="104" t="s">
        <v>6818</v>
      </c>
      <c r="E673" s="104" t="s">
        <v>6819</v>
      </c>
      <c r="F673" s="103" t="s">
        <v>4678</v>
      </c>
      <c r="G673" s="103" t="s">
        <v>4679</v>
      </c>
      <c r="H673" s="103" t="s">
        <v>6820</v>
      </c>
      <c r="I673" s="103">
        <v>7442412.0</v>
      </c>
      <c r="J673" s="104" t="s">
        <v>6816</v>
      </c>
      <c r="K673" s="105"/>
      <c r="L673" s="105"/>
    </row>
    <row r="674">
      <c r="A674" s="103" t="s">
        <v>4676</v>
      </c>
      <c r="B674" s="103">
        <v>1.10010754705E11</v>
      </c>
      <c r="C674" s="105"/>
      <c r="D674" s="104" t="s">
        <v>6821</v>
      </c>
      <c r="E674" s="104" t="s">
        <v>6819</v>
      </c>
      <c r="F674" s="103" t="s">
        <v>4678</v>
      </c>
      <c r="G674" s="103" t="s">
        <v>4679</v>
      </c>
      <c r="H674" s="103" t="s">
        <v>6822</v>
      </c>
      <c r="I674" s="103">
        <v>7442412.0</v>
      </c>
      <c r="J674" s="104" t="s">
        <v>6816</v>
      </c>
      <c r="K674" s="105"/>
      <c r="L674" s="105"/>
    </row>
    <row r="675">
      <c r="A675" s="103" t="s">
        <v>4676</v>
      </c>
      <c r="B675" s="103">
        <v>1.100107564E9</v>
      </c>
      <c r="C675" s="105"/>
      <c r="D675" s="104" t="s">
        <v>6823</v>
      </c>
      <c r="E675" s="104" t="s">
        <v>6824</v>
      </c>
      <c r="F675" s="103" t="s">
        <v>4678</v>
      </c>
      <c r="G675" s="103" t="s">
        <v>4679</v>
      </c>
      <c r="H675" s="103" t="s">
        <v>6825</v>
      </c>
      <c r="I675" s="103" t="s">
        <v>6826</v>
      </c>
      <c r="J675" s="104" t="s">
        <v>6827</v>
      </c>
      <c r="K675" s="105"/>
      <c r="L675" s="105"/>
    </row>
    <row r="676">
      <c r="A676" s="103" t="s">
        <v>4676</v>
      </c>
      <c r="B676" s="103">
        <v>1.10010756401E11</v>
      </c>
      <c r="C676" s="105"/>
      <c r="D676" s="104" t="s">
        <v>6828</v>
      </c>
      <c r="E676" s="106"/>
      <c r="F676" s="103" t="s">
        <v>4678</v>
      </c>
      <c r="G676" s="103" t="s">
        <v>4679</v>
      </c>
      <c r="H676" s="103" t="s">
        <v>6825</v>
      </c>
      <c r="I676" s="103" t="s">
        <v>6829</v>
      </c>
      <c r="J676" s="104" t="s">
        <v>6827</v>
      </c>
      <c r="K676" s="105"/>
      <c r="L676" s="105"/>
    </row>
    <row r="677">
      <c r="A677" s="103" t="s">
        <v>4676</v>
      </c>
      <c r="B677" s="103">
        <v>1.100107567E9</v>
      </c>
      <c r="C677" s="105"/>
      <c r="D677" s="104" t="s">
        <v>6830</v>
      </c>
      <c r="E677" s="104" t="s">
        <v>6831</v>
      </c>
      <c r="F677" s="103" t="s">
        <v>4678</v>
      </c>
      <c r="G677" s="103" t="s">
        <v>4679</v>
      </c>
      <c r="H677" s="103" t="s">
        <v>6832</v>
      </c>
      <c r="I677" s="103">
        <v>6191669.0</v>
      </c>
      <c r="J677" s="104" t="s">
        <v>6833</v>
      </c>
      <c r="K677" s="107" t="s">
        <v>6834</v>
      </c>
      <c r="L677" s="105"/>
    </row>
    <row r="678">
      <c r="A678" s="103" t="s">
        <v>4676</v>
      </c>
      <c r="B678" s="103">
        <v>1.10010756701E11</v>
      </c>
      <c r="C678" s="105"/>
      <c r="D678" s="104" t="s">
        <v>6835</v>
      </c>
      <c r="E678" s="104" t="s">
        <v>6836</v>
      </c>
      <c r="F678" s="103" t="s">
        <v>4678</v>
      </c>
      <c r="G678" s="103" t="s">
        <v>4679</v>
      </c>
      <c r="H678" s="103" t="s">
        <v>6832</v>
      </c>
      <c r="I678" s="103">
        <v>6191669.0</v>
      </c>
      <c r="J678" s="104" t="s">
        <v>6833</v>
      </c>
      <c r="K678" s="105"/>
      <c r="L678" s="105"/>
    </row>
    <row r="679">
      <c r="A679" s="103" t="s">
        <v>4676</v>
      </c>
      <c r="B679" s="103">
        <v>1.10010757E9</v>
      </c>
      <c r="C679" s="105"/>
      <c r="D679" s="104" t="s">
        <v>6837</v>
      </c>
      <c r="E679" s="104" t="s">
        <v>6838</v>
      </c>
      <c r="F679" s="103" t="s">
        <v>4678</v>
      </c>
      <c r="G679" s="103" t="s">
        <v>4679</v>
      </c>
      <c r="H679" s="103" t="s">
        <v>6839</v>
      </c>
      <c r="I679" s="103">
        <v>2360000.0</v>
      </c>
      <c r="J679" s="104" t="s">
        <v>6840</v>
      </c>
      <c r="K679" s="105"/>
      <c r="L679" s="105"/>
    </row>
    <row r="680">
      <c r="A680" s="103" t="s">
        <v>4676</v>
      </c>
      <c r="B680" s="103">
        <v>1.10010757001E11</v>
      </c>
      <c r="C680" s="105"/>
      <c r="D680" s="104" t="s">
        <v>6841</v>
      </c>
      <c r="E680" s="104" t="s">
        <v>6842</v>
      </c>
      <c r="F680" s="103" t="s">
        <v>4678</v>
      </c>
      <c r="G680" s="103" t="s">
        <v>4679</v>
      </c>
      <c r="H680" s="103" t="s">
        <v>6843</v>
      </c>
      <c r="I680" s="103" t="s">
        <v>6844</v>
      </c>
      <c r="J680" s="104" t="s">
        <v>6840</v>
      </c>
      <c r="K680" s="105"/>
      <c r="L680" s="105"/>
    </row>
    <row r="681">
      <c r="A681" s="103" t="s">
        <v>4676</v>
      </c>
      <c r="B681" s="103">
        <v>1.100107594E9</v>
      </c>
      <c r="C681" s="105"/>
      <c r="D681" s="104" t="s">
        <v>6845</v>
      </c>
      <c r="E681" s="104" t="s">
        <v>6846</v>
      </c>
      <c r="F681" s="103" t="s">
        <v>4678</v>
      </c>
      <c r="G681" s="103" t="s">
        <v>4679</v>
      </c>
      <c r="H681" s="103" t="s">
        <v>6847</v>
      </c>
      <c r="I681" s="103">
        <v>6350935.0</v>
      </c>
      <c r="J681" s="104" t="s">
        <v>6848</v>
      </c>
      <c r="K681" s="105"/>
      <c r="L681" s="105"/>
    </row>
    <row r="682">
      <c r="A682" s="103" t="s">
        <v>4676</v>
      </c>
      <c r="B682" s="103">
        <v>1.10010759401E11</v>
      </c>
      <c r="C682" s="105"/>
      <c r="D682" s="104" t="s">
        <v>6845</v>
      </c>
      <c r="E682" s="104" t="s">
        <v>6849</v>
      </c>
      <c r="F682" s="103" t="s">
        <v>4678</v>
      </c>
      <c r="G682" s="103" t="s">
        <v>4679</v>
      </c>
      <c r="H682" s="103" t="s">
        <v>6847</v>
      </c>
      <c r="I682" s="103">
        <v>6.017450708E9</v>
      </c>
      <c r="J682" s="104" t="s">
        <v>6848</v>
      </c>
      <c r="K682" s="105"/>
      <c r="L682" s="105"/>
    </row>
    <row r="683">
      <c r="A683" s="103" t="s">
        <v>4676</v>
      </c>
      <c r="B683" s="103">
        <v>1.100107646E9</v>
      </c>
      <c r="C683" s="105"/>
      <c r="D683" s="104" t="s">
        <v>6850</v>
      </c>
      <c r="E683" s="104" t="s">
        <v>6851</v>
      </c>
      <c r="F683" s="103" t="s">
        <v>4678</v>
      </c>
      <c r="G683" s="103" t="s">
        <v>4679</v>
      </c>
      <c r="H683" s="103" t="s">
        <v>6852</v>
      </c>
      <c r="I683" s="103">
        <v>6160502.0</v>
      </c>
      <c r="J683" s="104" t="s">
        <v>6853</v>
      </c>
      <c r="K683" s="105"/>
      <c r="L683" s="105"/>
    </row>
    <row r="684">
      <c r="A684" s="103" t="s">
        <v>4676</v>
      </c>
      <c r="B684" s="103">
        <v>1.10010764601E11</v>
      </c>
      <c r="C684" s="105"/>
      <c r="D684" s="104" t="s">
        <v>6850</v>
      </c>
      <c r="E684" s="104" t="s">
        <v>6854</v>
      </c>
      <c r="F684" s="103" t="s">
        <v>4678</v>
      </c>
      <c r="G684" s="103" t="s">
        <v>4679</v>
      </c>
      <c r="H684" s="103" t="s">
        <v>6855</v>
      </c>
      <c r="I684" s="103" t="s">
        <v>6856</v>
      </c>
      <c r="J684" s="104" t="s">
        <v>6853</v>
      </c>
      <c r="K684" s="105"/>
      <c r="L684" s="105"/>
    </row>
    <row r="685">
      <c r="A685" s="103" t="s">
        <v>4676</v>
      </c>
      <c r="B685" s="103">
        <v>1.10010764602E11</v>
      </c>
      <c r="C685" s="105"/>
      <c r="D685" s="104" t="s">
        <v>6857</v>
      </c>
      <c r="E685" s="104" t="s">
        <v>6858</v>
      </c>
      <c r="F685" s="103" t="s">
        <v>4678</v>
      </c>
      <c r="G685" s="103" t="s">
        <v>4679</v>
      </c>
      <c r="H685" s="103" t="s">
        <v>6859</v>
      </c>
      <c r="I685" s="103" t="s">
        <v>6860</v>
      </c>
      <c r="J685" s="104" t="s">
        <v>6853</v>
      </c>
      <c r="K685" s="105"/>
      <c r="L685" s="105"/>
    </row>
    <row r="686">
      <c r="A686" s="103" t="s">
        <v>4676</v>
      </c>
      <c r="B686" s="103">
        <v>1.10010764603E11</v>
      </c>
      <c r="C686" s="105"/>
      <c r="D686" s="104" t="s">
        <v>6861</v>
      </c>
      <c r="E686" s="104" t="s">
        <v>6858</v>
      </c>
      <c r="F686" s="103" t="s">
        <v>4678</v>
      </c>
      <c r="G686" s="103" t="s">
        <v>4679</v>
      </c>
      <c r="H686" s="103" t="s">
        <v>6862</v>
      </c>
      <c r="I686" s="103">
        <v>2644776.0</v>
      </c>
      <c r="J686" s="104" t="s">
        <v>6853</v>
      </c>
      <c r="K686" s="105"/>
      <c r="L686" s="105"/>
    </row>
    <row r="687">
      <c r="A687" s="103" t="s">
        <v>4676</v>
      </c>
      <c r="B687" s="103">
        <v>1.10010764604E11</v>
      </c>
      <c r="C687" s="105"/>
      <c r="D687" s="104" t="s">
        <v>6863</v>
      </c>
      <c r="E687" s="104" t="s">
        <v>6858</v>
      </c>
      <c r="F687" s="103" t="s">
        <v>4678</v>
      </c>
      <c r="G687" s="103" t="s">
        <v>4679</v>
      </c>
      <c r="H687" s="103" t="s">
        <v>6864</v>
      </c>
      <c r="I687" s="103" t="s">
        <v>6865</v>
      </c>
      <c r="J687" s="104" t="s">
        <v>6853</v>
      </c>
      <c r="K687" s="105"/>
      <c r="L687" s="105"/>
    </row>
    <row r="688">
      <c r="A688" s="103" t="s">
        <v>4676</v>
      </c>
      <c r="B688" s="103">
        <v>1.100107673E9</v>
      </c>
      <c r="C688" s="105"/>
      <c r="D688" s="104" t="s">
        <v>6866</v>
      </c>
      <c r="E688" s="104" t="s">
        <v>6867</v>
      </c>
      <c r="F688" s="103" t="s">
        <v>4678</v>
      </c>
      <c r="G688" s="103" t="s">
        <v>4679</v>
      </c>
      <c r="H688" s="103" t="s">
        <v>6868</v>
      </c>
      <c r="I688" s="103" t="s">
        <v>6869</v>
      </c>
      <c r="J688" s="104" t="s">
        <v>6870</v>
      </c>
      <c r="K688" s="105"/>
      <c r="L688" s="105"/>
    </row>
    <row r="689">
      <c r="A689" s="103" t="s">
        <v>4676</v>
      </c>
      <c r="B689" s="103">
        <v>1.10010767301E11</v>
      </c>
      <c r="C689" s="105"/>
      <c r="D689" s="104" t="s">
        <v>6871</v>
      </c>
      <c r="E689" s="104" t="s">
        <v>6872</v>
      </c>
      <c r="F689" s="103" t="s">
        <v>4678</v>
      </c>
      <c r="G689" s="103" t="s">
        <v>4679</v>
      </c>
      <c r="H689" s="103" t="s">
        <v>6873</v>
      </c>
      <c r="I689" s="103" t="s">
        <v>6869</v>
      </c>
      <c r="J689" s="104" t="s">
        <v>6870</v>
      </c>
      <c r="K689" s="105"/>
      <c r="L689" s="105"/>
    </row>
    <row r="690">
      <c r="A690" s="103" t="s">
        <v>4676</v>
      </c>
      <c r="B690" s="103">
        <v>1.100107683E9</v>
      </c>
      <c r="C690" s="105"/>
      <c r="D690" s="104" t="s">
        <v>6874</v>
      </c>
      <c r="E690" s="104" t="s">
        <v>6875</v>
      </c>
      <c r="F690" s="103" t="s">
        <v>4678</v>
      </c>
      <c r="G690" s="103" t="s">
        <v>4679</v>
      </c>
      <c r="H690" s="103" t="s">
        <v>6876</v>
      </c>
      <c r="I690" s="103">
        <v>6581616.0</v>
      </c>
      <c r="J690" s="104" t="s">
        <v>6877</v>
      </c>
      <c r="K690" s="105"/>
      <c r="L690" s="105"/>
    </row>
    <row r="691">
      <c r="A691" s="103" t="s">
        <v>4676</v>
      </c>
      <c r="B691" s="103">
        <v>1.10010768301E11</v>
      </c>
      <c r="C691" s="105"/>
      <c r="D691" s="104" t="s">
        <v>6874</v>
      </c>
      <c r="E691" s="104" t="s">
        <v>6878</v>
      </c>
      <c r="F691" s="103" t="s">
        <v>4678</v>
      </c>
      <c r="G691" s="103" t="s">
        <v>4679</v>
      </c>
      <c r="H691" s="103" t="s">
        <v>6876</v>
      </c>
      <c r="I691" s="103" t="s">
        <v>6879</v>
      </c>
      <c r="J691" s="104" t="s">
        <v>6877</v>
      </c>
      <c r="K691" s="105"/>
      <c r="L691" s="105"/>
    </row>
    <row r="692">
      <c r="A692" s="103" t="s">
        <v>4676</v>
      </c>
      <c r="B692" s="103">
        <v>1.100107716E9</v>
      </c>
      <c r="C692" s="105"/>
      <c r="D692" s="104" t="s">
        <v>6880</v>
      </c>
      <c r="E692" s="104" t="s">
        <v>6881</v>
      </c>
      <c r="F692" s="103" t="s">
        <v>4678</v>
      </c>
      <c r="G692" s="103" t="s">
        <v>4679</v>
      </c>
      <c r="H692" s="103" t="s">
        <v>6882</v>
      </c>
      <c r="I692" s="103">
        <v>3.115929614E9</v>
      </c>
      <c r="J692" s="104" t="s">
        <v>6883</v>
      </c>
      <c r="K692" s="107" t="s">
        <v>6884</v>
      </c>
      <c r="L692" s="105"/>
    </row>
    <row r="693">
      <c r="A693" s="103" t="s">
        <v>4676</v>
      </c>
      <c r="B693" s="103">
        <v>1.10010771601E11</v>
      </c>
      <c r="C693" s="105"/>
      <c r="D693" s="104" t="s">
        <v>6880</v>
      </c>
      <c r="E693" s="104" t="s">
        <v>6885</v>
      </c>
      <c r="F693" s="103" t="s">
        <v>4678</v>
      </c>
      <c r="G693" s="103" t="s">
        <v>4679</v>
      </c>
      <c r="H693" s="103" t="s">
        <v>6882</v>
      </c>
      <c r="I693" s="103">
        <v>3.115929614E9</v>
      </c>
      <c r="J693" s="104" t="s">
        <v>6883</v>
      </c>
      <c r="K693" s="105"/>
      <c r="L693" s="105"/>
    </row>
    <row r="694">
      <c r="A694" s="103" t="s">
        <v>4676</v>
      </c>
      <c r="B694" s="103">
        <v>1.100107737E9</v>
      </c>
      <c r="C694" s="105"/>
      <c r="D694" s="104" t="s">
        <v>6886</v>
      </c>
      <c r="E694" s="104" t="s">
        <v>6887</v>
      </c>
      <c r="F694" s="103" t="s">
        <v>4678</v>
      </c>
      <c r="G694" s="103" t="s">
        <v>4679</v>
      </c>
      <c r="H694" s="103" t="s">
        <v>6888</v>
      </c>
      <c r="I694" s="103">
        <v>4155028.0</v>
      </c>
      <c r="J694" s="104" t="s">
        <v>6889</v>
      </c>
      <c r="K694" s="105"/>
      <c r="L694" s="105"/>
    </row>
    <row r="695">
      <c r="A695" s="103" t="s">
        <v>4676</v>
      </c>
      <c r="B695" s="103">
        <v>1.10010773701E11</v>
      </c>
      <c r="C695" s="105"/>
      <c r="D695" s="104" t="s">
        <v>6890</v>
      </c>
      <c r="E695" s="104" t="s">
        <v>6891</v>
      </c>
      <c r="F695" s="103" t="s">
        <v>4678</v>
      </c>
      <c r="G695" s="103" t="s">
        <v>4679</v>
      </c>
      <c r="H695" s="103" t="s">
        <v>6888</v>
      </c>
      <c r="I695" s="103">
        <v>2671538.0</v>
      </c>
      <c r="J695" s="104" t="s">
        <v>6889</v>
      </c>
      <c r="K695" s="105"/>
      <c r="L695" s="105"/>
    </row>
    <row r="696">
      <c r="A696" s="103" t="s">
        <v>4676</v>
      </c>
      <c r="B696" s="103">
        <v>1.100107768E9</v>
      </c>
      <c r="C696" s="105"/>
      <c r="D696" s="104" t="s">
        <v>6892</v>
      </c>
      <c r="E696" s="104" t="s">
        <v>6893</v>
      </c>
      <c r="F696" s="103" t="s">
        <v>4678</v>
      </c>
      <c r="G696" s="103" t="s">
        <v>4679</v>
      </c>
      <c r="H696" s="103" t="s">
        <v>6894</v>
      </c>
      <c r="I696" s="103">
        <v>3146426.0</v>
      </c>
      <c r="J696" s="104" t="s">
        <v>6895</v>
      </c>
      <c r="K696" s="107" t="s">
        <v>6896</v>
      </c>
      <c r="L696" s="105"/>
    </row>
    <row r="697">
      <c r="A697" s="103" t="s">
        <v>4676</v>
      </c>
      <c r="B697" s="103">
        <v>1.10010776802E11</v>
      </c>
      <c r="C697" s="105"/>
      <c r="D697" s="104" t="s">
        <v>6892</v>
      </c>
      <c r="E697" s="104" t="s">
        <v>6897</v>
      </c>
      <c r="F697" s="103" t="s">
        <v>4678</v>
      </c>
      <c r="G697" s="103" t="s">
        <v>4679</v>
      </c>
      <c r="H697" s="103" t="s">
        <v>6898</v>
      </c>
      <c r="I697" s="103">
        <v>3146426.0</v>
      </c>
      <c r="J697" s="104" t="s">
        <v>6895</v>
      </c>
      <c r="K697" s="105"/>
      <c r="L697" s="105"/>
    </row>
    <row r="698">
      <c r="A698" s="103" t="s">
        <v>4676</v>
      </c>
      <c r="B698" s="103">
        <v>1.100107772E9</v>
      </c>
      <c r="C698" s="105"/>
      <c r="D698" s="104" t="s">
        <v>6899</v>
      </c>
      <c r="E698" s="104" t="s">
        <v>6900</v>
      </c>
      <c r="F698" s="103" t="s">
        <v>4678</v>
      </c>
      <c r="G698" s="103" t="s">
        <v>4679</v>
      </c>
      <c r="H698" s="103" t="s">
        <v>6901</v>
      </c>
      <c r="I698" s="103" t="s">
        <v>6902</v>
      </c>
      <c r="J698" s="104" t="s">
        <v>6903</v>
      </c>
      <c r="K698" s="105"/>
      <c r="L698" s="105"/>
    </row>
    <row r="699">
      <c r="A699" s="103" t="s">
        <v>4676</v>
      </c>
      <c r="B699" s="103">
        <v>1.10010777201E11</v>
      </c>
      <c r="C699" s="105"/>
      <c r="D699" s="104" t="s">
        <v>6904</v>
      </c>
      <c r="E699" s="104" t="s">
        <v>6905</v>
      </c>
      <c r="F699" s="103" t="s">
        <v>4678</v>
      </c>
      <c r="G699" s="103" t="s">
        <v>4679</v>
      </c>
      <c r="H699" s="103" t="s">
        <v>6901</v>
      </c>
      <c r="I699" s="103" t="s">
        <v>6902</v>
      </c>
      <c r="J699" s="104" t="s">
        <v>6903</v>
      </c>
      <c r="K699" s="105"/>
      <c r="L699" s="105"/>
    </row>
    <row r="700">
      <c r="A700" s="103" t="s">
        <v>4676</v>
      </c>
      <c r="B700" s="103">
        <v>1.100107773E9</v>
      </c>
      <c r="C700" s="105"/>
      <c r="D700" s="104" t="s">
        <v>6906</v>
      </c>
      <c r="E700" s="104" t="s">
        <v>6907</v>
      </c>
      <c r="F700" s="103" t="s">
        <v>4678</v>
      </c>
      <c r="G700" s="103" t="s">
        <v>4679</v>
      </c>
      <c r="H700" s="103" t="s">
        <v>6908</v>
      </c>
      <c r="I700" s="103" t="s">
        <v>6909</v>
      </c>
      <c r="J700" s="104" t="s">
        <v>6910</v>
      </c>
      <c r="K700" s="107" t="s">
        <v>6911</v>
      </c>
      <c r="L700" s="105"/>
    </row>
    <row r="701">
      <c r="A701" s="103" t="s">
        <v>4676</v>
      </c>
      <c r="B701" s="103">
        <v>1.10010777301E11</v>
      </c>
      <c r="C701" s="105"/>
      <c r="D701" s="104" t="s">
        <v>6912</v>
      </c>
      <c r="E701" s="106"/>
      <c r="F701" s="103" t="s">
        <v>4678</v>
      </c>
      <c r="G701" s="103" t="s">
        <v>4679</v>
      </c>
      <c r="H701" s="103" t="s">
        <v>6908</v>
      </c>
      <c r="I701" s="103" t="s">
        <v>6909</v>
      </c>
      <c r="J701" s="104" t="s">
        <v>6910</v>
      </c>
      <c r="K701" s="105"/>
      <c r="L701" s="105"/>
    </row>
    <row r="702">
      <c r="A702" s="103" t="s">
        <v>4676</v>
      </c>
      <c r="B702" s="103">
        <v>1.100107782E9</v>
      </c>
      <c r="C702" s="105"/>
      <c r="D702" s="104" t="s">
        <v>6913</v>
      </c>
      <c r="E702" s="104" t="s">
        <v>6914</v>
      </c>
      <c r="F702" s="103" t="s">
        <v>4678</v>
      </c>
      <c r="G702" s="103" t="s">
        <v>4679</v>
      </c>
      <c r="H702" s="103" t="s">
        <v>6915</v>
      </c>
      <c r="I702" s="103" t="s">
        <v>6916</v>
      </c>
      <c r="J702" s="104" t="s">
        <v>6917</v>
      </c>
      <c r="K702" s="105"/>
      <c r="L702" s="105"/>
    </row>
    <row r="703">
      <c r="A703" s="103" t="s">
        <v>4676</v>
      </c>
      <c r="B703" s="103">
        <v>1.10010778204E11</v>
      </c>
      <c r="C703" s="103">
        <v>1.10010778204E11</v>
      </c>
      <c r="D703" s="104" t="s">
        <v>6918</v>
      </c>
      <c r="E703" s="104" t="s">
        <v>6919</v>
      </c>
      <c r="F703" s="103" t="s">
        <v>4678</v>
      </c>
      <c r="G703" s="103" t="s">
        <v>4679</v>
      </c>
      <c r="H703" s="103" t="s">
        <v>6915</v>
      </c>
      <c r="I703" s="103" t="s">
        <v>6920</v>
      </c>
      <c r="J703" s="104" t="s">
        <v>6921</v>
      </c>
      <c r="K703" s="105"/>
      <c r="L703" s="105"/>
    </row>
    <row r="704">
      <c r="A704" s="103" t="s">
        <v>4676</v>
      </c>
      <c r="B704" s="103">
        <v>1.10010778206E11</v>
      </c>
      <c r="C704" s="105"/>
      <c r="D704" s="104" t="s">
        <v>6922</v>
      </c>
      <c r="E704" s="104" t="s">
        <v>6919</v>
      </c>
      <c r="F704" s="103" t="s">
        <v>4678</v>
      </c>
      <c r="G704" s="103" t="s">
        <v>4679</v>
      </c>
      <c r="H704" s="103" t="s">
        <v>6923</v>
      </c>
      <c r="I704" s="103">
        <v>3.178528626E9</v>
      </c>
      <c r="J704" s="104" t="s">
        <v>6921</v>
      </c>
      <c r="K704" s="105"/>
      <c r="L704" s="105"/>
    </row>
    <row r="705">
      <c r="A705" s="103" t="s">
        <v>4676</v>
      </c>
      <c r="B705" s="103">
        <v>1.10010778209E11</v>
      </c>
      <c r="C705" s="105"/>
      <c r="D705" s="104" t="s">
        <v>6924</v>
      </c>
      <c r="E705" s="104" t="s">
        <v>6919</v>
      </c>
      <c r="F705" s="103" t="s">
        <v>4678</v>
      </c>
      <c r="G705" s="103" t="s">
        <v>4679</v>
      </c>
      <c r="H705" s="103" t="s">
        <v>6925</v>
      </c>
      <c r="I705" s="103" t="s">
        <v>6926</v>
      </c>
      <c r="J705" s="104" t="s">
        <v>6243</v>
      </c>
      <c r="K705" s="105"/>
      <c r="L705" s="105"/>
    </row>
    <row r="706">
      <c r="A706" s="103" t="s">
        <v>4676</v>
      </c>
      <c r="B706" s="103">
        <v>1.10010778212E11</v>
      </c>
      <c r="C706" s="105"/>
      <c r="D706" s="104" t="s">
        <v>6927</v>
      </c>
      <c r="E706" s="104" t="s">
        <v>6919</v>
      </c>
      <c r="F706" s="103" t="s">
        <v>4678</v>
      </c>
      <c r="G706" s="103" t="s">
        <v>4679</v>
      </c>
      <c r="H706" s="103" t="s">
        <v>6928</v>
      </c>
      <c r="I706" s="103" t="s">
        <v>6929</v>
      </c>
      <c r="J706" s="104" t="s">
        <v>6921</v>
      </c>
      <c r="K706" s="105"/>
      <c r="L706" s="105"/>
    </row>
    <row r="707">
      <c r="A707" s="103" t="s">
        <v>4676</v>
      </c>
      <c r="B707" s="103">
        <v>1.10010778214E11</v>
      </c>
      <c r="C707" s="105"/>
      <c r="D707" s="104" t="s">
        <v>6930</v>
      </c>
      <c r="E707" s="104" t="s">
        <v>6919</v>
      </c>
      <c r="F707" s="103" t="s">
        <v>4678</v>
      </c>
      <c r="G707" s="103" t="s">
        <v>4679</v>
      </c>
      <c r="H707" s="103" t="s">
        <v>6931</v>
      </c>
      <c r="I707" s="103" t="s">
        <v>6932</v>
      </c>
      <c r="J707" s="104" t="s">
        <v>6921</v>
      </c>
      <c r="K707" s="105"/>
      <c r="L707" s="105"/>
    </row>
    <row r="708">
      <c r="A708" s="103" t="s">
        <v>4676</v>
      </c>
      <c r="B708" s="103">
        <v>1.10010778216E11</v>
      </c>
      <c r="C708" s="105"/>
      <c r="D708" s="104" t="s">
        <v>6933</v>
      </c>
      <c r="E708" s="104" t="s">
        <v>6919</v>
      </c>
      <c r="F708" s="103" t="s">
        <v>4678</v>
      </c>
      <c r="G708" s="103" t="s">
        <v>4679</v>
      </c>
      <c r="H708" s="103" t="s">
        <v>6934</v>
      </c>
      <c r="I708" s="103">
        <v>3.178528626E9</v>
      </c>
      <c r="J708" s="104" t="s">
        <v>6921</v>
      </c>
      <c r="K708" s="105"/>
      <c r="L708" s="105"/>
    </row>
    <row r="709">
      <c r="A709" s="103" t="s">
        <v>4676</v>
      </c>
      <c r="B709" s="103">
        <v>1.10010778217E11</v>
      </c>
      <c r="C709" s="105"/>
      <c r="D709" s="104" t="s">
        <v>6935</v>
      </c>
      <c r="E709" s="104" t="s">
        <v>6919</v>
      </c>
      <c r="F709" s="103" t="s">
        <v>4678</v>
      </c>
      <c r="G709" s="103" t="s">
        <v>4679</v>
      </c>
      <c r="H709" s="103" t="s">
        <v>6936</v>
      </c>
      <c r="I709" s="103">
        <v>3.178528626E9</v>
      </c>
      <c r="J709" s="104" t="s">
        <v>6921</v>
      </c>
      <c r="K709" s="105"/>
      <c r="L709" s="105"/>
    </row>
    <row r="710">
      <c r="A710" s="103" t="s">
        <v>4676</v>
      </c>
      <c r="B710" s="103">
        <v>1.100107788E9</v>
      </c>
      <c r="C710" s="105"/>
      <c r="D710" s="104" t="s">
        <v>6937</v>
      </c>
      <c r="E710" s="104" t="s">
        <v>6938</v>
      </c>
      <c r="F710" s="103" t="s">
        <v>4678</v>
      </c>
      <c r="G710" s="103" t="s">
        <v>4679</v>
      </c>
      <c r="H710" s="103" t="s">
        <v>6939</v>
      </c>
      <c r="I710" s="103">
        <v>6.01622112E9</v>
      </c>
      <c r="J710" s="104" t="s">
        <v>6940</v>
      </c>
      <c r="K710" s="107" t="s">
        <v>6941</v>
      </c>
      <c r="L710" s="105"/>
    </row>
    <row r="711">
      <c r="A711" s="103" t="s">
        <v>4676</v>
      </c>
      <c r="B711" s="103">
        <v>1.10010778801E11</v>
      </c>
      <c r="C711" s="105"/>
      <c r="D711" s="104" t="s">
        <v>6937</v>
      </c>
      <c r="E711" s="104" t="s">
        <v>6942</v>
      </c>
      <c r="F711" s="103" t="s">
        <v>4678</v>
      </c>
      <c r="G711" s="103" t="s">
        <v>4679</v>
      </c>
      <c r="H711" s="103" t="s">
        <v>6943</v>
      </c>
      <c r="I711" s="103">
        <v>6.01622112E9</v>
      </c>
      <c r="J711" s="104" t="s">
        <v>6944</v>
      </c>
      <c r="K711" s="105"/>
      <c r="L711" s="105"/>
    </row>
    <row r="712">
      <c r="A712" s="103" t="s">
        <v>4676</v>
      </c>
      <c r="B712" s="103">
        <v>1.100107807E9</v>
      </c>
      <c r="C712" s="105"/>
      <c r="D712" s="104" t="s">
        <v>6945</v>
      </c>
      <c r="E712" s="104" t="s">
        <v>6946</v>
      </c>
      <c r="F712" s="103" t="s">
        <v>4678</v>
      </c>
      <c r="G712" s="103" t="s">
        <v>4679</v>
      </c>
      <c r="H712" s="103" t="s">
        <v>6947</v>
      </c>
      <c r="I712" s="103" t="s">
        <v>6948</v>
      </c>
      <c r="J712" s="104" t="s">
        <v>6949</v>
      </c>
      <c r="K712" s="105"/>
      <c r="L712" s="105"/>
    </row>
    <row r="713">
      <c r="A713" s="103" t="s">
        <v>4676</v>
      </c>
      <c r="B713" s="103">
        <v>1.10010780701E11</v>
      </c>
      <c r="C713" s="105"/>
      <c r="D713" s="104" t="s">
        <v>6945</v>
      </c>
      <c r="E713" s="106"/>
      <c r="F713" s="103" t="s">
        <v>4678</v>
      </c>
      <c r="G713" s="103" t="s">
        <v>4679</v>
      </c>
      <c r="H713" s="103" t="s">
        <v>6947</v>
      </c>
      <c r="I713" s="103" t="s">
        <v>6950</v>
      </c>
      <c r="J713" s="104" t="s">
        <v>6949</v>
      </c>
      <c r="K713" s="105"/>
      <c r="L713" s="105"/>
    </row>
    <row r="714">
      <c r="A714" s="103" t="s">
        <v>4676</v>
      </c>
      <c r="B714" s="103">
        <v>1.100107876E9</v>
      </c>
      <c r="C714" s="105"/>
      <c r="D714" s="104" t="s">
        <v>6951</v>
      </c>
      <c r="E714" s="104" t="s">
        <v>6952</v>
      </c>
      <c r="F714" s="103" t="s">
        <v>4678</v>
      </c>
      <c r="G714" s="103" t="s">
        <v>4679</v>
      </c>
      <c r="H714" s="103" t="s">
        <v>6953</v>
      </c>
      <c r="I714" s="103">
        <v>2875525.0</v>
      </c>
      <c r="J714" s="104" t="s">
        <v>6954</v>
      </c>
      <c r="K714" s="105"/>
      <c r="L714" s="105"/>
    </row>
    <row r="715">
      <c r="A715" s="103" t="s">
        <v>4676</v>
      </c>
      <c r="B715" s="103">
        <v>1.10010787601E11</v>
      </c>
      <c r="C715" s="105"/>
      <c r="D715" s="104" t="s">
        <v>6951</v>
      </c>
      <c r="E715" s="104" t="s">
        <v>6955</v>
      </c>
      <c r="F715" s="103" t="s">
        <v>4678</v>
      </c>
      <c r="G715" s="103" t="s">
        <v>4679</v>
      </c>
      <c r="H715" s="103" t="s">
        <v>6953</v>
      </c>
      <c r="I715" s="103">
        <v>2875525.0</v>
      </c>
      <c r="J715" s="104" t="s">
        <v>6954</v>
      </c>
      <c r="K715" s="105"/>
      <c r="L715" s="105"/>
    </row>
    <row r="716">
      <c r="A716" s="103" t="s">
        <v>4676</v>
      </c>
      <c r="B716" s="103">
        <v>1.100107905E9</v>
      </c>
      <c r="C716" s="105"/>
      <c r="D716" s="104" t="s">
        <v>6956</v>
      </c>
      <c r="E716" s="104" t="s">
        <v>6957</v>
      </c>
      <c r="F716" s="103" t="s">
        <v>4678</v>
      </c>
      <c r="G716" s="103" t="s">
        <v>4679</v>
      </c>
      <c r="H716" s="103" t="s">
        <v>6958</v>
      </c>
      <c r="I716" s="103">
        <v>6011786.0</v>
      </c>
      <c r="J716" s="106"/>
      <c r="K716" s="105"/>
      <c r="L716" s="105"/>
    </row>
    <row r="717">
      <c r="A717" s="103" t="s">
        <v>4676</v>
      </c>
      <c r="B717" s="103">
        <v>1.10010790501E11</v>
      </c>
      <c r="C717" s="105"/>
      <c r="D717" s="104" t="s">
        <v>6959</v>
      </c>
      <c r="E717" s="106"/>
      <c r="F717" s="103" t="s">
        <v>4678</v>
      </c>
      <c r="G717" s="103" t="s">
        <v>4679</v>
      </c>
      <c r="H717" s="103" t="s">
        <v>6960</v>
      </c>
      <c r="I717" s="105"/>
      <c r="J717" s="106"/>
      <c r="K717" s="105"/>
      <c r="L717" s="105"/>
    </row>
    <row r="718">
      <c r="A718" s="103" t="s">
        <v>4676</v>
      </c>
      <c r="B718" s="103">
        <v>1.100107919E9</v>
      </c>
      <c r="C718" s="105"/>
      <c r="D718" s="104" t="s">
        <v>6961</v>
      </c>
      <c r="E718" s="104" t="s">
        <v>6962</v>
      </c>
      <c r="F718" s="103" t="s">
        <v>4678</v>
      </c>
      <c r="G718" s="103" t="s">
        <v>4679</v>
      </c>
      <c r="H718" s="103" t="s">
        <v>6963</v>
      </c>
      <c r="I718" s="103">
        <v>7774794.0</v>
      </c>
      <c r="J718" s="104" t="s">
        <v>6964</v>
      </c>
      <c r="K718" s="105"/>
      <c r="L718" s="105"/>
    </row>
    <row r="719">
      <c r="A719" s="103" t="s">
        <v>4676</v>
      </c>
      <c r="B719" s="103">
        <v>1.10010791901E11</v>
      </c>
      <c r="C719" s="105"/>
      <c r="D719" s="104" t="s">
        <v>6961</v>
      </c>
      <c r="E719" s="104" t="s">
        <v>6965</v>
      </c>
      <c r="F719" s="103" t="s">
        <v>4678</v>
      </c>
      <c r="G719" s="103" t="s">
        <v>4679</v>
      </c>
      <c r="H719" s="103" t="s">
        <v>6966</v>
      </c>
      <c r="I719" s="105"/>
      <c r="J719" s="104" t="s">
        <v>6964</v>
      </c>
      <c r="K719" s="105"/>
      <c r="L719" s="105"/>
    </row>
    <row r="720">
      <c r="A720" s="103" t="s">
        <v>4676</v>
      </c>
      <c r="B720" s="103">
        <v>1.100107927E9</v>
      </c>
      <c r="C720" s="105"/>
      <c r="D720" s="104" t="s">
        <v>6967</v>
      </c>
      <c r="E720" s="104" t="s">
        <v>6968</v>
      </c>
      <c r="F720" s="103" t="s">
        <v>4678</v>
      </c>
      <c r="G720" s="103" t="s">
        <v>4679</v>
      </c>
      <c r="H720" s="103" t="s">
        <v>6969</v>
      </c>
      <c r="I720" s="103">
        <v>2504035.0</v>
      </c>
      <c r="J720" s="104" t="s">
        <v>6970</v>
      </c>
      <c r="K720" s="105"/>
      <c r="L720" s="105"/>
    </row>
    <row r="721">
      <c r="A721" s="103" t="s">
        <v>4676</v>
      </c>
      <c r="B721" s="103">
        <v>1.10010792701E11</v>
      </c>
      <c r="C721" s="105"/>
      <c r="D721" s="104" t="s">
        <v>6967</v>
      </c>
      <c r="E721" s="104" t="s">
        <v>6971</v>
      </c>
      <c r="F721" s="103" t="s">
        <v>4678</v>
      </c>
      <c r="G721" s="103" t="s">
        <v>4679</v>
      </c>
      <c r="H721" s="103" t="s">
        <v>6972</v>
      </c>
      <c r="I721" s="103">
        <v>2504035.0</v>
      </c>
      <c r="J721" s="104" t="s">
        <v>6970</v>
      </c>
      <c r="K721" s="105"/>
      <c r="L721" s="105"/>
    </row>
    <row r="722">
      <c r="A722" s="103" t="s">
        <v>4676</v>
      </c>
      <c r="B722" s="103">
        <v>1.100107939E9</v>
      </c>
      <c r="C722" s="105"/>
      <c r="D722" s="104" t="s">
        <v>6973</v>
      </c>
      <c r="E722" s="104" t="s">
        <v>6974</v>
      </c>
      <c r="F722" s="103" t="s">
        <v>4678</v>
      </c>
      <c r="G722" s="103" t="s">
        <v>4679</v>
      </c>
      <c r="H722" s="103" t="s">
        <v>6975</v>
      </c>
      <c r="I722" s="103" t="s">
        <v>6976</v>
      </c>
      <c r="J722" s="104" t="s">
        <v>6977</v>
      </c>
      <c r="K722" s="105"/>
      <c r="L722" s="105"/>
    </row>
    <row r="723">
      <c r="A723" s="103" t="s">
        <v>4676</v>
      </c>
      <c r="B723" s="103">
        <v>1.10010793901E11</v>
      </c>
      <c r="C723" s="105"/>
      <c r="D723" s="104" t="s">
        <v>6978</v>
      </c>
      <c r="E723" s="104" t="s">
        <v>6979</v>
      </c>
      <c r="F723" s="103" t="s">
        <v>4678</v>
      </c>
      <c r="G723" s="103" t="s">
        <v>4679</v>
      </c>
      <c r="H723" s="103" t="s">
        <v>6975</v>
      </c>
      <c r="I723" s="103" t="s">
        <v>6976</v>
      </c>
      <c r="J723" s="104" t="s">
        <v>6977</v>
      </c>
      <c r="K723" s="105"/>
      <c r="L723" s="105"/>
    </row>
    <row r="724">
      <c r="A724" s="103" t="s">
        <v>4676</v>
      </c>
      <c r="B724" s="103">
        <v>1.10010793902E11</v>
      </c>
      <c r="C724" s="105"/>
      <c r="D724" s="104" t="s">
        <v>6980</v>
      </c>
      <c r="E724" s="104" t="s">
        <v>6981</v>
      </c>
      <c r="F724" s="103" t="s">
        <v>4678</v>
      </c>
      <c r="G724" s="103" t="s">
        <v>4679</v>
      </c>
      <c r="H724" s="103" t="s">
        <v>6982</v>
      </c>
      <c r="I724" s="103" t="s">
        <v>6983</v>
      </c>
      <c r="J724" s="104" t="s">
        <v>6977</v>
      </c>
      <c r="K724" s="105"/>
      <c r="L724" s="105"/>
    </row>
    <row r="725">
      <c r="A725" s="103" t="s">
        <v>4676</v>
      </c>
      <c r="B725" s="103">
        <v>1.10010793903E11</v>
      </c>
      <c r="C725" s="105"/>
      <c r="D725" s="104" t="s">
        <v>6984</v>
      </c>
      <c r="E725" s="104" t="s">
        <v>6985</v>
      </c>
      <c r="F725" s="103" t="s">
        <v>4678</v>
      </c>
      <c r="G725" s="103" t="s">
        <v>4679</v>
      </c>
      <c r="H725" s="103" t="s">
        <v>6986</v>
      </c>
      <c r="I725" s="103" t="s">
        <v>6987</v>
      </c>
      <c r="J725" s="104" t="s">
        <v>6977</v>
      </c>
      <c r="K725" s="105"/>
      <c r="L725" s="105"/>
    </row>
    <row r="726">
      <c r="A726" s="103" t="s">
        <v>4676</v>
      </c>
      <c r="B726" s="103">
        <v>1.10010793904E11</v>
      </c>
      <c r="C726" s="105"/>
      <c r="D726" s="104" t="s">
        <v>6988</v>
      </c>
      <c r="E726" s="104" t="s">
        <v>6979</v>
      </c>
      <c r="F726" s="103" t="s">
        <v>4678</v>
      </c>
      <c r="G726" s="103" t="s">
        <v>4679</v>
      </c>
      <c r="H726" s="103" t="s">
        <v>6989</v>
      </c>
      <c r="I726" s="103" t="s">
        <v>6983</v>
      </c>
      <c r="J726" s="104" t="s">
        <v>6977</v>
      </c>
      <c r="K726" s="105"/>
      <c r="L726" s="105"/>
    </row>
    <row r="727">
      <c r="A727" s="103" t="s">
        <v>4676</v>
      </c>
      <c r="B727" s="103">
        <v>1.10010793905E11</v>
      </c>
      <c r="C727" s="105"/>
      <c r="D727" s="104" t="s">
        <v>6990</v>
      </c>
      <c r="E727" s="104" t="s">
        <v>6991</v>
      </c>
      <c r="F727" s="103" t="s">
        <v>4678</v>
      </c>
      <c r="G727" s="103" t="s">
        <v>4679</v>
      </c>
      <c r="H727" s="103" t="s">
        <v>6992</v>
      </c>
      <c r="I727" s="103" t="s">
        <v>6987</v>
      </c>
      <c r="J727" s="104" t="s">
        <v>6977</v>
      </c>
      <c r="K727" s="105"/>
      <c r="L727" s="105"/>
    </row>
    <row r="728">
      <c r="A728" s="103" t="s">
        <v>4676</v>
      </c>
      <c r="B728" s="103">
        <v>1.10010793906E11</v>
      </c>
      <c r="C728" s="105"/>
      <c r="D728" s="104" t="s">
        <v>6993</v>
      </c>
      <c r="E728" s="104" t="s">
        <v>6979</v>
      </c>
      <c r="F728" s="103" t="s">
        <v>4678</v>
      </c>
      <c r="G728" s="103" t="s">
        <v>4679</v>
      </c>
      <c r="H728" s="103" t="s">
        <v>6994</v>
      </c>
      <c r="I728" s="103" t="s">
        <v>6983</v>
      </c>
      <c r="J728" s="104" t="s">
        <v>6977</v>
      </c>
      <c r="K728" s="105"/>
      <c r="L728" s="105"/>
    </row>
    <row r="729">
      <c r="A729" s="103" t="s">
        <v>4676</v>
      </c>
      <c r="B729" s="103">
        <v>1.10010795E9</v>
      </c>
      <c r="C729" s="105"/>
      <c r="D729" s="104" t="s">
        <v>6995</v>
      </c>
      <c r="E729" s="104" t="s">
        <v>6996</v>
      </c>
      <c r="F729" s="103" t="s">
        <v>4678</v>
      </c>
      <c r="G729" s="103" t="s">
        <v>4679</v>
      </c>
      <c r="H729" s="103" t="s">
        <v>6997</v>
      </c>
      <c r="I729" s="103">
        <v>6190311.0</v>
      </c>
      <c r="J729" s="104" t="s">
        <v>6998</v>
      </c>
      <c r="K729" s="105"/>
      <c r="L729" s="105"/>
    </row>
    <row r="730">
      <c r="A730" s="103" t="s">
        <v>4676</v>
      </c>
      <c r="B730" s="103">
        <v>1.10010795001E11</v>
      </c>
      <c r="C730" s="105"/>
      <c r="D730" s="104" t="s">
        <v>6995</v>
      </c>
      <c r="E730" s="104" t="s">
        <v>6999</v>
      </c>
      <c r="F730" s="103" t="s">
        <v>4678</v>
      </c>
      <c r="G730" s="103" t="s">
        <v>4679</v>
      </c>
      <c r="H730" s="103" t="s">
        <v>6997</v>
      </c>
      <c r="I730" s="103" t="s">
        <v>7000</v>
      </c>
      <c r="J730" s="104" t="s">
        <v>6998</v>
      </c>
      <c r="K730" s="105"/>
      <c r="L730" s="105"/>
    </row>
    <row r="731">
      <c r="A731" s="103" t="s">
        <v>4676</v>
      </c>
      <c r="B731" s="103">
        <v>1.100107968E9</v>
      </c>
      <c r="C731" s="105"/>
      <c r="D731" s="104" t="s">
        <v>7001</v>
      </c>
      <c r="E731" s="104" t="s">
        <v>7002</v>
      </c>
      <c r="F731" s="103" t="s">
        <v>4678</v>
      </c>
      <c r="G731" s="103" t="s">
        <v>4679</v>
      </c>
      <c r="H731" s="103" t="s">
        <v>7003</v>
      </c>
      <c r="I731" s="103">
        <v>6240507.0</v>
      </c>
      <c r="J731" s="104" t="s">
        <v>7004</v>
      </c>
      <c r="K731" s="105"/>
      <c r="L731" s="105"/>
    </row>
    <row r="732">
      <c r="A732" s="103" t="s">
        <v>4676</v>
      </c>
      <c r="B732" s="103">
        <v>1.10010796801E11</v>
      </c>
      <c r="C732" s="105"/>
      <c r="D732" s="104" t="s">
        <v>7001</v>
      </c>
      <c r="E732" s="104" t="s">
        <v>7002</v>
      </c>
      <c r="F732" s="103" t="s">
        <v>4678</v>
      </c>
      <c r="G732" s="103" t="s">
        <v>4679</v>
      </c>
      <c r="H732" s="103" t="s">
        <v>7005</v>
      </c>
      <c r="I732" s="103">
        <v>3.239209676E9</v>
      </c>
      <c r="J732" s="104" t="s">
        <v>7004</v>
      </c>
      <c r="K732" s="105"/>
      <c r="L732" s="105"/>
    </row>
    <row r="733">
      <c r="A733" s="103" t="s">
        <v>4676</v>
      </c>
      <c r="B733" s="103">
        <v>1.100107987E9</v>
      </c>
      <c r="C733" s="105"/>
      <c r="D733" s="104" t="s">
        <v>7006</v>
      </c>
      <c r="E733" s="104" t="s">
        <v>7007</v>
      </c>
      <c r="F733" s="103" t="s">
        <v>4678</v>
      </c>
      <c r="G733" s="103" t="s">
        <v>4679</v>
      </c>
      <c r="H733" s="103" t="s">
        <v>7008</v>
      </c>
      <c r="I733" s="103">
        <v>3.192397214E9</v>
      </c>
      <c r="J733" s="104" t="s">
        <v>7009</v>
      </c>
      <c r="K733" s="105"/>
      <c r="L733" s="105"/>
    </row>
    <row r="734">
      <c r="A734" s="103" t="s">
        <v>4676</v>
      </c>
      <c r="B734" s="103">
        <v>1.10010798701E11</v>
      </c>
      <c r="C734" s="105"/>
      <c r="D734" s="104" t="s">
        <v>7006</v>
      </c>
      <c r="E734" s="104" t="s">
        <v>7010</v>
      </c>
      <c r="F734" s="103" t="s">
        <v>4678</v>
      </c>
      <c r="G734" s="103" t="s">
        <v>4679</v>
      </c>
      <c r="H734" s="103" t="s">
        <v>7011</v>
      </c>
      <c r="I734" s="103" t="s">
        <v>7012</v>
      </c>
      <c r="J734" s="104" t="s">
        <v>7009</v>
      </c>
      <c r="K734" s="105"/>
      <c r="L734" s="105"/>
    </row>
    <row r="735">
      <c r="A735" s="103" t="s">
        <v>4676</v>
      </c>
      <c r="B735" s="103">
        <v>1.10010798703E11</v>
      </c>
      <c r="C735" s="105"/>
      <c r="D735" s="104" t="s">
        <v>7006</v>
      </c>
      <c r="E735" s="104" t="s">
        <v>7010</v>
      </c>
      <c r="F735" s="103" t="s">
        <v>4678</v>
      </c>
      <c r="G735" s="103" t="s">
        <v>4679</v>
      </c>
      <c r="H735" s="103" t="s">
        <v>7013</v>
      </c>
      <c r="I735" s="103" t="s">
        <v>7014</v>
      </c>
      <c r="J735" s="104" t="s">
        <v>7009</v>
      </c>
      <c r="K735" s="105"/>
      <c r="L735" s="105"/>
    </row>
    <row r="736">
      <c r="A736" s="103" t="s">
        <v>4676</v>
      </c>
      <c r="B736" s="103">
        <v>1.100107994E9</v>
      </c>
      <c r="C736" s="105"/>
      <c r="D736" s="104" t="s">
        <v>7015</v>
      </c>
      <c r="E736" s="104" t="s">
        <v>7016</v>
      </c>
      <c r="F736" s="103" t="s">
        <v>4678</v>
      </c>
      <c r="G736" s="103" t="s">
        <v>4679</v>
      </c>
      <c r="H736" s="103" t="s">
        <v>7017</v>
      </c>
      <c r="I736" s="103" t="s">
        <v>7018</v>
      </c>
      <c r="J736" s="104" t="s">
        <v>7019</v>
      </c>
      <c r="K736" s="107" t="s">
        <v>7020</v>
      </c>
      <c r="L736" s="105"/>
    </row>
    <row r="737">
      <c r="A737" s="103" t="s">
        <v>4676</v>
      </c>
      <c r="B737" s="103">
        <v>1.10010799401E11</v>
      </c>
      <c r="C737" s="105"/>
      <c r="D737" s="104" t="s">
        <v>7015</v>
      </c>
      <c r="E737" s="104" t="s">
        <v>7021</v>
      </c>
      <c r="F737" s="103" t="s">
        <v>4678</v>
      </c>
      <c r="G737" s="103" t="s">
        <v>4679</v>
      </c>
      <c r="H737" s="103" t="s">
        <v>7017</v>
      </c>
      <c r="I737" s="103" t="s">
        <v>7022</v>
      </c>
      <c r="J737" s="104" t="s">
        <v>7023</v>
      </c>
      <c r="K737" s="105"/>
      <c r="L737" s="105"/>
    </row>
    <row r="738">
      <c r="A738" s="103" t="s">
        <v>4676</v>
      </c>
      <c r="B738" s="103">
        <v>1.100108035E9</v>
      </c>
      <c r="C738" s="105"/>
      <c r="D738" s="104" t="s">
        <v>7024</v>
      </c>
      <c r="E738" s="104" t="s">
        <v>7025</v>
      </c>
      <c r="F738" s="103" t="s">
        <v>4678</v>
      </c>
      <c r="G738" s="103" t="s">
        <v>4679</v>
      </c>
      <c r="H738" s="103" t="s">
        <v>7026</v>
      </c>
      <c r="I738" s="103">
        <v>6114020.0</v>
      </c>
      <c r="J738" s="104" t="s">
        <v>7027</v>
      </c>
      <c r="K738" s="105"/>
      <c r="L738" s="105"/>
    </row>
    <row r="739">
      <c r="A739" s="103" t="s">
        <v>4676</v>
      </c>
      <c r="B739" s="103">
        <v>1.10010803501E11</v>
      </c>
      <c r="C739" s="105"/>
      <c r="D739" s="104" t="s">
        <v>7024</v>
      </c>
      <c r="E739" s="106"/>
      <c r="F739" s="103" t="s">
        <v>4678</v>
      </c>
      <c r="G739" s="103" t="s">
        <v>4679</v>
      </c>
      <c r="H739" s="103" t="s">
        <v>7028</v>
      </c>
      <c r="I739" s="105"/>
      <c r="J739" s="104" t="s">
        <v>7027</v>
      </c>
      <c r="K739" s="105"/>
      <c r="L739" s="105"/>
    </row>
    <row r="740">
      <c r="A740" s="103" t="s">
        <v>4676</v>
      </c>
      <c r="B740" s="103">
        <v>1.100108043E9</v>
      </c>
      <c r="C740" s="105"/>
      <c r="D740" s="104" t="s">
        <v>7029</v>
      </c>
      <c r="E740" s="104" t="s">
        <v>7030</v>
      </c>
      <c r="F740" s="103" t="s">
        <v>4678</v>
      </c>
      <c r="G740" s="103" t="s">
        <v>4679</v>
      </c>
      <c r="H740" s="103" t="s">
        <v>7031</v>
      </c>
      <c r="I740" s="103">
        <v>3477172.0</v>
      </c>
      <c r="J740" s="104" t="s">
        <v>7032</v>
      </c>
      <c r="K740" s="105"/>
      <c r="L740" s="105"/>
    </row>
    <row r="741">
      <c r="A741" s="103" t="s">
        <v>4676</v>
      </c>
      <c r="B741" s="103">
        <v>1.10010804301E11</v>
      </c>
      <c r="C741" s="105"/>
      <c r="D741" s="104" t="s">
        <v>7033</v>
      </c>
      <c r="E741" s="106"/>
      <c r="F741" s="103" t="s">
        <v>4678</v>
      </c>
      <c r="G741" s="103" t="s">
        <v>4679</v>
      </c>
      <c r="H741" s="103" t="s">
        <v>7031</v>
      </c>
      <c r="I741" s="105"/>
      <c r="J741" s="106"/>
      <c r="K741" s="105"/>
      <c r="L741" s="105"/>
    </row>
    <row r="742">
      <c r="A742" s="103" t="s">
        <v>4676</v>
      </c>
      <c r="B742" s="103">
        <v>1.10010804302E11</v>
      </c>
      <c r="C742" s="105"/>
      <c r="D742" s="104" t="s">
        <v>7034</v>
      </c>
      <c r="E742" s="106"/>
      <c r="F742" s="103" t="s">
        <v>4678</v>
      </c>
      <c r="G742" s="103" t="s">
        <v>4679</v>
      </c>
      <c r="H742" s="103" t="s">
        <v>7035</v>
      </c>
      <c r="I742" s="105"/>
      <c r="J742" s="106"/>
      <c r="K742" s="105"/>
      <c r="L742" s="105"/>
    </row>
    <row r="743">
      <c r="A743" s="103" t="s">
        <v>4676</v>
      </c>
      <c r="B743" s="103">
        <v>1.100108064E9</v>
      </c>
      <c r="C743" s="105"/>
      <c r="D743" s="104" t="s">
        <v>7036</v>
      </c>
      <c r="E743" s="104" t="s">
        <v>7037</v>
      </c>
      <c r="F743" s="103" t="s">
        <v>4678</v>
      </c>
      <c r="G743" s="103" t="s">
        <v>4679</v>
      </c>
      <c r="H743" s="103" t="s">
        <v>7038</v>
      </c>
      <c r="I743" s="103">
        <v>2364102.0</v>
      </c>
      <c r="J743" s="104" t="s">
        <v>7039</v>
      </c>
      <c r="K743" s="107" t="s">
        <v>7040</v>
      </c>
      <c r="L743" s="105"/>
    </row>
    <row r="744">
      <c r="A744" s="103" t="s">
        <v>4676</v>
      </c>
      <c r="B744" s="103">
        <v>1.10010806401E11</v>
      </c>
      <c r="C744" s="105"/>
      <c r="D744" s="104" t="s">
        <v>7036</v>
      </c>
      <c r="E744" s="106"/>
      <c r="F744" s="103" t="s">
        <v>4678</v>
      </c>
      <c r="G744" s="103" t="s">
        <v>4679</v>
      </c>
      <c r="H744" s="103" t="s">
        <v>7038</v>
      </c>
      <c r="I744" s="103" t="s">
        <v>7041</v>
      </c>
      <c r="J744" s="104" t="s">
        <v>7039</v>
      </c>
      <c r="K744" s="105"/>
      <c r="L744" s="105"/>
    </row>
    <row r="745">
      <c r="A745" s="103" t="s">
        <v>4676</v>
      </c>
      <c r="B745" s="103">
        <v>1.100108116E9</v>
      </c>
      <c r="C745" s="105"/>
      <c r="D745" s="104" t="s">
        <v>7042</v>
      </c>
      <c r="E745" s="104" t="s">
        <v>7043</v>
      </c>
      <c r="F745" s="103" t="s">
        <v>4678</v>
      </c>
      <c r="G745" s="103" t="s">
        <v>4679</v>
      </c>
      <c r="H745" s="103" t="s">
        <v>7044</v>
      </c>
      <c r="I745" s="103">
        <v>6806000.0</v>
      </c>
      <c r="J745" s="108" t="s">
        <v>7045</v>
      </c>
      <c r="K745" s="105"/>
      <c r="L745" s="105"/>
    </row>
    <row r="746">
      <c r="A746" s="103" t="s">
        <v>4676</v>
      </c>
      <c r="B746" s="103">
        <v>1.10010811601E11</v>
      </c>
      <c r="C746" s="105"/>
      <c r="D746" s="104" t="s">
        <v>7046</v>
      </c>
      <c r="E746" s="106"/>
      <c r="F746" s="103" t="s">
        <v>4678</v>
      </c>
      <c r="G746" s="103" t="s">
        <v>4679</v>
      </c>
      <c r="H746" s="103" t="s">
        <v>7044</v>
      </c>
      <c r="I746" s="105"/>
      <c r="J746" s="106"/>
      <c r="K746" s="105"/>
      <c r="L746" s="105"/>
    </row>
    <row r="747">
      <c r="A747" s="103" t="s">
        <v>4676</v>
      </c>
      <c r="B747" s="103">
        <v>1.100108122E9</v>
      </c>
      <c r="C747" s="105"/>
      <c r="D747" s="104" t="s">
        <v>7047</v>
      </c>
      <c r="E747" s="104" t="s">
        <v>7048</v>
      </c>
      <c r="F747" s="103" t="s">
        <v>4678</v>
      </c>
      <c r="G747" s="103" t="s">
        <v>4679</v>
      </c>
      <c r="H747" s="103" t="s">
        <v>7049</v>
      </c>
      <c r="I747" s="103" t="s">
        <v>7050</v>
      </c>
      <c r="J747" s="104" t="s">
        <v>7051</v>
      </c>
      <c r="K747" s="105"/>
      <c r="L747" s="105"/>
    </row>
    <row r="748">
      <c r="A748" s="103" t="s">
        <v>4676</v>
      </c>
      <c r="B748" s="103">
        <v>1.10010812201E11</v>
      </c>
      <c r="C748" s="105"/>
      <c r="D748" s="104" t="s">
        <v>7052</v>
      </c>
      <c r="E748" s="104" t="s">
        <v>7053</v>
      </c>
      <c r="F748" s="103" t="s">
        <v>4678</v>
      </c>
      <c r="G748" s="103" t="s">
        <v>4679</v>
      </c>
      <c r="H748" s="103" t="s">
        <v>7049</v>
      </c>
      <c r="I748" s="103" t="s">
        <v>7050</v>
      </c>
      <c r="J748" s="104" t="s">
        <v>7051</v>
      </c>
      <c r="K748" s="105"/>
      <c r="L748" s="105"/>
    </row>
    <row r="749">
      <c r="A749" s="103" t="s">
        <v>4676</v>
      </c>
      <c r="B749" s="103">
        <v>1.10010812202E11</v>
      </c>
      <c r="C749" s="105"/>
      <c r="D749" s="104" t="s">
        <v>7052</v>
      </c>
      <c r="E749" s="104" t="s">
        <v>7054</v>
      </c>
      <c r="F749" s="103" t="s">
        <v>4678</v>
      </c>
      <c r="G749" s="103" t="s">
        <v>4679</v>
      </c>
      <c r="H749" s="103" t="s">
        <v>7055</v>
      </c>
      <c r="I749" s="103" t="s">
        <v>7056</v>
      </c>
      <c r="J749" s="104" t="s">
        <v>7051</v>
      </c>
      <c r="K749" s="105"/>
      <c r="L749" s="105"/>
    </row>
    <row r="750">
      <c r="A750" s="103" t="s">
        <v>4676</v>
      </c>
      <c r="B750" s="103">
        <v>1.10010812204E11</v>
      </c>
      <c r="C750" s="105"/>
      <c r="D750" s="104" t="s">
        <v>7052</v>
      </c>
      <c r="E750" s="104" t="s">
        <v>7057</v>
      </c>
      <c r="F750" s="103" t="s">
        <v>4678</v>
      </c>
      <c r="G750" s="103" t="s">
        <v>4679</v>
      </c>
      <c r="H750" s="103" t="s">
        <v>7058</v>
      </c>
      <c r="I750" s="103" t="s">
        <v>7059</v>
      </c>
      <c r="J750" s="104" t="s">
        <v>7051</v>
      </c>
      <c r="K750" s="105"/>
      <c r="L750" s="105"/>
    </row>
    <row r="751">
      <c r="A751" s="103" t="s">
        <v>4676</v>
      </c>
      <c r="B751" s="103">
        <v>1.100108171E9</v>
      </c>
      <c r="C751" s="105"/>
      <c r="D751" s="104" t="s">
        <v>7060</v>
      </c>
      <c r="E751" s="104" t="s">
        <v>7061</v>
      </c>
      <c r="F751" s="103" t="s">
        <v>4678</v>
      </c>
      <c r="G751" s="103" t="s">
        <v>4679</v>
      </c>
      <c r="H751" s="103" t="s">
        <v>7062</v>
      </c>
      <c r="I751" s="103" t="s">
        <v>7063</v>
      </c>
      <c r="J751" s="104" t="s">
        <v>7064</v>
      </c>
      <c r="K751" s="107" t="s">
        <v>7065</v>
      </c>
      <c r="L751" s="105"/>
    </row>
    <row r="752">
      <c r="A752" s="103" t="s">
        <v>4676</v>
      </c>
      <c r="B752" s="103">
        <v>1.10010817102E11</v>
      </c>
      <c r="C752" s="105"/>
      <c r="D752" s="104" t="s">
        <v>7066</v>
      </c>
      <c r="E752" s="104" t="s">
        <v>7067</v>
      </c>
      <c r="F752" s="103" t="s">
        <v>4678</v>
      </c>
      <c r="G752" s="103" t="s">
        <v>4679</v>
      </c>
      <c r="H752" s="103" t="s">
        <v>7068</v>
      </c>
      <c r="I752" s="103" t="s">
        <v>7069</v>
      </c>
      <c r="J752" s="104" t="s">
        <v>7064</v>
      </c>
      <c r="K752" s="105"/>
      <c r="L752" s="105"/>
    </row>
    <row r="753">
      <c r="A753" s="103" t="s">
        <v>4676</v>
      </c>
      <c r="B753" s="103">
        <v>1.10010817103E11</v>
      </c>
      <c r="C753" s="105"/>
      <c r="D753" s="104" t="s">
        <v>7070</v>
      </c>
      <c r="E753" s="104" t="s">
        <v>7071</v>
      </c>
      <c r="F753" s="103" t="s">
        <v>4678</v>
      </c>
      <c r="G753" s="103" t="s">
        <v>4679</v>
      </c>
      <c r="H753" s="103" t="s">
        <v>7072</v>
      </c>
      <c r="I753" s="103" t="s">
        <v>7073</v>
      </c>
      <c r="J753" s="104" t="s">
        <v>7064</v>
      </c>
      <c r="K753" s="105"/>
      <c r="L753" s="105"/>
    </row>
    <row r="754">
      <c r="A754" s="103" t="s">
        <v>4676</v>
      </c>
      <c r="B754" s="103">
        <v>1.10010817104E11</v>
      </c>
      <c r="C754" s="105"/>
      <c r="D754" s="104" t="s">
        <v>7074</v>
      </c>
      <c r="E754" s="104" t="s">
        <v>7075</v>
      </c>
      <c r="F754" s="103" t="s">
        <v>4678</v>
      </c>
      <c r="G754" s="103" t="s">
        <v>4679</v>
      </c>
      <c r="H754" s="103" t="s">
        <v>7076</v>
      </c>
      <c r="I754" s="103">
        <v>6.0174201E9</v>
      </c>
      <c r="J754" s="104" t="s">
        <v>7064</v>
      </c>
      <c r="K754" s="105"/>
      <c r="L754" s="105"/>
    </row>
    <row r="755">
      <c r="A755" s="103" t="s">
        <v>4676</v>
      </c>
      <c r="B755" s="103">
        <v>1.10010817105E11</v>
      </c>
      <c r="C755" s="105"/>
      <c r="D755" s="104" t="s">
        <v>7077</v>
      </c>
      <c r="E755" s="104" t="s">
        <v>7075</v>
      </c>
      <c r="F755" s="103" t="s">
        <v>4678</v>
      </c>
      <c r="G755" s="103" t="s">
        <v>4679</v>
      </c>
      <c r="H755" s="103" t="s">
        <v>7078</v>
      </c>
      <c r="I755" s="103" t="s">
        <v>7079</v>
      </c>
      <c r="J755" s="104" t="s">
        <v>7064</v>
      </c>
      <c r="K755" s="105"/>
      <c r="L755" s="105"/>
    </row>
    <row r="756">
      <c r="A756" s="103" t="s">
        <v>4676</v>
      </c>
      <c r="B756" s="103">
        <v>1.10010817106E11</v>
      </c>
      <c r="C756" s="105"/>
      <c r="D756" s="104" t="s">
        <v>7080</v>
      </c>
      <c r="E756" s="104" t="s">
        <v>7081</v>
      </c>
      <c r="F756" s="103" t="s">
        <v>4678</v>
      </c>
      <c r="G756" s="103" t="s">
        <v>4679</v>
      </c>
      <c r="H756" s="103" t="s">
        <v>7082</v>
      </c>
      <c r="I756" s="103" t="s">
        <v>7083</v>
      </c>
      <c r="J756" s="104" t="s">
        <v>7064</v>
      </c>
      <c r="K756" s="105"/>
      <c r="L756" s="105"/>
    </row>
    <row r="757">
      <c r="A757" s="103" t="s">
        <v>4676</v>
      </c>
      <c r="B757" s="103">
        <v>1.10010817107E11</v>
      </c>
      <c r="C757" s="105"/>
      <c r="D757" s="104" t="s">
        <v>7084</v>
      </c>
      <c r="E757" s="104" t="s">
        <v>7085</v>
      </c>
      <c r="F757" s="103" t="s">
        <v>4678</v>
      </c>
      <c r="G757" s="103" t="s">
        <v>4679</v>
      </c>
      <c r="H757" s="103" t="s">
        <v>7086</v>
      </c>
      <c r="I757" s="103">
        <v>7565500.0</v>
      </c>
      <c r="J757" s="104" t="s">
        <v>7064</v>
      </c>
      <c r="K757" s="105"/>
      <c r="L757" s="105"/>
    </row>
    <row r="758">
      <c r="A758" s="103" t="s">
        <v>4676</v>
      </c>
      <c r="B758" s="103">
        <v>1.10010817108E11</v>
      </c>
      <c r="C758" s="105"/>
      <c r="D758" s="104" t="s">
        <v>7087</v>
      </c>
      <c r="E758" s="104" t="s">
        <v>7075</v>
      </c>
      <c r="F758" s="103" t="s">
        <v>4678</v>
      </c>
      <c r="G758" s="103" t="s">
        <v>4679</v>
      </c>
      <c r="H758" s="103" t="s">
        <v>7088</v>
      </c>
      <c r="I758" s="103" t="s">
        <v>7089</v>
      </c>
      <c r="J758" s="104" t="s">
        <v>7064</v>
      </c>
      <c r="K758" s="105"/>
      <c r="L758" s="105"/>
    </row>
    <row r="759">
      <c r="A759" s="103" t="s">
        <v>4676</v>
      </c>
      <c r="B759" s="103">
        <v>1.10010817116E11</v>
      </c>
      <c r="C759" s="105"/>
      <c r="D759" s="104" t="s">
        <v>7090</v>
      </c>
      <c r="E759" s="104" t="s">
        <v>7075</v>
      </c>
      <c r="F759" s="103" t="s">
        <v>4678</v>
      </c>
      <c r="G759" s="103" t="s">
        <v>4679</v>
      </c>
      <c r="H759" s="103" t="s">
        <v>7091</v>
      </c>
      <c r="I759" s="103" t="s">
        <v>7092</v>
      </c>
      <c r="J759" s="104" t="s">
        <v>7064</v>
      </c>
      <c r="K759" s="105"/>
      <c r="L759" s="105"/>
    </row>
    <row r="760">
      <c r="A760" s="103" t="s">
        <v>4676</v>
      </c>
      <c r="B760" s="103">
        <v>1.10010817117E11</v>
      </c>
      <c r="C760" s="105"/>
      <c r="D760" s="104" t="s">
        <v>7093</v>
      </c>
      <c r="E760" s="104" t="s">
        <v>7075</v>
      </c>
      <c r="F760" s="103" t="s">
        <v>4678</v>
      </c>
      <c r="G760" s="103" t="s">
        <v>4679</v>
      </c>
      <c r="H760" s="103" t="s">
        <v>7094</v>
      </c>
      <c r="I760" s="103">
        <v>7455288.0</v>
      </c>
      <c r="J760" s="104" t="s">
        <v>7064</v>
      </c>
      <c r="K760" s="105"/>
      <c r="L760" s="105"/>
    </row>
    <row r="761">
      <c r="A761" s="103" t="s">
        <v>4676</v>
      </c>
      <c r="B761" s="103">
        <v>1.10010817118E11</v>
      </c>
      <c r="C761" s="105"/>
      <c r="D761" s="104" t="s">
        <v>7095</v>
      </c>
      <c r="E761" s="104" t="s">
        <v>7075</v>
      </c>
      <c r="F761" s="103" t="s">
        <v>4678</v>
      </c>
      <c r="G761" s="103" t="s">
        <v>4679</v>
      </c>
      <c r="H761" s="103" t="s">
        <v>7096</v>
      </c>
      <c r="I761" s="103" t="s">
        <v>7097</v>
      </c>
      <c r="J761" s="104" t="s">
        <v>7064</v>
      </c>
      <c r="K761" s="105"/>
      <c r="L761" s="105"/>
    </row>
    <row r="762">
      <c r="A762" s="103" t="s">
        <v>4676</v>
      </c>
      <c r="B762" s="103">
        <v>1.10010817121E11</v>
      </c>
      <c r="C762" s="105"/>
      <c r="D762" s="104" t="s">
        <v>7098</v>
      </c>
      <c r="E762" s="104" t="s">
        <v>7099</v>
      </c>
      <c r="F762" s="103" t="s">
        <v>4678</v>
      </c>
      <c r="G762" s="103" t="s">
        <v>4679</v>
      </c>
      <c r="H762" s="103" t="s">
        <v>7100</v>
      </c>
      <c r="I762" s="103" t="s">
        <v>7101</v>
      </c>
      <c r="J762" s="104" t="s">
        <v>7064</v>
      </c>
      <c r="K762" s="105"/>
      <c r="L762" s="105"/>
    </row>
    <row r="763">
      <c r="A763" s="103" t="s">
        <v>4676</v>
      </c>
      <c r="B763" s="103">
        <v>1.10010817122E11</v>
      </c>
      <c r="C763" s="105"/>
      <c r="D763" s="104" t="s">
        <v>7102</v>
      </c>
      <c r="E763" s="104" t="s">
        <v>7099</v>
      </c>
      <c r="F763" s="103" t="s">
        <v>4678</v>
      </c>
      <c r="G763" s="103" t="s">
        <v>4679</v>
      </c>
      <c r="H763" s="103" t="s">
        <v>7103</v>
      </c>
      <c r="I763" s="103" t="s">
        <v>7104</v>
      </c>
      <c r="J763" s="104" t="s">
        <v>7064</v>
      </c>
      <c r="K763" s="105"/>
      <c r="L763" s="105"/>
    </row>
    <row r="764">
      <c r="A764" s="103" t="s">
        <v>4676</v>
      </c>
      <c r="B764" s="103">
        <v>1.10010817123E11</v>
      </c>
      <c r="C764" s="105"/>
      <c r="D764" s="104" t="s">
        <v>7105</v>
      </c>
      <c r="E764" s="104" t="s">
        <v>7099</v>
      </c>
      <c r="F764" s="103" t="s">
        <v>4678</v>
      </c>
      <c r="G764" s="103" t="s">
        <v>4679</v>
      </c>
      <c r="H764" s="103" t="s">
        <v>7106</v>
      </c>
      <c r="I764" s="103" t="s">
        <v>7107</v>
      </c>
      <c r="J764" s="104" t="s">
        <v>7064</v>
      </c>
      <c r="K764" s="105"/>
      <c r="L764" s="105"/>
    </row>
    <row r="765">
      <c r="A765" s="103" t="s">
        <v>4676</v>
      </c>
      <c r="B765" s="103">
        <v>1.10010817127E11</v>
      </c>
      <c r="C765" s="105"/>
      <c r="D765" s="104" t="s">
        <v>7108</v>
      </c>
      <c r="E765" s="104" t="s">
        <v>7099</v>
      </c>
      <c r="F765" s="103" t="s">
        <v>4678</v>
      </c>
      <c r="G765" s="103" t="s">
        <v>4679</v>
      </c>
      <c r="H765" s="103" t="s">
        <v>7109</v>
      </c>
      <c r="I765" s="103" t="s">
        <v>7110</v>
      </c>
      <c r="J765" s="104" t="s">
        <v>7064</v>
      </c>
      <c r="K765" s="105"/>
      <c r="L765" s="105"/>
    </row>
    <row r="766">
      <c r="A766" s="103" t="s">
        <v>4676</v>
      </c>
      <c r="B766" s="103">
        <v>1.10010817132E11</v>
      </c>
      <c r="C766" s="105"/>
      <c r="D766" s="104" t="s">
        <v>7111</v>
      </c>
      <c r="E766" s="104" t="s">
        <v>7075</v>
      </c>
      <c r="F766" s="103" t="s">
        <v>4678</v>
      </c>
      <c r="G766" s="103" t="s">
        <v>4679</v>
      </c>
      <c r="H766" s="103" t="s">
        <v>7112</v>
      </c>
      <c r="I766" s="103" t="s">
        <v>7113</v>
      </c>
      <c r="J766" s="104" t="s">
        <v>7064</v>
      </c>
      <c r="K766" s="105"/>
      <c r="L766" s="105"/>
    </row>
    <row r="767">
      <c r="A767" s="103" t="s">
        <v>4676</v>
      </c>
      <c r="B767" s="103">
        <v>1.10010817133E11</v>
      </c>
      <c r="C767" s="105"/>
      <c r="D767" s="104" t="s">
        <v>7114</v>
      </c>
      <c r="E767" s="104" t="s">
        <v>7075</v>
      </c>
      <c r="F767" s="103" t="s">
        <v>4678</v>
      </c>
      <c r="G767" s="103" t="s">
        <v>4679</v>
      </c>
      <c r="H767" s="103" t="s">
        <v>7115</v>
      </c>
      <c r="I767" s="103">
        <v>7455223.0</v>
      </c>
      <c r="J767" s="104" t="s">
        <v>7064</v>
      </c>
      <c r="K767" s="105"/>
      <c r="L767" s="105"/>
    </row>
    <row r="768">
      <c r="A768" s="103" t="s">
        <v>4676</v>
      </c>
      <c r="B768" s="103">
        <v>1.10010817134E11</v>
      </c>
      <c r="C768" s="105"/>
      <c r="D768" s="104" t="s">
        <v>7116</v>
      </c>
      <c r="E768" s="104" t="s">
        <v>7075</v>
      </c>
      <c r="F768" s="103" t="s">
        <v>4678</v>
      </c>
      <c r="G768" s="103" t="s">
        <v>4679</v>
      </c>
      <c r="H768" s="103" t="s">
        <v>7117</v>
      </c>
      <c r="I768" s="103" t="s">
        <v>7118</v>
      </c>
      <c r="J768" s="104" t="s">
        <v>7064</v>
      </c>
      <c r="K768" s="105"/>
      <c r="L768" s="105"/>
    </row>
    <row r="769">
      <c r="A769" s="103" t="s">
        <v>4676</v>
      </c>
      <c r="B769" s="103">
        <v>1.10010817136E11</v>
      </c>
      <c r="C769" s="105"/>
      <c r="D769" s="104" t="s">
        <v>7119</v>
      </c>
      <c r="E769" s="104" t="s">
        <v>7120</v>
      </c>
      <c r="F769" s="103" t="s">
        <v>4678</v>
      </c>
      <c r="G769" s="103" t="s">
        <v>4679</v>
      </c>
      <c r="H769" s="103" t="s">
        <v>7121</v>
      </c>
      <c r="I769" s="103" t="s">
        <v>7122</v>
      </c>
      <c r="J769" s="104" t="s">
        <v>7064</v>
      </c>
      <c r="K769" s="105"/>
      <c r="L769" s="105"/>
    </row>
    <row r="770">
      <c r="A770" s="103" t="s">
        <v>4676</v>
      </c>
      <c r="B770" s="103">
        <v>1.10010817142E11</v>
      </c>
      <c r="C770" s="105"/>
      <c r="D770" s="104" t="s">
        <v>7123</v>
      </c>
      <c r="E770" s="104" t="s">
        <v>7099</v>
      </c>
      <c r="F770" s="103" t="s">
        <v>4678</v>
      </c>
      <c r="G770" s="103" t="s">
        <v>4679</v>
      </c>
      <c r="H770" s="103" t="s">
        <v>7124</v>
      </c>
      <c r="I770" s="103" t="s">
        <v>7125</v>
      </c>
      <c r="J770" s="104" t="s">
        <v>7064</v>
      </c>
      <c r="K770" s="105"/>
      <c r="L770" s="105"/>
    </row>
    <row r="771">
      <c r="A771" s="103" t="s">
        <v>4676</v>
      </c>
      <c r="B771" s="103">
        <v>1.10010817143E11</v>
      </c>
      <c r="C771" s="105"/>
      <c r="D771" s="104" t="s">
        <v>7126</v>
      </c>
      <c r="E771" s="104" t="s">
        <v>7127</v>
      </c>
      <c r="F771" s="103" t="s">
        <v>4678</v>
      </c>
      <c r="G771" s="103" t="s">
        <v>4679</v>
      </c>
      <c r="H771" s="103" t="s">
        <v>7128</v>
      </c>
      <c r="I771" s="103">
        <v>7420393.0</v>
      </c>
      <c r="J771" s="104" t="s">
        <v>7064</v>
      </c>
      <c r="K771" s="105"/>
      <c r="L771" s="105"/>
    </row>
    <row r="772">
      <c r="A772" s="103" t="s">
        <v>4676</v>
      </c>
      <c r="B772" s="103">
        <v>1.10010817144E11</v>
      </c>
      <c r="C772" s="105"/>
      <c r="D772" s="104" t="s">
        <v>7129</v>
      </c>
      <c r="E772" s="104" t="s">
        <v>7120</v>
      </c>
      <c r="F772" s="103" t="s">
        <v>4678</v>
      </c>
      <c r="G772" s="103" t="s">
        <v>4679</v>
      </c>
      <c r="H772" s="103" t="s">
        <v>7130</v>
      </c>
      <c r="I772" s="103" t="s">
        <v>7131</v>
      </c>
      <c r="J772" s="104" t="s">
        <v>7064</v>
      </c>
      <c r="K772" s="105"/>
      <c r="L772" s="105"/>
    </row>
    <row r="773">
      <c r="A773" s="103" t="s">
        <v>4676</v>
      </c>
      <c r="B773" s="103">
        <v>1.10010817148E11</v>
      </c>
      <c r="C773" s="105"/>
      <c r="D773" s="104" t="s">
        <v>7132</v>
      </c>
      <c r="E773" s="104" t="s">
        <v>7099</v>
      </c>
      <c r="F773" s="103" t="s">
        <v>4678</v>
      </c>
      <c r="G773" s="103" t="s">
        <v>4679</v>
      </c>
      <c r="H773" s="103" t="s">
        <v>7133</v>
      </c>
      <c r="I773" s="103" t="s">
        <v>7134</v>
      </c>
      <c r="J773" s="104" t="s">
        <v>7064</v>
      </c>
      <c r="K773" s="105"/>
      <c r="L773" s="105"/>
    </row>
    <row r="774">
      <c r="A774" s="103" t="s">
        <v>4676</v>
      </c>
      <c r="B774" s="103">
        <v>1.10010817149E11</v>
      </c>
      <c r="C774" s="105"/>
      <c r="D774" s="104" t="s">
        <v>7135</v>
      </c>
      <c r="E774" s="104" t="s">
        <v>7136</v>
      </c>
      <c r="F774" s="103" t="s">
        <v>4678</v>
      </c>
      <c r="G774" s="103" t="s">
        <v>4679</v>
      </c>
      <c r="H774" s="103" t="s">
        <v>7137</v>
      </c>
      <c r="I774" s="103" t="s">
        <v>7138</v>
      </c>
      <c r="J774" s="104" t="s">
        <v>7064</v>
      </c>
      <c r="K774" s="105"/>
      <c r="L774" s="105"/>
    </row>
    <row r="775">
      <c r="A775" s="103" t="s">
        <v>4676</v>
      </c>
      <c r="B775" s="103">
        <v>1.1001081715E11</v>
      </c>
      <c r="C775" s="105"/>
      <c r="D775" s="104" t="s">
        <v>7139</v>
      </c>
      <c r="E775" s="104" t="s">
        <v>7120</v>
      </c>
      <c r="F775" s="103" t="s">
        <v>4678</v>
      </c>
      <c r="G775" s="103" t="s">
        <v>4679</v>
      </c>
      <c r="H775" s="103" t="s">
        <v>7140</v>
      </c>
      <c r="I775" s="103" t="s">
        <v>7141</v>
      </c>
      <c r="J775" s="104" t="s">
        <v>7064</v>
      </c>
      <c r="K775" s="105"/>
      <c r="L775" s="105"/>
    </row>
    <row r="776">
      <c r="A776" s="103" t="s">
        <v>4676</v>
      </c>
      <c r="B776" s="103">
        <v>1.10010817151E11</v>
      </c>
      <c r="C776" s="105"/>
      <c r="D776" s="104" t="s">
        <v>7142</v>
      </c>
      <c r="E776" s="104" t="s">
        <v>7143</v>
      </c>
      <c r="F776" s="103" t="s">
        <v>4678</v>
      </c>
      <c r="G776" s="103" t="s">
        <v>4679</v>
      </c>
      <c r="H776" s="103" t="s">
        <v>7144</v>
      </c>
      <c r="I776" s="103" t="s">
        <v>7145</v>
      </c>
      <c r="J776" s="104" t="s">
        <v>7064</v>
      </c>
      <c r="K776" s="105"/>
      <c r="L776" s="105"/>
    </row>
    <row r="777">
      <c r="A777" s="103" t="s">
        <v>4676</v>
      </c>
      <c r="B777" s="103">
        <v>1.10010817152E11</v>
      </c>
      <c r="C777" s="105"/>
      <c r="D777" s="104" t="s">
        <v>7146</v>
      </c>
      <c r="E777" s="104" t="s">
        <v>7099</v>
      </c>
      <c r="F777" s="103" t="s">
        <v>4678</v>
      </c>
      <c r="G777" s="103" t="s">
        <v>4679</v>
      </c>
      <c r="H777" s="103" t="s">
        <v>7147</v>
      </c>
      <c r="I777" s="103" t="s">
        <v>7148</v>
      </c>
      <c r="J777" s="104" t="s">
        <v>7064</v>
      </c>
      <c r="K777" s="105"/>
      <c r="L777" s="105"/>
    </row>
    <row r="778">
      <c r="A778" s="103" t="s">
        <v>4676</v>
      </c>
      <c r="B778" s="103">
        <v>1.10010817157E11</v>
      </c>
      <c r="C778" s="105"/>
      <c r="D778" s="104" t="s">
        <v>7149</v>
      </c>
      <c r="E778" s="104" t="s">
        <v>7127</v>
      </c>
      <c r="F778" s="103" t="s">
        <v>4678</v>
      </c>
      <c r="G778" s="103" t="s">
        <v>4679</v>
      </c>
      <c r="H778" s="103" t="s">
        <v>7150</v>
      </c>
      <c r="I778" s="103" t="s">
        <v>7151</v>
      </c>
      <c r="J778" s="104" t="s">
        <v>7064</v>
      </c>
      <c r="K778" s="105"/>
      <c r="L778" s="105"/>
    </row>
    <row r="779">
      <c r="A779" s="103" t="s">
        <v>4676</v>
      </c>
      <c r="B779" s="103">
        <v>1.10010817158E11</v>
      </c>
      <c r="C779" s="105"/>
      <c r="D779" s="104" t="s">
        <v>7152</v>
      </c>
      <c r="E779" s="104" t="s">
        <v>7075</v>
      </c>
      <c r="F779" s="103" t="s">
        <v>4678</v>
      </c>
      <c r="G779" s="103" t="s">
        <v>4679</v>
      </c>
      <c r="H779" s="103" t="s">
        <v>7153</v>
      </c>
      <c r="I779" s="103" t="s">
        <v>7154</v>
      </c>
      <c r="J779" s="104" t="s">
        <v>7064</v>
      </c>
      <c r="K779" s="105"/>
      <c r="L779" s="105"/>
    </row>
    <row r="780">
      <c r="A780" s="103" t="s">
        <v>4676</v>
      </c>
      <c r="B780" s="103">
        <v>1.1001081716E11</v>
      </c>
      <c r="C780" s="105"/>
      <c r="D780" s="104" t="s">
        <v>7155</v>
      </c>
      <c r="E780" s="104" t="s">
        <v>7156</v>
      </c>
      <c r="F780" s="103" t="s">
        <v>4678</v>
      </c>
      <c r="G780" s="103" t="s">
        <v>4679</v>
      </c>
      <c r="H780" s="103" t="s">
        <v>7157</v>
      </c>
      <c r="I780" s="103" t="s">
        <v>7158</v>
      </c>
      <c r="J780" s="104" t="s">
        <v>7064</v>
      </c>
      <c r="K780" s="105"/>
      <c r="L780" s="105"/>
    </row>
    <row r="781">
      <c r="A781" s="103" t="s">
        <v>4676</v>
      </c>
      <c r="B781" s="103">
        <v>1.10010817161E11</v>
      </c>
      <c r="C781" s="105"/>
      <c r="D781" s="104" t="s">
        <v>7159</v>
      </c>
      <c r="E781" s="104" t="s">
        <v>7127</v>
      </c>
      <c r="F781" s="103" t="s">
        <v>4678</v>
      </c>
      <c r="G781" s="103" t="s">
        <v>4679</v>
      </c>
      <c r="H781" s="103" t="s">
        <v>7160</v>
      </c>
      <c r="I781" s="103" t="s">
        <v>7151</v>
      </c>
      <c r="J781" s="104" t="s">
        <v>7064</v>
      </c>
      <c r="K781" s="105"/>
      <c r="L781" s="105"/>
    </row>
    <row r="782">
      <c r="A782" s="103" t="s">
        <v>4676</v>
      </c>
      <c r="B782" s="103">
        <v>1.10010817162E11</v>
      </c>
      <c r="C782" s="105"/>
      <c r="D782" s="104" t="s">
        <v>7161</v>
      </c>
      <c r="E782" s="104" t="s">
        <v>7162</v>
      </c>
      <c r="F782" s="103" t="s">
        <v>4678</v>
      </c>
      <c r="G782" s="103" t="s">
        <v>4679</v>
      </c>
      <c r="H782" s="103" t="s">
        <v>7163</v>
      </c>
      <c r="I782" s="103" t="s">
        <v>7164</v>
      </c>
      <c r="J782" s="104" t="s">
        <v>7064</v>
      </c>
      <c r="K782" s="105"/>
      <c r="L782" s="105"/>
    </row>
    <row r="783">
      <c r="A783" s="103" t="s">
        <v>4676</v>
      </c>
      <c r="B783" s="103">
        <v>1.10010817163E11</v>
      </c>
      <c r="C783" s="105"/>
      <c r="D783" s="104" t="s">
        <v>7165</v>
      </c>
      <c r="E783" s="104" t="s">
        <v>7127</v>
      </c>
      <c r="F783" s="103" t="s">
        <v>4678</v>
      </c>
      <c r="G783" s="103" t="s">
        <v>4679</v>
      </c>
      <c r="H783" s="103" t="s">
        <v>7166</v>
      </c>
      <c r="I783" s="103">
        <v>7441316.0</v>
      </c>
      <c r="J783" s="104" t="s">
        <v>7064</v>
      </c>
      <c r="K783" s="105"/>
      <c r="L783" s="105"/>
    </row>
    <row r="784">
      <c r="A784" s="103" t="s">
        <v>4676</v>
      </c>
      <c r="B784" s="103">
        <v>1.10010817165E11</v>
      </c>
      <c r="C784" s="105"/>
      <c r="D784" s="104" t="s">
        <v>7167</v>
      </c>
      <c r="E784" s="104" t="s">
        <v>7127</v>
      </c>
      <c r="F784" s="103" t="s">
        <v>4678</v>
      </c>
      <c r="G784" s="103" t="s">
        <v>4679</v>
      </c>
      <c r="H784" s="103" t="s">
        <v>7168</v>
      </c>
      <c r="I784" s="103" t="s">
        <v>7151</v>
      </c>
      <c r="J784" s="104" t="s">
        <v>7064</v>
      </c>
      <c r="K784" s="105"/>
      <c r="L784" s="105"/>
    </row>
    <row r="785">
      <c r="A785" s="103" t="s">
        <v>4676</v>
      </c>
      <c r="B785" s="103">
        <v>1.10010817166E11</v>
      </c>
      <c r="C785" s="105"/>
      <c r="D785" s="104" t="s">
        <v>7169</v>
      </c>
      <c r="E785" s="104" t="s">
        <v>7127</v>
      </c>
      <c r="F785" s="103" t="s">
        <v>4678</v>
      </c>
      <c r="G785" s="103" t="s">
        <v>4679</v>
      </c>
      <c r="H785" s="103" t="s">
        <v>7170</v>
      </c>
      <c r="I785" s="103" t="s">
        <v>7171</v>
      </c>
      <c r="J785" s="104" t="s">
        <v>7064</v>
      </c>
      <c r="K785" s="105"/>
      <c r="L785" s="105"/>
    </row>
    <row r="786">
      <c r="A786" s="103" t="s">
        <v>4676</v>
      </c>
      <c r="B786" s="103">
        <v>1.10010817167E11</v>
      </c>
      <c r="C786" s="105"/>
      <c r="D786" s="104" t="s">
        <v>7172</v>
      </c>
      <c r="E786" s="104" t="s">
        <v>7173</v>
      </c>
      <c r="F786" s="103" t="s">
        <v>4678</v>
      </c>
      <c r="G786" s="103" t="s">
        <v>4679</v>
      </c>
      <c r="H786" s="103" t="s">
        <v>7174</v>
      </c>
      <c r="I786" s="103" t="s">
        <v>7175</v>
      </c>
      <c r="J786" s="104" t="s">
        <v>7064</v>
      </c>
      <c r="K786" s="105"/>
      <c r="L786" s="105"/>
    </row>
    <row r="787">
      <c r="A787" s="103" t="s">
        <v>4676</v>
      </c>
      <c r="B787" s="103">
        <v>1.10010817168E11</v>
      </c>
      <c r="C787" s="105"/>
      <c r="D787" s="104" t="s">
        <v>7176</v>
      </c>
      <c r="E787" s="104" t="s">
        <v>7075</v>
      </c>
      <c r="F787" s="103" t="s">
        <v>4678</v>
      </c>
      <c r="G787" s="103" t="s">
        <v>4679</v>
      </c>
      <c r="H787" s="103" t="s">
        <v>7177</v>
      </c>
      <c r="I787" s="103" t="s">
        <v>7178</v>
      </c>
      <c r="J787" s="104" t="s">
        <v>7064</v>
      </c>
      <c r="K787" s="105"/>
      <c r="L787" s="105"/>
    </row>
    <row r="788">
      <c r="A788" s="103" t="s">
        <v>4676</v>
      </c>
      <c r="B788" s="103">
        <v>1.10010817169E11</v>
      </c>
      <c r="C788" s="105"/>
      <c r="D788" s="104" t="s">
        <v>7179</v>
      </c>
      <c r="E788" s="104" t="s">
        <v>7180</v>
      </c>
      <c r="F788" s="103" t="s">
        <v>4678</v>
      </c>
      <c r="G788" s="103" t="s">
        <v>4679</v>
      </c>
      <c r="H788" s="103" t="s">
        <v>7181</v>
      </c>
      <c r="I788" s="103" t="s">
        <v>7182</v>
      </c>
      <c r="J788" s="104" t="s">
        <v>7064</v>
      </c>
      <c r="K788" s="105"/>
      <c r="L788" s="105"/>
    </row>
    <row r="789">
      <c r="A789" s="103" t="s">
        <v>4676</v>
      </c>
      <c r="B789" s="103">
        <v>1.1001081717E11</v>
      </c>
      <c r="C789" s="105"/>
      <c r="D789" s="104" t="s">
        <v>7183</v>
      </c>
      <c r="E789" s="104" t="s">
        <v>7127</v>
      </c>
      <c r="F789" s="103" t="s">
        <v>4678</v>
      </c>
      <c r="G789" s="103" t="s">
        <v>4679</v>
      </c>
      <c r="H789" s="103" t="s">
        <v>7184</v>
      </c>
      <c r="I789" s="103">
        <v>7468900.0</v>
      </c>
      <c r="J789" s="104" t="s">
        <v>7064</v>
      </c>
      <c r="K789" s="105"/>
      <c r="L789" s="105"/>
    </row>
    <row r="790">
      <c r="A790" s="103" t="s">
        <v>4676</v>
      </c>
      <c r="B790" s="103">
        <v>1.10010817171E11</v>
      </c>
      <c r="C790" s="105"/>
      <c r="D790" s="104" t="s">
        <v>7185</v>
      </c>
      <c r="E790" s="104" t="s">
        <v>7173</v>
      </c>
      <c r="F790" s="103" t="s">
        <v>4678</v>
      </c>
      <c r="G790" s="103" t="s">
        <v>4679</v>
      </c>
      <c r="H790" s="103" t="s">
        <v>7186</v>
      </c>
      <c r="I790" s="103">
        <v>7420100.0</v>
      </c>
      <c r="J790" s="104" t="s">
        <v>7064</v>
      </c>
      <c r="K790" s="105"/>
      <c r="L790" s="105"/>
    </row>
    <row r="791">
      <c r="A791" s="103" t="s">
        <v>4676</v>
      </c>
      <c r="B791" s="103">
        <v>1.10010817172E11</v>
      </c>
      <c r="C791" s="105"/>
      <c r="D791" s="104" t="s">
        <v>7187</v>
      </c>
      <c r="E791" s="104" t="s">
        <v>7173</v>
      </c>
      <c r="F791" s="103" t="s">
        <v>4678</v>
      </c>
      <c r="G791" s="103" t="s">
        <v>4679</v>
      </c>
      <c r="H791" s="103" t="s">
        <v>7188</v>
      </c>
      <c r="I791" s="103">
        <v>7420100.0</v>
      </c>
      <c r="J791" s="104" t="s">
        <v>7064</v>
      </c>
      <c r="K791" s="105"/>
      <c r="L791" s="105"/>
    </row>
    <row r="792">
      <c r="A792" s="103" t="s">
        <v>4676</v>
      </c>
      <c r="B792" s="103">
        <v>1.10010817173E11</v>
      </c>
      <c r="C792" s="105"/>
      <c r="D792" s="104" t="s">
        <v>7189</v>
      </c>
      <c r="E792" s="104" t="s">
        <v>7173</v>
      </c>
      <c r="F792" s="103" t="s">
        <v>4678</v>
      </c>
      <c r="G792" s="103" t="s">
        <v>4679</v>
      </c>
      <c r="H792" s="103" t="s">
        <v>7190</v>
      </c>
      <c r="I792" s="103">
        <v>7420100.0</v>
      </c>
      <c r="J792" s="104" t="s">
        <v>7064</v>
      </c>
      <c r="K792" s="105"/>
      <c r="L792" s="105"/>
    </row>
    <row r="793">
      <c r="A793" s="103" t="s">
        <v>4676</v>
      </c>
      <c r="B793" s="103">
        <v>1.100108184E9</v>
      </c>
      <c r="C793" s="105"/>
      <c r="D793" s="104" t="s">
        <v>7191</v>
      </c>
      <c r="E793" s="104" t="s">
        <v>7192</v>
      </c>
      <c r="F793" s="103" t="s">
        <v>4678</v>
      </c>
      <c r="G793" s="103" t="s">
        <v>4679</v>
      </c>
      <c r="H793" s="103" t="s">
        <v>7193</v>
      </c>
      <c r="I793" s="103" t="s">
        <v>7194</v>
      </c>
      <c r="J793" s="104" t="s">
        <v>7195</v>
      </c>
      <c r="K793" s="107" t="s">
        <v>7196</v>
      </c>
      <c r="L793" s="105"/>
    </row>
    <row r="794">
      <c r="A794" s="103" t="s">
        <v>4676</v>
      </c>
      <c r="B794" s="103">
        <v>1.10010818401E11</v>
      </c>
      <c r="C794" s="105"/>
      <c r="D794" s="104" t="s">
        <v>7191</v>
      </c>
      <c r="E794" s="104" t="s">
        <v>7197</v>
      </c>
      <c r="F794" s="103" t="s">
        <v>4678</v>
      </c>
      <c r="G794" s="103" t="s">
        <v>4679</v>
      </c>
      <c r="H794" s="103" t="s">
        <v>7193</v>
      </c>
      <c r="I794" s="103" t="s">
        <v>7194</v>
      </c>
      <c r="J794" s="104" t="s">
        <v>7198</v>
      </c>
      <c r="K794" s="105"/>
      <c r="L794" s="105"/>
    </row>
    <row r="795">
      <c r="A795" s="103" t="s">
        <v>4676</v>
      </c>
      <c r="B795" s="103">
        <v>1.100108222E9</v>
      </c>
      <c r="C795" s="105"/>
      <c r="D795" s="104" t="s">
        <v>7199</v>
      </c>
      <c r="E795" s="104" t="s">
        <v>7200</v>
      </c>
      <c r="F795" s="103" t="s">
        <v>4678</v>
      </c>
      <c r="G795" s="103" t="s">
        <v>4679</v>
      </c>
      <c r="H795" s="103" t="s">
        <v>7201</v>
      </c>
      <c r="I795" s="103">
        <v>4320872.0</v>
      </c>
      <c r="J795" s="104" t="s">
        <v>7202</v>
      </c>
      <c r="K795" s="107" t="s">
        <v>7203</v>
      </c>
      <c r="L795" s="105"/>
    </row>
    <row r="796">
      <c r="A796" s="103" t="s">
        <v>4676</v>
      </c>
      <c r="B796" s="103">
        <v>1.10010822201E11</v>
      </c>
      <c r="C796" s="105"/>
      <c r="D796" s="104" t="s">
        <v>7204</v>
      </c>
      <c r="E796" s="104" t="s">
        <v>7205</v>
      </c>
      <c r="F796" s="103" t="s">
        <v>4678</v>
      </c>
      <c r="G796" s="103" t="s">
        <v>4679</v>
      </c>
      <c r="H796" s="103" t="s">
        <v>7201</v>
      </c>
      <c r="I796" s="103">
        <v>4320872.0</v>
      </c>
      <c r="J796" s="104" t="s">
        <v>7206</v>
      </c>
      <c r="K796" s="105"/>
      <c r="L796" s="105"/>
    </row>
    <row r="797">
      <c r="A797" s="103" t="s">
        <v>4676</v>
      </c>
      <c r="B797" s="103">
        <v>1.10010822203E11</v>
      </c>
      <c r="C797" s="105"/>
      <c r="D797" s="104" t="s">
        <v>7207</v>
      </c>
      <c r="E797" s="104" t="s">
        <v>7208</v>
      </c>
      <c r="F797" s="103" t="s">
        <v>4678</v>
      </c>
      <c r="G797" s="103" t="s">
        <v>4679</v>
      </c>
      <c r="H797" s="103" t="s">
        <v>7209</v>
      </c>
      <c r="I797" s="103">
        <v>4320872.0</v>
      </c>
      <c r="J797" s="104" t="s">
        <v>7206</v>
      </c>
      <c r="K797" s="105"/>
      <c r="L797" s="105"/>
    </row>
    <row r="798">
      <c r="A798" s="103" t="s">
        <v>4676</v>
      </c>
      <c r="B798" s="103">
        <v>1.100108224E9</v>
      </c>
      <c r="C798" s="105"/>
      <c r="D798" s="104" t="s">
        <v>7210</v>
      </c>
      <c r="E798" s="104" t="s">
        <v>7211</v>
      </c>
      <c r="F798" s="103" t="s">
        <v>4678</v>
      </c>
      <c r="G798" s="103" t="s">
        <v>4679</v>
      </c>
      <c r="H798" s="103" t="s">
        <v>7212</v>
      </c>
      <c r="I798" s="103" t="s">
        <v>7213</v>
      </c>
      <c r="J798" s="104" t="s">
        <v>7214</v>
      </c>
      <c r="K798" s="105"/>
      <c r="L798" s="105"/>
    </row>
    <row r="799">
      <c r="A799" s="103" t="s">
        <v>4676</v>
      </c>
      <c r="B799" s="103">
        <v>1.10010822401E11</v>
      </c>
      <c r="C799" s="105"/>
      <c r="D799" s="104" t="s">
        <v>7210</v>
      </c>
      <c r="E799" s="106"/>
      <c r="F799" s="103" t="s">
        <v>4678</v>
      </c>
      <c r="G799" s="103" t="s">
        <v>4679</v>
      </c>
      <c r="H799" s="103" t="s">
        <v>7215</v>
      </c>
      <c r="I799" s="103" t="s">
        <v>7213</v>
      </c>
      <c r="J799" s="104" t="s">
        <v>7214</v>
      </c>
      <c r="K799" s="105"/>
      <c r="L799" s="105"/>
    </row>
    <row r="800">
      <c r="A800" s="103" t="s">
        <v>4676</v>
      </c>
      <c r="B800" s="103">
        <v>1.100108258E9</v>
      </c>
      <c r="C800" s="105"/>
      <c r="D800" s="104" t="s">
        <v>7216</v>
      </c>
      <c r="E800" s="104" t="s">
        <v>7217</v>
      </c>
      <c r="F800" s="103" t="s">
        <v>4678</v>
      </c>
      <c r="G800" s="103" t="s">
        <v>4679</v>
      </c>
      <c r="H800" s="103" t="s">
        <v>7218</v>
      </c>
      <c r="I800" s="103" t="s">
        <v>7219</v>
      </c>
      <c r="J800" s="104" t="s">
        <v>7220</v>
      </c>
      <c r="K800" s="105"/>
      <c r="L800" s="105"/>
    </row>
    <row r="801">
      <c r="A801" s="103" t="s">
        <v>4676</v>
      </c>
      <c r="B801" s="103">
        <v>1.10010825801E11</v>
      </c>
      <c r="C801" s="105"/>
      <c r="D801" s="104" t="s">
        <v>7221</v>
      </c>
      <c r="E801" s="104" t="s">
        <v>7222</v>
      </c>
      <c r="F801" s="103" t="s">
        <v>4678</v>
      </c>
      <c r="G801" s="103" t="s">
        <v>4679</v>
      </c>
      <c r="H801" s="103" t="s">
        <v>7218</v>
      </c>
      <c r="I801" s="103" t="s">
        <v>7223</v>
      </c>
      <c r="J801" s="104" t="s">
        <v>7224</v>
      </c>
      <c r="K801" s="105"/>
      <c r="L801" s="105"/>
    </row>
    <row r="802">
      <c r="A802" s="103" t="s">
        <v>4676</v>
      </c>
      <c r="B802" s="103">
        <v>1.10010825806E11</v>
      </c>
      <c r="C802" s="105"/>
      <c r="D802" s="104" t="s">
        <v>7225</v>
      </c>
      <c r="E802" s="104" t="s">
        <v>7226</v>
      </c>
      <c r="F802" s="103" t="s">
        <v>4678</v>
      </c>
      <c r="G802" s="103" t="s">
        <v>4679</v>
      </c>
      <c r="H802" s="103" t="s">
        <v>7227</v>
      </c>
      <c r="I802" s="103" t="s">
        <v>7223</v>
      </c>
      <c r="J802" s="104" t="s">
        <v>7220</v>
      </c>
      <c r="K802" s="105"/>
      <c r="L802" s="105"/>
    </row>
    <row r="803">
      <c r="A803" s="103" t="s">
        <v>4676</v>
      </c>
      <c r="B803" s="103">
        <v>1.100108265E9</v>
      </c>
      <c r="C803" s="105"/>
      <c r="D803" s="104" t="s">
        <v>7228</v>
      </c>
      <c r="E803" s="104" t="s">
        <v>7229</v>
      </c>
      <c r="F803" s="103" t="s">
        <v>4678</v>
      </c>
      <c r="G803" s="103" t="s">
        <v>4679</v>
      </c>
      <c r="H803" s="103" t="s">
        <v>7230</v>
      </c>
      <c r="I803" s="103">
        <v>2216880.0</v>
      </c>
      <c r="J803" s="104" t="s">
        <v>7231</v>
      </c>
      <c r="K803" s="105"/>
      <c r="L803" s="105"/>
    </row>
    <row r="804">
      <c r="A804" s="103" t="s">
        <v>4676</v>
      </c>
      <c r="B804" s="103">
        <v>1.10010826501E11</v>
      </c>
      <c r="C804" s="105"/>
      <c r="D804" s="104" t="s">
        <v>7228</v>
      </c>
      <c r="E804" s="106"/>
      <c r="F804" s="103" t="s">
        <v>4678</v>
      </c>
      <c r="G804" s="103" t="s">
        <v>4679</v>
      </c>
      <c r="H804" s="103" t="s">
        <v>7232</v>
      </c>
      <c r="I804" s="103">
        <v>3.012787256E9</v>
      </c>
      <c r="J804" s="104" t="s">
        <v>7231</v>
      </c>
      <c r="K804" s="105"/>
      <c r="L804" s="105"/>
    </row>
    <row r="805">
      <c r="A805" s="103" t="s">
        <v>4676</v>
      </c>
      <c r="B805" s="103">
        <v>1.10010827E9</v>
      </c>
      <c r="C805" s="105"/>
      <c r="D805" s="104" t="s">
        <v>7233</v>
      </c>
      <c r="E805" s="104" t="s">
        <v>7234</v>
      </c>
      <c r="F805" s="103" t="s">
        <v>4678</v>
      </c>
      <c r="G805" s="103" t="s">
        <v>4679</v>
      </c>
      <c r="H805" s="103" t="s">
        <v>7235</v>
      </c>
      <c r="I805" s="103" t="s">
        <v>7236</v>
      </c>
      <c r="J805" s="104" t="s">
        <v>7237</v>
      </c>
      <c r="K805" s="105"/>
      <c r="L805" s="105"/>
    </row>
    <row r="806">
      <c r="A806" s="103" t="s">
        <v>4676</v>
      </c>
      <c r="B806" s="103">
        <v>1.10010827005E11</v>
      </c>
      <c r="C806" s="105"/>
      <c r="D806" s="104" t="s">
        <v>7238</v>
      </c>
      <c r="E806" s="104" t="s">
        <v>7239</v>
      </c>
      <c r="F806" s="103" t="s">
        <v>4678</v>
      </c>
      <c r="G806" s="103" t="s">
        <v>4679</v>
      </c>
      <c r="H806" s="103" t="s">
        <v>7240</v>
      </c>
      <c r="I806" s="103" t="s">
        <v>7241</v>
      </c>
      <c r="J806" s="104" t="s">
        <v>7237</v>
      </c>
      <c r="K806" s="105"/>
      <c r="L806" s="105"/>
    </row>
    <row r="807">
      <c r="A807" s="103" t="s">
        <v>4676</v>
      </c>
      <c r="B807" s="103">
        <v>1.10010827006E11</v>
      </c>
      <c r="C807" s="105"/>
      <c r="D807" s="104" t="s">
        <v>7238</v>
      </c>
      <c r="E807" s="104" t="s">
        <v>7242</v>
      </c>
      <c r="F807" s="103" t="s">
        <v>4678</v>
      </c>
      <c r="G807" s="103" t="s">
        <v>4679</v>
      </c>
      <c r="H807" s="103" t="s">
        <v>7243</v>
      </c>
      <c r="I807" s="103" t="s">
        <v>7236</v>
      </c>
      <c r="J807" s="104" t="s">
        <v>7237</v>
      </c>
      <c r="K807" s="105"/>
      <c r="L807" s="105"/>
    </row>
    <row r="808">
      <c r="A808" s="103" t="s">
        <v>4676</v>
      </c>
      <c r="B808" s="103">
        <v>1.10010827007E11</v>
      </c>
      <c r="C808" s="105"/>
      <c r="D808" s="104" t="s">
        <v>7238</v>
      </c>
      <c r="E808" s="104" t="s">
        <v>7242</v>
      </c>
      <c r="F808" s="103" t="s">
        <v>4678</v>
      </c>
      <c r="G808" s="103" t="s">
        <v>4679</v>
      </c>
      <c r="H808" s="103" t="s">
        <v>7244</v>
      </c>
      <c r="I808" s="103">
        <v>3.134730853E9</v>
      </c>
      <c r="J808" s="104" t="s">
        <v>7237</v>
      </c>
      <c r="K808" s="105"/>
      <c r="L808" s="105"/>
    </row>
    <row r="809">
      <c r="A809" s="103" t="s">
        <v>4676</v>
      </c>
      <c r="B809" s="103">
        <v>1.10010827008E11</v>
      </c>
      <c r="C809" s="105"/>
      <c r="D809" s="104" t="s">
        <v>7238</v>
      </c>
      <c r="E809" s="104" t="s">
        <v>7242</v>
      </c>
      <c r="F809" s="103" t="s">
        <v>4678</v>
      </c>
      <c r="G809" s="103" t="s">
        <v>4679</v>
      </c>
      <c r="H809" s="103" t="s">
        <v>7245</v>
      </c>
      <c r="I809" s="103" t="s">
        <v>7246</v>
      </c>
      <c r="J809" s="104" t="s">
        <v>7237</v>
      </c>
      <c r="K809" s="105"/>
      <c r="L809" s="105"/>
    </row>
    <row r="810">
      <c r="A810" s="103" t="s">
        <v>4676</v>
      </c>
      <c r="B810" s="103">
        <v>1.100108293E9</v>
      </c>
      <c r="C810" s="105"/>
      <c r="D810" s="104" t="s">
        <v>7247</v>
      </c>
      <c r="E810" s="104" t="s">
        <v>7248</v>
      </c>
      <c r="F810" s="103" t="s">
        <v>4678</v>
      </c>
      <c r="G810" s="103" t="s">
        <v>4679</v>
      </c>
      <c r="H810" s="103" t="s">
        <v>7249</v>
      </c>
      <c r="I810" s="103">
        <v>2970200.0</v>
      </c>
      <c r="J810" s="106"/>
      <c r="K810" s="105"/>
      <c r="L810" s="105"/>
    </row>
    <row r="811">
      <c r="A811" s="103" t="s">
        <v>4676</v>
      </c>
      <c r="B811" s="103">
        <v>1.10010829301E11</v>
      </c>
      <c r="C811" s="105"/>
      <c r="D811" s="104" t="s">
        <v>7247</v>
      </c>
      <c r="E811" s="104" t="s">
        <v>7250</v>
      </c>
      <c r="F811" s="103" t="s">
        <v>4678</v>
      </c>
      <c r="G811" s="103" t="s">
        <v>4679</v>
      </c>
      <c r="H811" s="103" t="s">
        <v>7249</v>
      </c>
      <c r="I811" s="105"/>
      <c r="J811" s="106"/>
      <c r="K811" s="105"/>
      <c r="L811" s="105"/>
    </row>
    <row r="812">
      <c r="A812" s="103" t="s">
        <v>4676</v>
      </c>
      <c r="B812" s="103">
        <v>1.10010829302E11</v>
      </c>
      <c r="C812" s="105"/>
      <c r="D812" s="104" t="s">
        <v>7251</v>
      </c>
      <c r="E812" s="104" t="s">
        <v>7250</v>
      </c>
      <c r="F812" s="103" t="s">
        <v>4678</v>
      </c>
      <c r="G812" s="103" t="s">
        <v>4679</v>
      </c>
      <c r="H812" s="103" t="s">
        <v>7252</v>
      </c>
      <c r="I812" s="103" t="s">
        <v>7253</v>
      </c>
      <c r="J812" s="104" t="s">
        <v>7254</v>
      </c>
      <c r="K812" s="105"/>
      <c r="L812" s="105"/>
    </row>
    <row r="813">
      <c r="A813" s="103" t="s">
        <v>4676</v>
      </c>
      <c r="B813" s="103">
        <v>1.10010829303E11</v>
      </c>
      <c r="C813" s="105"/>
      <c r="D813" s="104" t="s">
        <v>7255</v>
      </c>
      <c r="E813" s="104" t="s">
        <v>7197</v>
      </c>
      <c r="F813" s="103" t="s">
        <v>4678</v>
      </c>
      <c r="G813" s="103" t="s">
        <v>4679</v>
      </c>
      <c r="H813" s="103" t="s">
        <v>7256</v>
      </c>
      <c r="I813" s="103">
        <v>2125263.0</v>
      </c>
      <c r="J813" s="104" t="s">
        <v>7257</v>
      </c>
      <c r="K813" s="105"/>
      <c r="L813" s="105"/>
    </row>
    <row r="814">
      <c r="A814" s="103" t="s">
        <v>4676</v>
      </c>
      <c r="B814" s="103">
        <v>1.100108326E9</v>
      </c>
      <c r="C814" s="105"/>
      <c r="D814" s="104" t="s">
        <v>7258</v>
      </c>
      <c r="E814" s="104" t="s">
        <v>7259</v>
      </c>
      <c r="F814" s="103" t="s">
        <v>4678</v>
      </c>
      <c r="G814" s="103" t="s">
        <v>4679</v>
      </c>
      <c r="H814" s="103" t="s">
        <v>7260</v>
      </c>
      <c r="I814" s="103" t="s">
        <v>7261</v>
      </c>
      <c r="J814" s="104" t="s">
        <v>7262</v>
      </c>
      <c r="K814" s="105"/>
      <c r="L814" s="105"/>
    </row>
    <row r="815">
      <c r="A815" s="103" t="s">
        <v>4676</v>
      </c>
      <c r="B815" s="103">
        <v>1.10010832601E11</v>
      </c>
      <c r="C815" s="105"/>
      <c r="D815" s="104" t="s">
        <v>7258</v>
      </c>
      <c r="E815" s="104" t="s">
        <v>7263</v>
      </c>
      <c r="F815" s="103" t="s">
        <v>4678</v>
      </c>
      <c r="G815" s="103" t="s">
        <v>4679</v>
      </c>
      <c r="H815" s="103" t="s">
        <v>7260</v>
      </c>
      <c r="I815" s="103" t="s">
        <v>7261</v>
      </c>
      <c r="J815" s="104" t="s">
        <v>7262</v>
      </c>
      <c r="K815" s="105"/>
      <c r="L815" s="105"/>
    </row>
    <row r="816">
      <c r="A816" s="103" t="s">
        <v>4676</v>
      </c>
      <c r="B816" s="103">
        <v>1.100108371E9</v>
      </c>
      <c r="C816" s="105"/>
      <c r="D816" s="104" t="s">
        <v>7264</v>
      </c>
      <c r="E816" s="104" t="s">
        <v>7265</v>
      </c>
      <c r="F816" s="103" t="s">
        <v>4678</v>
      </c>
      <c r="G816" s="103" t="s">
        <v>4679</v>
      </c>
      <c r="H816" s="103" t="s">
        <v>7266</v>
      </c>
      <c r="I816" s="103">
        <v>6.01210413E8</v>
      </c>
      <c r="J816" s="104" t="s">
        <v>7267</v>
      </c>
      <c r="K816" s="105"/>
      <c r="L816" s="105"/>
    </row>
    <row r="817">
      <c r="A817" s="103" t="s">
        <v>4676</v>
      </c>
      <c r="B817" s="103">
        <v>1.10010837101E11</v>
      </c>
      <c r="C817" s="105"/>
      <c r="D817" s="104" t="s">
        <v>7264</v>
      </c>
      <c r="E817" s="104" t="s">
        <v>7268</v>
      </c>
      <c r="F817" s="103" t="s">
        <v>4678</v>
      </c>
      <c r="G817" s="103" t="s">
        <v>4679</v>
      </c>
      <c r="H817" s="103" t="s">
        <v>7266</v>
      </c>
      <c r="I817" s="103">
        <v>2100406.0</v>
      </c>
      <c r="J817" s="104" t="s">
        <v>7267</v>
      </c>
      <c r="K817" s="105"/>
      <c r="L817" s="105"/>
    </row>
    <row r="818">
      <c r="A818" s="103" t="s">
        <v>4676</v>
      </c>
      <c r="B818" s="103">
        <v>1.100108423E9</v>
      </c>
      <c r="C818" s="105"/>
      <c r="D818" s="104" t="s">
        <v>7269</v>
      </c>
      <c r="E818" s="106"/>
      <c r="F818" s="103" t="s">
        <v>4678</v>
      </c>
      <c r="G818" s="103" t="s">
        <v>4679</v>
      </c>
      <c r="H818" s="103" t="s">
        <v>7270</v>
      </c>
      <c r="I818" s="103">
        <v>6708686.0</v>
      </c>
      <c r="J818" s="104" t="s">
        <v>7271</v>
      </c>
      <c r="K818" s="107" t="s">
        <v>7272</v>
      </c>
      <c r="L818" s="105"/>
    </row>
    <row r="819">
      <c r="A819" s="103" t="s">
        <v>4676</v>
      </c>
      <c r="B819" s="103">
        <v>1.10010842301E11</v>
      </c>
      <c r="C819" s="105"/>
      <c r="D819" s="104" t="s">
        <v>7269</v>
      </c>
      <c r="E819" s="104" t="s">
        <v>7273</v>
      </c>
      <c r="F819" s="103" t="s">
        <v>4678</v>
      </c>
      <c r="G819" s="103" t="s">
        <v>4679</v>
      </c>
      <c r="H819" s="103" t="s">
        <v>7270</v>
      </c>
      <c r="I819" s="103">
        <v>6708686.0</v>
      </c>
      <c r="J819" s="104" t="s">
        <v>7271</v>
      </c>
      <c r="K819" s="105"/>
      <c r="L819" s="105"/>
    </row>
    <row r="820">
      <c r="A820" s="103" t="s">
        <v>4676</v>
      </c>
      <c r="B820" s="103">
        <v>1.100108437E9</v>
      </c>
      <c r="C820" s="105"/>
      <c r="D820" s="104" t="s">
        <v>7274</v>
      </c>
      <c r="E820" s="104" t="s">
        <v>7275</v>
      </c>
      <c r="F820" s="103" t="s">
        <v>4678</v>
      </c>
      <c r="G820" s="103" t="s">
        <v>4679</v>
      </c>
      <c r="H820" s="103" t="s">
        <v>7276</v>
      </c>
      <c r="I820" s="103">
        <v>7423099.0</v>
      </c>
      <c r="J820" s="104" t="s">
        <v>7277</v>
      </c>
      <c r="K820" s="105"/>
      <c r="L820" s="105"/>
    </row>
    <row r="821">
      <c r="A821" s="103" t="s">
        <v>4676</v>
      </c>
      <c r="B821" s="103">
        <v>1.10010843701E11</v>
      </c>
      <c r="C821" s="105"/>
      <c r="D821" s="104" t="s">
        <v>7278</v>
      </c>
      <c r="E821" s="104" t="s">
        <v>7279</v>
      </c>
      <c r="F821" s="103" t="s">
        <v>4678</v>
      </c>
      <c r="G821" s="103" t="s">
        <v>4679</v>
      </c>
      <c r="H821" s="103" t="s">
        <v>7276</v>
      </c>
      <c r="I821" s="105"/>
      <c r="J821" s="104" t="s">
        <v>7277</v>
      </c>
      <c r="K821" s="105"/>
      <c r="L821" s="105"/>
    </row>
    <row r="822">
      <c r="A822" s="103" t="s">
        <v>4676</v>
      </c>
      <c r="B822" s="103">
        <v>1.10010845E9</v>
      </c>
      <c r="C822" s="105"/>
      <c r="D822" s="104" t="s">
        <v>7280</v>
      </c>
      <c r="E822" s="106"/>
      <c r="F822" s="103" t="s">
        <v>4678</v>
      </c>
      <c r="G822" s="103" t="s">
        <v>4679</v>
      </c>
      <c r="H822" s="103" t="s">
        <v>7281</v>
      </c>
      <c r="I822" s="103" t="s">
        <v>7282</v>
      </c>
      <c r="J822" s="104" t="s">
        <v>7283</v>
      </c>
      <c r="K822" s="105"/>
      <c r="L822" s="105"/>
    </row>
    <row r="823">
      <c r="A823" s="103" t="s">
        <v>4676</v>
      </c>
      <c r="B823" s="103">
        <v>1.10010845001E11</v>
      </c>
      <c r="C823" s="105"/>
      <c r="D823" s="104" t="s">
        <v>7280</v>
      </c>
      <c r="E823" s="104" t="s">
        <v>7284</v>
      </c>
      <c r="F823" s="103" t="s">
        <v>4678</v>
      </c>
      <c r="G823" s="103" t="s">
        <v>4679</v>
      </c>
      <c r="H823" s="103" t="s">
        <v>7285</v>
      </c>
      <c r="I823" s="103" t="s">
        <v>7286</v>
      </c>
      <c r="J823" s="104" t="s">
        <v>7283</v>
      </c>
      <c r="K823" s="105"/>
      <c r="L823" s="105"/>
    </row>
    <row r="824">
      <c r="A824" s="103" t="s">
        <v>4676</v>
      </c>
      <c r="B824" s="103">
        <v>1.100108453E9</v>
      </c>
      <c r="C824" s="105"/>
      <c r="D824" s="104" t="s">
        <v>7287</v>
      </c>
      <c r="E824" s="104" t="s">
        <v>7288</v>
      </c>
      <c r="F824" s="103" t="s">
        <v>4678</v>
      </c>
      <c r="G824" s="103" t="s">
        <v>4679</v>
      </c>
      <c r="H824" s="103" t="s">
        <v>7289</v>
      </c>
      <c r="I824" s="103" t="s">
        <v>7290</v>
      </c>
      <c r="J824" s="104" t="s">
        <v>7291</v>
      </c>
      <c r="K824" s="105"/>
      <c r="L824" s="105"/>
    </row>
    <row r="825">
      <c r="A825" s="103" t="s">
        <v>4676</v>
      </c>
      <c r="B825" s="103">
        <v>1.10010845301E11</v>
      </c>
      <c r="C825" s="105"/>
      <c r="D825" s="104" t="s">
        <v>7287</v>
      </c>
      <c r="E825" s="104" t="s">
        <v>7292</v>
      </c>
      <c r="F825" s="103" t="s">
        <v>4678</v>
      </c>
      <c r="G825" s="103" t="s">
        <v>4679</v>
      </c>
      <c r="H825" s="103" t="s">
        <v>7289</v>
      </c>
      <c r="I825" s="103" t="s">
        <v>7290</v>
      </c>
      <c r="J825" s="104" t="s">
        <v>7291</v>
      </c>
      <c r="K825" s="105"/>
      <c r="L825" s="105"/>
    </row>
    <row r="826">
      <c r="A826" s="103" t="s">
        <v>4676</v>
      </c>
      <c r="B826" s="103">
        <v>1.100108456E9</v>
      </c>
      <c r="C826" s="105"/>
      <c r="D826" s="104" t="s">
        <v>7293</v>
      </c>
      <c r="E826" s="104" t="s">
        <v>7294</v>
      </c>
      <c r="F826" s="103" t="s">
        <v>4678</v>
      </c>
      <c r="G826" s="103" t="s">
        <v>4679</v>
      </c>
      <c r="H826" s="103" t="s">
        <v>7295</v>
      </c>
      <c r="I826" s="103" t="s">
        <v>7296</v>
      </c>
      <c r="J826" s="104" t="s">
        <v>7297</v>
      </c>
      <c r="K826" s="105"/>
      <c r="L826" s="105"/>
    </row>
    <row r="827">
      <c r="A827" s="103" t="s">
        <v>4676</v>
      </c>
      <c r="B827" s="103">
        <v>1.10010845601E11</v>
      </c>
      <c r="C827" s="105"/>
      <c r="D827" s="104" t="s">
        <v>7298</v>
      </c>
      <c r="E827" s="104" t="s">
        <v>7299</v>
      </c>
      <c r="F827" s="103" t="s">
        <v>4678</v>
      </c>
      <c r="G827" s="103" t="s">
        <v>4679</v>
      </c>
      <c r="H827" s="103" t="s">
        <v>7295</v>
      </c>
      <c r="I827" s="103">
        <v>6358100.0</v>
      </c>
      <c r="J827" s="104" t="s">
        <v>7300</v>
      </c>
      <c r="K827" s="105"/>
      <c r="L827" s="105"/>
    </row>
    <row r="828">
      <c r="A828" s="103" t="s">
        <v>4676</v>
      </c>
      <c r="B828" s="103">
        <v>1.10010845602E11</v>
      </c>
      <c r="C828" s="105"/>
      <c r="D828" s="104" t="s">
        <v>7301</v>
      </c>
      <c r="E828" s="104" t="s">
        <v>7299</v>
      </c>
      <c r="F828" s="103" t="s">
        <v>4678</v>
      </c>
      <c r="G828" s="103" t="s">
        <v>4679</v>
      </c>
      <c r="H828" s="103" t="s">
        <v>7302</v>
      </c>
      <c r="I828" s="103">
        <v>6358100.0</v>
      </c>
      <c r="J828" s="104" t="s">
        <v>7297</v>
      </c>
      <c r="K828" s="105"/>
      <c r="L828" s="105"/>
    </row>
    <row r="829">
      <c r="A829" s="103" t="s">
        <v>4676</v>
      </c>
      <c r="B829" s="103">
        <v>1.10010845606E11</v>
      </c>
      <c r="C829" s="105"/>
      <c r="D829" s="104" t="s">
        <v>7303</v>
      </c>
      <c r="E829" s="104" t="s">
        <v>7304</v>
      </c>
      <c r="F829" s="103" t="s">
        <v>4678</v>
      </c>
      <c r="G829" s="103" t="s">
        <v>4679</v>
      </c>
      <c r="H829" s="103" t="s">
        <v>7305</v>
      </c>
      <c r="I829" s="103">
        <v>2180209.0</v>
      </c>
      <c r="J829" s="104" t="s">
        <v>7300</v>
      </c>
      <c r="K829" s="105"/>
      <c r="L829" s="105"/>
    </row>
    <row r="830">
      <c r="A830" s="103" t="s">
        <v>4676</v>
      </c>
      <c r="B830" s="103">
        <v>1.100108499E9</v>
      </c>
      <c r="C830" s="105"/>
      <c r="D830" s="104" t="s">
        <v>7306</v>
      </c>
      <c r="E830" s="104" t="s">
        <v>7307</v>
      </c>
      <c r="F830" s="103" t="s">
        <v>4678</v>
      </c>
      <c r="G830" s="103" t="s">
        <v>4679</v>
      </c>
      <c r="H830" s="103" t="s">
        <v>7308</v>
      </c>
      <c r="I830" s="103">
        <v>3.045395508E9</v>
      </c>
      <c r="J830" s="104" t="s">
        <v>7309</v>
      </c>
      <c r="K830" s="103" t="s">
        <v>7310</v>
      </c>
      <c r="L830" s="105"/>
    </row>
    <row r="831">
      <c r="A831" s="103" t="s">
        <v>4676</v>
      </c>
      <c r="B831" s="103">
        <v>1.10010849901E11</v>
      </c>
      <c r="C831" s="105"/>
      <c r="D831" s="104" t="s">
        <v>7306</v>
      </c>
      <c r="E831" s="104" t="s">
        <v>7311</v>
      </c>
      <c r="F831" s="103" t="s">
        <v>4678</v>
      </c>
      <c r="G831" s="103" t="s">
        <v>4679</v>
      </c>
      <c r="H831" s="103" t="s">
        <v>7308</v>
      </c>
      <c r="I831" s="103">
        <v>3.045395508E9</v>
      </c>
      <c r="J831" s="104" t="s">
        <v>7309</v>
      </c>
      <c r="K831" s="105"/>
      <c r="L831" s="105"/>
    </row>
    <row r="832">
      <c r="A832" s="103" t="s">
        <v>4676</v>
      </c>
      <c r="B832" s="103">
        <v>1.100108556E9</v>
      </c>
      <c r="C832" s="105"/>
      <c r="D832" s="104" t="s">
        <v>7312</v>
      </c>
      <c r="E832" s="104" t="s">
        <v>7313</v>
      </c>
      <c r="F832" s="103" t="s">
        <v>4678</v>
      </c>
      <c r="G832" s="103" t="s">
        <v>4679</v>
      </c>
      <c r="H832" s="103" t="s">
        <v>7314</v>
      </c>
      <c r="I832" s="103">
        <v>3108260.0</v>
      </c>
      <c r="J832" s="104" t="s">
        <v>7315</v>
      </c>
      <c r="K832" s="105"/>
      <c r="L832" s="105"/>
    </row>
    <row r="833">
      <c r="A833" s="103" t="s">
        <v>4676</v>
      </c>
      <c r="B833" s="103">
        <v>1.10010855601E11</v>
      </c>
      <c r="C833" s="105"/>
      <c r="D833" s="104" t="s">
        <v>7312</v>
      </c>
      <c r="E833" s="106"/>
      <c r="F833" s="103" t="s">
        <v>4678</v>
      </c>
      <c r="G833" s="103" t="s">
        <v>4679</v>
      </c>
      <c r="H833" s="103" t="s">
        <v>7314</v>
      </c>
      <c r="I833" s="103">
        <v>3108260.0</v>
      </c>
      <c r="J833" s="104" t="s">
        <v>7315</v>
      </c>
      <c r="K833" s="105"/>
      <c r="L833" s="105"/>
    </row>
    <row r="834">
      <c r="A834" s="103" t="s">
        <v>4676</v>
      </c>
      <c r="B834" s="103">
        <v>1.100108572E9</v>
      </c>
      <c r="C834" s="105"/>
      <c r="D834" s="104" t="s">
        <v>7316</v>
      </c>
      <c r="E834" s="104" t="s">
        <v>7317</v>
      </c>
      <c r="F834" s="103" t="s">
        <v>4678</v>
      </c>
      <c r="G834" s="103" t="s">
        <v>4679</v>
      </c>
      <c r="H834" s="103" t="s">
        <v>7318</v>
      </c>
      <c r="I834" s="103">
        <v>2456810.0</v>
      </c>
      <c r="J834" s="104" t="s">
        <v>7319</v>
      </c>
      <c r="K834" s="105"/>
      <c r="L834" s="105"/>
    </row>
    <row r="835">
      <c r="A835" s="103" t="s">
        <v>4676</v>
      </c>
      <c r="B835" s="103">
        <v>1.10010857202E11</v>
      </c>
      <c r="C835" s="105"/>
      <c r="D835" s="104" t="s">
        <v>7320</v>
      </c>
      <c r="E835" s="104" t="s">
        <v>7321</v>
      </c>
      <c r="F835" s="103" t="s">
        <v>4678</v>
      </c>
      <c r="G835" s="103" t="s">
        <v>4679</v>
      </c>
      <c r="H835" s="103" t="s">
        <v>7322</v>
      </c>
      <c r="I835" s="103">
        <v>2392210.0</v>
      </c>
      <c r="J835" s="104" t="s">
        <v>7323</v>
      </c>
      <c r="K835" s="105"/>
      <c r="L835" s="105"/>
    </row>
    <row r="836">
      <c r="A836" s="103" t="s">
        <v>4676</v>
      </c>
      <c r="B836" s="103">
        <v>1.10010857203E11</v>
      </c>
      <c r="C836" s="105"/>
      <c r="D836" s="104" t="s">
        <v>7324</v>
      </c>
      <c r="E836" s="104" t="s">
        <v>7321</v>
      </c>
      <c r="F836" s="103" t="s">
        <v>4678</v>
      </c>
      <c r="G836" s="103" t="s">
        <v>4679</v>
      </c>
      <c r="H836" s="103" t="s">
        <v>7325</v>
      </c>
      <c r="I836" s="103">
        <v>2456810.0</v>
      </c>
      <c r="J836" s="104" t="s">
        <v>7319</v>
      </c>
      <c r="K836" s="105"/>
      <c r="L836" s="105"/>
    </row>
    <row r="837">
      <c r="A837" s="103" t="s">
        <v>4676</v>
      </c>
      <c r="B837" s="103">
        <v>1.100108575E9</v>
      </c>
      <c r="C837" s="105"/>
      <c r="D837" s="104" t="s">
        <v>7326</v>
      </c>
      <c r="E837" s="104" t="s">
        <v>7327</v>
      </c>
      <c r="F837" s="103" t="s">
        <v>4678</v>
      </c>
      <c r="G837" s="103" t="s">
        <v>4679</v>
      </c>
      <c r="H837" s="103" t="s">
        <v>7328</v>
      </c>
      <c r="I837" s="103" t="s">
        <v>7329</v>
      </c>
      <c r="J837" s="104" t="s">
        <v>7330</v>
      </c>
      <c r="K837" s="105"/>
      <c r="L837" s="105"/>
    </row>
    <row r="838">
      <c r="A838" s="103" t="s">
        <v>4676</v>
      </c>
      <c r="B838" s="103">
        <v>1.10010857502E11</v>
      </c>
      <c r="C838" s="105"/>
      <c r="D838" s="104" t="s">
        <v>7331</v>
      </c>
      <c r="E838" s="104" t="s">
        <v>7332</v>
      </c>
      <c r="F838" s="103" t="s">
        <v>4678</v>
      </c>
      <c r="G838" s="103" t="s">
        <v>4679</v>
      </c>
      <c r="H838" s="103" t="s">
        <v>7333</v>
      </c>
      <c r="I838" s="103" t="s">
        <v>7329</v>
      </c>
      <c r="J838" s="104" t="s">
        <v>7330</v>
      </c>
      <c r="K838" s="105"/>
      <c r="L838" s="105"/>
    </row>
    <row r="839">
      <c r="A839" s="103" t="s">
        <v>4676</v>
      </c>
      <c r="B839" s="103">
        <v>1.100108613E9</v>
      </c>
      <c r="C839" s="105"/>
      <c r="D839" s="104" t="s">
        <v>7334</v>
      </c>
      <c r="E839" s="104" t="s">
        <v>7335</v>
      </c>
      <c r="F839" s="103" t="s">
        <v>4678</v>
      </c>
      <c r="G839" s="103" t="s">
        <v>4679</v>
      </c>
      <c r="H839" s="103" t="s">
        <v>7336</v>
      </c>
      <c r="I839" s="103" t="s">
        <v>7337</v>
      </c>
      <c r="J839" s="104" t="s">
        <v>7338</v>
      </c>
      <c r="K839" s="105"/>
      <c r="L839" s="105"/>
    </row>
    <row r="840">
      <c r="A840" s="103" t="s">
        <v>4676</v>
      </c>
      <c r="B840" s="103">
        <v>1.10010861301E11</v>
      </c>
      <c r="C840" s="105"/>
      <c r="D840" s="104" t="s">
        <v>7339</v>
      </c>
      <c r="E840" s="104" t="s">
        <v>7340</v>
      </c>
      <c r="F840" s="103" t="s">
        <v>4678</v>
      </c>
      <c r="G840" s="103" t="s">
        <v>4679</v>
      </c>
      <c r="H840" s="103" t="s">
        <v>7336</v>
      </c>
      <c r="I840" s="103" t="s">
        <v>7337</v>
      </c>
      <c r="J840" s="104" t="s">
        <v>7338</v>
      </c>
      <c r="K840" s="105"/>
      <c r="L840" s="105"/>
    </row>
    <row r="841">
      <c r="A841" s="103" t="s">
        <v>4676</v>
      </c>
      <c r="B841" s="103">
        <v>1.10010861302E11</v>
      </c>
      <c r="C841" s="105"/>
      <c r="D841" s="104" t="s">
        <v>7341</v>
      </c>
      <c r="E841" s="106"/>
      <c r="F841" s="103" t="s">
        <v>4678</v>
      </c>
      <c r="G841" s="103" t="s">
        <v>4679</v>
      </c>
      <c r="H841" s="103" t="s">
        <v>7342</v>
      </c>
      <c r="I841" s="103">
        <v>3322900.0</v>
      </c>
      <c r="J841" s="104" t="s">
        <v>7343</v>
      </c>
      <c r="K841" s="105"/>
      <c r="L841" s="105"/>
    </row>
    <row r="842">
      <c r="A842" s="103" t="s">
        <v>4676</v>
      </c>
      <c r="B842" s="103">
        <v>1.10010861303E11</v>
      </c>
      <c r="C842" s="105"/>
      <c r="D842" s="104" t="s">
        <v>7344</v>
      </c>
      <c r="E842" s="106"/>
      <c r="F842" s="103" t="s">
        <v>4678</v>
      </c>
      <c r="G842" s="103" t="s">
        <v>4679</v>
      </c>
      <c r="H842" s="103" t="s">
        <v>7345</v>
      </c>
      <c r="I842" s="105"/>
      <c r="J842" s="104" t="s">
        <v>7338</v>
      </c>
      <c r="K842" s="105"/>
      <c r="L842" s="105"/>
    </row>
    <row r="843">
      <c r="A843" s="103" t="s">
        <v>4676</v>
      </c>
      <c r="B843" s="103">
        <v>1.10010861304E11</v>
      </c>
      <c r="C843" s="105"/>
      <c r="D843" s="104" t="s">
        <v>7346</v>
      </c>
      <c r="E843" s="106"/>
      <c r="F843" s="103" t="s">
        <v>4678</v>
      </c>
      <c r="G843" s="103" t="s">
        <v>4679</v>
      </c>
      <c r="H843" s="103" t="s">
        <v>7347</v>
      </c>
      <c r="I843" s="103">
        <v>2182530.0</v>
      </c>
      <c r="J843" s="104" t="s">
        <v>7343</v>
      </c>
      <c r="K843" s="105"/>
      <c r="L843" s="105"/>
    </row>
    <row r="844">
      <c r="A844" s="103" t="s">
        <v>4676</v>
      </c>
      <c r="B844" s="103">
        <v>1.10010862E9</v>
      </c>
      <c r="C844" s="105"/>
      <c r="D844" s="104" t="s">
        <v>7348</v>
      </c>
      <c r="E844" s="106"/>
      <c r="F844" s="103" t="s">
        <v>4678</v>
      </c>
      <c r="G844" s="103" t="s">
        <v>4679</v>
      </c>
      <c r="H844" s="103" t="s">
        <v>7349</v>
      </c>
      <c r="I844" s="103">
        <v>2446115.0</v>
      </c>
      <c r="J844" s="104" t="s">
        <v>7350</v>
      </c>
      <c r="K844" s="105"/>
      <c r="L844" s="105"/>
    </row>
    <row r="845">
      <c r="A845" s="103" t="s">
        <v>4676</v>
      </c>
      <c r="B845" s="103">
        <v>1.10010862001E11</v>
      </c>
      <c r="C845" s="105"/>
      <c r="D845" s="104" t="s">
        <v>7351</v>
      </c>
      <c r="E845" s="104" t="s">
        <v>7352</v>
      </c>
      <c r="F845" s="103" t="s">
        <v>4678</v>
      </c>
      <c r="G845" s="103" t="s">
        <v>4679</v>
      </c>
      <c r="H845" s="103" t="s">
        <v>7349</v>
      </c>
      <c r="I845" s="105"/>
      <c r="J845" s="104" t="s">
        <v>7350</v>
      </c>
      <c r="K845" s="105"/>
      <c r="L845" s="105"/>
    </row>
    <row r="846">
      <c r="A846" s="103" t="s">
        <v>4676</v>
      </c>
      <c r="B846" s="103">
        <v>1.100108626E9</v>
      </c>
      <c r="C846" s="105"/>
      <c r="D846" s="104" t="s">
        <v>7353</v>
      </c>
      <c r="E846" s="104" t="s">
        <v>7354</v>
      </c>
      <c r="F846" s="103" t="s">
        <v>4678</v>
      </c>
      <c r="G846" s="103" t="s">
        <v>4679</v>
      </c>
      <c r="H846" s="103" t="s">
        <v>7355</v>
      </c>
      <c r="I846" s="103" t="s">
        <v>7356</v>
      </c>
      <c r="J846" s="104" t="s">
        <v>7357</v>
      </c>
      <c r="K846" s="105"/>
      <c r="L846" s="105"/>
    </row>
    <row r="847">
      <c r="A847" s="103" t="s">
        <v>4676</v>
      </c>
      <c r="B847" s="103">
        <v>1.10010862601E11</v>
      </c>
      <c r="C847" s="105"/>
      <c r="D847" s="104" t="s">
        <v>7358</v>
      </c>
      <c r="E847" s="104" t="s">
        <v>7359</v>
      </c>
      <c r="F847" s="103" t="s">
        <v>4678</v>
      </c>
      <c r="G847" s="103" t="s">
        <v>4679</v>
      </c>
      <c r="H847" s="103" t="s">
        <v>7355</v>
      </c>
      <c r="I847" s="103">
        <v>3.125508004E9</v>
      </c>
      <c r="J847" s="104" t="s">
        <v>7357</v>
      </c>
      <c r="K847" s="105"/>
      <c r="L847" s="105"/>
    </row>
    <row r="848">
      <c r="A848" s="103" t="s">
        <v>4676</v>
      </c>
      <c r="B848" s="103">
        <v>1.100108627E9</v>
      </c>
      <c r="C848" s="105"/>
      <c r="D848" s="104" t="s">
        <v>7360</v>
      </c>
      <c r="E848" s="104" t="s">
        <v>7361</v>
      </c>
      <c r="F848" s="103" t="s">
        <v>4678</v>
      </c>
      <c r="G848" s="103" t="s">
        <v>4679</v>
      </c>
      <c r="H848" s="103" t="s">
        <v>7362</v>
      </c>
      <c r="I848" s="103">
        <v>4360864.0</v>
      </c>
      <c r="J848" s="104" t="s">
        <v>7363</v>
      </c>
      <c r="K848" s="105"/>
      <c r="L848" s="105"/>
    </row>
    <row r="849">
      <c r="A849" s="103" t="s">
        <v>4676</v>
      </c>
      <c r="B849" s="103">
        <v>1.10010862701E11</v>
      </c>
      <c r="C849" s="105"/>
      <c r="D849" s="104" t="s">
        <v>7360</v>
      </c>
      <c r="E849" s="106"/>
      <c r="F849" s="103" t="s">
        <v>4678</v>
      </c>
      <c r="G849" s="103" t="s">
        <v>4679</v>
      </c>
      <c r="H849" s="103" t="s">
        <v>7362</v>
      </c>
      <c r="I849" s="105"/>
      <c r="J849" s="104" t="s">
        <v>7363</v>
      </c>
      <c r="K849" s="105"/>
      <c r="L849" s="105"/>
    </row>
    <row r="850">
      <c r="A850" s="103" t="s">
        <v>4676</v>
      </c>
      <c r="B850" s="103">
        <v>1.100108648E9</v>
      </c>
      <c r="C850" s="105"/>
      <c r="D850" s="104" t="s">
        <v>7364</v>
      </c>
      <c r="E850" s="104" t="s">
        <v>7365</v>
      </c>
      <c r="F850" s="103" t="s">
        <v>4678</v>
      </c>
      <c r="G850" s="103" t="s">
        <v>4679</v>
      </c>
      <c r="H850" s="103" t="s">
        <v>7366</v>
      </c>
      <c r="I850" s="103" t="s">
        <v>7367</v>
      </c>
      <c r="J850" s="104" t="s">
        <v>7368</v>
      </c>
      <c r="K850" s="105"/>
      <c r="L850" s="105"/>
    </row>
    <row r="851">
      <c r="A851" s="103" t="s">
        <v>4676</v>
      </c>
      <c r="B851" s="103">
        <v>1.10010864801E11</v>
      </c>
      <c r="C851" s="105"/>
      <c r="D851" s="104" t="s">
        <v>7369</v>
      </c>
      <c r="E851" s="104" t="s">
        <v>7370</v>
      </c>
      <c r="F851" s="103" t="s">
        <v>4678</v>
      </c>
      <c r="G851" s="103" t="s">
        <v>4679</v>
      </c>
      <c r="H851" s="103" t="s">
        <v>7371</v>
      </c>
      <c r="I851" s="103">
        <v>2451911.0</v>
      </c>
      <c r="J851" s="104" t="s">
        <v>7372</v>
      </c>
      <c r="K851" s="105"/>
      <c r="L851" s="105"/>
    </row>
    <row r="852">
      <c r="A852" s="103" t="s">
        <v>4676</v>
      </c>
      <c r="B852" s="103">
        <v>1.100108649E9</v>
      </c>
      <c r="C852" s="105"/>
      <c r="D852" s="104" t="s">
        <v>7373</v>
      </c>
      <c r="E852" s="104" t="s">
        <v>7374</v>
      </c>
      <c r="F852" s="103" t="s">
        <v>4678</v>
      </c>
      <c r="G852" s="103" t="s">
        <v>4679</v>
      </c>
      <c r="H852" s="103" t="s">
        <v>7375</v>
      </c>
      <c r="I852" s="103">
        <v>3678236.0</v>
      </c>
      <c r="J852" s="104" t="s">
        <v>7376</v>
      </c>
      <c r="K852" s="105"/>
      <c r="L852" s="105"/>
    </row>
    <row r="853">
      <c r="A853" s="103" t="s">
        <v>4676</v>
      </c>
      <c r="B853" s="103">
        <v>1.10010864901E11</v>
      </c>
      <c r="C853" s="105"/>
      <c r="D853" s="104" t="s">
        <v>7373</v>
      </c>
      <c r="E853" s="106"/>
      <c r="F853" s="103" t="s">
        <v>4678</v>
      </c>
      <c r="G853" s="103" t="s">
        <v>4679</v>
      </c>
      <c r="H853" s="103" t="s">
        <v>7375</v>
      </c>
      <c r="I853" s="105"/>
      <c r="J853" s="104" t="s">
        <v>7376</v>
      </c>
      <c r="K853" s="105"/>
      <c r="L853" s="105"/>
    </row>
    <row r="854">
      <c r="A854" s="103" t="s">
        <v>4676</v>
      </c>
      <c r="B854" s="103">
        <v>1.100108679E9</v>
      </c>
      <c r="C854" s="103" t="s">
        <v>7377</v>
      </c>
      <c r="D854" s="104" t="s">
        <v>7378</v>
      </c>
      <c r="E854" s="104" t="s">
        <v>7379</v>
      </c>
      <c r="F854" s="103" t="s">
        <v>4678</v>
      </c>
      <c r="G854" s="103" t="s">
        <v>4679</v>
      </c>
      <c r="H854" s="103" t="s">
        <v>7380</v>
      </c>
      <c r="I854" s="103" t="s">
        <v>7381</v>
      </c>
      <c r="J854" s="104" t="s">
        <v>7382</v>
      </c>
      <c r="K854" s="107" t="s">
        <v>7383</v>
      </c>
      <c r="L854" s="105"/>
    </row>
    <row r="855">
      <c r="A855" s="103" t="s">
        <v>4676</v>
      </c>
      <c r="B855" s="103">
        <v>1.10010867901E11</v>
      </c>
      <c r="C855" s="105"/>
      <c r="D855" s="104" t="s">
        <v>7384</v>
      </c>
      <c r="E855" s="104" t="s">
        <v>7385</v>
      </c>
      <c r="F855" s="103" t="s">
        <v>4678</v>
      </c>
      <c r="G855" s="103" t="s">
        <v>4679</v>
      </c>
      <c r="H855" s="103" t="s">
        <v>7386</v>
      </c>
      <c r="I855" s="103" t="s">
        <v>7387</v>
      </c>
      <c r="J855" s="104" t="s">
        <v>7388</v>
      </c>
      <c r="K855" s="105"/>
      <c r="L855" s="105"/>
    </row>
    <row r="856">
      <c r="A856" s="103" t="s">
        <v>4676</v>
      </c>
      <c r="B856" s="103">
        <v>1.100108694E9</v>
      </c>
      <c r="C856" s="105"/>
      <c r="D856" s="104" t="s">
        <v>7389</v>
      </c>
      <c r="E856" s="104" t="s">
        <v>7390</v>
      </c>
      <c r="F856" s="103" t="s">
        <v>4678</v>
      </c>
      <c r="G856" s="103" t="s">
        <v>4679</v>
      </c>
      <c r="H856" s="103" t="s">
        <v>7391</v>
      </c>
      <c r="I856" s="103">
        <v>2359599.0</v>
      </c>
      <c r="J856" s="104" t="s">
        <v>7392</v>
      </c>
      <c r="K856" s="105"/>
      <c r="L856" s="105"/>
    </row>
    <row r="857">
      <c r="A857" s="103" t="s">
        <v>4676</v>
      </c>
      <c r="B857" s="103">
        <v>1.10010869403E11</v>
      </c>
      <c r="C857" s="105"/>
      <c r="D857" s="104" t="s">
        <v>7393</v>
      </c>
      <c r="E857" s="104" t="s">
        <v>7394</v>
      </c>
      <c r="F857" s="103" t="s">
        <v>4678</v>
      </c>
      <c r="G857" s="103" t="s">
        <v>4679</v>
      </c>
      <c r="H857" s="103" t="s">
        <v>7395</v>
      </c>
      <c r="I857" s="103">
        <v>2359599.0</v>
      </c>
      <c r="J857" s="104" t="s">
        <v>7392</v>
      </c>
      <c r="K857" s="105"/>
      <c r="L857" s="105"/>
    </row>
    <row r="858">
      <c r="A858" s="103" t="s">
        <v>4676</v>
      </c>
      <c r="B858" s="103">
        <v>1.10010869404E11</v>
      </c>
      <c r="C858" s="105"/>
      <c r="D858" s="104" t="s">
        <v>7396</v>
      </c>
      <c r="E858" s="104" t="s">
        <v>7394</v>
      </c>
      <c r="F858" s="103" t="s">
        <v>4678</v>
      </c>
      <c r="G858" s="103" t="s">
        <v>4679</v>
      </c>
      <c r="H858" s="103" t="s">
        <v>7397</v>
      </c>
      <c r="I858" s="103" t="s">
        <v>7398</v>
      </c>
      <c r="J858" s="104" t="s">
        <v>7392</v>
      </c>
      <c r="K858" s="105"/>
      <c r="L858" s="105"/>
    </row>
    <row r="859">
      <c r="A859" s="103" t="s">
        <v>4676</v>
      </c>
      <c r="B859" s="103">
        <v>1.100108706E9</v>
      </c>
      <c r="C859" s="105"/>
      <c r="D859" s="104" t="s">
        <v>7399</v>
      </c>
      <c r="E859" s="106"/>
      <c r="F859" s="103" t="s">
        <v>4678</v>
      </c>
      <c r="G859" s="103" t="s">
        <v>4679</v>
      </c>
      <c r="H859" s="103" t="s">
        <v>7400</v>
      </c>
      <c r="I859" s="103">
        <v>5333800.0</v>
      </c>
      <c r="J859" s="104" t="s">
        <v>7401</v>
      </c>
      <c r="K859" s="107" t="s">
        <v>7402</v>
      </c>
      <c r="L859" s="105"/>
    </row>
    <row r="860">
      <c r="A860" s="103" t="s">
        <v>4676</v>
      </c>
      <c r="B860" s="103">
        <v>1.10010870601E11</v>
      </c>
      <c r="C860" s="105"/>
      <c r="D860" s="104" t="s">
        <v>7399</v>
      </c>
      <c r="E860" s="104" t="s">
        <v>7403</v>
      </c>
      <c r="F860" s="103" t="s">
        <v>4678</v>
      </c>
      <c r="G860" s="103" t="s">
        <v>4679</v>
      </c>
      <c r="H860" s="103" t="s">
        <v>7400</v>
      </c>
      <c r="I860" s="103">
        <v>5333800.0</v>
      </c>
      <c r="J860" s="104" t="s">
        <v>7401</v>
      </c>
      <c r="K860" s="105"/>
      <c r="L860" s="105"/>
    </row>
    <row r="861">
      <c r="A861" s="103" t="s">
        <v>4676</v>
      </c>
      <c r="B861" s="103">
        <v>1.10010872E9</v>
      </c>
      <c r="C861" s="105"/>
      <c r="D861" s="104" t="s">
        <v>7404</v>
      </c>
      <c r="E861" s="106"/>
      <c r="F861" s="103" t="s">
        <v>4678</v>
      </c>
      <c r="G861" s="103" t="s">
        <v>4679</v>
      </c>
      <c r="H861" s="103" t="s">
        <v>7405</v>
      </c>
      <c r="I861" s="103" t="s">
        <v>7406</v>
      </c>
      <c r="J861" s="104" t="s">
        <v>7407</v>
      </c>
      <c r="K861" s="105"/>
      <c r="L861" s="105"/>
    </row>
    <row r="862">
      <c r="A862" s="103" t="s">
        <v>4676</v>
      </c>
      <c r="B862" s="103">
        <v>1.10010872001E11</v>
      </c>
      <c r="C862" s="105"/>
      <c r="D862" s="104" t="s">
        <v>7404</v>
      </c>
      <c r="E862" s="104" t="s">
        <v>7408</v>
      </c>
      <c r="F862" s="103" t="s">
        <v>4678</v>
      </c>
      <c r="G862" s="103" t="s">
        <v>4679</v>
      </c>
      <c r="H862" s="103" t="s">
        <v>7405</v>
      </c>
      <c r="I862" s="103" t="s">
        <v>7406</v>
      </c>
      <c r="J862" s="104" t="s">
        <v>7407</v>
      </c>
      <c r="K862" s="105"/>
      <c r="L862" s="105"/>
    </row>
    <row r="863">
      <c r="A863" s="103" t="s">
        <v>4676</v>
      </c>
      <c r="B863" s="103">
        <v>1.100108748E9</v>
      </c>
      <c r="C863" s="105"/>
      <c r="D863" s="104" t="s">
        <v>7409</v>
      </c>
      <c r="E863" s="104" t="s">
        <v>7410</v>
      </c>
      <c r="F863" s="103" t="s">
        <v>4678</v>
      </c>
      <c r="G863" s="103" t="s">
        <v>4679</v>
      </c>
      <c r="H863" s="103" t="s">
        <v>7411</v>
      </c>
      <c r="I863" s="103" t="s">
        <v>7412</v>
      </c>
      <c r="J863" s="104" t="s">
        <v>7413</v>
      </c>
      <c r="K863" s="105"/>
      <c r="L863" s="105"/>
    </row>
    <row r="864">
      <c r="A864" s="103" t="s">
        <v>4676</v>
      </c>
      <c r="B864" s="103">
        <v>1.10010874801E11</v>
      </c>
      <c r="C864" s="105"/>
      <c r="D864" s="104" t="s">
        <v>7409</v>
      </c>
      <c r="E864" s="104" t="s">
        <v>7414</v>
      </c>
      <c r="F864" s="103" t="s">
        <v>4678</v>
      </c>
      <c r="G864" s="103" t="s">
        <v>4679</v>
      </c>
      <c r="H864" s="103" t="s">
        <v>7411</v>
      </c>
      <c r="I864" s="103" t="s">
        <v>7412</v>
      </c>
      <c r="J864" s="104" t="s">
        <v>7415</v>
      </c>
      <c r="K864" s="105"/>
      <c r="L864" s="105"/>
    </row>
    <row r="865">
      <c r="A865" s="103" t="s">
        <v>4676</v>
      </c>
      <c r="B865" s="103">
        <v>1.100108754E9</v>
      </c>
      <c r="C865" s="105"/>
      <c r="D865" s="104" t="s">
        <v>7416</v>
      </c>
      <c r="E865" s="104" t="s">
        <v>7417</v>
      </c>
      <c r="F865" s="103" t="s">
        <v>4678</v>
      </c>
      <c r="G865" s="103" t="s">
        <v>4679</v>
      </c>
      <c r="H865" s="103" t="s">
        <v>7418</v>
      </c>
      <c r="I865" s="103" t="s">
        <v>7419</v>
      </c>
      <c r="J865" s="104" t="s">
        <v>7420</v>
      </c>
      <c r="K865" s="107" t="s">
        <v>7421</v>
      </c>
      <c r="L865" s="105"/>
    </row>
    <row r="866">
      <c r="A866" s="103" t="s">
        <v>4676</v>
      </c>
      <c r="B866" s="103">
        <v>1.10010875401E11</v>
      </c>
      <c r="C866" s="105"/>
      <c r="D866" s="104" t="s">
        <v>7416</v>
      </c>
      <c r="E866" s="104" t="s">
        <v>7417</v>
      </c>
      <c r="F866" s="103" t="s">
        <v>4678</v>
      </c>
      <c r="G866" s="103" t="s">
        <v>4679</v>
      </c>
      <c r="H866" s="103" t="s">
        <v>7418</v>
      </c>
      <c r="I866" s="103" t="s">
        <v>7422</v>
      </c>
      <c r="J866" s="104" t="s">
        <v>7420</v>
      </c>
      <c r="K866" s="105"/>
      <c r="L866" s="105"/>
    </row>
    <row r="867">
      <c r="A867" s="103" t="s">
        <v>4676</v>
      </c>
      <c r="B867" s="103">
        <v>1.10010875403E11</v>
      </c>
      <c r="C867" s="105"/>
      <c r="D867" s="104" t="s">
        <v>7423</v>
      </c>
      <c r="E867" s="104" t="s">
        <v>7424</v>
      </c>
      <c r="F867" s="103" t="s">
        <v>4678</v>
      </c>
      <c r="G867" s="103" t="s">
        <v>4679</v>
      </c>
      <c r="H867" s="103" t="s">
        <v>7425</v>
      </c>
      <c r="I867" s="103" t="s">
        <v>7426</v>
      </c>
      <c r="J867" s="104" t="s">
        <v>7427</v>
      </c>
      <c r="K867" s="105"/>
      <c r="L867" s="105"/>
    </row>
    <row r="868">
      <c r="A868" s="103" t="s">
        <v>4676</v>
      </c>
      <c r="B868" s="103">
        <v>1.100108773E9</v>
      </c>
      <c r="C868" s="105"/>
      <c r="D868" s="104" t="s">
        <v>7428</v>
      </c>
      <c r="E868" s="104" t="s">
        <v>7429</v>
      </c>
      <c r="F868" s="103" t="s">
        <v>4678</v>
      </c>
      <c r="G868" s="103" t="s">
        <v>4679</v>
      </c>
      <c r="H868" s="103" t="s">
        <v>7430</v>
      </c>
      <c r="I868" s="103">
        <v>7420505.0</v>
      </c>
      <c r="J868" s="104" t="s">
        <v>7431</v>
      </c>
      <c r="K868" s="105"/>
      <c r="L868" s="105"/>
    </row>
    <row r="869">
      <c r="A869" s="103" t="s">
        <v>4676</v>
      </c>
      <c r="B869" s="103">
        <v>1.10010877301E11</v>
      </c>
      <c r="C869" s="105"/>
      <c r="D869" s="104" t="s">
        <v>7432</v>
      </c>
      <c r="E869" s="104" t="s">
        <v>7433</v>
      </c>
      <c r="F869" s="103" t="s">
        <v>4678</v>
      </c>
      <c r="G869" s="103" t="s">
        <v>4679</v>
      </c>
      <c r="H869" s="103" t="s">
        <v>7434</v>
      </c>
      <c r="I869" s="103">
        <v>7420505.0</v>
      </c>
      <c r="J869" s="104" t="s">
        <v>7431</v>
      </c>
      <c r="K869" s="105"/>
      <c r="L869" s="105"/>
    </row>
    <row r="870">
      <c r="A870" s="103" t="s">
        <v>4676</v>
      </c>
      <c r="B870" s="103">
        <v>1.10010893E9</v>
      </c>
      <c r="C870" s="105"/>
      <c r="D870" s="104" t="s">
        <v>7435</v>
      </c>
      <c r="E870" s="104" t="s">
        <v>7436</v>
      </c>
      <c r="F870" s="103" t="s">
        <v>4678</v>
      </c>
      <c r="G870" s="103" t="s">
        <v>4679</v>
      </c>
      <c r="H870" s="103" t="s">
        <v>7437</v>
      </c>
      <c r="I870" s="103" t="s">
        <v>7438</v>
      </c>
      <c r="J870" s="104" t="s">
        <v>7439</v>
      </c>
      <c r="K870" s="107" t="s">
        <v>7440</v>
      </c>
      <c r="L870" s="105"/>
    </row>
    <row r="871">
      <c r="A871" s="103" t="s">
        <v>4676</v>
      </c>
      <c r="B871" s="103">
        <v>1.10010893002E11</v>
      </c>
      <c r="C871" s="105"/>
      <c r="D871" s="104" t="s">
        <v>7441</v>
      </c>
      <c r="E871" s="104" t="s">
        <v>7442</v>
      </c>
      <c r="F871" s="103" t="s">
        <v>4678</v>
      </c>
      <c r="G871" s="103" t="s">
        <v>4679</v>
      </c>
      <c r="H871" s="103" t="s">
        <v>7443</v>
      </c>
      <c r="I871" s="103" t="s">
        <v>7444</v>
      </c>
      <c r="J871" s="104" t="s">
        <v>7439</v>
      </c>
      <c r="K871" s="105"/>
      <c r="L871" s="105"/>
    </row>
    <row r="872">
      <c r="A872" s="103" t="s">
        <v>4676</v>
      </c>
      <c r="B872" s="103">
        <v>1.10010893004E11</v>
      </c>
      <c r="C872" s="105"/>
      <c r="D872" s="104" t="s">
        <v>7445</v>
      </c>
      <c r="E872" s="104" t="s">
        <v>7446</v>
      </c>
      <c r="F872" s="103" t="s">
        <v>4678</v>
      </c>
      <c r="G872" s="103" t="s">
        <v>4679</v>
      </c>
      <c r="H872" s="103" t="s">
        <v>7447</v>
      </c>
      <c r="I872" s="103" t="s">
        <v>7444</v>
      </c>
      <c r="J872" s="104" t="s">
        <v>7439</v>
      </c>
      <c r="K872" s="105"/>
      <c r="L872" s="105"/>
    </row>
    <row r="873">
      <c r="A873" s="103" t="s">
        <v>4676</v>
      </c>
      <c r="B873" s="103">
        <v>1.10010893006E11</v>
      </c>
      <c r="C873" s="105"/>
      <c r="D873" s="104" t="s">
        <v>7448</v>
      </c>
      <c r="E873" s="104" t="s">
        <v>7442</v>
      </c>
      <c r="F873" s="103" t="s">
        <v>4678</v>
      </c>
      <c r="G873" s="103" t="s">
        <v>4679</v>
      </c>
      <c r="H873" s="103" t="s">
        <v>7449</v>
      </c>
      <c r="I873" s="103" t="s">
        <v>7444</v>
      </c>
      <c r="J873" s="104" t="s">
        <v>7439</v>
      </c>
      <c r="K873" s="105"/>
      <c r="L873" s="105"/>
    </row>
    <row r="874">
      <c r="A874" s="103" t="s">
        <v>4676</v>
      </c>
      <c r="B874" s="103">
        <v>1.10010893007E11</v>
      </c>
      <c r="C874" s="105"/>
      <c r="D874" s="104" t="s">
        <v>7450</v>
      </c>
      <c r="E874" s="104" t="s">
        <v>7446</v>
      </c>
      <c r="F874" s="103" t="s">
        <v>4678</v>
      </c>
      <c r="G874" s="103" t="s">
        <v>4679</v>
      </c>
      <c r="H874" s="103" t="s">
        <v>7451</v>
      </c>
      <c r="I874" s="103" t="s">
        <v>7444</v>
      </c>
      <c r="J874" s="104" t="s">
        <v>7439</v>
      </c>
      <c r="K874" s="105"/>
      <c r="L874" s="105"/>
    </row>
    <row r="875">
      <c r="A875" s="103" t="s">
        <v>4676</v>
      </c>
      <c r="B875" s="103">
        <v>1.100108935E9</v>
      </c>
      <c r="C875" s="105"/>
      <c r="D875" s="104" t="s">
        <v>7452</v>
      </c>
      <c r="E875" s="104" t="s">
        <v>7453</v>
      </c>
      <c r="F875" s="103" t="s">
        <v>4678</v>
      </c>
      <c r="G875" s="103" t="s">
        <v>4679</v>
      </c>
      <c r="H875" s="103" t="s">
        <v>7454</v>
      </c>
      <c r="I875" s="103" t="s">
        <v>7455</v>
      </c>
      <c r="J875" s="104" t="s">
        <v>7456</v>
      </c>
      <c r="K875" s="107" t="s">
        <v>7457</v>
      </c>
      <c r="L875" s="105"/>
    </row>
    <row r="876">
      <c r="A876" s="103" t="s">
        <v>4676</v>
      </c>
      <c r="B876" s="103">
        <v>1.10010893501E11</v>
      </c>
      <c r="C876" s="105"/>
      <c r="D876" s="104" t="s">
        <v>7458</v>
      </c>
      <c r="E876" s="104" t="s">
        <v>7453</v>
      </c>
      <c r="F876" s="103" t="s">
        <v>4678</v>
      </c>
      <c r="G876" s="103" t="s">
        <v>4679</v>
      </c>
      <c r="H876" s="103" t="s">
        <v>7454</v>
      </c>
      <c r="I876" s="103" t="s">
        <v>7455</v>
      </c>
      <c r="J876" s="104" t="s">
        <v>7456</v>
      </c>
      <c r="K876" s="105"/>
      <c r="L876" s="105"/>
    </row>
    <row r="877">
      <c r="A877" s="103" t="s">
        <v>4676</v>
      </c>
      <c r="B877" s="103">
        <v>1.100108952E9</v>
      </c>
      <c r="C877" s="105"/>
      <c r="D877" s="104" t="s">
        <v>7459</v>
      </c>
      <c r="E877" s="104" t="s">
        <v>7460</v>
      </c>
      <c r="F877" s="103" t="s">
        <v>4678</v>
      </c>
      <c r="G877" s="103" t="s">
        <v>4679</v>
      </c>
      <c r="H877" s="103" t="s">
        <v>7461</v>
      </c>
      <c r="I877" s="103">
        <v>7454500.0</v>
      </c>
      <c r="J877" s="104" t="s">
        <v>7462</v>
      </c>
      <c r="K877" s="107" t="s">
        <v>7463</v>
      </c>
      <c r="L877" s="105"/>
    </row>
    <row r="878">
      <c r="A878" s="103" t="s">
        <v>4676</v>
      </c>
      <c r="B878" s="103">
        <v>1.10010895201E11</v>
      </c>
      <c r="C878" s="105"/>
      <c r="D878" s="104" t="s">
        <v>7464</v>
      </c>
      <c r="E878" s="104" t="s">
        <v>7465</v>
      </c>
      <c r="F878" s="103" t="s">
        <v>4678</v>
      </c>
      <c r="G878" s="103" t="s">
        <v>4679</v>
      </c>
      <c r="H878" s="103" t="s">
        <v>7461</v>
      </c>
      <c r="I878" s="103">
        <v>7454500.0</v>
      </c>
      <c r="J878" s="104" t="s">
        <v>7462</v>
      </c>
      <c r="K878" s="107" t="s">
        <v>7463</v>
      </c>
      <c r="L878" s="105"/>
    </row>
    <row r="879">
      <c r="A879" s="103" t="s">
        <v>4676</v>
      </c>
      <c r="B879" s="103">
        <v>1.10010895204E11</v>
      </c>
      <c r="C879" s="105"/>
      <c r="D879" s="104" t="s">
        <v>7466</v>
      </c>
      <c r="E879" s="104" t="s">
        <v>7465</v>
      </c>
      <c r="F879" s="103" t="s">
        <v>4678</v>
      </c>
      <c r="G879" s="103" t="s">
        <v>4679</v>
      </c>
      <c r="H879" s="103" t="s">
        <v>7467</v>
      </c>
      <c r="I879" s="103">
        <v>7454500.0</v>
      </c>
      <c r="J879" s="104" t="s">
        <v>7462</v>
      </c>
      <c r="K879" s="105"/>
      <c r="L879" s="105"/>
    </row>
    <row r="880">
      <c r="A880" s="103" t="s">
        <v>4676</v>
      </c>
      <c r="B880" s="103">
        <v>1.100108972E9</v>
      </c>
      <c r="C880" s="105"/>
      <c r="D880" s="104" t="s">
        <v>7468</v>
      </c>
      <c r="E880" s="104" t="s">
        <v>7469</v>
      </c>
      <c r="F880" s="103" t="s">
        <v>4678</v>
      </c>
      <c r="G880" s="103" t="s">
        <v>4679</v>
      </c>
      <c r="H880" s="103" t="s">
        <v>7470</v>
      </c>
      <c r="I880" s="103">
        <v>4845805.0</v>
      </c>
      <c r="J880" s="104" t="s">
        <v>7471</v>
      </c>
      <c r="K880" s="107" t="s">
        <v>7472</v>
      </c>
      <c r="L880" s="105"/>
    </row>
    <row r="881">
      <c r="A881" s="103" t="s">
        <v>4676</v>
      </c>
      <c r="B881" s="103">
        <v>1.10010897201E11</v>
      </c>
      <c r="C881" s="105"/>
      <c r="D881" s="104" t="s">
        <v>7468</v>
      </c>
      <c r="E881" s="104" t="s">
        <v>7473</v>
      </c>
      <c r="F881" s="103" t="s">
        <v>4678</v>
      </c>
      <c r="G881" s="103" t="s">
        <v>4679</v>
      </c>
      <c r="H881" s="103" t="s">
        <v>7474</v>
      </c>
      <c r="I881" s="105"/>
      <c r="J881" s="104" t="s">
        <v>7471</v>
      </c>
      <c r="K881" s="105"/>
      <c r="L881" s="105"/>
    </row>
    <row r="882">
      <c r="A882" s="103" t="s">
        <v>4676</v>
      </c>
      <c r="B882" s="103">
        <v>1.100108974E9</v>
      </c>
      <c r="C882" s="105"/>
      <c r="D882" s="104" t="s">
        <v>7475</v>
      </c>
      <c r="E882" s="104" t="s">
        <v>7476</v>
      </c>
      <c r="F882" s="103" t="s">
        <v>4678</v>
      </c>
      <c r="G882" s="103" t="s">
        <v>4679</v>
      </c>
      <c r="H882" s="103" t="s">
        <v>7477</v>
      </c>
      <c r="I882" s="103" t="s">
        <v>7478</v>
      </c>
      <c r="J882" s="104" t="s">
        <v>7479</v>
      </c>
      <c r="K882" s="107" t="s">
        <v>7480</v>
      </c>
      <c r="L882" s="105"/>
    </row>
    <row r="883">
      <c r="A883" s="103" t="s">
        <v>4676</v>
      </c>
      <c r="B883" s="103">
        <v>1.10010897401E11</v>
      </c>
      <c r="C883" s="105"/>
      <c r="D883" s="104" t="s">
        <v>7475</v>
      </c>
      <c r="E883" s="104" t="s">
        <v>7481</v>
      </c>
      <c r="F883" s="103" t="s">
        <v>4678</v>
      </c>
      <c r="G883" s="103" t="s">
        <v>4679</v>
      </c>
      <c r="H883" s="103" t="s">
        <v>7482</v>
      </c>
      <c r="I883" s="103" t="s">
        <v>7483</v>
      </c>
      <c r="J883" s="104" t="s">
        <v>7479</v>
      </c>
      <c r="K883" s="105"/>
      <c r="L883" s="105"/>
    </row>
    <row r="884">
      <c r="A884" s="103" t="s">
        <v>4676</v>
      </c>
      <c r="B884" s="103">
        <v>1.100108995E9</v>
      </c>
      <c r="C884" s="105"/>
      <c r="D884" s="104" t="s">
        <v>7484</v>
      </c>
      <c r="E884" s="104" t="s">
        <v>7485</v>
      </c>
      <c r="F884" s="103" t="s">
        <v>4678</v>
      </c>
      <c r="G884" s="103" t="s">
        <v>4679</v>
      </c>
      <c r="H884" s="103" t="s">
        <v>7486</v>
      </c>
      <c r="I884" s="103" t="s">
        <v>7487</v>
      </c>
      <c r="J884" s="104" t="s">
        <v>7488</v>
      </c>
      <c r="K884" s="107" t="s">
        <v>7489</v>
      </c>
      <c r="L884" s="105"/>
    </row>
    <row r="885">
      <c r="A885" s="103" t="s">
        <v>4676</v>
      </c>
      <c r="B885" s="103">
        <v>1.10010899501E11</v>
      </c>
      <c r="C885" s="105"/>
      <c r="D885" s="104" t="s">
        <v>7490</v>
      </c>
      <c r="E885" s="104" t="s">
        <v>7491</v>
      </c>
      <c r="F885" s="103" t="s">
        <v>4678</v>
      </c>
      <c r="G885" s="103" t="s">
        <v>4679</v>
      </c>
      <c r="H885" s="103" t="s">
        <v>7486</v>
      </c>
      <c r="I885" s="103">
        <v>3.00912456E9</v>
      </c>
      <c r="J885" s="104" t="s">
        <v>7492</v>
      </c>
      <c r="K885" s="105"/>
      <c r="L885" s="105"/>
    </row>
    <row r="886">
      <c r="A886" s="103" t="s">
        <v>4676</v>
      </c>
      <c r="B886" s="103">
        <v>1.10010899502E11</v>
      </c>
      <c r="C886" s="105"/>
      <c r="D886" s="104" t="s">
        <v>7493</v>
      </c>
      <c r="E886" s="104" t="s">
        <v>7494</v>
      </c>
      <c r="F886" s="103" t="s">
        <v>4678</v>
      </c>
      <c r="G886" s="103" t="s">
        <v>4679</v>
      </c>
      <c r="H886" s="103" t="s">
        <v>7495</v>
      </c>
      <c r="I886" s="103">
        <v>3.00912456E9</v>
      </c>
      <c r="J886" s="104" t="s">
        <v>7492</v>
      </c>
      <c r="K886" s="105"/>
      <c r="L886" s="105"/>
    </row>
    <row r="887">
      <c r="A887" s="103" t="s">
        <v>4676</v>
      </c>
      <c r="B887" s="103">
        <v>1.10010899504E11</v>
      </c>
      <c r="C887" s="105"/>
      <c r="D887" s="104" t="s">
        <v>7496</v>
      </c>
      <c r="E887" s="104" t="s">
        <v>7494</v>
      </c>
      <c r="F887" s="103" t="s">
        <v>4678</v>
      </c>
      <c r="G887" s="103" t="s">
        <v>4679</v>
      </c>
      <c r="H887" s="103" t="s">
        <v>7497</v>
      </c>
      <c r="I887" s="103">
        <v>3.00912456E9</v>
      </c>
      <c r="J887" s="104" t="s">
        <v>7492</v>
      </c>
      <c r="K887" s="105"/>
      <c r="L887" s="105"/>
    </row>
    <row r="888">
      <c r="A888" s="103" t="s">
        <v>4676</v>
      </c>
      <c r="B888" s="103">
        <v>1.10010899505E11</v>
      </c>
      <c r="C888" s="105"/>
      <c r="D888" s="104" t="s">
        <v>7498</v>
      </c>
      <c r="E888" s="104" t="s">
        <v>7491</v>
      </c>
      <c r="F888" s="103" t="s">
        <v>4678</v>
      </c>
      <c r="G888" s="103" t="s">
        <v>4679</v>
      </c>
      <c r="H888" s="103" t="s">
        <v>7499</v>
      </c>
      <c r="I888" s="103">
        <v>3.00912456E9</v>
      </c>
      <c r="J888" s="104" t="s">
        <v>7492</v>
      </c>
      <c r="K888" s="105"/>
      <c r="L888" s="105"/>
    </row>
    <row r="889">
      <c r="A889" s="103" t="s">
        <v>4676</v>
      </c>
      <c r="B889" s="103">
        <v>1.10010899506E11</v>
      </c>
      <c r="C889" s="105"/>
      <c r="D889" s="104" t="s">
        <v>7500</v>
      </c>
      <c r="E889" s="104" t="s">
        <v>7494</v>
      </c>
      <c r="F889" s="103" t="s">
        <v>4678</v>
      </c>
      <c r="G889" s="103" t="s">
        <v>4679</v>
      </c>
      <c r="H889" s="103" t="s">
        <v>7501</v>
      </c>
      <c r="I889" s="103">
        <v>3.00912456E9</v>
      </c>
      <c r="J889" s="104" t="s">
        <v>7492</v>
      </c>
      <c r="K889" s="105"/>
      <c r="L889" s="105"/>
    </row>
    <row r="890">
      <c r="A890" s="103" t="s">
        <v>4676</v>
      </c>
      <c r="B890" s="103">
        <v>1.10010899507E11</v>
      </c>
      <c r="C890" s="105"/>
      <c r="D890" s="104" t="s">
        <v>7502</v>
      </c>
      <c r="E890" s="104" t="s">
        <v>7491</v>
      </c>
      <c r="F890" s="103" t="s">
        <v>4678</v>
      </c>
      <c r="G890" s="103" t="s">
        <v>4679</v>
      </c>
      <c r="H890" s="103" t="s">
        <v>7503</v>
      </c>
      <c r="I890" s="103" t="s">
        <v>7504</v>
      </c>
      <c r="J890" s="104" t="s">
        <v>7492</v>
      </c>
      <c r="K890" s="105"/>
      <c r="L890" s="105"/>
    </row>
    <row r="891">
      <c r="A891" s="103" t="s">
        <v>4676</v>
      </c>
      <c r="B891" s="103">
        <v>1.10010899508E11</v>
      </c>
      <c r="C891" s="105"/>
      <c r="D891" s="104" t="s">
        <v>7505</v>
      </c>
      <c r="E891" s="104" t="s">
        <v>7494</v>
      </c>
      <c r="F891" s="103" t="s">
        <v>4678</v>
      </c>
      <c r="G891" s="103" t="s">
        <v>4679</v>
      </c>
      <c r="H891" s="103" t="s">
        <v>7506</v>
      </c>
      <c r="I891" s="103">
        <v>3.00912456E9</v>
      </c>
      <c r="J891" s="104" t="s">
        <v>7492</v>
      </c>
      <c r="K891" s="105"/>
      <c r="L891" s="105"/>
    </row>
    <row r="892">
      <c r="A892" s="103" t="s">
        <v>4676</v>
      </c>
      <c r="B892" s="103">
        <v>1.100109035E9</v>
      </c>
      <c r="C892" s="105"/>
      <c r="D892" s="104" t="s">
        <v>7507</v>
      </c>
      <c r="E892" s="104" t="s">
        <v>7508</v>
      </c>
      <c r="F892" s="103" t="s">
        <v>4678</v>
      </c>
      <c r="G892" s="103" t="s">
        <v>4679</v>
      </c>
      <c r="H892" s="103" t="s">
        <v>7509</v>
      </c>
      <c r="I892" s="103">
        <v>6369188.0</v>
      </c>
      <c r="J892" s="104" t="s">
        <v>7510</v>
      </c>
      <c r="K892" s="105"/>
      <c r="L892" s="105"/>
    </row>
    <row r="893">
      <c r="A893" s="103" t="s">
        <v>4676</v>
      </c>
      <c r="B893" s="103">
        <v>1.10010903501E11</v>
      </c>
      <c r="C893" s="105"/>
      <c r="D893" s="104" t="s">
        <v>7507</v>
      </c>
      <c r="E893" s="104" t="s">
        <v>7511</v>
      </c>
      <c r="F893" s="103" t="s">
        <v>4678</v>
      </c>
      <c r="G893" s="103" t="s">
        <v>4679</v>
      </c>
      <c r="H893" s="103" t="s">
        <v>7509</v>
      </c>
      <c r="I893" s="105"/>
      <c r="J893" s="104" t="s">
        <v>7510</v>
      </c>
      <c r="K893" s="105"/>
      <c r="L893" s="105"/>
    </row>
    <row r="894">
      <c r="A894" s="103" t="s">
        <v>4676</v>
      </c>
      <c r="B894" s="103">
        <v>1.100109056E9</v>
      </c>
      <c r="C894" s="105"/>
      <c r="D894" s="104" t="s">
        <v>7512</v>
      </c>
      <c r="E894" s="104" t="s">
        <v>7513</v>
      </c>
      <c r="F894" s="103" t="s">
        <v>4678</v>
      </c>
      <c r="G894" s="103" t="s">
        <v>4679</v>
      </c>
      <c r="H894" s="103" t="s">
        <v>7514</v>
      </c>
      <c r="I894" s="103" t="s">
        <v>7515</v>
      </c>
      <c r="J894" s="104" t="s">
        <v>7516</v>
      </c>
      <c r="K894" s="105"/>
      <c r="L894" s="105"/>
    </row>
    <row r="895">
      <c r="A895" s="103" t="s">
        <v>4676</v>
      </c>
      <c r="B895" s="103">
        <v>1.10010905601E11</v>
      </c>
      <c r="C895" s="105"/>
      <c r="D895" s="104" t="s">
        <v>7512</v>
      </c>
      <c r="E895" s="104" t="s">
        <v>7517</v>
      </c>
      <c r="F895" s="103" t="s">
        <v>4678</v>
      </c>
      <c r="G895" s="103" t="s">
        <v>4679</v>
      </c>
      <c r="H895" s="103" t="s">
        <v>7514</v>
      </c>
      <c r="I895" s="103" t="s">
        <v>7515</v>
      </c>
      <c r="J895" s="104" t="s">
        <v>7518</v>
      </c>
      <c r="K895" s="105"/>
      <c r="L895" s="105"/>
    </row>
    <row r="896">
      <c r="A896" s="103" t="s">
        <v>4676</v>
      </c>
      <c r="B896" s="103">
        <v>1.100109098E9</v>
      </c>
      <c r="C896" s="105"/>
      <c r="D896" s="104" t="s">
        <v>7519</v>
      </c>
      <c r="E896" s="104" t="s">
        <v>7520</v>
      </c>
      <c r="F896" s="103" t="s">
        <v>4678</v>
      </c>
      <c r="G896" s="103" t="s">
        <v>4679</v>
      </c>
      <c r="H896" s="103" t="s">
        <v>7521</v>
      </c>
      <c r="I896" s="103">
        <v>5460640.0</v>
      </c>
      <c r="J896" s="104" t="s">
        <v>7522</v>
      </c>
      <c r="K896" s="105"/>
      <c r="L896" s="105"/>
    </row>
    <row r="897">
      <c r="A897" s="103" t="s">
        <v>4676</v>
      </c>
      <c r="B897" s="103">
        <v>1.10010909801E11</v>
      </c>
      <c r="C897" s="105"/>
      <c r="D897" s="104" t="s">
        <v>7523</v>
      </c>
      <c r="E897" s="104" t="s">
        <v>7524</v>
      </c>
      <c r="F897" s="103" t="s">
        <v>4678</v>
      </c>
      <c r="G897" s="103" t="s">
        <v>4679</v>
      </c>
      <c r="H897" s="103" t="s">
        <v>7525</v>
      </c>
      <c r="I897" s="103" t="s">
        <v>7526</v>
      </c>
      <c r="J897" s="104" t="s">
        <v>7522</v>
      </c>
      <c r="K897" s="105"/>
      <c r="L897" s="105"/>
    </row>
    <row r="898">
      <c r="A898" s="103" t="s">
        <v>4676</v>
      </c>
      <c r="B898" s="103">
        <v>1.10010909805E11</v>
      </c>
      <c r="C898" s="105"/>
      <c r="D898" s="104" t="s">
        <v>7527</v>
      </c>
      <c r="E898" s="104" t="s">
        <v>7520</v>
      </c>
      <c r="F898" s="103" t="s">
        <v>4678</v>
      </c>
      <c r="G898" s="103" t="s">
        <v>4679</v>
      </c>
      <c r="H898" s="103" t="s">
        <v>7528</v>
      </c>
      <c r="I898" s="103">
        <v>5460640.0</v>
      </c>
      <c r="J898" s="104" t="s">
        <v>7522</v>
      </c>
      <c r="K898" s="105"/>
      <c r="L898" s="105"/>
    </row>
    <row r="899">
      <c r="A899" s="103" t="s">
        <v>4676</v>
      </c>
      <c r="B899" s="103">
        <v>1.100109104E9</v>
      </c>
      <c r="C899" s="105"/>
      <c r="D899" s="104" t="s">
        <v>7529</v>
      </c>
      <c r="E899" s="104" t="s">
        <v>7530</v>
      </c>
      <c r="F899" s="103" t="s">
        <v>4678</v>
      </c>
      <c r="G899" s="103" t="s">
        <v>4679</v>
      </c>
      <c r="H899" s="103" t="s">
        <v>7531</v>
      </c>
      <c r="I899" s="103" t="s">
        <v>7532</v>
      </c>
      <c r="J899" s="104" t="s">
        <v>7533</v>
      </c>
      <c r="K899" s="107" t="s">
        <v>7534</v>
      </c>
      <c r="L899" s="105"/>
    </row>
    <row r="900">
      <c r="A900" s="103" t="s">
        <v>4676</v>
      </c>
      <c r="B900" s="103">
        <v>1.10010910401E11</v>
      </c>
      <c r="C900" s="105"/>
      <c r="D900" s="104" t="s">
        <v>7529</v>
      </c>
      <c r="E900" s="104" t="s">
        <v>7535</v>
      </c>
      <c r="F900" s="103" t="s">
        <v>4678</v>
      </c>
      <c r="G900" s="103" t="s">
        <v>4679</v>
      </c>
      <c r="H900" s="103" t="s">
        <v>7531</v>
      </c>
      <c r="I900" s="103" t="s">
        <v>7532</v>
      </c>
      <c r="J900" s="104" t="s">
        <v>7533</v>
      </c>
      <c r="K900" s="105"/>
      <c r="L900" s="105"/>
    </row>
    <row r="901">
      <c r="A901" s="103" t="s">
        <v>4676</v>
      </c>
      <c r="B901" s="103">
        <v>1.100109111E9</v>
      </c>
      <c r="C901" s="105"/>
      <c r="D901" s="104" t="s">
        <v>7536</v>
      </c>
      <c r="E901" s="104" t="s">
        <v>7537</v>
      </c>
      <c r="F901" s="103" t="s">
        <v>4678</v>
      </c>
      <c r="G901" s="103" t="s">
        <v>4679</v>
      </c>
      <c r="H901" s="103" t="s">
        <v>7538</v>
      </c>
      <c r="I901" s="103" t="s">
        <v>7539</v>
      </c>
      <c r="J901" s="104" t="s">
        <v>7540</v>
      </c>
      <c r="K901" s="107" t="s">
        <v>7541</v>
      </c>
      <c r="L901" s="105"/>
    </row>
    <row r="902">
      <c r="A902" s="103" t="s">
        <v>4676</v>
      </c>
      <c r="B902" s="103">
        <v>1.10010911101E11</v>
      </c>
      <c r="C902" s="105"/>
      <c r="D902" s="104" t="s">
        <v>7536</v>
      </c>
      <c r="E902" s="104" t="s">
        <v>7542</v>
      </c>
      <c r="F902" s="103" t="s">
        <v>4678</v>
      </c>
      <c r="G902" s="103" t="s">
        <v>4679</v>
      </c>
      <c r="H902" s="103" t="s">
        <v>7543</v>
      </c>
      <c r="I902" s="103" t="s">
        <v>7544</v>
      </c>
      <c r="J902" s="104" t="s">
        <v>7540</v>
      </c>
      <c r="K902" s="105"/>
      <c r="L902" s="105"/>
    </row>
    <row r="903">
      <c r="A903" s="103" t="s">
        <v>4676</v>
      </c>
      <c r="B903" s="103">
        <v>1.10010911103E11</v>
      </c>
      <c r="C903" s="105"/>
      <c r="D903" s="104" t="s">
        <v>7545</v>
      </c>
      <c r="E903" s="104" t="s">
        <v>7542</v>
      </c>
      <c r="F903" s="103" t="s">
        <v>4678</v>
      </c>
      <c r="G903" s="103" t="s">
        <v>4679</v>
      </c>
      <c r="H903" s="103" t="s">
        <v>7546</v>
      </c>
      <c r="I903" s="103" t="s">
        <v>7547</v>
      </c>
      <c r="J903" s="104" t="s">
        <v>7548</v>
      </c>
      <c r="K903" s="105"/>
      <c r="L903" s="105"/>
    </row>
    <row r="904">
      <c r="A904" s="103" t="s">
        <v>4676</v>
      </c>
      <c r="B904" s="103">
        <v>1.10010911105E11</v>
      </c>
      <c r="C904" s="105"/>
      <c r="D904" s="104" t="s">
        <v>7549</v>
      </c>
      <c r="E904" s="104" t="s">
        <v>7550</v>
      </c>
      <c r="F904" s="103" t="s">
        <v>4678</v>
      </c>
      <c r="G904" s="103" t="s">
        <v>4679</v>
      </c>
      <c r="H904" s="103" t="s">
        <v>7551</v>
      </c>
      <c r="I904" s="103">
        <v>6672727.0</v>
      </c>
      <c r="J904" s="104" t="s">
        <v>7540</v>
      </c>
      <c r="K904" s="105"/>
      <c r="L904" s="105"/>
    </row>
    <row r="905">
      <c r="A905" s="103" t="s">
        <v>4676</v>
      </c>
      <c r="B905" s="103">
        <v>1.100109113E9</v>
      </c>
      <c r="C905" s="105"/>
      <c r="D905" s="104" t="s">
        <v>7552</v>
      </c>
      <c r="E905" s="106"/>
      <c r="F905" s="103" t="s">
        <v>4678</v>
      </c>
      <c r="G905" s="103" t="s">
        <v>4679</v>
      </c>
      <c r="H905" s="103" t="s">
        <v>7553</v>
      </c>
      <c r="I905" s="103">
        <v>6.012749706E9</v>
      </c>
      <c r="J905" s="104" t="s">
        <v>7554</v>
      </c>
      <c r="K905" s="105"/>
      <c r="L905" s="105"/>
    </row>
    <row r="906">
      <c r="A906" s="103" t="s">
        <v>4676</v>
      </c>
      <c r="B906" s="103">
        <v>1.10010911301E11</v>
      </c>
      <c r="C906" s="105"/>
      <c r="D906" s="104" t="s">
        <v>7552</v>
      </c>
      <c r="E906" s="106"/>
      <c r="F906" s="103" t="s">
        <v>4678</v>
      </c>
      <c r="G906" s="103" t="s">
        <v>4679</v>
      </c>
      <c r="H906" s="103" t="s">
        <v>7553</v>
      </c>
      <c r="I906" s="103">
        <v>6.012749706E9</v>
      </c>
      <c r="J906" s="104" t="s">
        <v>7554</v>
      </c>
      <c r="K906" s="105"/>
      <c r="L906" s="105"/>
    </row>
    <row r="907">
      <c r="A907" s="103" t="s">
        <v>4676</v>
      </c>
      <c r="B907" s="103">
        <v>1.100109115E9</v>
      </c>
      <c r="C907" s="105"/>
      <c r="D907" s="104" t="s">
        <v>7555</v>
      </c>
      <c r="E907" s="104" t="s">
        <v>7556</v>
      </c>
      <c r="F907" s="103" t="s">
        <v>4678</v>
      </c>
      <c r="G907" s="103" t="s">
        <v>4679</v>
      </c>
      <c r="H907" s="103" t="s">
        <v>7557</v>
      </c>
      <c r="I907" s="103" t="s">
        <v>7558</v>
      </c>
      <c r="J907" s="104" t="s">
        <v>7559</v>
      </c>
      <c r="K907" s="107" t="s">
        <v>7560</v>
      </c>
      <c r="L907" s="105"/>
    </row>
    <row r="908">
      <c r="A908" s="103" t="s">
        <v>4676</v>
      </c>
      <c r="B908" s="103">
        <v>1.10010911501E11</v>
      </c>
      <c r="C908" s="105"/>
      <c r="D908" s="104" t="s">
        <v>7561</v>
      </c>
      <c r="E908" s="104" t="s">
        <v>7556</v>
      </c>
      <c r="F908" s="103" t="s">
        <v>4678</v>
      </c>
      <c r="G908" s="103" t="s">
        <v>4679</v>
      </c>
      <c r="H908" s="103" t="s">
        <v>7557</v>
      </c>
      <c r="I908" s="103" t="s">
        <v>7558</v>
      </c>
      <c r="J908" s="104" t="s">
        <v>7559</v>
      </c>
      <c r="K908" s="105"/>
      <c r="L908" s="105"/>
    </row>
    <row r="909">
      <c r="A909" s="103" t="s">
        <v>4676</v>
      </c>
      <c r="B909" s="103">
        <v>1.100109116E9</v>
      </c>
      <c r="C909" s="105"/>
      <c r="D909" s="104" t="s">
        <v>7562</v>
      </c>
      <c r="E909" s="104" t="s">
        <v>7563</v>
      </c>
      <c r="F909" s="103" t="s">
        <v>4678</v>
      </c>
      <c r="G909" s="103" t="s">
        <v>4679</v>
      </c>
      <c r="H909" s="103" t="s">
        <v>7564</v>
      </c>
      <c r="I909" s="103">
        <v>6865014.0</v>
      </c>
      <c r="J909" s="104" t="s">
        <v>7565</v>
      </c>
      <c r="K909" s="105"/>
      <c r="L909" s="105"/>
    </row>
    <row r="910">
      <c r="A910" s="103" t="s">
        <v>4676</v>
      </c>
      <c r="B910" s="103">
        <v>1.10010911601E11</v>
      </c>
      <c r="C910" s="105"/>
      <c r="D910" s="104" t="s">
        <v>7562</v>
      </c>
      <c r="E910" s="104" t="s">
        <v>7563</v>
      </c>
      <c r="F910" s="103" t="s">
        <v>4678</v>
      </c>
      <c r="G910" s="103" t="s">
        <v>4679</v>
      </c>
      <c r="H910" s="103" t="s">
        <v>7566</v>
      </c>
      <c r="I910" s="103">
        <v>6865014.0</v>
      </c>
      <c r="J910" s="104" t="s">
        <v>7565</v>
      </c>
      <c r="K910" s="105"/>
      <c r="L910" s="105"/>
    </row>
    <row r="911">
      <c r="A911" s="103" t="s">
        <v>4676</v>
      </c>
      <c r="B911" s="103">
        <v>1.10010911602E11</v>
      </c>
      <c r="C911" s="105"/>
      <c r="D911" s="104" t="s">
        <v>7567</v>
      </c>
      <c r="E911" s="104" t="s">
        <v>7563</v>
      </c>
      <c r="F911" s="103" t="s">
        <v>4678</v>
      </c>
      <c r="G911" s="103" t="s">
        <v>4679</v>
      </c>
      <c r="H911" s="103" t="s">
        <v>7568</v>
      </c>
      <c r="I911" s="103" t="s">
        <v>7569</v>
      </c>
      <c r="J911" s="104" t="s">
        <v>7570</v>
      </c>
      <c r="K911" s="105"/>
      <c r="L911" s="105"/>
    </row>
    <row r="912">
      <c r="A912" s="103" t="s">
        <v>4676</v>
      </c>
      <c r="B912" s="103">
        <v>1.10010911603E11</v>
      </c>
      <c r="C912" s="105"/>
      <c r="D912" s="104" t="s">
        <v>7571</v>
      </c>
      <c r="E912" s="104" t="s">
        <v>7572</v>
      </c>
      <c r="F912" s="103" t="s">
        <v>4678</v>
      </c>
      <c r="G912" s="103" t="s">
        <v>4679</v>
      </c>
      <c r="H912" s="103" t="s">
        <v>7573</v>
      </c>
      <c r="I912" s="103">
        <v>6865000.0</v>
      </c>
      <c r="J912" s="104" t="s">
        <v>7574</v>
      </c>
      <c r="K912" s="105"/>
      <c r="L912" s="105"/>
    </row>
    <row r="913">
      <c r="A913" s="103" t="s">
        <v>4676</v>
      </c>
      <c r="B913" s="103">
        <v>1.100109143E9</v>
      </c>
      <c r="C913" s="105"/>
      <c r="D913" s="104" t="s">
        <v>7575</v>
      </c>
      <c r="E913" s="104" t="s">
        <v>7576</v>
      </c>
      <c r="F913" s="103" t="s">
        <v>4678</v>
      </c>
      <c r="G913" s="103" t="s">
        <v>4679</v>
      </c>
      <c r="H913" s="103" t="s">
        <v>7577</v>
      </c>
      <c r="I913" s="103" t="s">
        <v>7578</v>
      </c>
      <c r="J913" s="104" t="s">
        <v>7579</v>
      </c>
      <c r="K913" s="105"/>
      <c r="L913" s="105"/>
    </row>
    <row r="914">
      <c r="A914" s="103" t="s">
        <v>4676</v>
      </c>
      <c r="B914" s="103">
        <v>1.10010914301E11</v>
      </c>
      <c r="C914" s="105"/>
      <c r="D914" s="104" t="s">
        <v>7580</v>
      </c>
      <c r="E914" s="104" t="s">
        <v>7581</v>
      </c>
      <c r="F914" s="103" t="s">
        <v>4678</v>
      </c>
      <c r="G914" s="103" t="s">
        <v>4679</v>
      </c>
      <c r="H914" s="103" t="s">
        <v>7582</v>
      </c>
      <c r="I914" s="103" t="s">
        <v>7578</v>
      </c>
      <c r="J914" s="104" t="s">
        <v>7579</v>
      </c>
      <c r="K914" s="105"/>
      <c r="L914" s="105"/>
    </row>
    <row r="915">
      <c r="A915" s="103" t="s">
        <v>4676</v>
      </c>
      <c r="B915" s="103">
        <v>1.100109145E9</v>
      </c>
      <c r="C915" s="105"/>
      <c r="D915" s="104" t="s">
        <v>7583</v>
      </c>
      <c r="E915" s="104" t="s">
        <v>7584</v>
      </c>
      <c r="F915" s="103" t="s">
        <v>4678</v>
      </c>
      <c r="G915" s="103" t="s">
        <v>4679</v>
      </c>
      <c r="H915" s="103" t="s">
        <v>7585</v>
      </c>
      <c r="I915" s="103">
        <v>3.508676164E9</v>
      </c>
      <c r="J915" s="104" t="s">
        <v>7586</v>
      </c>
      <c r="K915" s="105"/>
      <c r="L915" s="105"/>
    </row>
    <row r="916">
      <c r="A916" s="103" t="s">
        <v>4676</v>
      </c>
      <c r="B916" s="103">
        <v>1.10010914501E11</v>
      </c>
      <c r="C916" s="105"/>
      <c r="D916" s="104" t="s">
        <v>7583</v>
      </c>
      <c r="E916" s="104" t="s">
        <v>7587</v>
      </c>
      <c r="F916" s="103" t="s">
        <v>4678</v>
      </c>
      <c r="G916" s="103" t="s">
        <v>4679</v>
      </c>
      <c r="H916" s="103" t="s">
        <v>7585</v>
      </c>
      <c r="I916" s="103">
        <v>7438163.0</v>
      </c>
      <c r="J916" s="104" t="s">
        <v>7586</v>
      </c>
      <c r="K916" s="105"/>
      <c r="L916" s="105"/>
    </row>
    <row r="917">
      <c r="A917" s="103" t="s">
        <v>4676</v>
      </c>
      <c r="B917" s="103">
        <v>1.100109177E9</v>
      </c>
      <c r="C917" s="105"/>
      <c r="D917" s="104" t="s">
        <v>7588</v>
      </c>
      <c r="E917" s="104" t="s">
        <v>7589</v>
      </c>
      <c r="F917" s="103" t="s">
        <v>4678</v>
      </c>
      <c r="G917" s="103" t="s">
        <v>4679</v>
      </c>
      <c r="H917" s="103" t="s">
        <v>7590</v>
      </c>
      <c r="I917" s="103">
        <v>3.174954942E9</v>
      </c>
      <c r="J917" s="104" t="s">
        <v>7591</v>
      </c>
      <c r="K917" s="107" t="s">
        <v>7592</v>
      </c>
      <c r="L917" s="105"/>
    </row>
    <row r="918">
      <c r="A918" s="103" t="s">
        <v>4676</v>
      </c>
      <c r="B918" s="103">
        <v>1.10010917701E11</v>
      </c>
      <c r="C918" s="105"/>
      <c r="D918" s="104" t="s">
        <v>7588</v>
      </c>
      <c r="E918" s="104" t="s">
        <v>7593</v>
      </c>
      <c r="F918" s="103" t="s">
        <v>4678</v>
      </c>
      <c r="G918" s="103" t="s">
        <v>4679</v>
      </c>
      <c r="H918" s="103" t="s">
        <v>7590</v>
      </c>
      <c r="I918" s="103">
        <v>3.174954942E9</v>
      </c>
      <c r="J918" s="104" t="s">
        <v>7591</v>
      </c>
      <c r="K918" s="105"/>
      <c r="L918" s="105"/>
    </row>
    <row r="919">
      <c r="A919" s="103" t="s">
        <v>4676</v>
      </c>
      <c r="B919" s="103">
        <v>1.10010917702E11</v>
      </c>
      <c r="C919" s="105"/>
      <c r="D919" s="104" t="s">
        <v>7594</v>
      </c>
      <c r="E919" s="104" t="s">
        <v>7593</v>
      </c>
      <c r="F919" s="103" t="s">
        <v>4678</v>
      </c>
      <c r="G919" s="103" t="s">
        <v>4679</v>
      </c>
      <c r="H919" s="103" t="s">
        <v>7595</v>
      </c>
      <c r="I919" s="103">
        <v>3.174954942E9</v>
      </c>
      <c r="J919" s="104" t="s">
        <v>7596</v>
      </c>
      <c r="K919" s="105"/>
      <c r="L919" s="105"/>
    </row>
    <row r="920">
      <c r="A920" s="103" t="s">
        <v>4676</v>
      </c>
      <c r="B920" s="103">
        <v>1.100109178E9</v>
      </c>
      <c r="C920" s="105"/>
      <c r="D920" s="104" t="s">
        <v>7597</v>
      </c>
      <c r="E920" s="104" t="s">
        <v>7598</v>
      </c>
      <c r="F920" s="103" t="s">
        <v>4678</v>
      </c>
      <c r="G920" s="103" t="s">
        <v>4679</v>
      </c>
      <c r="H920" s="103" t="s">
        <v>7599</v>
      </c>
      <c r="I920" s="103">
        <v>3612888.0</v>
      </c>
      <c r="J920" s="104" t="s">
        <v>7600</v>
      </c>
      <c r="K920" s="105"/>
      <c r="L920" s="105"/>
    </row>
    <row r="921">
      <c r="A921" s="103" t="s">
        <v>4676</v>
      </c>
      <c r="B921" s="103">
        <v>1.10010917802E11</v>
      </c>
      <c r="C921" s="105"/>
      <c r="D921" s="104" t="s">
        <v>7601</v>
      </c>
      <c r="E921" s="104" t="s">
        <v>7602</v>
      </c>
      <c r="F921" s="103" t="s">
        <v>4678</v>
      </c>
      <c r="G921" s="103" t="s">
        <v>4679</v>
      </c>
      <c r="H921" s="103" t="s">
        <v>7599</v>
      </c>
      <c r="I921" s="103">
        <v>3612888.0</v>
      </c>
      <c r="J921" s="104" t="s">
        <v>7600</v>
      </c>
      <c r="K921" s="105"/>
      <c r="L921" s="105"/>
    </row>
    <row r="922">
      <c r="A922" s="103" t="s">
        <v>4676</v>
      </c>
      <c r="B922" s="103">
        <v>1.10010917803E11</v>
      </c>
      <c r="C922" s="105"/>
      <c r="D922" s="104" t="s">
        <v>7603</v>
      </c>
      <c r="E922" s="104" t="s">
        <v>7602</v>
      </c>
      <c r="F922" s="103" t="s">
        <v>4678</v>
      </c>
      <c r="G922" s="103" t="s">
        <v>4679</v>
      </c>
      <c r="H922" s="103" t="s">
        <v>7604</v>
      </c>
      <c r="I922" s="103">
        <v>3612888.0</v>
      </c>
      <c r="J922" s="104" t="s">
        <v>7600</v>
      </c>
      <c r="K922" s="105"/>
      <c r="L922" s="105"/>
    </row>
    <row r="923">
      <c r="A923" s="103" t="s">
        <v>4676</v>
      </c>
      <c r="B923" s="103">
        <v>1.10010917804E11</v>
      </c>
      <c r="C923" s="105"/>
      <c r="D923" s="104" t="s">
        <v>7605</v>
      </c>
      <c r="E923" s="104" t="s">
        <v>7602</v>
      </c>
      <c r="F923" s="103" t="s">
        <v>4678</v>
      </c>
      <c r="G923" s="103" t="s">
        <v>4679</v>
      </c>
      <c r="H923" s="103" t="s">
        <v>7606</v>
      </c>
      <c r="I923" s="103">
        <v>3612888.0</v>
      </c>
      <c r="J923" s="104" t="s">
        <v>7600</v>
      </c>
      <c r="K923" s="105"/>
      <c r="L923" s="105"/>
    </row>
    <row r="924">
      <c r="A924" s="103" t="s">
        <v>4676</v>
      </c>
      <c r="B924" s="103">
        <v>1.10010917807E11</v>
      </c>
      <c r="C924" s="105"/>
      <c r="D924" s="104" t="s">
        <v>7607</v>
      </c>
      <c r="E924" s="104" t="s">
        <v>7602</v>
      </c>
      <c r="F924" s="103" t="s">
        <v>4678</v>
      </c>
      <c r="G924" s="103" t="s">
        <v>4679</v>
      </c>
      <c r="H924" s="103" t="s">
        <v>7608</v>
      </c>
      <c r="I924" s="103">
        <v>3612888.0</v>
      </c>
      <c r="J924" s="104" t="s">
        <v>7600</v>
      </c>
      <c r="K924" s="105"/>
      <c r="L924" s="105"/>
    </row>
    <row r="925">
      <c r="A925" s="103" t="s">
        <v>4676</v>
      </c>
      <c r="B925" s="103">
        <v>1.10010917809E11</v>
      </c>
      <c r="C925" s="105"/>
      <c r="D925" s="104" t="s">
        <v>7609</v>
      </c>
      <c r="E925" s="104" t="s">
        <v>7602</v>
      </c>
      <c r="F925" s="103" t="s">
        <v>4678</v>
      </c>
      <c r="G925" s="103" t="s">
        <v>4679</v>
      </c>
      <c r="H925" s="103" t="s">
        <v>7610</v>
      </c>
      <c r="I925" s="103">
        <v>3612888.0</v>
      </c>
      <c r="J925" s="104" t="s">
        <v>7600</v>
      </c>
      <c r="K925" s="105"/>
      <c r="L925" s="105"/>
    </row>
    <row r="926">
      <c r="A926" s="103" t="s">
        <v>4676</v>
      </c>
      <c r="B926" s="103">
        <v>1.10010917814E11</v>
      </c>
      <c r="C926" s="105"/>
      <c r="D926" s="104" t="s">
        <v>7611</v>
      </c>
      <c r="E926" s="104" t="s">
        <v>7602</v>
      </c>
      <c r="F926" s="103" t="s">
        <v>4678</v>
      </c>
      <c r="G926" s="103" t="s">
        <v>4679</v>
      </c>
      <c r="H926" s="103" t="s">
        <v>7612</v>
      </c>
      <c r="I926" s="103">
        <v>3612888.0</v>
      </c>
      <c r="J926" s="104" t="s">
        <v>7600</v>
      </c>
      <c r="K926" s="105"/>
      <c r="L926" s="105"/>
    </row>
    <row r="927">
      <c r="A927" s="103" t="s">
        <v>4676</v>
      </c>
      <c r="B927" s="103">
        <v>1.10010917818E11</v>
      </c>
      <c r="C927" s="105"/>
      <c r="D927" s="104" t="s">
        <v>7613</v>
      </c>
      <c r="E927" s="104" t="s">
        <v>7614</v>
      </c>
      <c r="F927" s="103" t="s">
        <v>4678</v>
      </c>
      <c r="G927" s="103" t="s">
        <v>4679</v>
      </c>
      <c r="H927" s="103" t="s">
        <v>7615</v>
      </c>
      <c r="I927" s="103">
        <v>6.013612888E9</v>
      </c>
      <c r="J927" s="104" t="s">
        <v>7600</v>
      </c>
      <c r="K927" s="105"/>
      <c r="L927" s="105"/>
    </row>
    <row r="928">
      <c r="A928" s="103" t="s">
        <v>4676</v>
      </c>
      <c r="B928" s="103">
        <v>1.100109185E9</v>
      </c>
      <c r="C928" s="105"/>
      <c r="D928" s="104" t="s">
        <v>7616</v>
      </c>
      <c r="E928" s="104" t="s">
        <v>7617</v>
      </c>
      <c r="F928" s="103" t="s">
        <v>4678</v>
      </c>
      <c r="G928" s="103" t="s">
        <v>4679</v>
      </c>
      <c r="H928" s="103" t="s">
        <v>7618</v>
      </c>
      <c r="I928" s="103" t="s">
        <v>7619</v>
      </c>
      <c r="J928" s="104" t="s">
        <v>7620</v>
      </c>
      <c r="K928" s="105"/>
      <c r="L928" s="105"/>
    </row>
    <row r="929">
      <c r="A929" s="103" t="s">
        <v>4676</v>
      </c>
      <c r="B929" s="103">
        <v>1.10010918501E11</v>
      </c>
      <c r="C929" s="105"/>
      <c r="D929" s="104" t="s">
        <v>7616</v>
      </c>
      <c r="E929" s="104" t="s">
        <v>7621</v>
      </c>
      <c r="F929" s="103" t="s">
        <v>4678</v>
      </c>
      <c r="G929" s="103" t="s">
        <v>4679</v>
      </c>
      <c r="H929" s="103" t="s">
        <v>7618</v>
      </c>
      <c r="I929" s="103" t="s">
        <v>7622</v>
      </c>
      <c r="J929" s="104" t="s">
        <v>7620</v>
      </c>
      <c r="K929" s="105"/>
      <c r="L929" s="105"/>
    </row>
    <row r="930">
      <c r="A930" s="103" t="s">
        <v>4676</v>
      </c>
      <c r="B930" s="103">
        <v>1.100109186E9</v>
      </c>
      <c r="C930" s="105"/>
      <c r="D930" s="104" t="s">
        <v>7623</v>
      </c>
      <c r="E930" s="104" t="s">
        <v>7624</v>
      </c>
      <c r="F930" s="103" t="s">
        <v>4678</v>
      </c>
      <c r="G930" s="103" t="s">
        <v>4679</v>
      </c>
      <c r="H930" s="103" t="s">
        <v>7625</v>
      </c>
      <c r="I930" s="103">
        <v>6252111.0</v>
      </c>
      <c r="J930" s="104" t="s">
        <v>7626</v>
      </c>
      <c r="K930" s="107" t="s">
        <v>7627</v>
      </c>
      <c r="L930" s="105"/>
    </row>
    <row r="931">
      <c r="A931" s="103" t="s">
        <v>4676</v>
      </c>
      <c r="B931" s="103">
        <v>1.10010918603E11</v>
      </c>
      <c r="C931" s="105"/>
      <c r="D931" s="104" t="s">
        <v>7628</v>
      </c>
      <c r="E931" s="104" t="s">
        <v>7629</v>
      </c>
      <c r="F931" s="103" t="s">
        <v>4678</v>
      </c>
      <c r="G931" s="103" t="s">
        <v>4679</v>
      </c>
      <c r="H931" s="103" t="s">
        <v>7630</v>
      </c>
      <c r="I931" s="103" t="s">
        <v>7631</v>
      </c>
      <c r="J931" s="104" t="s">
        <v>7632</v>
      </c>
      <c r="K931" s="105"/>
      <c r="L931" s="105"/>
    </row>
    <row r="932">
      <c r="A932" s="103" t="s">
        <v>4676</v>
      </c>
      <c r="B932" s="103">
        <v>1.10010918605E11</v>
      </c>
      <c r="C932" s="105"/>
      <c r="D932" s="104" t="s">
        <v>7633</v>
      </c>
      <c r="E932" s="104" t="s">
        <v>7629</v>
      </c>
      <c r="F932" s="103" t="s">
        <v>4678</v>
      </c>
      <c r="G932" s="103" t="s">
        <v>4679</v>
      </c>
      <c r="H932" s="103" t="s">
        <v>7634</v>
      </c>
      <c r="I932" s="103" t="s">
        <v>7635</v>
      </c>
      <c r="J932" s="104" t="s">
        <v>7632</v>
      </c>
      <c r="K932" s="105"/>
      <c r="L932" s="105"/>
    </row>
    <row r="933">
      <c r="A933" s="103" t="s">
        <v>4676</v>
      </c>
      <c r="B933" s="103">
        <v>1.10010918608E11</v>
      </c>
      <c r="C933" s="105"/>
      <c r="D933" s="104" t="s">
        <v>7636</v>
      </c>
      <c r="E933" s="104" t="s">
        <v>7637</v>
      </c>
      <c r="F933" s="103" t="s">
        <v>4678</v>
      </c>
      <c r="G933" s="103" t="s">
        <v>4679</v>
      </c>
      <c r="H933" s="103" t="s">
        <v>7638</v>
      </c>
      <c r="I933" s="103" t="s">
        <v>7631</v>
      </c>
      <c r="J933" s="104" t="s">
        <v>7626</v>
      </c>
      <c r="K933" s="105"/>
      <c r="L933" s="105"/>
    </row>
    <row r="934">
      <c r="A934" s="103" t="s">
        <v>4676</v>
      </c>
      <c r="B934" s="103">
        <v>1.10010918622E11</v>
      </c>
      <c r="C934" s="105"/>
      <c r="D934" s="104" t="s">
        <v>7639</v>
      </c>
      <c r="E934" s="104" t="s">
        <v>7629</v>
      </c>
      <c r="F934" s="103" t="s">
        <v>4678</v>
      </c>
      <c r="G934" s="103" t="s">
        <v>4679</v>
      </c>
      <c r="H934" s="103" t="s">
        <v>7640</v>
      </c>
      <c r="I934" s="103" t="s">
        <v>7641</v>
      </c>
      <c r="J934" s="104" t="s">
        <v>7632</v>
      </c>
      <c r="K934" s="105"/>
      <c r="L934" s="105"/>
    </row>
    <row r="935">
      <c r="A935" s="103" t="s">
        <v>4676</v>
      </c>
      <c r="B935" s="103">
        <v>1.10010918624E11</v>
      </c>
      <c r="C935" s="105"/>
      <c r="D935" s="104" t="s">
        <v>7642</v>
      </c>
      <c r="E935" s="104" t="s">
        <v>7629</v>
      </c>
      <c r="F935" s="103" t="s">
        <v>4678</v>
      </c>
      <c r="G935" s="103" t="s">
        <v>4679</v>
      </c>
      <c r="H935" s="103" t="s">
        <v>7643</v>
      </c>
      <c r="I935" s="103" t="s">
        <v>7644</v>
      </c>
      <c r="J935" s="104" t="s">
        <v>7632</v>
      </c>
      <c r="K935" s="105"/>
      <c r="L935" s="105"/>
    </row>
    <row r="936">
      <c r="A936" s="103" t="s">
        <v>4676</v>
      </c>
      <c r="B936" s="103">
        <v>1.10010918628E11</v>
      </c>
      <c r="C936" s="105"/>
      <c r="D936" s="104" t="s">
        <v>7645</v>
      </c>
      <c r="E936" s="104" t="s">
        <v>7629</v>
      </c>
      <c r="F936" s="103" t="s">
        <v>4678</v>
      </c>
      <c r="G936" s="103" t="s">
        <v>4679</v>
      </c>
      <c r="H936" s="103" t="s">
        <v>7646</v>
      </c>
      <c r="I936" s="103" t="s">
        <v>7647</v>
      </c>
      <c r="J936" s="104" t="s">
        <v>7632</v>
      </c>
      <c r="K936" s="105"/>
      <c r="L936" s="105"/>
    </row>
    <row r="937">
      <c r="A937" s="103" t="s">
        <v>4676</v>
      </c>
      <c r="B937" s="103">
        <v>1.10010918629E11</v>
      </c>
      <c r="C937" s="105"/>
      <c r="D937" s="104" t="s">
        <v>7648</v>
      </c>
      <c r="E937" s="104" t="s">
        <v>7649</v>
      </c>
      <c r="F937" s="103" t="s">
        <v>4678</v>
      </c>
      <c r="G937" s="103" t="s">
        <v>4679</v>
      </c>
      <c r="H937" s="103" t="s">
        <v>7650</v>
      </c>
      <c r="I937" s="103" t="s">
        <v>7651</v>
      </c>
      <c r="J937" s="104" t="s">
        <v>7626</v>
      </c>
      <c r="K937" s="105"/>
      <c r="L937" s="105"/>
    </row>
    <row r="938">
      <c r="A938" s="103" t="s">
        <v>4676</v>
      </c>
      <c r="B938" s="103">
        <v>1.1001091863E11</v>
      </c>
      <c r="C938" s="105"/>
      <c r="D938" s="104" t="s">
        <v>7652</v>
      </c>
      <c r="E938" s="104" t="s">
        <v>7649</v>
      </c>
      <c r="F938" s="103" t="s">
        <v>4678</v>
      </c>
      <c r="G938" s="103" t="s">
        <v>4679</v>
      </c>
      <c r="H938" s="103" t="s">
        <v>7653</v>
      </c>
      <c r="I938" s="103">
        <v>5948650.0</v>
      </c>
      <c r="J938" s="104" t="s">
        <v>7626</v>
      </c>
      <c r="K938" s="105"/>
      <c r="L938" s="105"/>
    </row>
    <row r="939">
      <c r="A939" s="103" t="s">
        <v>4676</v>
      </c>
      <c r="B939" s="103">
        <v>1.10010918634E11</v>
      </c>
      <c r="C939" s="105"/>
      <c r="D939" s="104" t="s">
        <v>7654</v>
      </c>
      <c r="E939" s="104" t="s">
        <v>7629</v>
      </c>
      <c r="F939" s="103" t="s">
        <v>4678</v>
      </c>
      <c r="G939" s="103" t="s">
        <v>4679</v>
      </c>
      <c r="H939" s="103" t="s">
        <v>7655</v>
      </c>
      <c r="I939" s="103" t="s">
        <v>7656</v>
      </c>
      <c r="J939" s="104" t="s">
        <v>7632</v>
      </c>
      <c r="K939" s="105"/>
      <c r="L939" s="105"/>
    </row>
    <row r="940">
      <c r="A940" s="103" t="s">
        <v>4676</v>
      </c>
      <c r="B940" s="103">
        <v>1.10010918637E11</v>
      </c>
      <c r="C940" s="105"/>
      <c r="D940" s="104" t="s">
        <v>7657</v>
      </c>
      <c r="E940" s="104" t="s">
        <v>7629</v>
      </c>
      <c r="F940" s="103" t="s">
        <v>4678</v>
      </c>
      <c r="G940" s="103" t="s">
        <v>4679</v>
      </c>
      <c r="H940" s="103" t="s">
        <v>7658</v>
      </c>
      <c r="I940" s="103">
        <v>3.173688079E9</v>
      </c>
      <c r="J940" s="104" t="s">
        <v>7632</v>
      </c>
      <c r="K940" s="105"/>
      <c r="L940" s="105"/>
    </row>
    <row r="941">
      <c r="A941" s="103" t="s">
        <v>4676</v>
      </c>
      <c r="B941" s="103">
        <v>1.10010918639E11</v>
      </c>
      <c r="C941" s="105"/>
      <c r="D941" s="104" t="s">
        <v>7659</v>
      </c>
      <c r="E941" s="104" t="s">
        <v>7629</v>
      </c>
      <c r="F941" s="103" t="s">
        <v>4678</v>
      </c>
      <c r="G941" s="103" t="s">
        <v>4679</v>
      </c>
      <c r="H941" s="103" t="s">
        <v>7660</v>
      </c>
      <c r="I941" s="103">
        <v>5895478.0</v>
      </c>
      <c r="J941" s="104" t="s">
        <v>7632</v>
      </c>
      <c r="K941" s="105"/>
      <c r="L941" s="105"/>
    </row>
    <row r="942">
      <c r="A942" s="103" t="s">
        <v>4676</v>
      </c>
      <c r="B942" s="103">
        <v>1.10010918643E11</v>
      </c>
      <c r="C942" s="105"/>
      <c r="D942" s="104" t="s">
        <v>7661</v>
      </c>
      <c r="E942" s="104" t="s">
        <v>7637</v>
      </c>
      <c r="F942" s="103" t="s">
        <v>4678</v>
      </c>
      <c r="G942" s="103" t="s">
        <v>4679</v>
      </c>
      <c r="H942" s="103" t="s">
        <v>7662</v>
      </c>
      <c r="I942" s="103">
        <v>5940460.0</v>
      </c>
      <c r="J942" s="104" t="s">
        <v>7626</v>
      </c>
      <c r="K942" s="105"/>
      <c r="L942" s="105"/>
    </row>
    <row r="943">
      <c r="A943" s="103" t="s">
        <v>4676</v>
      </c>
      <c r="B943" s="103">
        <v>1.10010918646E11</v>
      </c>
      <c r="C943" s="105"/>
      <c r="D943" s="104" t="s">
        <v>7663</v>
      </c>
      <c r="E943" s="104" t="s">
        <v>7629</v>
      </c>
      <c r="F943" s="103" t="s">
        <v>4678</v>
      </c>
      <c r="G943" s="103" t="s">
        <v>4679</v>
      </c>
      <c r="H943" s="103" t="s">
        <v>7664</v>
      </c>
      <c r="I943" s="103">
        <v>5895455.0</v>
      </c>
      <c r="J943" s="104" t="s">
        <v>7632</v>
      </c>
      <c r="K943" s="105"/>
      <c r="L943" s="105"/>
    </row>
    <row r="944">
      <c r="A944" s="103" t="s">
        <v>4676</v>
      </c>
      <c r="B944" s="103">
        <v>1.10010918648E11</v>
      </c>
      <c r="C944" s="105"/>
      <c r="D944" s="104" t="s">
        <v>7665</v>
      </c>
      <c r="E944" s="104" t="s">
        <v>7629</v>
      </c>
      <c r="F944" s="103" t="s">
        <v>4678</v>
      </c>
      <c r="G944" s="103" t="s">
        <v>4679</v>
      </c>
      <c r="H944" s="103" t="s">
        <v>7666</v>
      </c>
      <c r="I944" s="103">
        <v>5895469.0</v>
      </c>
      <c r="J944" s="104" t="s">
        <v>7632</v>
      </c>
      <c r="K944" s="105"/>
      <c r="L944" s="105"/>
    </row>
    <row r="945">
      <c r="A945" s="103" t="s">
        <v>4676</v>
      </c>
      <c r="B945" s="103">
        <v>1.10010918651E11</v>
      </c>
      <c r="C945" s="105"/>
      <c r="D945" s="104" t="s">
        <v>7667</v>
      </c>
      <c r="E945" s="104" t="s">
        <v>7629</v>
      </c>
      <c r="F945" s="103" t="s">
        <v>4678</v>
      </c>
      <c r="G945" s="103" t="s">
        <v>4679</v>
      </c>
      <c r="H945" s="103" t="s">
        <v>7668</v>
      </c>
      <c r="I945" s="103">
        <v>5895433.0</v>
      </c>
      <c r="J945" s="104" t="s">
        <v>7632</v>
      </c>
      <c r="K945" s="105"/>
      <c r="L945" s="105"/>
    </row>
    <row r="946">
      <c r="A946" s="103" t="s">
        <v>4676</v>
      </c>
      <c r="B946" s="103">
        <v>1.10010918654E11</v>
      </c>
      <c r="C946" s="105"/>
      <c r="D946" s="104" t="s">
        <v>7669</v>
      </c>
      <c r="E946" s="104" t="s">
        <v>7670</v>
      </c>
      <c r="F946" s="103" t="s">
        <v>4678</v>
      </c>
      <c r="G946" s="103" t="s">
        <v>4679</v>
      </c>
      <c r="H946" s="103" t="s">
        <v>7671</v>
      </c>
      <c r="I946" s="103">
        <v>6466060.0</v>
      </c>
      <c r="J946" s="104" t="s">
        <v>7626</v>
      </c>
      <c r="K946" s="105"/>
      <c r="L946" s="105"/>
    </row>
    <row r="947">
      <c r="A947" s="103" t="s">
        <v>4676</v>
      </c>
      <c r="B947" s="103">
        <v>1.10010918655E11</v>
      </c>
      <c r="C947" s="105"/>
      <c r="D947" s="104" t="s">
        <v>7672</v>
      </c>
      <c r="E947" s="104" t="s">
        <v>7637</v>
      </c>
      <c r="F947" s="103" t="s">
        <v>4678</v>
      </c>
      <c r="G947" s="103" t="s">
        <v>4679</v>
      </c>
      <c r="H947" s="103" t="s">
        <v>7673</v>
      </c>
      <c r="I947" s="103">
        <v>6466060.0</v>
      </c>
      <c r="J947" s="104" t="s">
        <v>7626</v>
      </c>
      <c r="K947" s="105"/>
      <c r="L947" s="105"/>
    </row>
    <row r="948">
      <c r="A948" s="103" t="s">
        <v>4676</v>
      </c>
      <c r="B948" s="103">
        <v>1.10010918656E11</v>
      </c>
      <c r="C948" s="105"/>
      <c r="D948" s="104" t="s">
        <v>7674</v>
      </c>
      <c r="E948" s="104" t="s">
        <v>7629</v>
      </c>
      <c r="F948" s="103" t="s">
        <v>4678</v>
      </c>
      <c r="G948" s="103" t="s">
        <v>4679</v>
      </c>
      <c r="H948" s="103" t="s">
        <v>7675</v>
      </c>
      <c r="I948" s="103">
        <v>5895482.0</v>
      </c>
      <c r="J948" s="104" t="s">
        <v>7632</v>
      </c>
      <c r="K948" s="105"/>
      <c r="L948" s="105"/>
    </row>
    <row r="949">
      <c r="A949" s="103" t="s">
        <v>4676</v>
      </c>
      <c r="B949" s="103">
        <v>1.10010918657E11</v>
      </c>
      <c r="C949" s="105"/>
      <c r="D949" s="104" t="s">
        <v>7676</v>
      </c>
      <c r="E949" s="104" t="s">
        <v>7629</v>
      </c>
      <c r="F949" s="103" t="s">
        <v>4678</v>
      </c>
      <c r="G949" s="103" t="s">
        <v>4679</v>
      </c>
      <c r="H949" s="103" t="s">
        <v>7677</v>
      </c>
      <c r="I949" s="103">
        <v>5895482.0</v>
      </c>
      <c r="J949" s="104" t="s">
        <v>7632</v>
      </c>
      <c r="K949" s="105"/>
      <c r="L949" s="105"/>
    </row>
    <row r="950">
      <c r="A950" s="103" t="s">
        <v>4676</v>
      </c>
      <c r="B950" s="103">
        <v>1.10010918658E11</v>
      </c>
      <c r="C950" s="105"/>
      <c r="D950" s="104" t="s">
        <v>7678</v>
      </c>
      <c r="E950" s="104" t="s">
        <v>7629</v>
      </c>
      <c r="F950" s="103" t="s">
        <v>4678</v>
      </c>
      <c r="G950" s="103" t="s">
        <v>4679</v>
      </c>
      <c r="H950" s="103" t="s">
        <v>7679</v>
      </c>
      <c r="I950" s="103">
        <v>5895480.0</v>
      </c>
      <c r="J950" s="104" t="s">
        <v>7632</v>
      </c>
      <c r="K950" s="105"/>
      <c r="L950" s="105"/>
    </row>
    <row r="951">
      <c r="A951" s="103" t="s">
        <v>4676</v>
      </c>
      <c r="B951" s="103">
        <v>1.1001091866E11</v>
      </c>
      <c r="C951" s="105"/>
      <c r="D951" s="104" t="s">
        <v>7680</v>
      </c>
      <c r="E951" s="104" t="s">
        <v>7629</v>
      </c>
      <c r="F951" s="103" t="s">
        <v>4678</v>
      </c>
      <c r="G951" s="103" t="s">
        <v>4679</v>
      </c>
      <c r="H951" s="103" t="s">
        <v>7681</v>
      </c>
      <c r="I951" s="103">
        <v>5895383.0</v>
      </c>
      <c r="J951" s="104" t="s">
        <v>7632</v>
      </c>
      <c r="K951" s="105"/>
      <c r="L951" s="105"/>
    </row>
    <row r="952">
      <c r="A952" s="103" t="s">
        <v>4676</v>
      </c>
      <c r="B952" s="103">
        <v>1.10010918662E11</v>
      </c>
      <c r="C952" s="105"/>
      <c r="D952" s="104" t="s">
        <v>7682</v>
      </c>
      <c r="E952" s="104" t="s">
        <v>7629</v>
      </c>
      <c r="F952" s="103" t="s">
        <v>4678</v>
      </c>
      <c r="G952" s="103" t="s">
        <v>4679</v>
      </c>
      <c r="H952" s="103" t="s">
        <v>7683</v>
      </c>
      <c r="I952" s="103">
        <v>6466060.0</v>
      </c>
      <c r="J952" s="104" t="s">
        <v>7632</v>
      </c>
      <c r="K952" s="105"/>
      <c r="L952" s="105"/>
    </row>
    <row r="953">
      <c r="A953" s="103" t="s">
        <v>4676</v>
      </c>
      <c r="B953" s="103">
        <v>1.10010918663E11</v>
      </c>
      <c r="C953" s="105"/>
      <c r="D953" s="104" t="s">
        <v>7684</v>
      </c>
      <c r="E953" s="104" t="s">
        <v>7629</v>
      </c>
      <c r="F953" s="103" t="s">
        <v>4678</v>
      </c>
      <c r="G953" s="103" t="s">
        <v>4679</v>
      </c>
      <c r="H953" s="103" t="s">
        <v>7685</v>
      </c>
      <c r="I953" s="103" t="s">
        <v>7686</v>
      </c>
      <c r="J953" s="104" t="s">
        <v>7632</v>
      </c>
      <c r="K953" s="105"/>
      <c r="L953" s="105"/>
    </row>
    <row r="954">
      <c r="A954" s="103" t="s">
        <v>4676</v>
      </c>
      <c r="B954" s="103">
        <v>1.10010918666E11</v>
      </c>
      <c r="C954" s="105"/>
      <c r="D954" s="104" t="s">
        <v>7687</v>
      </c>
      <c r="E954" s="104" t="s">
        <v>7649</v>
      </c>
      <c r="F954" s="103" t="s">
        <v>4678</v>
      </c>
      <c r="G954" s="103" t="s">
        <v>4679</v>
      </c>
      <c r="H954" s="103" t="s">
        <v>7688</v>
      </c>
      <c r="I954" s="103">
        <v>6466060.0</v>
      </c>
      <c r="J954" s="104" t="s">
        <v>7626</v>
      </c>
      <c r="K954" s="105"/>
      <c r="L954" s="105"/>
    </row>
    <row r="955">
      <c r="A955" s="103" t="s">
        <v>4676</v>
      </c>
      <c r="B955" s="103">
        <v>1.10010918668E11</v>
      </c>
      <c r="C955" s="105"/>
      <c r="D955" s="104" t="s">
        <v>7689</v>
      </c>
      <c r="E955" s="104" t="s">
        <v>7690</v>
      </c>
      <c r="F955" s="103" t="s">
        <v>4678</v>
      </c>
      <c r="G955" s="103" t="s">
        <v>4679</v>
      </c>
      <c r="H955" s="103" t="s">
        <v>7691</v>
      </c>
      <c r="I955" s="103">
        <v>3406767.0</v>
      </c>
      <c r="J955" s="104" t="s">
        <v>7626</v>
      </c>
      <c r="K955" s="105"/>
      <c r="L955" s="105"/>
    </row>
    <row r="956">
      <c r="A956" s="103" t="s">
        <v>4676</v>
      </c>
      <c r="B956" s="103">
        <v>1.10010918669E11</v>
      </c>
      <c r="C956" s="105"/>
      <c r="D956" s="104" t="s">
        <v>7692</v>
      </c>
      <c r="E956" s="104" t="s">
        <v>7690</v>
      </c>
      <c r="F956" s="103" t="s">
        <v>4678</v>
      </c>
      <c r="G956" s="103" t="s">
        <v>4679</v>
      </c>
      <c r="H956" s="103" t="s">
        <v>7693</v>
      </c>
      <c r="I956" s="103">
        <v>3406767.0</v>
      </c>
      <c r="J956" s="104" t="s">
        <v>7626</v>
      </c>
      <c r="K956" s="105"/>
      <c r="L956" s="105"/>
    </row>
    <row r="957">
      <c r="A957" s="103" t="s">
        <v>4676</v>
      </c>
      <c r="B957" s="103">
        <v>1.1001091867E11</v>
      </c>
      <c r="C957" s="105"/>
      <c r="D957" s="104" t="s">
        <v>7694</v>
      </c>
      <c r="E957" s="104" t="s">
        <v>7695</v>
      </c>
      <c r="F957" s="103" t="s">
        <v>4678</v>
      </c>
      <c r="G957" s="103" t="s">
        <v>4679</v>
      </c>
      <c r="H957" s="103" t="s">
        <v>7696</v>
      </c>
      <c r="I957" s="103">
        <v>5895480.0</v>
      </c>
      <c r="J957" s="104" t="s">
        <v>7626</v>
      </c>
      <c r="K957" s="105"/>
      <c r="L957" s="105"/>
    </row>
    <row r="958">
      <c r="A958" s="103" t="s">
        <v>4676</v>
      </c>
      <c r="B958" s="103">
        <v>1.10010918672E11</v>
      </c>
      <c r="C958" s="105"/>
      <c r="D958" s="104" t="s">
        <v>7697</v>
      </c>
      <c r="E958" s="104" t="s">
        <v>7695</v>
      </c>
      <c r="F958" s="103" t="s">
        <v>4678</v>
      </c>
      <c r="G958" s="103" t="s">
        <v>4679</v>
      </c>
      <c r="H958" s="103" t="s">
        <v>7698</v>
      </c>
      <c r="I958" s="103">
        <v>4486575.0</v>
      </c>
      <c r="J958" s="104" t="s">
        <v>7626</v>
      </c>
      <c r="K958" s="105"/>
      <c r="L958" s="105"/>
    </row>
    <row r="959">
      <c r="A959" s="103" t="s">
        <v>4676</v>
      </c>
      <c r="B959" s="103">
        <v>1.10010918673E11</v>
      </c>
      <c r="C959" s="105"/>
      <c r="D959" s="104" t="s">
        <v>7699</v>
      </c>
      <c r="E959" s="104" t="s">
        <v>7700</v>
      </c>
      <c r="F959" s="103" t="s">
        <v>4678</v>
      </c>
      <c r="G959" s="103" t="s">
        <v>4679</v>
      </c>
      <c r="H959" s="103" t="s">
        <v>7701</v>
      </c>
      <c r="I959" s="103" t="s">
        <v>7702</v>
      </c>
      <c r="J959" s="104" t="s">
        <v>7632</v>
      </c>
      <c r="K959" s="105"/>
      <c r="L959" s="105"/>
    </row>
    <row r="960">
      <c r="A960" s="103" t="s">
        <v>4676</v>
      </c>
      <c r="B960" s="103">
        <v>1.10010918674E11</v>
      </c>
      <c r="C960" s="105"/>
      <c r="D960" s="104" t="s">
        <v>7703</v>
      </c>
      <c r="E960" s="104" t="s">
        <v>7629</v>
      </c>
      <c r="F960" s="103" t="s">
        <v>4678</v>
      </c>
      <c r="G960" s="103" t="s">
        <v>4679</v>
      </c>
      <c r="H960" s="103" t="s">
        <v>7704</v>
      </c>
      <c r="I960" s="103" t="s">
        <v>7705</v>
      </c>
      <c r="J960" s="104" t="s">
        <v>7632</v>
      </c>
      <c r="K960" s="105"/>
      <c r="L960" s="105"/>
    </row>
    <row r="961">
      <c r="A961" s="103" t="s">
        <v>4676</v>
      </c>
      <c r="B961" s="103">
        <v>1.10010918676E11</v>
      </c>
      <c r="C961" s="105"/>
      <c r="D961" s="104" t="s">
        <v>7706</v>
      </c>
      <c r="E961" s="104" t="s">
        <v>7695</v>
      </c>
      <c r="F961" s="103" t="s">
        <v>4678</v>
      </c>
      <c r="G961" s="103" t="s">
        <v>4679</v>
      </c>
      <c r="H961" s="103" t="s">
        <v>7707</v>
      </c>
      <c r="I961" s="103">
        <v>6466060.0</v>
      </c>
      <c r="J961" s="104" t="s">
        <v>7632</v>
      </c>
      <c r="K961" s="105"/>
      <c r="L961" s="105"/>
    </row>
    <row r="962">
      <c r="A962" s="103" t="s">
        <v>4676</v>
      </c>
      <c r="B962" s="103">
        <v>1.10010918677E11</v>
      </c>
      <c r="C962" s="105"/>
      <c r="D962" s="104" t="s">
        <v>7708</v>
      </c>
      <c r="E962" s="104" t="s">
        <v>7629</v>
      </c>
      <c r="F962" s="103" t="s">
        <v>4678</v>
      </c>
      <c r="G962" s="103" t="s">
        <v>4679</v>
      </c>
      <c r="H962" s="103" t="s">
        <v>7709</v>
      </c>
      <c r="I962" s="103">
        <v>6466060.0</v>
      </c>
      <c r="J962" s="104" t="s">
        <v>7632</v>
      </c>
      <c r="K962" s="105"/>
      <c r="L962" s="105"/>
    </row>
    <row r="963">
      <c r="A963" s="103" t="s">
        <v>4676</v>
      </c>
      <c r="B963" s="103">
        <v>1.10010918678E11</v>
      </c>
      <c r="C963" s="105"/>
      <c r="D963" s="104" t="s">
        <v>7710</v>
      </c>
      <c r="E963" s="104" t="s">
        <v>7637</v>
      </c>
      <c r="F963" s="103" t="s">
        <v>4678</v>
      </c>
      <c r="G963" s="103" t="s">
        <v>4679</v>
      </c>
      <c r="H963" s="103" t="s">
        <v>7711</v>
      </c>
      <c r="I963" s="103" t="s">
        <v>7712</v>
      </c>
      <c r="J963" s="104" t="s">
        <v>7626</v>
      </c>
      <c r="K963" s="105"/>
      <c r="L963" s="105"/>
    </row>
    <row r="964">
      <c r="A964" s="103" t="s">
        <v>4676</v>
      </c>
      <c r="B964" s="103">
        <v>1.10010918679E11</v>
      </c>
      <c r="C964" s="105"/>
      <c r="D964" s="104" t="s">
        <v>7713</v>
      </c>
      <c r="E964" s="104" t="s">
        <v>7629</v>
      </c>
      <c r="F964" s="103" t="s">
        <v>4678</v>
      </c>
      <c r="G964" s="103" t="s">
        <v>4679</v>
      </c>
      <c r="H964" s="103" t="s">
        <v>7714</v>
      </c>
      <c r="I964" s="103" t="s">
        <v>7712</v>
      </c>
      <c r="J964" s="104" t="s">
        <v>7632</v>
      </c>
      <c r="K964" s="105"/>
      <c r="L964" s="105"/>
    </row>
    <row r="965">
      <c r="A965" s="103" t="s">
        <v>4676</v>
      </c>
      <c r="B965" s="103">
        <v>1.1001091868E11</v>
      </c>
      <c r="C965" s="105"/>
      <c r="D965" s="104" t="s">
        <v>7715</v>
      </c>
      <c r="E965" s="104" t="s">
        <v>7629</v>
      </c>
      <c r="F965" s="103" t="s">
        <v>4678</v>
      </c>
      <c r="G965" s="103" t="s">
        <v>4679</v>
      </c>
      <c r="H965" s="103" t="s">
        <v>7716</v>
      </c>
      <c r="I965" s="103" t="s">
        <v>7712</v>
      </c>
      <c r="J965" s="104" t="s">
        <v>7632</v>
      </c>
      <c r="K965" s="105"/>
      <c r="L965" s="105"/>
    </row>
    <row r="966">
      <c r="A966" s="103" t="s">
        <v>4676</v>
      </c>
      <c r="B966" s="103">
        <v>1.10010918681E11</v>
      </c>
      <c r="C966" s="105"/>
      <c r="D966" s="104" t="s">
        <v>7717</v>
      </c>
      <c r="E966" s="104" t="s">
        <v>7718</v>
      </c>
      <c r="F966" s="103" t="s">
        <v>4678</v>
      </c>
      <c r="G966" s="103" t="s">
        <v>4679</v>
      </c>
      <c r="H966" s="103" t="s">
        <v>7719</v>
      </c>
      <c r="I966" s="103" t="s">
        <v>7720</v>
      </c>
      <c r="J966" s="104" t="s">
        <v>6768</v>
      </c>
      <c r="K966" s="105"/>
      <c r="L966" s="105"/>
    </row>
    <row r="967">
      <c r="A967" s="103" t="s">
        <v>4676</v>
      </c>
      <c r="B967" s="103">
        <v>1.10010918682E11</v>
      </c>
      <c r="C967" s="105"/>
      <c r="D967" s="104" t="s">
        <v>7721</v>
      </c>
      <c r="E967" s="104" t="s">
        <v>7629</v>
      </c>
      <c r="F967" s="103" t="s">
        <v>4678</v>
      </c>
      <c r="G967" s="103" t="s">
        <v>4679</v>
      </c>
      <c r="H967" s="103" t="s">
        <v>7722</v>
      </c>
      <c r="I967" s="103">
        <v>6.015895482E9</v>
      </c>
      <c r="J967" s="104" t="s">
        <v>7632</v>
      </c>
      <c r="K967" s="105"/>
      <c r="L967" s="105"/>
    </row>
    <row r="968">
      <c r="A968" s="103" t="s">
        <v>4676</v>
      </c>
      <c r="B968" s="103">
        <v>1.10010918683E11</v>
      </c>
      <c r="C968" s="105"/>
      <c r="D968" s="104" t="s">
        <v>7723</v>
      </c>
      <c r="E968" s="104" t="s">
        <v>7629</v>
      </c>
      <c r="F968" s="103" t="s">
        <v>4678</v>
      </c>
      <c r="G968" s="103" t="s">
        <v>4679</v>
      </c>
      <c r="H968" s="103" t="s">
        <v>7724</v>
      </c>
      <c r="I968" s="103">
        <v>6.01646606E9</v>
      </c>
      <c r="J968" s="104" t="s">
        <v>7632</v>
      </c>
      <c r="K968" s="105"/>
      <c r="L968" s="105"/>
    </row>
    <row r="969">
      <c r="A969" s="103" t="s">
        <v>4676</v>
      </c>
      <c r="B969" s="103">
        <v>1.100109199E9</v>
      </c>
      <c r="C969" s="105"/>
      <c r="D969" s="104" t="s">
        <v>7725</v>
      </c>
      <c r="E969" s="104" t="s">
        <v>7726</v>
      </c>
      <c r="F969" s="103" t="s">
        <v>4678</v>
      </c>
      <c r="G969" s="103" t="s">
        <v>4679</v>
      </c>
      <c r="H969" s="103" t="s">
        <v>7727</v>
      </c>
      <c r="I969" s="103">
        <v>3.14470557E9</v>
      </c>
      <c r="J969" s="104" t="s">
        <v>7728</v>
      </c>
      <c r="K969" s="105"/>
      <c r="L969" s="105"/>
    </row>
    <row r="970">
      <c r="A970" s="103" t="s">
        <v>4676</v>
      </c>
      <c r="B970" s="103">
        <v>1.10010919901E11</v>
      </c>
      <c r="C970" s="105"/>
      <c r="D970" s="104" t="s">
        <v>7729</v>
      </c>
      <c r="E970" s="104" t="s">
        <v>7730</v>
      </c>
      <c r="F970" s="103" t="s">
        <v>4678</v>
      </c>
      <c r="G970" s="103" t="s">
        <v>4679</v>
      </c>
      <c r="H970" s="103" t="s">
        <v>7731</v>
      </c>
      <c r="I970" s="103">
        <v>3.14470557E9</v>
      </c>
      <c r="J970" s="104" t="s">
        <v>7728</v>
      </c>
      <c r="K970" s="105"/>
      <c r="L970" s="105"/>
    </row>
    <row r="971">
      <c r="A971" s="103" t="s">
        <v>4676</v>
      </c>
      <c r="B971" s="103">
        <v>1.10010919904E11</v>
      </c>
      <c r="C971" s="105"/>
      <c r="D971" s="104" t="s">
        <v>7732</v>
      </c>
      <c r="E971" s="104" t="s">
        <v>7730</v>
      </c>
      <c r="F971" s="103" t="s">
        <v>4678</v>
      </c>
      <c r="G971" s="103" t="s">
        <v>4679</v>
      </c>
      <c r="H971" s="103" t="s">
        <v>7733</v>
      </c>
      <c r="I971" s="103">
        <v>3.14470557E9</v>
      </c>
      <c r="J971" s="104" t="s">
        <v>7728</v>
      </c>
      <c r="K971" s="105"/>
      <c r="L971" s="105"/>
    </row>
    <row r="972">
      <c r="A972" s="103" t="s">
        <v>4676</v>
      </c>
      <c r="B972" s="103">
        <v>1.10010919907E11</v>
      </c>
      <c r="C972" s="105"/>
      <c r="D972" s="104" t="s">
        <v>7734</v>
      </c>
      <c r="E972" s="104" t="s">
        <v>7730</v>
      </c>
      <c r="F972" s="103" t="s">
        <v>4678</v>
      </c>
      <c r="G972" s="103" t="s">
        <v>4679</v>
      </c>
      <c r="H972" s="103" t="s">
        <v>7735</v>
      </c>
      <c r="I972" s="103">
        <v>3.14470557E9</v>
      </c>
      <c r="J972" s="104" t="s">
        <v>7728</v>
      </c>
      <c r="K972" s="105"/>
      <c r="L972" s="105"/>
    </row>
    <row r="973">
      <c r="A973" s="103" t="s">
        <v>4676</v>
      </c>
      <c r="B973" s="103">
        <v>1.10010919912E11</v>
      </c>
      <c r="C973" s="105"/>
      <c r="D973" s="104" t="s">
        <v>7736</v>
      </c>
      <c r="E973" s="104" t="s">
        <v>7730</v>
      </c>
      <c r="F973" s="103" t="s">
        <v>4678</v>
      </c>
      <c r="G973" s="103" t="s">
        <v>4679</v>
      </c>
      <c r="H973" s="103" t="s">
        <v>7737</v>
      </c>
      <c r="I973" s="103">
        <v>3.14470557E9</v>
      </c>
      <c r="J973" s="104" t="s">
        <v>7728</v>
      </c>
      <c r="K973" s="105"/>
      <c r="L973" s="105"/>
    </row>
    <row r="974">
      <c r="A974" s="103" t="s">
        <v>4676</v>
      </c>
      <c r="B974" s="103">
        <v>1.10010919913E11</v>
      </c>
      <c r="C974" s="105"/>
      <c r="D974" s="104" t="s">
        <v>7738</v>
      </c>
      <c r="E974" s="104" t="s">
        <v>7730</v>
      </c>
      <c r="F974" s="103" t="s">
        <v>4678</v>
      </c>
      <c r="G974" s="103" t="s">
        <v>4679</v>
      </c>
      <c r="H974" s="103" t="s">
        <v>7739</v>
      </c>
      <c r="I974" s="103">
        <v>3.14470557E9</v>
      </c>
      <c r="J974" s="104" t="s">
        <v>7728</v>
      </c>
      <c r="K974" s="105"/>
      <c r="L974" s="105"/>
    </row>
    <row r="975">
      <c r="A975" s="103" t="s">
        <v>4676</v>
      </c>
      <c r="B975" s="103">
        <v>1.10010919916E11</v>
      </c>
      <c r="C975" s="105"/>
      <c r="D975" s="104" t="s">
        <v>7740</v>
      </c>
      <c r="E975" s="104" t="s">
        <v>7730</v>
      </c>
      <c r="F975" s="103" t="s">
        <v>4678</v>
      </c>
      <c r="G975" s="103" t="s">
        <v>4679</v>
      </c>
      <c r="H975" s="103" t="s">
        <v>7741</v>
      </c>
      <c r="I975" s="103">
        <v>3.14470557E9</v>
      </c>
      <c r="J975" s="104" t="s">
        <v>7728</v>
      </c>
      <c r="K975" s="105"/>
      <c r="L975" s="105"/>
    </row>
    <row r="976">
      <c r="A976" s="103" t="s">
        <v>4676</v>
      </c>
      <c r="B976" s="103">
        <v>1.10010919917E11</v>
      </c>
      <c r="C976" s="105"/>
      <c r="D976" s="104" t="s">
        <v>7742</v>
      </c>
      <c r="E976" s="104" t="s">
        <v>7730</v>
      </c>
      <c r="F976" s="103" t="s">
        <v>4678</v>
      </c>
      <c r="G976" s="103" t="s">
        <v>4679</v>
      </c>
      <c r="H976" s="103" t="s">
        <v>7743</v>
      </c>
      <c r="I976" s="103">
        <v>3.14470557E9</v>
      </c>
      <c r="J976" s="104" t="s">
        <v>7728</v>
      </c>
      <c r="K976" s="105"/>
      <c r="L976" s="105"/>
    </row>
    <row r="977">
      <c r="A977" s="103" t="s">
        <v>4676</v>
      </c>
      <c r="B977" s="103">
        <v>1.100109221E9</v>
      </c>
      <c r="C977" s="105"/>
      <c r="D977" s="104" t="s">
        <v>7744</v>
      </c>
      <c r="E977" s="104" t="s">
        <v>7745</v>
      </c>
      <c r="F977" s="103" t="s">
        <v>4678</v>
      </c>
      <c r="G977" s="103" t="s">
        <v>4679</v>
      </c>
      <c r="H977" s="103" t="s">
        <v>7746</v>
      </c>
      <c r="I977" s="103">
        <v>8051979.0</v>
      </c>
      <c r="J977" s="104" t="s">
        <v>7747</v>
      </c>
      <c r="K977" s="107" t="s">
        <v>7748</v>
      </c>
      <c r="L977" s="105"/>
    </row>
    <row r="978">
      <c r="A978" s="103" t="s">
        <v>4676</v>
      </c>
      <c r="B978" s="103">
        <v>1.10010922101E11</v>
      </c>
      <c r="C978" s="105"/>
      <c r="D978" s="104" t="s">
        <v>7749</v>
      </c>
      <c r="E978" s="104" t="s">
        <v>7750</v>
      </c>
      <c r="F978" s="103" t="s">
        <v>4678</v>
      </c>
      <c r="G978" s="103" t="s">
        <v>4679</v>
      </c>
      <c r="H978" s="103" t="s">
        <v>7751</v>
      </c>
      <c r="I978" s="103">
        <v>8051979.0</v>
      </c>
      <c r="J978" s="104" t="s">
        <v>7752</v>
      </c>
      <c r="K978" s="105"/>
      <c r="L978" s="105"/>
    </row>
    <row r="979">
      <c r="A979" s="103" t="s">
        <v>4676</v>
      </c>
      <c r="B979" s="103">
        <v>1.10010922106E11</v>
      </c>
      <c r="C979" s="105"/>
      <c r="D979" s="104" t="s">
        <v>7753</v>
      </c>
      <c r="E979" s="104" t="s">
        <v>7754</v>
      </c>
      <c r="F979" s="103" t="s">
        <v>4678</v>
      </c>
      <c r="G979" s="103" t="s">
        <v>4679</v>
      </c>
      <c r="H979" s="103" t="s">
        <v>7755</v>
      </c>
      <c r="I979" s="103">
        <v>8051979.0</v>
      </c>
      <c r="J979" s="104" t="s">
        <v>7756</v>
      </c>
      <c r="K979" s="105"/>
      <c r="L979" s="105"/>
    </row>
    <row r="980">
      <c r="A980" s="103" t="s">
        <v>4676</v>
      </c>
      <c r="B980" s="103">
        <v>1.10010922107E11</v>
      </c>
      <c r="C980" s="105"/>
      <c r="D980" s="104" t="s">
        <v>7757</v>
      </c>
      <c r="E980" s="104" t="s">
        <v>7754</v>
      </c>
      <c r="F980" s="103" t="s">
        <v>4678</v>
      </c>
      <c r="G980" s="103" t="s">
        <v>4679</v>
      </c>
      <c r="H980" s="103" t="s">
        <v>7758</v>
      </c>
      <c r="I980" s="103">
        <v>8051979.0</v>
      </c>
      <c r="J980" s="104" t="s">
        <v>7747</v>
      </c>
      <c r="K980" s="105"/>
      <c r="L980" s="105"/>
    </row>
    <row r="981">
      <c r="A981" s="103" t="s">
        <v>4676</v>
      </c>
      <c r="B981" s="103">
        <v>1.10010922108E11</v>
      </c>
      <c r="C981" s="105"/>
      <c r="D981" s="104" t="s">
        <v>7759</v>
      </c>
      <c r="E981" s="104" t="s">
        <v>7754</v>
      </c>
      <c r="F981" s="103" t="s">
        <v>4678</v>
      </c>
      <c r="G981" s="103" t="s">
        <v>4679</v>
      </c>
      <c r="H981" s="103" t="s">
        <v>7760</v>
      </c>
      <c r="I981" s="103">
        <v>8051979.0</v>
      </c>
      <c r="J981" s="104" t="s">
        <v>7761</v>
      </c>
      <c r="K981" s="105"/>
      <c r="L981" s="105"/>
    </row>
    <row r="982">
      <c r="A982" s="103" t="s">
        <v>4676</v>
      </c>
      <c r="B982" s="103">
        <v>1.10010922109E11</v>
      </c>
      <c r="C982" s="105"/>
      <c r="D982" s="104" t="s">
        <v>7762</v>
      </c>
      <c r="E982" s="104" t="s">
        <v>7754</v>
      </c>
      <c r="F982" s="103" t="s">
        <v>4678</v>
      </c>
      <c r="G982" s="103" t="s">
        <v>4679</v>
      </c>
      <c r="H982" s="103" t="s">
        <v>7763</v>
      </c>
      <c r="I982" s="103">
        <v>8051979.0</v>
      </c>
      <c r="J982" s="104" t="s">
        <v>7764</v>
      </c>
      <c r="K982" s="105"/>
      <c r="L982" s="105"/>
    </row>
    <row r="983">
      <c r="A983" s="103" t="s">
        <v>4676</v>
      </c>
      <c r="B983" s="103">
        <v>1.1001092211E11</v>
      </c>
      <c r="C983" s="105"/>
      <c r="D983" s="104" t="s">
        <v>7765</v>
      </c>
      <c r="E983" s="104" t="s">
        <v>7754</v>
      </c>
      <c r="F983" s="103" t="s">
        <v>4678</v>
      </c>
      <c r="G983" s="103" t="s">
        <v>4679</v>
      </c>
      <c r="H983" s="103" t="s">
        <v>7766</v>
      </c>
      <c r="I983" s="103">
        <v>8051979.0</v>
      </c>
      <c r="J983" s="104" t="s">
        <v>7767</v>
      </c>
      <c r="K983" s="105"/>
      <c r="L983" s="105"/>
    </row>
    <row r="984">
      <c r="A984" s="103" t="s">
        <v>4676</v>
      </c>
      <c r="B984" s="103">
        <v>1.10010922111E11</v>
      </c>
      <c r="C984" s="105"/>
      <c r="D984" s="104" t="s">
        <v>7768</v>
      </c>
      <c r="E984" s="104" t="s">
        <v>7754</v>
      </c>
      <c r="F984" s="103" t="s">
        <v>4678</v>
      </c>
      <c r="G984" s="103" t="s">
        <v>4679</v>
      </c>
      <c r="H984" s="103" t="s">
        <v>7769</v>
      </c>
      <c r="I984" s="103">
        <v>8051979.0</v>
      </c>
      <c r="J984" s="104" t="s">
        <v>7770</v>
      </c>
      <c r="K984" s="105"/>
      <c r="L984" s="105"/>
    </row>
    <row r="985">
      <c r="A985" s="103" t="s">
        <v>4676</v>
      </c>
      <c r="B985" s="103">
        <v>1.10010922112E11</v>
      </c>
      <c r="C985" s="105"/>
      <c r="D985" s="104" t="s">
        <v>7771</v>
      </c>
      <c r="E985" s="104" t="s">
        <v>7754</v>
      </c>
      <c r="F985" s="103" t="s">
        <v>4678</v>
      </c>
      <c r="G985" s="103" t="s">
        <v>4679</v>
      </c>
      <c r="H985" s="103" t="s">
        <v>7772</v>
      </c>
      <c r="I985" s="103">
        <v>8051979.0</v>
      </c>
      <c r="J985" s="104" t="s">
        <v>7773</v>
      </c>
      <c r="K985" s="105"/>
      <c r="L985" s="105"/>
    </row>
    <row r="986">
      <c r="A986" s="103" t="s">
        <v>4676</v>
      </c>
      <c r="B986" s="103">
        <v>1.100109225E9</v>
      </c>
      <c r="C986" s="105"/>
      <c r="D986" s="104" t="s">
        <v>7774</v>
      </c>
      <c r="E986" s="104" t="s">
        <v>7775</v>
      </c>
      <c r="F986" s="103" t="s">
        <v>4678</v>
      </c>
      <c r="G986" s="103" t="s">
        <v>4679</v>
      </c>
      <c r="H986" s="103" t="s">
        <v>7776</v>
      </c>
      <c r="I986" s="103" t="s">
        <v>7777</v>
      </c>
      <c r="J986" s="104" t="s">
        <v>7778</v>
      </c>
      <c r="K986" s="105"/>
      <c r="L986" s="105"/>
    </row>
    <row r="987">
      <c r="A987" s="103" t="s">
        <v>4676</v>
      </c>
      <c r="B987" s="103">
        <v>1.10010922501E11</v>
      </c>
      <c r="C987" s="105"/>
      <c r="D987" s="104" t="s">
        <v>7774</v>
      </c>
      <c r="E987" s="104" t="s">
        <v>7779</v>
      </c>
      <c r="F987" s="103" t="s">
        <v>4678</v>
      </c>
      <c r="G987" s="103" t="s">
        <v>4679</v>
      </c>
      <c r="H987" s="103" t="s">
        <v>7780</v>
      </c>
      <c r="I987" s="103" t="s">
        <v>7777</v>
      </c>
      <c r="J987" s="104" t="s">
        <v>7778</v>
      </c>
      <c r="K987" s="105"/>
      <c r="L987" s="105"/>
    </row>
    <row r="988">
      <c r="A988" s="103" t="s">
        <v>4676</v>
      </c>
      <c r="B988" s="103">
        <v>1.100109247E9</v>
      </c>
      <c r="C988" s="105"/>
      <c r="D988" s="104" t="s">
        <v>7781</v>
      </c>
      <c r="E988" s="104" t="s">
        <v>7782</v>
      </c>
      <c r="F988" s="103" t="s">
        <v>4678</v>
      </c>
      <c r="G988" s="103" t="s">
        <v>4679</v>
      </c>
      <c r="H988" s="103" t="s">
        <v>7783</v>
      </c>
      <c r="I988" s="103">
        <v>6711237.0</v>
      </c>
      <c r="J988" s="104" t="s">
        <v>7784</v>
      </c>
      <c r="K988" s="105"/>
      <c r="L988" s="105"/>
    </row>
    <row r="989">
      <c r="A989" s="103" t="s">
        <v>4676</v>
      </c>
      <c r="B989" s="103">
        <v>1.10010924701E11</v>
      </c>
      <c r="C989" s="105"/>
      <c r="D989" s="104" t="s">
        <v>7781</v>
      </c>
      <c r="E989" s="106"/>
      <c r="F989" s="103" t="s">
        <v>4678</v>
      </c>
      <c r="G989" s="103" t="s">
        <v>4679</v>
      </c>
      <c r="H989" s="103" t="s">
        <v>7783</v>
      </c>
      <c r="I989" s="105"/>
      <c r="J989" s="106"/>
      <c r="K989" s="105"/>
      <c r="L989" s="105"/>
    </row>
    <row r="990">
      <c r="A990" s="103" t="s">
        <v>4676</v>
      </c>
      <c r="B990" s="103">
        <v>1.100109283E9</v>
      </c>
      <c r="C990" s="105"/>
      <c r="D990" s="104" t="s">
        <v>7785</v>
      </c>
      <c r="E990" s="104" t="s">
        <v>7786</v>
      </c>
      <c r="F990" s="103" t="s">
        <v>4678</v>
      </c>
      <c r="G990" s="103" t="s">
        <v>4679</v>
      </c>
      <c r="H990" s="103" t="s">
        <v>7787</v>
      </c>
      <c r="I990" s="103">
        <v>2462045.0</v>
      </c>
      <c r="J990" s="106"/>
      <c r="K990" s="105"/>
      <c r="L990" s="105"/>
    </row>
    <row r="991">
      <c r="A991" s="103" t="s">
        <v>4676</v>
      </c>
      <c r="B991" s="103">
        <v>1.10010928301E11</v>
      </c>
      <c r="C991" s="105"/>
      <c r="D991" s="104" t="s">
        <v>7788</v>
      </c>
      <c r="E991" s="106"/>
      <c r="F991" s="103" t="s">
        <v>4678</v>
      </c>
      <c r="G991" s="103" t="s">
        <v>4679</v>
      </c>
      <c r="H991" s="103" t="s">
        <v>7787</v>
      </c>
      <c r="I991" s="105"/>
      <c r="J991" s="106"/>
      <c r="K991" s="105"/>
      <c r="L991" s="105"/>
    </row>
    <row r="992">
      <c r="A992" s="103" t="s">
        <v>4676</v>
      </c>
      <c r="B992" s="103">
        <v>1.100109291E9</v>
      </c>
      <c r="C992" s="105"/>
      <c r="D992" s="104" t="s">
        <v>7789</v>
      </c>
      <c r="E992" s="104" t="s">
        <v>7790</v>
      </c>
      <c r="F992" s="103" t="s">
        <v>4678</v>
      </c>
      <c r="G992" s="103" t="s">
        <v>4679</v>
      </c>
      <c r="H992" s="103" t="s">
        <v>7791</v>
      </c>
      <c r="I992" s="103">
        <v>7462753.0</v>
      </c>
      <c r="J992" s="104" t="s">
        <v>7792</v>
      </c>
      <c r="K992" s="105"/>
      <c r="L992" s="105"/>
    </row>
    <row r="993">
      <c r="A993" s="103" t="s">
        <v>4676</v>
      </c>
      <c r="B993" s="103">
        <v>1.10010929101E11</v>
      </c>
      <c r="C993" s="105"/>
      <c r="D993" s="104" t="s">
        <v>7793</v>
      </c>
      <c r="E993" s="104" t="s">
        <v>7794</v>
      </c>
      <c r="F993" s="103" t="s">
        <v>4678</v>
      </c>
      <c r="G993" s="103" t="s">
        <v>4679</v>
      </c>
      <c r="H993" s="103" t="s">
        <v>7795</v>
      </c>
      <c r="I993" s="103">
        <v>7462753.0</v>
      </c>
      <c r="J993" s="104" t="s">
        <v>7792</v>
      </c>
      <c r="K993" s="105"/>
      <c r="L993" s="105"/>
    </row>
    <row r="994">
      <c r="A994" s="103" t="s">
        <v>4676</v>
      </c>
      <c r="B994" s="103">
        <v>1.100109295E9</v>
      </c>
      <c r="C994" s="105"/>
      <c r="D994" s="104" t="s">
        <v>7796</v>
      </c>
      <c r="E994" s="104" t="s">
        <v>7797</v>
      </c>
      <c r="F994" s="103" t="s">
        <v>4678</v>
      </c>
      <c r="G994" s="103" t="s">
        <v>4679</v>
      </c>
      <c r="H994" s="103" t="s">
        <v>7798</v>
      </c>
      <c r="I994" s="103">
        <v>7440888.0</v>
      </c>
      <c r="J994" s="104" t="s">
        <v>7799</v>
      </c>
      <c r="K994" s="105"/>
      <c r="L994" s="105"/>
    </row>
    <row r="995">
      <c r="A995" s="103" t="s">
        <v>4676</v>
      </c>
      <c r="B995" s="103">
        <v>1.10010929501E11</v>
      </c>
      <c r="C995" s="105"/>
      <c r="D995" s="104" t="s">
        <v>7796</v>
      </c>
      <c r="E995" s="104" t="s">
        <v>7800</v>
      </c>
      <c r="F995" s="103" t="s">
        <v>4678</v>
      </c>
      <c r="G995" s="103" t="s">
        <v>4679</v>
      </c>
      <c r="H995" s="103" t="s">
        <v>7801</v>
      </c>
      <c r="I995" s="103">
        <v>7440888.0</v>
      </c>
      <c r="J995" s="104" t="s">
        <v>7799</v>
      </c>
      <c r="K995" s="105"/>
      <c r="L995" s="105"/>
    </row>
    <row r="996">
      <c r="A996" s="103" t="s">
        <v>4676</v>
      </c>
      <c r="B996" s="103">
        <v>1.100109361E9</v>
      </c>
      <c r="C996" s="105"/>
      <c r="D996" s="104" t="s">
        <v>7802</v>
      </c>
      <c r="E996" s="104" t="s">
        <v>7803</v>
      </c>
      <c r="F996" s="103" t="s">
        <v>4678</v>
      </c>
      <c r="G996" s="103" t="s">
        <v>4679</v>
      </c>
      <c r="H996" s="103" t="s">
        <v>7804</v>
      </c>
      <c r="I996" s="103">
        <v>3436600.0</v>
      </c>
      <c r="J996" s="104" t="s">
        <v>7805</v>
      </c>
      <c r="K996" s="105"/>
      <c r="L996" s="105"/>
    </row>
    <row r="997">
      <c r="A997" s="103" t="s">
        <v>4676</v>
      </c>
      <c r="B997" s="103">
        <v>1.10010936101E11</v>
      </c>
      <c r="C997" s="105"/>
      <c r="D997" s="104" t="s">
        <v>7806</v>
      </c>
      <c r="E997" s="104" t="s">
        <v>7803</v>
      </c>
      <c r="F997" s="103" t="s">
        <v>4678</v>
      </c>
      <c r="G997" s="103" t="s">
        <v>4679</v>
      </c>
      <c r="H997" s="103" t="s">
        <v>7804</v>
      </c>
      <c r="I997" s="103">
        <v>3436600.0</v>
      </c>
      <c r="J997" s="104" t="s">
        <v>7805</v>
      </c>
      <c r="K997" s="105"/>
      <c r="L997" s="105"/>
    </row>
    <row r="998">
      <c r="A998" s="103" t="s">
        <v>4676</v>
      </c>
      <c r="B998" s="103">
        <v>1.10010936103E11</v>
      </c>
      <c r="C998" s="105"/>
      <c r="D998" s="104" t="s">
        <v>7807</v>
      </c>
      <c r="E998" s="104" t="s">
        <v>7803</v>
      </c>
      <c r="F998" s="103" t="s">
        <v>4678</v>
      </c>
      <c r="G998" s="103" t="s">
        <v>4679</v>
      </c>
      <c r="H998" s="103" t="s">
        <v>7808</v>
      </c>
      <c r="I998" s="103">
        <v>3436600.0</v>
      </c>
      <c r="J998" s="104" t="s">
        <v>7805</v>
      </c>
      <c r="K998" s="105"/>
      <c r="L998" s="105"/>
    </row>
    <row r="999">
      <c r="A999" s="103" t="s">
        <v>4676</v>
      </c>
      <c r="B999" s="103">
        <v>1.10010936105E11</v>
      </c>
      <c r="C999" s="105"/>
      <c r="D999" s="104" t="s">
        <v>7802</v>
      </c>
      <c r="E999" s="104" t="s">
        <v>7803</v>
      </c>
      <c r="F999" s="103" t="s">
        <v>4678</v>
      </c>
      <c r="G999" s="103" t="s">
        <v>4679</v>
      </c>
      <c r="H999" s="103" t="s">
        <v>7809</v>
      </c>
      <c r="I999" s="105"/>
      <c r="J999" s="104" t="s">
        <v>7805</v>
      </c>
      <c r="K999" s="105"/>
      <c r="L999" s="105"/>
    </row>
    <row r="1000">
      <c r="A1000" s="103" t="s">
        <v>4676</v>
      </c>
      <c r="B1000" s="103">
        <v>1.10010936106E11</v>
      </c>
      <c r="C1000" s="105"/>
      <c r="D1000" s="104" t="s">
        <v>7810</v>
      </c>
      <c r="E1000" s="104" t="s">
        <v>7803</v>
      </c>
      <c r="F1000" s="103" t="s">
        <v>4678</v>
      </c>
      <c r="G1000" s="103" t="s">
        <v>4679</v>
      </c>
      <c r="H1000" s="103" t="s">
        <v>7811</v>
      </c>
      <c r="I1000" s="103" t="s">
        <v>7812</v>
      </c>
      <c r="J1000" s="104" t="s">
        <v>7805</v>
      </c>
      <c r="K1000" s="105"/>
      <c r="L1000" s="105"/>
    </row>
    <row r="1001">
      <c r="A1001" s="103" t="s">
        <v>4676</v>
      </c>
      <c r="B1001" s="103">
        <v>1.10010936108E11</v>
      </c>
      <c r="C1001" s="105"/>
      <c r="D1001" s="104" t="s">
        <v>7813</v>
      </c>
      <c r="E1001" s="104" t="s">
        <v>7803</v>
      </c>
      <c r="F1001" s="103" t="s">
        <v>4678</v>
      </c>
      <c r="G1001" s="103" t="s">
        <v>4679</v>
      </c>
      <c r="H1001" s="103" t="s">
        <v>7814</v>
      </c>
      <c r="I1001" s="103" t="s">
        <v>7815</v>
      </c>
      <c r="J1001" s="104" t="s">
        <v>7805</v>
      </c>
      <c r="K1001" s="105"/>
      <c r="L1001" s="105"/>
    </row>
    <row r="1002">
      <c r="A1002" s="103" t="s">
        <v>4676</v>
      </c>
      <c r="B1002" s="103">
        <v>1.10010936109E11</v>
      </c>
      <c r="C1002" s="105"/>
      <c r="D1002" s="104" t="s">
        <v>7816</v>
      </c>
      <c r="E1002" s="104" t="s">
        <v>7817</v>
      </c>
      <c r="F1002" s="103" t="s">
        <v>4678</v>
      </c>
      <c r="G1002" s="103" t="s">
        <v>4679</v>
      </c>
      <c r="H1002" s="103" t="s">
        <v>7818</v>
      </c>
      <c r="I1002" s="103">
        <v>6.0134366E9</v>
      </c>
      <c r="J1002" s="104" t="s">
        <v>7805</v>
      </c>
      <c r="K1002" s="105"/>
      <c r="L1002" s="105"/>
    </row>
    <row r="1003">
      <c r="A1003" s="103" t="s">
        <v>4676</v>
      </c>
      <c r="B1003" s="103">
        <v>1.100109409E9</v>
      </c>
      <c r="C1003" s="105"/>
      <c r="D1003" s="104" t="s">
        <v>7819</v>
      </c>
      <c r="E1003" s="104" t="s">
        <v>7820</v>
      </c>
      <c r="F1003" s="103" t="s">
        <v>4678</v>
      </c>
      <c r="G1003" s="103" t="s">
        <v>4679</v>
      </c>
      <c r="H1003" s="103" t="s">
        <v>7821</v>
      </c>
      <c r="I1003" s="103" t="s">
        <v>7822</v>
      </c>
      <c r="J1003" s="104" t="s">
        <v>7823</v>
      </c>
      <c r="K1003" s="107" t="s">
        <v>7824</v>
      </c>
      <c r="L1003" s="105"/>
    </row>
    <row r="1004">
      <c r="A1004" s="103" t="s">
        <v>4676</v>
      </c>
      <c r="B1004" s="103">
        <v>1.10010940901E11</v>
      </c>
      <c r="C1004" s="105"/>
      <c r="D1004" s="104" t="s">
        <v>7819</v>
      </c>
      <c r="E1004" s="104" t="s">
        <v>7825</v>
      </c>
      <c r="F1004" s="103" t="s">
        <v>4678</v>
      </c>
      <c r="G1004" s="103" t="s">
        <v>4679</v>
      </c>
      <c r="H1004" s="103" t="s">
        <v>7826</v>
      </c>
      <c r="I1004" s="103" t="s">
        <v>7827</v>
      </c>
      <c r="J1004" s="104" t="s">
        <v>7823</v>
      </c>
      <c r="K1004" s="105"/>
      <c r="L1004" s="105"/>
    </row>
    <row r="1005">
      <c r="A1005" s="103" t="s">
        <v>4676</v>
      </c>
      <c r="B1005" s="103">
        <v>1.100109424E9</v>
      </c>
      <c r="C1005" s="105"/>
      <c r="D1005" s="104" t="s">
        <v>7828</v>
      </c>
      <c r="E1005" s="106"/>
      <c r="F1005" s="103" t="s">
        <v>4678</v>
      </c>
      <c r="G1005" s="103" t="s">
        <v>4679</v>
      </c>
      <c r="H1005" s="103" t="s">
        <v>7829</v>
      </c>
      <c r="I1005" s="103">
        <v>4173145.0</v>
      </c>
      <c r="J1005" s="104" t="s">
        <v>7830</v>
      </c>
      <c r="K1005" s="105"/>
      <c r="L1005" s="105"/>
    </row>
    <row r="1006">
      <c r="A1006" s="103" t="s">
        <v>4676</v>
      </c>
      <c r="B1006" s="103">
        <v>1.10010942402E11</v>
      </c>
      <c r="C1006" s="105"/>
      <c r="D1006" s="104" t="s">
        <v>7828</v>
      </c>
      <c r="E1006" s="104" t="s">
        <v>7831</v>
      </c>
      <c r="F1006" s="103" t="s">
        <v>4678</v>
      </c>
      <c r="G1006" s="103" t="s">
        <v>4679</v>
      </c>
      <c r="H1006" s="103" t="s">
        <v>7829</v>
      </c>
      <c r="I1006" s="103">
        <v>4173145.0</v>
      </c>
      <c r="J1006" s="104" t="s">
        <v>7832</v>
      </c>
      <c r="K1006" s="105"/>
      <c r="L1006" s="105"/>
    </row>
    <row r="1007">
      <c r="A1007" s="103" t="s">
        <v>4676</v>
      </c>
      <c r="B1007" s="103">
        <v>1.100109444E9</v>
      </c>
      <c r="C1007" s="105"/>
      <c r="D1007" s="104" t="s">
        <v>7833</v>
      </c>
      <c r="E1007" s="104" t="s">
        <v>7834</v>
      </c>
      <c r="F1007" s="103" t="s">
        <v>4678</v>
      </c>
      <c r="G1007" s="103" t="s">
        <v>4679</v>
      </c>
      <c r="H1007" s="103" t="s">
        <v>7835</v>
      </c>
      <c r="I1007" s="103">
        <v>3713402.0</v>
      </c>
      <c r="J1007" s="104" t="s">
        <v>7836</v>
      </c>
      <c r="K1007" s="107" t="s">
        <v>7837</v>
      </c>
      <c r="L1007" s="105"/>
    </row>
    <row r="1008">
      <c r="A1008" s="103" t="s">
        <v>4676</v>
      </c>
      <c r="B1008" s="103">
        <v>1.10010944401E11</v>
      </c>
      <c r="C1008" s="105"/>
      <c r="D1008" s="104" t="s">
        <v>7838</v>
      </c>
      <c r="E1008" s="104" t="s">
        <v>7839</v>
      </c>
      <c r="F1008" s="103" t="s">
        <v>4678</v>
      </c>
      <c r="G1008" s="103" t="s">
        <v>4679</v>
      </c>
      <c r="H1008" s="103" t="s">
        <v>7835</v>
      </c>
      <c r="I1008" s="103" t="s">
        <v>7840</v>
      </c>
      <c r="J1008" s="104" t="s">
        <v>7836</v>
      </c>
      <c r="K1008" s="105"/>
      <c r="L1008" s="105"/>
    </row>
    <row r="1009">
      <c r="A1009" s="103" t="s">
        <v>4676</v>
      </c>
      <c r="B1009" s="103">
        <v>1.100109456E9</v>
      </c>
      <c r="C1009" s="105"/>
      <c r="D1009" s="104" t="s">
        <v>7841</v>
      </c>
      <c r="E1009" s="104" t="s">
        <v>7842</v>
      </c>
      <c r="F1009" s="103" t="s">
        <v>4678</v>
      </c>
      <c r="G1009" s="103" t="s">
        <v>4679</v>
      </c>
      <c r="H1009" s="103" t="s">
        <v>7843</v>
      </c>
      <c r="I1009" s="103">
        <v>5946161.0</v>
      </c>
      <c r="J1009" s="104" t="s">
        <v>7844</v>
      </c>
      <c r="K1009" s="105"/>
      <c r="L1009" s="105"/>
    </row>
    <row r="1010">
      <c r="A1010" s="103" t="s">
        <v>4676</v>
      </c>
      <c r="B1010" s="103">
        <v>1.10010945601E11</v>
      </c>
      <c r="C1010" s="105"/>
      <c r="D1010" s="104" t="s">
        <v>7841</v>
      </c>
      <c r="E1010" s="104" t="s">
        <v>7845</v>
      </c>
      <c r="F1010" s="103" t="s">
        <v>4678</v>
      </c>
      <c r="G1010" s="103" t="s">
        <v>4679</v>
      </c>
      <c r="H1010" s="103" t="s">
        <v>7843</v>
      </c>
      <c r="I1010" s="103">
        <v>5946161.0</v>
      </c>
      <c r="J1010" s="104" t="s">
        <v>7844</v>
      </c>
      <c r="K1010" s="107" t="s">
        <v>7846</v>
      </c>
      <c r="L1010" s="105"/>
    </row>
    <row r="1011">
      <c r="A1011" s="103" t="s">
        <v>4676</v>
      </c>
      <c r="B1011" s="103">
        <v>1.10010945608E11</v>
      </c>
      <c r="C1011" s="105"/>
      <c r="D1011" s="104" t="s">
        <v>7847</v>
      </c>
      <c r="E1011" s="104" t="s">
        <v>7845</v>
      </c>
      <c r="F1011" s="103" t="s">
        <v>4678</v>
      </c>
      <c r="G1011" s="103" t="s">
        <v>4679</v>
      </c>
      <c r="H1011" s="103" t="s">
        <v>7848</v>
      </c>
      <c r="I1011" s="103" t="s">
        <v>7849</v>
      </c>
      <c r="J1011" s="104" t="s">
        <v>7844</v>
      </c>
      <c r="K1011" s="105"/>
      <c r="L1011" s="105"/>
    </row>
    <row r="1012">
      <c r="A1012" s="103" t="s">
        <v>4676</v>
      </c>
      <c r="B1012" s="103">
        <v>1.10010945609E11</v>
      </c>
      <c r="C1012" s="105"/>
      <c r="D1012" s="104" t="s">
        <v>7850</v>
      </c>
      <c r="E1012" s="104" t="s">
        <v>7845</v>
      </c>
      <c r="F1012" s="103" t="s">
        <v>4678</v>
      </c>
      <c r="G1012" s="103" t="s">
        <v>4679</v>
      </c>
      <c r="H1012" s="103" t="s">
        <v>7851</v>
      </c>
      <c r="I1012" s="103">
        <v>5946161.0</v>
      </c>
      <c r="J1012" s="104" t="s">
        <v>7844</v>
      </c>
      <c r="K1012" s="105"/>
      <c r="L1012" s="105"/>
    </row>
    <row r="1013">
      <c r="A1013" s="103" t="s">
        <v>4676</v>
      </c>
      <c r="B1013" s="103">
        <v>1.1001094561E11</v>
      </c>
      <c r="C1013" s="105"/>
      <c r="D1013" s="104" t="s">
        <v>7852</v>
      </c>
      <c r="E1013" s="104" t="s">
        <v>7845</v>
      </c>
      <c r="F1013" s="103" t="s">
        <v>4678</v>
      </c>
      <c r="G1013" s="103" t="s">
        <v>4679</v>
      </c>
      <c r="H1013" s="103" t="s">
        <v>7853</v>
      </c>
      <c r="I1013" s="103">
        <v>5946161.0</v>
      </c>
      <c r="J1013" s="104" t="s">
        <v>7844</v>
      </c>
      <c r="K1013" s="105"/>
      <c r="L1013" s="105"/>
    </row>
    <row r="1014">
      <c r="A1014" s="103" t="s">
        <v>4676</v>
      </c>
      <c r="B1014" s="103">
        <v>1.10010945612E11</v>
      </c>
      <c r="C1014" s="105"/>
      <c r="D1014" s="104" t="s">
        <v>7854</v>
      </c>
      <c r="E1014" s="104" t="s">
        <v>7845</v>
      </c>
      <c r="F1014" s="103" t="s">
        <v>4678</v>
      </c>
      <c r="G1014" s="103" t="s">
        <v>4679</v>
      </c>
      <c r="H1014" s="103" t="s">
        <v>7855</v>
      </c>
      <c r="I1014" s="103">
        <v>5946161.0</v>
      </c>
      <c r="J1014" s="104" t="s">
        <v>7844</v>
      </c>
      <c r="K1014" s="105"/>
      <c r="L1014" s="105"/>
    </row>
    <row r="1015">
      <c r="A1015" s="103" t="s">
        <v>4676</v>
      </c>
      <c r="B1015" s="103">
        <v>1.10010945703E11</v>
      </c>
      <c r="C1015" s="105"/>
      <c r="D1015" s="104" t="s">
        <v>7856</v>
      </c>
      <c r="E1015" s="106"/>
      <c r="F1015" s="103" t="s">
        <v>4678</v>
      </c>
      <c r="G1015" s="103" t="s">
        <v>4679</v>
      </c>
      <c r="H1015" s="103" t="s">
        <v>7857</v>
      </c>
      <c r="I1015" s="105"/>
      <c r="J1015" s="106"/>
      <c r="K1015" s="105"/>
      <c r="L1015" s="105"/>
    </row>
    <row r="1016">
      <c r="A1016" s="103" t="s">
        <v>4676</v>
      </c>
      <c r="B1016" s="103">
        <v>1.10010945704E11</v>
      </c>
      <c r="C1016" s="105"/>
      <c r="D1016" s="104" t="s">
        <v>7858</v>
      </c>
      <c r="E1016" s="106"/>
      <c r="F1016" s="103" t="s">
        <v>4678</v>
      </c>
      <c r="G1016" s="103" t="s">
        <v>4679</v>
      </c>
      <c r="H1016" s="103" t="s">
        <v>7859</v>
      </c>
      <c r="I1016" s="105"/>
      <c r="J1016" s="106"/>
      <c r="K1016" s="105"/>
      <c r="L1016" s="105"/>
    </row>
    <row r="1017">
      <c r="A1017" s="103" t="s">
        <v>4676</v>
      </c>
      <c r="B1017" s="103">
        <v>1.100109488E9</v>
      </c>
      <c r="C1017" s="105"/>
      <c r="D1017" s="104" t="s">
        <v>7860</v>
      </c>
      <c r="E1017" s="104" t="s">
        <v>7861</v>
      </c>
      <c r="F1017" s="103" t="s">
        <v>4678</v>
      </c>
      <c r="G1017" s="103" t="s">
        <v>4679</v>
      </c>
      <c r="H1017" s="103" t="s">
        <v>7862</v>
      </c>
      <c r="I1017" s="103" t="s">
        <v>7863</v>
      </c>
      <c r="J1017" s="104" t="s">
        <v>7864</v>
      </c>
      <c r="K1017" s="105"/>
      <c r="L1017" s="105"/>
    </row>
    <row r="1018">
      <c r="A1018" s="103" t="s">
        <v>4676</v>
      </c>
      <c r="B1018" s="103">
        <v>1.10010948801E11</v>
      </c>
      <c r="C1018" s="105"/>
      <c r="D1018" s="104" t="s">
        <v>7860</v>
      </c>
      <c r="E1018" s="104" t="s">
        <v>7865</v>
      </c>
      <c r="F1018" s="103" t="s">
        <v>4678</v>
      </c>
      <c r="G1018" s="103" t="s">
        <v>4679</v>
      </c>
      <c r="H1018" s="103" t="s">
        <v>7862</v>
      </c>
      <c r="I1018" s="103" t="s">
        <v>7866</v>
      </c>
      <c r="J1018" s="104" t="s">
        <v>7864</v>
      </c>
      <c r="K1018" s="105"/>
      <c r="L1018" s="105"/>
    </row>
    <row r="1019">
      <c r="A1019" s="103" t="s">
        <v>4676</v>
      </c>
      <c r="B1019" s="103">
        <v>1.100109499E9</v>
      </c>
      <c r="C1019" s="105"/>
      <c r="D1019" s="104" t="s">
        <v>7867</v>
      </c>
      <c r="E1019" s="106"/>
      <c r="F1019" s="103" t="s">
        <v>4678</v>
      </c>
      <c r="G1019" s="103" t="s">
        <v>4679</v>
      </c>
      <c r="H1019" s="103" t="s">
        <v>7868</v>
      </c>
      <c r="I1019" s="103">
        <v>2534861.0</v>
      </c>
      <c r="J1019" s="104" t="s">
        <v>7869</v>
      </c>
      <c r="K1019" s="105"/>
      <c r="L1019" s="105"/>
    </row>
    <row r="1020">
      <c r="A1020" s="103" t="s">
        <v>4676</v>
      </c>
      <c r="B1020" s="103">
        <v>1.10010949901E11</v>
      </c>
      <c r="C1020" s="105"/>
      <c r="D1020" s="104" t="s">
        <v>7867</v>
      </c>
      <c r="E1020" s="104" t="s">
        <v>7870</v>
      </c>
      <c r="F1020" s="103" t="s">
        <v>4678</v>
      </c>
      <c r="G1020" s="103" t="s">
        <v>4679</v>
      </c>
      <c r="H1020" s="103" t="s">
        <v>7868</v>
      </c>
      <c r="I1020" s="103">
        <v>2534861.0</v>
      </c>
      <c r="J1020" s="104" t="s">
        <v>7869</v>
      </c>
      <c r="K1020" s="105"/>
      <c r="L1020" s="105"/>
    </row>
    <row r="1021">
      <c r="A1021" s="103" t="s">
        <v>4676</v>
      </c>
      <c r="B1021" s="103">
        <v>1.100109523E9</v>
      </c>
      <c r="C1021" s="105"/>
      <c r="D1021" s="104" t="s">
        <v>7871</v>
      </c>
      <c r="E1021" s="104" t="s">
        <v>7872</v>
      </c>
      <c r="F1021" s="103" t="s">
        <v>4678</v>
      </c>
      <c r="G1021" s="103" t="s">
        <v>4679</v>
      </c>
      <c r="H1021" s="103" t="s">
        <v>7873</v>
      </c>
      <c r="I1021" s="103">
        <v>4473535.0</v>
      </c>
      <c r="J1021" s="104" t="s">
        <v>7874</v>
      </c>
      <c r="K1021" s="107" t="s">
        <v>7875</v>
      </c>
      <c r="L1021" s="105"/>
    </row>
    <row r="1022">
      <c r="A1022" s="103" t="s">
        <v>4676</v>
      </c>
      <c r="B1022" s="103">
        <v>1.10010952301E11</v>
      </c>
      <c r="C1022" s="105"/>
      <c r="D1022" s="104" t="s">
        <v>7876</v>
      </c>
      <c r="E1022" s="104" t="s">
        <v>7877</v>
      </c>
      <c r="F1022" s="103" t="s">
        <v>4678</v>
      </c>
      <c r="G1022" s="103" t="s">
        <v>4679</v>
      </c>
      <c r="H1022" s="103" t="s">
        <v>7878</v>
      </c>
      <c r="I1022" s="103" t="s">
        <v>7879</v>
      </c>
      <c r="J1022" s="104" t="s">
        <v>7874</v>
      </c>
      <c r="K1022" s="105"/>
      <c r="L1022" s="105"/>
    </row>
    <row r="1023">
      <c r="A1023" s="103" t="s">
        <v>4676</v>
      </c>
      <c r="B1023" s="103">
        <v>1.10010952304E11</v>
      </c>
      <c r="C1023" s="105"/>
      <c r="D1023" s="104" t="s">
        <v>7880</v>
      </c>
      <c r="E1023" s="104" t="s">
        <v>7877</v>
      </c>
      <c r="F1023" s="103" t="s">
        <v>4678</v>
      </c>
      <c r="G1023" s="103" t="s">
        <v>4679</v>
      </c>
      <c r="H1023" s="103" t="s">
        <v>7881</v>
      </c>
      <c r="I1023" s="103" t="s">
        <v>7882</v>
      </c>
      <c r="J1023" s="104" t="s">
        <v>7874</v>
      </c>
      <c r="K1023" s="105"/>
      <c r="L1023" s="105"/>
    </row>
    <row r="1024">
      <c r="A1024" s="103" t="s">
        <v>4676</v>
      </c>
      <c r="B1024" s="103">
        <v>1.10010952306E11</v>
      </c>
      <c r="C1024" s="105"/>
      <c r="D1024" s="104" t="s">
        <v>7883</v>
      </c>
      <c r="E1024" s="104" t="s">
        <v>7877</v>
      </c>
      <c r="F1024" s="103" t="s">
        <v>4678</v>
      </c>
      <c r="G1024" s="103" t="s">
        <v>4679</v>
      </c>
      <c r="H1024" s="103" t="s">
        <v>7884</v>
      </c>
      <c r="I1024" s="103" t="s">
        <v>7882</v>
      </c>
      <c r="J1024" s="104" t="s">
        <v>7874</v>
      </c>
      <c r="K1024" s="105"/>
      <c r="L1024" s="105"/>
    </row>
    <row r="1025">
      <c r="A1025" s="103" t="s">
        <v>4676</v>
      </c>
      <c r="B1025" s="103">
        <v>1.10010952308E11</v>
      </c>
      <c r="C1025" s="105"/>
      <c r="D1025" s="104" t="s">
        <v>7885</v>
      </c>
      <c r="E1025" s="104" t="s">
        <v>7877</v>
      </c>
      <c r="F1025" s="103" t="s">
        <v>4678</v>
      </c>
      <c r="G1025" s="103" t="s">
        <v>4679</v>
      </c>
      <c r="H1025" s="103" t="s">
        <v>7886</v>
      </c>
      <c r="I1025" s="103" t="s">
        <v>7882</v>
      </c>
      <c r="J1025" s="104" t="s">
        <v>7874</v>
      </c>
      <c r="K1025" s="105"/>
      <c r="L1025" s="105"/>
    </row>
    <row r="1026">
      <c r="A1026" s="103" t="s">
        <v>4676</v>
      </c>
      <c r="B1026" s="103">
        <v>1.10010952309E11</v>
      </c>
      <c r="C1026" s="105"/>
      <c r="D1026" s="104" t="s">
        <v>7887</v>
      </c>
      <c r="E1026" s="104" t="s">
        <v>7877</v>
      </c>
      <c r="F1026" s="103" t="s">
        <v>4678</v>
      </c>
      <c r="G1026" s="103" t="s">
        <v>4679</v>
      </c>
      <c r="H1026" s="103" t="s">
        <v>7888</v>
      </c>
      <c r="I1026" s="103" t="s">
        <v>7882</v>
      </c>
      <c r="J1026" s="104" t="s">
        <v>7874</v>
      </c>
      <c r="K1026" s="105"/>
      <c r="L1026" s="105"/>
    </row>
    <row r="1027">
      <c r="A1027" s="103" t="s">
        <v>4676</v>
      </c>
      <c r="B1027" s="103">
        <v>1.1001095231E11</v>
      </c>
      <c r="C1027" s="105"/>
      <c r="D1027" s="104" t="s">
        <v>7889</v>
      </c>
      <c r="E1027" s="104" t="s">
        <v>7877</v>
      </c>
      <c r="F1027" s="103" t="s">
        <v>4678</v>
      </c>
      <c r="G1027" s="103" t="s">
        <v>4679</v>
      </c>
      <c r="H1027" s="103" t="s">
        <v>7890</v>
      </c>
      <c r="I1027" s="103" t="s">
        <v>7882</v>
      </c>
      <c r="J1027" s="104" t="s">
        <v>7874</v>
      </c>
      <c r="K1027" s="105"/>
      <c r="L1027" s="105"/>
    </row>
    <row r="1028">
      <c r="A1028" s="103" t="s">
        <v>4676</v>
      </c>
      <c r="B1028" s="103">
        <v>1.10010952312E11</v>
      </c>
      <c r="C1028" s="105"/>
      <c r="D1028" s="104" t="s">
        <v>7891</v>
      </c>
      <c r="E1028" s="104" t="s">
        <v>7877</v>
      </c>
      <c r="F1028" s="103" t="s">
        <v>4678</v>
      </c>
      <c r="G1028" s="103" t="s">
        <v>4679</v>
      </c>
      <c r="H1028" s="103" t="s">
        <v>7892</v>
      </c>
      <c r="I1028" s="103" t="s">
        <v>7882</v>
      </c>
      <c r="J1028" s="104" t="s">
        <v>7874</v>
      </c>
      <c r="K1028" s="105"/>
      <c r="L1028" s="105"/>
    </row>
    <row r="1029">
      <c r="A1029" s="103" t="s">
        <v>4676</v>
      </c>
      <c r="B1029" s="103">
        <v>1.10010952313E11</v>
      </c>
      <c r="C1029" s="105"/>
      <c r="D1029" s="104" t="s">
        <v>7893</v>
      </c>
      <c r="E1029" s="104" t="s">
        <v>7877</v>
      </c>
      <c r="F1029" s="103" t="s">
        <v>4678</v>
      </c>
      <c r="G1029" s="103" t="s">
        <v>4679</v>
      </c>
      <c r="H1029" s="103" t="s">
        <v>7894</v>
      </c>
      <c r="I1029" s="103" t="s">
        <v>7882</v>
      </c>
      <c r="J1029" s="104" t="s">
        <v>7874</v>
      </c>
      <c r="K1029" s="105"/>
      <c r="L1029" s="105"/>
    </row>
    <row r="1030">
      <c r="A1030" s="103" t="s">
        <v>4676</v>
      </c>
      <c r="B1030" s="103">
        <v>1.10010952314E11</v>
      </c>
      <c r="C1030" s="105"/>
      <c r="D1030" s="104" t="s">
        <v>7895</v>
      </c>
      <c r="E1030" s="104" t="s">
        <v>7877</v>
      </c>
      <c r="F1030" s="103" t="s">
        <v>4678</v>
      </c>
      <c r="G1030" s="103" t="s">
        <v>4679</v>
      </c>
      <c r="H1030" s="103" t="s">
        <v>7896</v>
      </c>
      <c r="I1030" s="103" t="s">
        <v>7882</v>
      </c>
      <c r="J1030" s="104" t="s">
        <v>7874</v>
      </c>
      <c r="K1030" s="105"/>
      <c r="L1030" s="105"/>
    </row>
    <row r="1031">
      <c r="A1031" s="103" t="s">
        <v>4676</v>
      </c>
      <c r="B1031" s="103">
        <v>1.10010952315E11</v>
      </c>
      <c r="C1031" s="105"/>
      <c r="D1031" s="104" t="s">
        <v>7897</v>
      </c>
      <c r="E1031" s="104" t="s">
        <v>7877</v>
      </c>
      <c r="F1031" s="103" t="s">
        <v>4678</v>
      </c>
      <c r="G1031" s="103" t="s">
        <v>4679</v>
      </c>
      <c r="H1031" s="103" t="s">
        <v>7898</v>
      </c>
      <c r="I1031" s="103" t="s">
        <v>7882</v>
      </c>
      <c r="J1031" s="104" t="s">
        <v>7874</v>
      </c>
      <c r="K1031" s="105"/>
      <c r="L1031" s="105"/>
    </row>
    <row r="1032">
      <c r="A1032" s="103" t="s">
        <v>4676</v>
      </c>
      <c r="B1032" s="103">
        <v>1.10010952317E11</v>
      </c>
      <c r="C1032" s="105"/>
      <c r="D1032" s="104" t="s">
        <v>7899</v>
      </c>
      <c r="E1032" s="104" t="s">
        <v>7877</v>
      </c>
      <c r="F1032" s="103" t="s">
        <v>4678</v>
      </c>
      <c r="G1032" s="103" t="s">
        <v>4679</v>
      </c>
      <c r="H1032" s="103" t="s">
        <v>7900</v>
      </c>
      <c r="I1032" s="103" t="s">
        <v>7882</v>
      </c>
      <c r="J1032" s="104" t="s">
        <v>7874</v>
      </c>
      <c r="K1032" s="105"/>
      <c r="L1032" s="105"/>
    </row>
    <row r="1033">
      <c r="A1033" s="103" t="s">
        <v>4676</v>
      </c>
      <c r="B1033" s="103">
        <v>1.10010952318E11</v>
      </c>
      <c r="C1033" s="105"/>
      <c r="D1033" s="104" t="s">
        <v>7901</v>
      </c>
      <c r="E1033" s="104" t="s">
        <v>7877</v>
      </c>
      <c r="F1033" s="103" t="s">
        <v>4678</v>
      </c>
      <c r="G1033" s="103" t="s">
        <v>4679</v>
      </c>
      <c r="H1033" s="103" t="s">
        <v>7902</v>
      </c>
      <c r="I1033" s="103" t="s">
        <v>7903</v>
      </c>
      <c r="J1033" s="104" t="s">
        <v>7874</v>
      </c>
      <c r="K1033" s="105"/>
      <c r="L1033" s="105"/>
    </row>
    <row r="1034">
      <c r="A1034" s="103" t="s">
        <v>4676</v>
      </c>
      <c r="B1034" s="103">
        <v>1.10010952321E11</v>
      </c>
      <c r="C1034" s="105"/>
      <c r="D1034" s="104" t="s">
        <v>7904</v>
      </c>
      <c r="E1034" s="104" t="s">
        <v>7905</v>
      </c>
      <c r="F1034" s="103" t="s">
        <v>4678</v>
      </c>
      <c r="G1034" s="103" t="s">
        <v>4679</v>
      </c>
      <c r="H1034" s="103" t="s">
        <v>7906</v>
      </c>
      <c r="I1034" s="103" t="s">
        <v>7903</v>
      </c>
      <c r="J1034" s="104" t="s">
        <v>7874</v>
      </c>
      <c r="K1034" s="105"/>
      <c r="L1034" s="105"/>
    </row>
    <row r="1035">
      <c r="A1035" s="103" t="s">
        <v>4676</v>
      </c>
      <c r="B1035" s="103">
        <v>1.10010952322E11</v>
      </c>
      <c r="C1035" s="105"/>
      <c r="D1035" s="104" t="s">
        <v>7907</v>
      </c>
      <c r="E1035" s="104" t="s">
        <v>7877</v>
      </c>
      <c r="F1035" s="103" t="s">
        <v>4678</v>
      </c>
      <c r="G1035" s="103" t="s">
        <v>4679</v>
      </c>
      <c r="H1035" s="103" t="s">
        <v>7908</v>
      </c>
      <c r="I1035" s="103" t="s">
        <v>7903</v>
      </c>
      <c r="J1035" s="104" t="s">
        <v>7874</v>
      </c>
      <c r="K1035" s="105"/>
      <c r="L1035" s="105"/>
    </row>
    <row r="1036">
      <c r="A1036" s="103" t="s">
        <v>4676</v>
      </c>
      <c r="B1036" s="103">
        <v>1.10010952324E11</v>
      </c>
      <c r="C1036" s="105"/>
      <c r="D1036" s="104" t="s">
        <v>7909</v>
      </c>
      <c r="E1036" s="104" t="s">
        <v>7877</v>
      </c>
      <c r="F1036" s="103" t="s">
        <v>4678</v>
      </c>
      <c r="G1036" s="103" t="s">
        <v>4679</v>
      </c>
      <c r="H1036" s="103" t="s">
        <v>7910</v>
      </c>
      <c r="I1036" s="103" t="s">
        <v>7903</v>
      </c>
      <c r="J1036" s="104" t="s">
        <v>7874</v>
      </c>
      <c r="K1036" s="105"/>
      <c r="L1036" s="105"/>
    </row>
    <row r="1037">
      <c r="A1037" s="103" t="s">
        <v>4676</v>
      </c>
      <c r="B1037" s="103">
        <v>1.10010952325E11</v>
      </c>
      <c r="C1037" s="105"/>
      <c r="D1037" s="104" t="s">
        <v>7911</v>
      </c>
      <c r="E1037" s="104" t="s">
        <v>7877</v>
      </c>
      <c r="F1037" s="103" t="s">
        <v>4678</v>
      </c>
      <c r="G1037" s="103" t="s">
        <v>4679</v>
      </c>
      <c r="H1037" s="103" t="s">
        <v>7912</v>
      </c>
      <c r="I1037" s="103" t="s">
        <v>7903</v>
      </c>
      <c r="J1037" s="104" t="s">
        <v>7874</v>
      </c>
      <c r="K1037" s="105"/>
      <c r="L1037" s="105"/>
    </row>
    <row r="1038">
      <c r="A1038" s="103" t="s">
        <v>4676</v>
      </c>
      <c r="B1038" s="103">
        <v>1.10010952326E11</v>
      </c>
      <c r="C1038" s="105"/>
      <c r="D1038" s="104" t="s">
        <v>7913</v>
      </c>
      <c r="E1038" s="104" t="s">
        <v>7877</v>
      </c>
      <c r="F1038" s="103" t="s">
        <v>4678</v>
      </c>
      <c r="G1038" s="103" t="s">
        <v>4679</v>
      </c>
      <c r="H1038" s="103" t="s">
        <v>7914</v>
      </c>
      <c r="I1038" s="103" t="s">
        <v>7903</v>
      </c>
      <c r="J1038" s="104" t="s">
        <v>7874</v>
      </c>
      <c r="K1038" s="105"/>
      <c r="L1038" s="105"/>
    </row>
    <row r="1039">
      <c r="A1039" s="103" t="s">
        <v>4676</v>
      </c>
      <c r="B1039" s="103">
        <v>1.10010952327E11</v>
      </c>
      <c r="C1039" s="105"/>
      <c r="D1039" s="104" t="s">
        <v>7915</v>
      </c>
      <c r="E1039" s="104" t="s">
        <v>7877</v>
      </c>
      <c r="F1039" s="103" t="s">
        <v>4678</v>
      </c>
      <c r="G1039" s="103" t="s">
        <v>4679</v>
      </c>
      <c r="H1039" s="103" t="s">
        <v>7916</v>
      </c>
      <c r="I1039" s="103" t="s">
        <v>7903</v>
      </c>
      <c r="J1039" s="104" t="s">
        <v>7874</v>
      </c>
      <c r="K1039" s="105"/>
      <c r="L1039" s="105"/>
    </row>
    <row r="1040">
      <c r="A1040" s="103" t="s">
        <v>4676</v>
      </c>
      <c r="B1040" s="103">
        <v>1.10010952328E11</v>
      </c>
      <c r="C1040" s="105"/>
      <c r="D1040" s="104" t="s">
        <v>7917</v>
      </c>
      <c r="E1040" s="104" t="s">
        <v>7877</v>
      </c>
      <c r="F1040" s="103" t="s">
        <v>4678</v>
      </c>
      <c r="G1040" s="103" t="s">
        <v>4679</v>
      </c>
      <c r="H1040" s="103" t="s">
        <v>7918</v>
      </c>
      <c r="I1040" s="103" t="s">
        <v>7903</v>
      </c>
      <c r="J1040" s="104" t="s">
        <v>7874</v>
      </c>
      <c r="K1040" s="105"/>
      <c r="L1040" s="105"/>
    </row>
    <row r="1041">
      <c r="A1041" s="103" t="s">
        <v>4676</v>
      </c>
      <c r="B1041" s="103">
        <v>1.10010952329E11</v>
      </c>
      <c r="C1041" s="105"/>
      <c r="D1041" s="104" t="s">
        <v>7919</v>
      </c>
      <c r="E1041" s="104" t="s">
        <v>7920</v>
      </c>
      <c r="F1041" s="103" t="s">
        <v>4678</v>
      </c>
      <c r="G1041" s="103" t="s">
        <v>4679</v>
      </c>
      <c r="H1041" s="103" t="s">
        <v>7921</v>
      </c>
      <c r="I1041" s="103" t="s">
        <v>7903</v>
      </c>
      <c r="J1041" s="104" t="s">
        <v>7874</v>
      </c>
      <c r="K1041" s="105"/>
      <c r="L1041" s="105"/>
    </row>
    <row r="1042">
      <c r="A1042" s="103" t="s">
        <v>4676</v>
      </c>
      <c r="B1042" s="103">
        <v>1.1001095233E11</v>
      </c>
      <c r="C1042" s="105"/>
      <c r="D1042" s="104" t="s">
        <v>7922</v>
      </c>
      <c r="E1042" s="104" t="s">
        <v>7920</v>
      </c>
      <c r="F1042" s="103" t="s">
        <v>4678</v>
      </c>
      <c r="G1042" s="103" t="s">
        <v>4679</v>
      </c>
      <c r="H1042" s="103" t="s">
        <v>7923</v>
      </c>
      <c r="I1042" s="103" t="s">
        <v>7903</v>
      </c>
      <c r="J1042" s="104" t="s">
        <v>7874</v>
      </c>
      <c r="K1042" s="105"/>
      <c r="L1042" s="105"/>
    </row>
    <row r="1043">
      <c r="A1043" s="103" t="s">
        <v>4676</v>
      </c>
      <c r="B1043" s="103">
        <v>1.100109562E9</v>
      </c>
      <c r="C1043" s="105"/>
      <c r="D1043" s="104" t="s">
        <v>7924</v>
      </c>
      <c r="E1043" s="104" t="s">
        <v>7925</v>
      </c>
      <c r="F1043" s="103" t="s">
        <v>4678</v>
      </c>
      <c r="G1043" s="103" t="s">
        <v>4679</v>
      </c>
      <c r="H1043" s="103" t="s">
        <v>7926</v>
      </c>
      <c r="I1043" s="103">
        <v>8050025.0</v>
      </c>
      <c r="J1043" s="104" t="s">
        <v>7927</v>
      </c>
      <c r="K1043" s="105"/>
      <c r="L1043" s="105"/>
    </row>
    <row r="1044">
      <c r="A1044" s="103" t="s">
        <v>4676</v>
      </c>
      <c r="B1044" s="103">
        <v>1.10010956201E11</v>
      </c>
      <c r="C1044" s="105"/>
      <c r="D1044" s="104" t="s">
        <v>7924</v>
      </c>
      <c r="E1044" s="106"/>
      <c r="F1044" s="103" t="s">
        <v>4678</v>
      </c>
      <c r="G1044" s="103" t="s">
        <v>4679</v>
      </c>
      <c r="H1044" s="103" t="s">
        <v>7928</v>
      </c>
      <c r="I1044" s="103">
        <v>8050025.0</v>
      </c>
      <c r="J1044" s="104" t="s">
        <v>7927</v>
      </c>
      <c r="K1044" s="105"/>
      <c r="L1044" s="105"/>
    </row>
    <row r="1045">
      <c r="A1045" s="103" t="s">
        <v>4676</v>
      </c>
      <c r="B1045" s="103">
        <v>1.100109584E9</v>
      </c>
      <c r="C1045" s="105"/>
      <c r="D1045" s="104" t="s">
        <v>7929</v>
      </c>
      <c r="E1045" s="104" t="s">
        <v>7930</v>
      </c>
      <c r="F1045" s="103" t="s">
        <v>4678</v>
      </c>
      <c r="G1045" s="103" t="s">
        <v>4679</v>
      </c>
      <c r="H1045" s="103" t="s">
        <v>7931</v>
      </c>
      <c r="I1045" s="103" t="s">
        <v>7932</v>
      </c>
      <c r="J1045" s="104" t="s">
        <v>7933</v>
      </c>
      <c r="K1045" s="107" t="s">
        <v>7934</v>
      </c>
      <c r="L1045" s="105"/>
    </row>
    <row r="1046">
      <c r="A1046" s="103" t="s">
        <v>4676</v>
      </c>
      <c r="B1046" s="103">
        <v>1.10010958401E11</v>
      </c>
      <c r="C1046" s="105"/>
      <c r="D1046" s="104" t="s">
        <v>7935</v>
      </c>
      <c r="E1046" s="104" t="s">
        <v>7936</v>
      </c>
      <c r="F1046" s="103" t="s">
        <v>4678</v>
      </c>
      <c r="G1046" s="103" t="s">
        <v>4679</v>
      </c>
      <c r="H1046" s="103" t="s">
        <v>7931</v>
      </c>
      <c r="I1046" s="103" t="s">
        <v>7932</v>
      </c>
      <c r="J1046" s="104" t="s">
        <v>7937</v>
      </c>
      <c r="K1046" s="105"/>
      <c r="L1046" s="105"/>
    </row>
    <row r="1047">
      <c r="A1047" s="103" t="s">
        <v>4676</v>
      </c>
      <c r="B1047" s="103">
        <v>1.100109599E9</v>
      </c>
      <c r="C1047" s="105"/>
      <c r="D1047" s="104" t="s">
        <v>7938</v>
      </c>
      <c r="E1047" s="104" t="s">
        <v>7939</v>
      </c>
      <c r="F1047" s="103" t="s">
        <v>4678</v>
      </c>
      <c r="G1047" s="103" t="s">
        <v>4679</v>
      </c>
      <c r="H1047" s="103" t="s">
        <v>7940</v>
      </c>
      <c r="I1047" s="103">
        <v>6.013905099E9</v>
      </c>
      <c r="J1047" s="104" t="s">
        <v>7941</v>
      </c>
      <c r="K1047" s="105"/>
      <c r="L1047" s="105"/>
    </row>
    <row r="1048">
      <c r="A1048" s="103" t="s">
        <v>4676</v>
      </c>
      <c r="B1048" s="103">
        <v>1.10010959901E11</v>
      </c>
      <c r="C1048" s="105"/>
      <c r="D1048" s="104" t="s">
        <v>7942</v>
      </c>
      <c r="E1048" s="104" t="s">
        <v>7943</v>
      </c>
      <c r="F1048" s="103" t="s">
        <v>4678</v>
      </c>
      <c r="G1048" s="103" t="s">
        <v>4679</v>
      </c>
      <c r="H1048" s="103" t="s">
        <v>7944</v>
      </c>
      <c r="I1048" s="103">
        <v>6.013905099E9</v>
      </c>
      <c r="J1048" s="104" t="s">
        <v>7941</v>
      </c>
      <c r="K1048" s="105"/>
      <c r="L1048" s="105"/>
    </row>
    <row r="1049">
      <c r="A1049" s="103" t="s">
        <v>4676</v>
      </c>
      <c r="B1049" s="103">
        <v>1.10010959903E11</v>
      </c>
      <c r="C1049" s="105"/>
      <c r="D1049" s="104" t="s">
        <v>7945</v>
      </c>
      <c r="E1049" s="104" t="s">
        <v>7943</v>
      </c>
      <c r="F1049" s="103" t="s">
        <v>4678</v>
      </c>
      <c r="G1049" s="103" t="s">
        <v>4679</v>
      </c>
      <c r="H1049" s="103" t="s">
        <v>7946</v>
      </c>
      <c r="I1049" s="103">
        <v>6.013905099E9</v>
      </c>
      <c r="J1049" s="104" t="s">
        <v>7941</v>
      </c>
      <c r="K1049" s="105"/>
      <c r="L1049" s="105"/>
    </row>
    <row r="1050">
      <c r="A1050" s="103" t="s">
        <v>4676</v>
      </c>
      <c r="B1050" s="103">
        <v>1.10010959905E11</v>
      </c>
      <c r="C1050" s="105"/>
      <c r="D1050" s="104" t="s">
        <v>7947</v>
      </c>
      <c r="E1050" s="104" t="s">
        <v>7943</v>
      </c>
      <c r="F1050" s="103" t="s">
        <v>4678</v>
      </c>
      <c r="G1050" s="103" t="s">
        <v>4679</v>
      </c>
      <c r="H1050" s="103" t="s">
        <v>7948</v>
      </c>
      <c r="I1050" s="103">
        <v>6.013905099E9</v>
      </c>
      <c r="J1050" s="104" t="s">
        <v>7941</v>
      </c>
      <c r="K1050" s="105"/>
      <c r="L1050" s="105"/>
    </row>
    <row r="1051">
      <c r="A1051" s="103" t="s">
        <v>4676</v>
      </c>
      <c r="B1051" s="103">
        <v>1.10010959907E11</v>
      </c>
      <c r="C1051" s="105"/>
      <c r="D1051" s="104" t="s">
        <v>7949</v>
      </c>
      <c r="E1051" s="104" t="s">
        <v>7943</v>
      </c>
      <c r="F1051" s="103" t="s">
        <v>4678</v>
      </c>
      <c r="G1051" s="103" t="s">
        <v>4679</v>
      </c>
      <c r="H1051" s="103" t="s">
        <v>7950</v>
      </c>
      <c r="I1051" s="103">
        <v>6.013905099E9</v>
      </c>
      <c r="J1051" s="104" t="s">
        <v>7941</v>
      </c>
      <c r="K1051" s="105"/>
      <c r="L1051" s="105"/>
    </row>
    <row r="1052">
      <c r="A1052" s="103" t="s">
        <v>4676</v>
      </c>
      <c r="B1052" s="103">
        <v>1.1001095991E11</v>
      </c>
      <c r="C1052" s="105"/>
      <c r="D1052" s="104" t="s">
        <v>7951</v>
      </c>
      <c r="E1052" s="104" t="s">
        <v>7943</v>
      </c>
      <c r="F1052" s="103" t="s">
        <v>4678</v>
      </c>
      <c r="G1052" s="103" t="s">
        <v>4679</v>
      </c>
      <c r="H1052" s="103" t="s">
        <v>7952</v>
      </c>
      <c r="I1052" s="103">
        <v>6.013905099E9</v>
      </c>
      <c r="J1052" s="104" t="s">
        <v>7941</v>
      </c>
      <c r="K1052" s="105"/>
      <c r="L1052" s="105"/>
    </row>
    <row r="1053">
      <c r="A1053" s="103" t="s">
        <v>4676</v>
      </c>
      <c r="B1053" s="103">
        <v>1.10010959913E11</v>
      </c>
      <c r="C1053" s="105"/>
      <c r="D1053" s="104" t="s">
        <v>7953</v>
      </c>
      <c r="E1053" s="104" t="s">
        <v>7943</v>
      </c>
      <c r="F1053" s="103" t="s">
        <v>4678</v>
      </c>
      <c r="G1053" s="103" t="s">
        <v>4679</v>
      </c>
      <c r="H1053" s="103" t="s">
        <v>7954</v>
      </c>
      <c r="I1053" s="103">
        <v>6.013905099E9</v>
      </c>
      <c r="J1053" s="104" t="s">
        <v>7941</v>
      </c>
      <c r="K1053" s="105"/>
      <c r="L1053" s="105"/>
    </row>
    <row r="1054">
      <c r="A1054" s="103" t="s">
        <v>4676</v>
      </c>
      <c r="B1054" s="103">
        <v>1.100109616E9</v>
      </c>
      <c r="C1054" s="105"/>
      <c r="D1054" s="104" t="s">
        <v>7955</v>
      </c>
      <c r="E1054" s="104" t="s">
        <v>7956</v>
      </c>
      <c r="F1054" s="103" t="s">
        <v>4678</v>
      </c>
      <c r="G1054" s="103" t="s">
        <v>4679</v>
      </c>
      <c r="H1054" s="103" t="s">
        <v>7957</v>
      </c>
      <c r="I1054" s="103">
        <v>2574095.0</v>
      </c>
      <c r="J1054" s="106"/>
      <c r="K1054" s="105"/>
      <c r="L1054" s="105"/>
    </row>
    <row r="1055">
      <c r="A1055" s="103" t="s">
        <v>4676</v>
      </c>
      <c r="B1055" s="103">
        <v>1.10010961601E11</v>
      </c>
      <c r="C1055" s="105"/>
      <c r="D1055" s="104" t="s">
        <v>7955</v>
      </c>
      <c r="E1055" s="106"/>
      <c r="F1055" s="103" t="s">
        <v>4678</v>
      </c>
      <c r="G1055" s="103" t="s">
        <v>4679</v>
      </c>
      <c r="H1055" s="103" t="s">
        <v>7957</v>
      </c>
      <c r="I1055" s="105"/>
      <c r="J1055" s="106"/>
      <c r="K1055" s="105"/>
      <c r="L1055" s="105"/>
    </row>
    <row r="1056">
      <c r="A1056" s="103" t="s">
        <v>4676</v>
      </c>
      <c r="B1056" s="103">
        <v>1.100109642E9</v>
      </c>
      <c r="C1056" s="105"/>
      <c r="D1056" s="104" t="s">
        <v>7958</v>
      </c>
      <c r="E1056" s="104" t="s">
        <v>7959</v>
      </c>
      <c r="F1056" s="103" t="s">
        <v>4678</v>
      </c>
      <c r="G1056" s="103" t="s">
        <v>4679</v>
      </c>
      <c r="H1056" s="103" t="s">
        <v>7960</v>
      </c>
      <c r="I1056" s="103">
        <v>6010606.0</v>
      </c>
      <c r="J1056" s="104" t="s">
        <v>7961</v>
      </c>
      <c r="K1056" s="105"/>
      <c r="L1056" s="105"/>
    </row>
    <row r="1057">
      <c r="A1057" s="103" t="s">
        <v>4676</v>
      </c>
      <c r="B1057" s="103">
        <v>1.10010964201E11</v>
      </c>
      <c r="C1057" s="105"/>
      <c r="D1057" s="104" t="s">
        <v>7958</v>
      </c>
      <c r="E1057" s="104" t="s">
        <v>7962</v>
      </c>
      <c r="F1057" s="103" t="s">
        <v>4678</v>
      </c>
      <c r="G1057" s="103" t="s">
        <v>4679</v>
      </c>
      <c r="H1057" s="103" t="s">
        <v>7960</v>
      </c>
      <c r="I1057" s="103">
        <v>6010606.0</v>
      </c>
      <c r="J1057" s="104" t="s">
        <v>7961</v>
      </c>
      <c r="K1057" s="105"/>
      <c r="L1057" s="105"/>
    </row>
    <row r="1058">
      <c r="A1058" s="103" t="s">
        <v>4676</v>
      </c>
      <c r="B1058" s="103">
        <v>1.100109652E9</v>
      </c>
      <c r="C1058" s="105"/>
      <c r="D1058" s="104" t="s">
        <v>7963</v>
      </c>
      <c r="E1058" s="106"/>
      <c r="F1058" s="103" t="s">
        <v>4678</v>
      </c>
      <c r="G1058" s="103" t="s">
        <v>4679</v>
      </c>
      <c r="H1058" s="103" t="s">
        <v>7964</v>
      </c>
      <c r="I1058" s="103" t="s">
        <v>7965</v>
      </c>
      <c r="J1058" s="104" t="s">
        <v>7966</v>
      </c>
      <c r="K1058" s="105"/>
      <c r="L1058" s="105"/>
    </row>
    <row r="1059">
      <c r="A1059" s="103" t="s">
        <v>4676</v>
      </c>
      <c r="B1059" s="103">
        <v>1.10010965202E11</v>
      </c>
      <c r="C1059" s="105"/>
      <c r="D1059" s="104" t="s">
        <v>7967</v>
      </c>
      <c r="E1059" s="104" t="s">
        <v>7968</v>
      </c>
      <c r="F1059" s="103" t="s">
        <v>4678</v>
      </c>
      <c r="G1059" s="103" t="s">
        <v>4679</v>
      </c>
      <c r="H1059" s="103" t="s">
        <v>7964</v>
      </c>
      <c r="I1059" s="103" t="s">
        <v>7969</v>
      </c>
      <c r="J1059" s="104" t="s">
        <v>7966</v>
      </c>
      <c r="K1059" s="105"/>
      <c r="L1059" s="105"/>
    </row>
    <row r="1060">
      <c r="A1060" s="103" t="s">
        <v>4676</v>
      </c>
      <c r="B1060" s="103">
        <v>1.100109666E9</v>
      </c>
      <c r="C1060" s="105"/>
      <c r="D1060" s="104" t="s">
        <v>7970</v>
      </c>
      <c r="E1060" s="104" t="s">
        <v>7971</v>
      </c>
      <c r="F1060" s="103" t="s">
        <v>4678</v>
      </c>
      <c r="G1060" s="103" t="s">
        <v>4679</v>
      </c>
      <c r="H1060" s="103" t="s">
        <v>7972</v>
      </c>
      <c r="I1060" s="103" t="s">
        <v>7973</v>
      </c>
      <c r="J1060" s="104" t="s">
        <v>7974</v>
      </c>
      <c r="K1060" s="107" t="s">
        <v>7975</v>
      </c>
      <c r="L1060" s="105"/>
    </row>
    <row r="1061">
      <c r="A1061" s="103" t="s">
        <v>4676</v>
      </c>
      <c r="B1061" s="103">
        <v>1.10010966601E11</v>
      </c>
      <c r="C1061" s="105"/>
      <c r="D1061" s="104" t="s">
        <v>7970</v>
      </c>
      <c r="E1061" s="104" t="s">
        <v>7976</v>
      </c>
      <c r="F1061" s="103" t="s">
        <v>4678</v>
      </c>
      <c r="G1061" s="103" t="s">
        <v>4679</v>
      </c>
      <c r="H1061" s="103" t="s">
        <v>7972</v>
      </c>
      <c r="I1061" s="103" t="s">
        <v>7977</v>
      </c>
      <c r="J1061" s="104" t="s">
        <v>7974</v>
      </c>
      <c r="K1061" s="105"/>
      <c r="L1061" s="105"/>
    </row>
    <row r="1062">
      <c r="A1062" s="103" t="s">
        <v>4676</v>
      </c>
      <c r="B1062" s="103">
        <v>1.10010966605E11</v>
      </c>
      <c r="C1062" s="105"/>
      <c r="D1062" s="104" t="s">
        <v>7978</v>
      </c>
      <c r="E1062" s="104" t="s">
        <v>7979</v>
      </c>
      <c r="F1062" s="103" t="s">
        <v>4678</v>
      </c>
      <c r="G1062" s="103" t="s">
        <v>4679</v>
      </c>
      <c r="H1062" s="103" t="s">
        <v>7980</v>
      </c>
      <c r="I1062" s="103" t="s">
        <v>7977</v>
      </c>
      <c r="J1062" s="104" t="s">
        <v>7974</v>
      </c>
      <c r="K1062" s="105"/>
      <c r="L1062" s="105"/>
    </row>
    <row r="1063">
      <c r="A1063" s="103" t="s">
        <v>4676</v>
      </c>
      <c r="B1063" s="103">
        <v>1.10010966606E11</v>
      </c>
      <c r="C1063" s="105"/>
      <c r="D1063" s="104" t="s">
        <v>7981</v>
      </c>
      <c r="E1063" s="104" t="s">
        <v>7976</v>
      </c>
      <c r="F1063" s="103" t="s">
        <v>4678</v>
      </c>
      <c r="G1063" s="103" t="s">
        <v>4679</v>
      </c>
      <c r="H1063" s="103" t="s">
        <v>7982</v>
      </c>
      <c r="I1063" s="103">
        <v>4254620.0</v>
      </c>
      <c r="J1063" s="104" t="s">
        <v>7974</v>
      </c>
      <c r="K1063" s="105"/>
      <c r="L1063" s="105"/>
    </row>
    <row r="1064">
      <c r="A1064" s="103" t="s">
        <v>4676</v>
      </c>
      <c r="B1064" s="103">
        <v>1.100109667E9</v>
      </c>
      <c r="C1064" s="105"/>
      <c r="D1064" s="104" t="s">
        <v>7983</v>
      </c>
      <c r="E1064" s="104" t="s">
        <v>7984</v>
      </c>
      <c r="F1064" s="103" t="s">
        <v>4678</v>
      </c>
      <c r="G1064" s="103" t="s">
        <v>4679</v>
      </c>
      <c r="H1064" s="103" t="s">
        <v>7985</v>
      </c>
      <c r="I1064" s="103" t="s">
        <v>7986</v>
      </c>
      <c r="J1064" s="104" t="s">
        <v>7987</v>
      </c>
      <c r="K1064" s="107" t="s">
        <v>7988</v>
      </c>
      <c r="L1064" s="105"/>
    </row>
    <row r="1065">
      <c r="A1065" s="103" t="s">
        <v>4676</v>
      </c>
      <c r="B1065" s="103">
        <v>1.10010966701E11</v>
      </c>
      <c r="C1065" s="105"/>
      <c r="D1065" s="104" t="s">
        <v>7983</v>
      </c>
      <c r="E1065" s="104" t="s">
        <v>7989</v>
      </c>
      <c r="F1065" s="103" t="s">
        <v>4678</v>
      </c>
      <c r="G1065" s="103" t="s">
        <v>4679</v>
      </c>
      <c r="H1065" s="103" t="s">
        <v>7985</v>
      </c>
      <c r="I1065" s="103" t="s">
        <v>7986</v>
      </c>
      <c r="J1065" s="104" t="s">
        <v>7987</v>
      </c>
      <c r="K1065" s="105"/>
      <c r="L1065" s="105"/>
    </row>
    <row r="1066">
      <c r="A1066" s="103" t="s">
        <v>4676</v>
      </c>
      <c r="B1066" s="103">
        <v>1.100109757E9</v>
      </c>
      <c r="C1066" s="105"/>
      <c r="D1066" s="104" t="s">
        <v>7990</v>
      </c>
      <c r="E1066" s="104" t="s">
        <v>7991</v>
      </c>
      <c r="F1066" s="103" t="s">
        <v>4678</v>
      </c>
      <c r="G1066" s="103" t="s">
        <v>4679</v>
      </c>
      <c r="H1066" s="103" t="s">
        <v>7992</v>
      </c>
      <c r="I1066" s="103">
        <v>3.12435499E9</v>
      </c>
      <c r="J1066" s="104" t="s">
        <v>7993</v>
      </c>
      <c r="K1066" s="105"/>
      <c r="L1066" s="105"/>
    </row>
    <row r="1067">
      <c r="A1067" s="103" t="s">
        <v>4676</v>
      </c>
      <c r="B1067" s="103">
        <v>1.10010975701E11</v>
      </c>
      <c r="C1067" s="105"/>
      <c r="D1067" s="104" t="s">
        <v>7994</v>
      </c>
      <c r="E1067" s="104" t="s">
        <v>7995</v>
      </c>
      <c r="F1067" s="103" t="s">
        <v>4678</v>
      </c>
      <c r="G1067" s="103" t="s">
        <v>4679</v>
      </c>
      <c r="H1067" s="103" t="s">
        <v>7992</v>
      </c>
      <c r="I1067" s="103">
        <v>3.12435499E9</v>
      </c>
      <c r="J1067" s="104" t="s">
        <v>7996</v>
      </c>
      <c r="K1067" s="105"/>
      <c r="L1067" s="105"/>
    </row>
    <row r="1068">
      <c r="A1068" s="103" t="s">
        <v>4676</v>
      </c>
      <c r="B1068" s="103">
        <v>1.100109831E9</v>
      </c>
      <c r="C1068" s="105"/>
      <c r="D1068" s="104" t="s">
        <v>7997</v>
      </c>
      <c r="E1068" s="104" t="s">
        <v>7998</v>
      </c>
      <c r="F1068" s="103" t="s">
        <v>4678</v>
      </c>
      <c r="G1068" s="103" t="s">
        <v>4679</v>
      </c>
      <c r="H1068" s="103" t="s">
        <v>7999</v>
      </c>
      <c r="I1068" s="103" t="s">
        <v>8000</v>
      </c>
      <c r="J1068" s="104" t="s">
        <v>8001</v>
      </c>
      <c r="K1068" s="105"/>
      <c r="L1068" s="105"/>
    </row>
    <row r="1069">
      <c r="A1069" s="103" t="s">
        <v>4676</v>
      </c>
      <c r="B1069" s="103">
        <v>1.10010983101E11</v>
      </c>
      <c r="C1069" s="105"/>
      <c r="D1069" s="104" t="s">
        <v>7997</v>
      </c>
      <c r="E1069" s="104" t="s">
        <v>8002</v>
      </c>
      <c r="F1069" s="103" t="s">
        <v>4678</v>
      </c>
      <c r="G1069" s="103" t="s">
        <v>4679</v>
      </c>
      <c r="H1069" s="103" t="s">
        <v>7999</v>
      </c>
      <c r="I1069" s="103" t="s">
        <v>8003</v>
      </c>
      <c r="J1069" s="104" t="s">
        <v>8001</v>
      </c>
      <c r="K1069" s="105"/>
      <c r="L1069" s="105"/>
    </row>
    <row r="1070">
      <c r="A1070" s="103" t="s">
        <v>4676</v>
      </c>
      <c r="B1070" s="103">
        <v>1.100109859E9</v>
      </c>
      <c r="C1070" s="105"/>
      <c r="D1070" s="104" t="s">
        <v>8004</v>
      </c>
      <c r="E1070" s="104" t="s">
        <v>8005</v>
      </c>
      <c r="F1070" s="103" t="s">
        <v>4678</v>
      </c>
      <c r="G1070" s="103" t="s">
        <v>4679</v>
      </c>
      <c r="H1070" s="103" t="s">
        <v>8006</v>
      </c>
      <c r="I1070" s="103">
        <v>2220297.0</v>
      </c>
      <c r="J1070" s="104" t="s">
        <v>8007</v>
      </c>
      <c r="K1070" s="105"/>
      <c r="L1070" s="105"/>
    </row>
    <row r="1071">
      <c r="A1071" s="103" t="s">
        <v>4676</v>
      </c>
      <c r="B1071" s="103">
        <v>1.10010985901E11</v>
      </c>
      <c r="C1071" s="105"/>
      <c r="D1071" s="104" t="s">
        <v>8008</v>
      </c>
      <c r="E1071" s="104" t="s">
        <v>8009</v>
      </c>
      <c r="F1071" s="103" t="s">
        <v>4678</v>
      </c>
      <c r="G1071" s="103" t="s">
        <v>4679</v>
      </c>
      <c r="H1071" s="103" t="s">
        <v>8006</v>
      </c>
      <c r="I1071" s="103">
        <v>2220297.0</v>
      </c>
      <c r="J1071" s="104" t="s">
        <v>8007</v>
      </c>
      <c r="K1071" s="105"/>
      <c r="L1071" s="105"/>
    </row>
    <row r="1072">
      <c r="A1072" s="103" t="s">
        <v>4676</v>
      </c>
      <c r="B1072" s="103">
        <v>1.100109941E9</v>
      </c>
      <c r="C1072" s="105"/>
      <c r="D1072" s="104" t="s">
        <v>8010</v>
      </c>
      <c r="E1072" s="104" t="s">
        <v>8011</v>
      </c>
      <c r="F1072" s="103" t="s">
        <v>4678</v>
      </c>
      <c r="G1072" s="103" t="s">
        <v>4679</v>
      </c>
      <c r="H1072" s="103" t="s">
        <v>8012</v>
      </c>
      <c r="I1072" s="103">
        <v>2941400.0</v>
      </c>
      <c r="J1072" s="104" t="s">
        <v>8013</v>
      </c>
      <c r="K1072" s="107" t="s">
        <v>8014</v>
      </c>
      <c r="L1072" s="105"/>
    </row>
    <row r="1073">
      <c r="A1073" s="103" t="s">
        <v>4676</v>
      </c>
      <c r="B1073" s="103">
        <v>1.10010994101E11</v>
      </c>
      <c r="C1073" s="105"/>
      <c r="D1073" s="104" t="s">
        <v>8015</v>
      </c>
      <c r="E1073" s="104" t="s">
        <v>8016</v>
      </c>
      <c r="F1073" s="103" t="s">
        <v>4678</v>
      </c>
      <c r="G1073" s="103" t="s">
        <v>4679</v>
      </c>
      <c r="H1073" s="103" t="s">
        <v>8017</v>
      </c>
      <c r="I1073" s="103" t="s">
        <v>8018</v>
      </c>
      <c r="J1073" s="104" t="s">
        <v>8013</v>
      </c>
      <c r="K1073" s="105"/>
      <c r="L1073" s="105"/>
    </row>
    <row r="1074">
      <c r="A1074" s="103" t="s">
        <v>4676</v>
      </c>
      <c r="B1074" s="103">
        <v>1.10010994103E11</v>
      </c>
      <c r="C1074" s="105"/>
      <c r="D1074" s="104" t="s">
        <v>8019</v>
      </c>
      <c r="E1074" s="104" t="s">
        <v>8020</v>
      </c>
      <c r="F1074" s="103" t="s">
        <v>4678</v>
      </c>
      <c r="G1074" s="103" t="s">
        <v>4679</v>
      </c>
      <c r="H1074" s="103" t="s">
        <v>8021</v>
      </c>
      <c r="I1074" s="103" t="s">
        <v>8022</v>
      </c>
      <c r="J1074" s="104" t="s">
        <v>8013</v>
      </c>
      <c r="K1074" s="105"/>
      <c r="L1074" s="105"/>
    </row>
    <row r="1075">
      <c r="A1075" s="103" t="s">
        <v>4676</v>
      </c>
      <c r="B1075" s="103">
        <v>1.10010994105E11</v>
      </c>
      <c r="C1075" s="105"/>
      <c r="D1075" s="104" t="s">
        <v>8023</v>
      </c>
      <c r="E1075" s="104" t="s">
        <v>8024</v>
      </c>
      <c r="F1075" s="103" t="s">
        <v>4678</v>
      </c>
      <c r="G1075" s="103" t="s">
        <v>4679</v>
      </c>
      <c r="H1075" s="103" t="s">
        <v>8025</v>
      </c>
      <c r="I1075" s="103">
        <v>2941400.0</v>
      </c>
      <c r="J1075" s="104" t="s">
        <v>8013</v>
      </c>
      <c r="K1075" s="105"/>
      <c r="L1075" s="105"/>
    </row>
    <row r="1076">
      <c r="A1076" s="103" t="s">
        <v>4676</v>
      </c>
      <c r="B1076" s="103">
        <v>1.10010994106E11</v>
      </c>
      <c r="C1076" s="105"/>
      <c r="D1076" s="104" t="s">
        <v>8026</v>
      </c>
      <c r="E1076" s="104" t="s">
        <v>8027</v>
      </c>
      <c r="F1076" s="103" t="s">
        <v>4678</v>
      </c>
      <c r="G1076" s="103" t="s">
        <v>4679</v>
      </c>
      <c r="H1076" s="103" t="s">
        <v>8028</v>
      </c>
      <c r="I1076" s="103" t="s">
        <v>8029</v>
      </c>
      <c r="J1076" s="104" t="s">
        <v>8013</v>
      </c>
      <c r="K1076" s="105"/>
      <c r="L1076" s="105"/>
    </row>
    <row r="1077">
      <c r="A1077" s="103" t="s">
        <v>4676</v>
      </c>
      <c r="B1077" s="103">
        <v>1.10010994107E11</v>
      </c>
      <c r="C1077" s="105"/>
      <c r="D1077" s="104" t="s">
        <v>8030</v>
      </c>
      <c r="E1077" s="104" t="s">
        <v>8031</v>
      </c>
      <c r="F1077" s="103" t="s">
        <v>4678</v>
      </c>
      <c r="G1077" s="103" t="s">
        <v>4679</v>
      </c>
      <c r="H1077" s="103" t="s">
        <v>8032</v>
      </c>
      <c r="I1077" s="103" t="s">
        <v>8033</v>
      </c>
      <c r="J1077" s="104" t="s">
        <v>8013</v>
      </c>
      <c r="K1077" s="105"/>
      <c r="L1077" s="105"/>
    </row>
    <row r="1078">
      <c r="A1078" s="103" t="s">
        <v>4676</v>
      </c>
      <c r="B1078" s="103">
        <v>1.10010994109E11</v>
      </c>
      <c r="C1078" s="105"/>
      <c r="D1078" s="104" t="s">
        <v>8034</v>
      </c>
      <c r="E1078" s="104" t="s">
        <v>8035</v>
      </c>
      <c r="F1078" s="103" t="s">
        <v>4678</v>
      </c>
      <c r="G1078" s="103" t="s">
        <v>4679</v>
      </c>
      <c r="H1078" s="103" t="s">
        <v>8036</v>
      </c>
      <c r="I1078" s="103" t="s">
        <v>8018</v>
      </c>
      <c r="J1078" s="104" t="s">
        <v>8013</v>
      </c>
      <c r="K1078" s="105"/>
      <c r="L1078" s="105"/>
    </row>
    <row r="1079">
      <c r="A1079" s="103" t="s">
        <v>4676</v>
      </c>
      <c r="B1079" s="103">
        <v>1.100109977E9</v>
      </c>
      <c r="C1079" s="105"/>
      <c r="D1079" s="104" t="s">
        <v>8037</v>
      </c>
      <c r="E1079" s="104" t="s">
        <v>8038</v>
      </c>
      <c r="F1079" s="103" t="s">
        <v>4678</v>
      </c>
      <c r="G1079" s="103" t="s">
        <v>4679</v>
      </c>
      <c r="H1079" s="103" t="s">
        <v>8039</v>
      </c>
      <c r="I1079" s="103">
        <v>3.102124355E9</v>
      </c>
      <c r="J1079" s="104" t="s">
        <v>8040</v>
      </c>
      <c r="K1079" s="105"/>
      <c r="L1079" s="105"/>
    </row>
    <row r="1080">
      <c r="A1080" s="103" t="s">
        <v>4676</v>
      </c>
      <c r="B1080" s="103">
        <v>1.10010997701E11</v>
      </c>
      <c r="C1080" s="105"/>
      <c r="D1080" s="104" t="s">
        <v>8037</v>
      </c>
      <c r="E1080" s="106"/>
      <c r="F1080" s="103" t="s">
        <v>4678</v>
      </c>
      <c r="G1080" s="103" t="s">
        <v>4679</v>
      </c>
      <c r="H1080" s="103" t="s">
        <v>8041</v>
      </c>
      <c r="I1080" s="103">
        <v>2746397.0</v>
      </c>
      <c r="J1080" s="104" t="s">
        <v>8042</v>
      </c>
      <c r="K1080" s="105"/>
      <c r="L1080" s="105"/>
    </row>
    <row r="1081">
      <c r="A1081" s="103" t="s">
        <v>4676</v>
      </c>
      <c r="B1081" s="103">
        <v>1.100110006E9</v>
      </c>
      <c r="C1081" s="105"/>
      <c r="D1081" s="104" t="s">
        <v>8043</v>
      </c>
      <c r="E1081" s="104" t="s">
        <v>8044</v>
      </c>
      <c r="F1081" s="103" t="s">
        <v>4678</v>
      </c>
      <c r="G1081" s="103" t="s">
        <v>4679</v>
      </c>
      <c r="H1081" s="103" t="s">
        <v>8045</v>
      </c>
      <c r="I1081" s="103">
        <v>3.112194627E9</v>
      </c>
      <c r="J1081" s="104" t="s">
        <v>8046</v>
      </c>
      <c r="K1081" s="105"/>
      <c r="L1081" s="105"/>
    </row>
    <row r="1082">
      <c r="A1082" s="103" t="s">
        <v>4676</v>
      </c>
      <c r="B1082" s="103">
        <v>1.10011000601E11</v>
      </c>
      <c r="C1082" s="105"/>
      <c r="D1082" s="104" t="s">
        <v>8047</v>
      </c>
      <c r="E1082" s="104" t="s">
        <v>8044</v>
      </c>
      <c r="F1082" s="103" t="s">
        <v>4678</v>
      </c>
      <c r="G1082" s="103" t="s">
        <v>4679</v>
      </c>
      <c r="H1082" s="103" t="s">
        <v>8048</v>
      </c>
      <c r="I1082" s="103" t="s">
        <v>8049</v>
      </c>
      <c r="J1082" s="104" t="s">
        <v>8046</v>
      </c>
      <c r="K1082" s="105"/>
      <c r="L1082" s="105"/>
    </row>
    <row r="1083">
      <c r="A1083" s="103" t="s">
        <v>4676</v>
      </c>
      <c r="B1083" s="103">
        <v>1.10011000602E11</v>
      </c>
      <c r="C1083" s="105"/>
      <c r="D1083" s="104" t="s">
        <v>8050</v>
      </c>
      <c r="E1083" s="104" t="s">
        <v>8044</v>
      </c>
      <c r="F1083" s="103" t="s">
        <v>4678</v>
      </c>
      <c r="G1083" s="103" t="s">
        <v>4679</v>
      </c>
      <c r="H1083" s="103" t="s">
        <v>8051</v>
      </c>
      <c r="I1083" s="103">
        <v>3.112194627E9</v>
      </c>
      <c r="J1083" s="104" t="s">
        <v>8046</v>
      </c>
      <c r="K1083" s="105"/>
      <c r="L1083" s="105"/>
    </row>
    <row r="1084">
      <c r="A1084" s="103" t="s">
        <v>4676</v>
      </c>
      <c r="B1084" s="103">
        <v>1.10011000603E11</v>
      </c>
      <c r="C1084" s="105"/>
      <c r="D1084" s="104" t="s">
        <v>8052</v>
      </c>
      <c r="E1084" s="104" t="s">
        <v>8044</v>
      </c>
      <c r="F1084" s="103" t="s">
        <v>4678</v>
      </c>
      <c r="G1084" s="103" t="s">
        <v>4679</v>
      </c>
      <c r="H1084" s="103" t="s">
        <v>8053</v>
      </c>
      <c r="I1084" s="103">
        <v>3.112194627E9</v>
      </c>
      <c r="J1084" s="104" t="s">
        <v>8046</v>
      </c>
      <c r="K1084" s="105"/>
      <c r="L1084" s="105"/>
    </row>
    <row r="1085">
      <c r="A1085" s="103" t="s">
        <v>4676</v>
      </c>
      <c r="B1085" s="103">
        <v>1.100110054E9</v>
      </c>
      <c r="C1085" s="105"/>
      <c r="D1085" s="104" t="s">
        <v>8054</v>
      </c>
      <c r="E1085" s="104" t="s">
        <v>8055</v>
      </c>
      <c r="F1085" s="103" t="s">
        <v>4678</v>
      </c>
      <c r="G1085" s="103" t="s">
        <v>4679</v>
      </c>
      <c r="H1085" s="103" t="s">
        <v>8056</v>
      </c>
      <c r="I1085" s="103">
        <v>6.014672956E9</v>
      </c>
      <c r="J1085" s="104" t="s">
        <v>8057</v>
      </c>
      <c r="K1085" s="105"/>
      <c r="L1085" s="105"/>
    </row>
    <row r="1086">
      <c r="A1086" s="103" t="s">
        <v>4676</v>
      </c>
      <c r="B1086" s="103">
        <v>1.10011005401E11</v>
      </c>
      <c r="C1086" s="105"/>
      <c r="D1086" s="104" t="s">
        <v>8054</v>
      </c>
      <c r="E1086" s="104" t="s">
        <v>8058</v>
      </c>
      <c r="F1086" s="103" t="s">
        <v>4678</v>
      </c>
      <c r="G1086" s="103" t="s">
        <v>4679</v>
      </c>
      <c r="H1086" s="103" t="s">
        <v>8056</v>
      </c>
      <c r="I1086" s="103">
        <v>6.014672956E9</v>
      </c>
      <c r="J1086" s="104" t="s">
        <v>8057</v>
      </c>
      <c r="K1086" s="105"/>
      <c r="L1086" s="105"/>
    </row>
    <row r="1087">
      <c r="A1087" s="103" t="s">
        <v>4676</v>
      </c>
      <c r="B1087" s="103">
        <v>1.100110113E9</v>
      </c>
      <c r="C1087" s="105"/>
      <c r="D1087" s="104" t="s">
        <v>8059</v>
      </c>
      <c r="E1087" s="104" t="s">
        <v>8060</v>
      </c>
      <c r="F1087" s="103" t="s">
        <v>4678</v>
      </c>
      <c r="G1087" s="103" t="s">
        <v>4679</v>
      </c>
      <c r="H1087" s="103" t="s">
        <v>8061</v>
      </c>
      <c r="I1087" s="103" t="s">
        <v>8062</v>
      </c>
      <c r="J1087" s="104" t="s">
        <v>8063</v>
      </c>
      <c r="K1087" s="105"/>
      <c r="L1087" s="105"/>
    </row>
    <row r="1088">
      <c r="A1088" s="103" t="s">
        <v>4676</v>
      </c>
      <c r="B1088" s="103">
        <v>1.10011011301E11</v>
      </c>
      <c r="C1088" s="105"/>
      <c r="D1088" s="104" t="s">
        <v>8059</v>
      </c>
      <c r="E1088" s="104" t="s">
        <v>8064</v>
      </c>
      <c r="F1088" s="103" t="s">
        <v>4678</v>
      </c>
      <c r="G1088" s="103" t="s">
        <v>4679</v>
      </c>
      <c r="H1088" s="103" t="s">
        <v>8061</v>
      </c>
      <c r="I1088" s="103" t="s">
        <v>8065</v>
      </c>
      <c r="J1088" s="104" t="s">
        <v>8063</v>
      </c>
      <c r="K1088" s="105"/>
      <c r="L1088" s="105"/>
    </row>
    <row r="1089">
      <c r="A1089" s="103" t="s">
        <v>4676</v>
      </c>
      <c r="B1089" s="103">
        <v>1.100110149E9</v>
      </c>
      <c r="C1089" s="105"/>
      <c r="D1089" s="104" t="s">
        <v>8066</v>
      </c>
      <c r="E1089" s="104" t="s">
        <v>8067</v>
      </c>
      <c r="F1089" s="103" t="s">
        <v>4678</v>
      </c>
      <c r="G1089" s="103" t="s">
        <v>4679</v>
      </c>
      <c r="H1089" s="103" t="s">
        <v>8068</v>
      </c>
      <c r="I1089" s="103" t="s">
        <v>8069</v>
      </c>
      <c r="J1089" s="104" t="s">
        <v>8070</v>
      </c>
      <c r="K1089" s="105"/>
      <c r="L1089" s="105"/>
    </row>
    <row r="1090">
      <c r="A1090" s="103" t="s">
        <v>4676</v>
      </c>
      <c r="B1090" s="103">
        <v>1.10011014902E11</v>
      </c>
      <c r="C1090" s="105"/>
      <c r="D1090" s="104" t="s">
        <v>8071</v>
      </c>
      <c r="E1090" s="104" t="s">
        <v>8072</v>
      </c>
      <c r="F1090" s="103" t="s">
        <v>4678</v>
      </c>
      <c r="G1090" s="103" t="s">
        <v>4679</v>
      </c>
      <c r="H1090" s="103" t="s">
        <v>8073</v>
      </c>
      <c r="I1090" s="103" t="s">
        <v>8074</v>
      </c>
      <c r="J1090" s="104" t="s">
        <v>8070</v>
      </c>
      <c r="K1090" s="105"/>
      <c r="L1090" s="105"/>
    </row>
    <row r="1091">
      <c r="A1091" s="103" t="s">
        <v>4676</v>
      </c>
      <c r="B1091" s="103">
        <v>1.100110152E9</v>
      </c>
      <c r="C1091" s="105"/>
      <c r="D1091" s="104" t="s">
        <v>8075</v>
      </c>
      <c r="E1091" s="104" t="s">
        <v>8076</v>
      </c>
      <c r="F1091" s="103" t="s">
        <v>4678</v>
      </c>
      <c r="G1091" s="103" t="s">
        <v>4679</v>
      </c>
      <c r="H1091" s="103" t="s">
        <v>8077</v>
      </c>
      <c r="I1091" s="103" t="s">
        <v>8078</v>
      </c>
      <c r="J1091" s="104" t="s">
        <v>8079</v>
      </c>
      <c r="K1091" s="107" t="s">
        <v>8080</v>
      </c>
      <c r="L1091" s="105"/>
    </row>
    <row r="1092">
      <c r="A1092" s="103" t="s">
        <v>4676</v>
      </c>
      <c r="B1092" s="103">
        <v>1.10011015201E11</v>
      </c>
      <c r="C1092" s="105"/>
      <c r="D1092" s="104" t="s">
        <v>8075</v>
      </c>
      <c r="E1092" s="104" t="s">
        <v>8081</v>
      </c>
      <c r="F1092" s="103" t="s">
        <v>4678</v>
      </c>
      <c r="G1092" s="103" t="s">
        <v>4679</v>
      </c>
      <c r="H1092" s="103" t="s">
        <v>8082</v>
      </c>
      <c r="I1092" s="105"/>
      <c r="J1092" s="104" t="s">
        <v>8079</v>
      </c>
      <c r="K1092" s="105"/>
      <c r="L1092" s="105"/>
    </row>
    <row r="1093">
      <c r="A1093" s="103" t="s">
        <v>4676</v>
      </c>
      <c r="B1093" s="103">
        <v>1.100110158E9</v>
      </c>
      <c r="C1093" s="105"/>
      <c r="D1093" s="104" t="s">
        <v>8083</v>
      </c>
      <c r="E1093" s="104" t="s">
        <v>8084</v>
      </c>
      <c r="F1093" s="103" t="s">
        <v>4678</v>
      </c>
      <c r="G1093" s="103" t="s">
        <v>4679</v>
      </c>
      <c r="H1093" s="103" t="s">
        <v>8085</v>
      </c>
      <c r="I1093" s="103" t="s">
        <v>8086</v>
      </c>
      <c r="J1093" s="104" t="s">
        <v>8087</v>
      </c>
      <c r="K1093" s="105"/>
      <c r="L1093" s="105"/>
    </row>
    <row r="1094">
      <c r="A1094" s="103" t="s">
        <v>4676</v>
      </c>
      <c r="B1094" s="103">
        <v>1.10011015801E11</v>
      </c>
      <c r="C1094" s="105"/>
      <c r="D1094" s="104" t="s">
        <v>8088</v>
      </c>
      <c r="E1094" s="104" t="s">
        <v>8089</v>
      </c>
      <c r="F1094" s="103" t="s">
        <v>4678</v>
      </c>
      <c r="G1094" s="103" t="s">
        <v>4679</v>
      </c>
      <c r="H1094" s="103" t="s">
        <v>8085</v>
      </c>
      <c r="I1094" s="103" t="s">
        <v>8086</v>
      </c>
      <c r="J1094" s="104" t="s">
        <v>8087</v>
      </c>
      <c r="K1094" s="105"/>
      <c r="L1094" s="105"/>
    </row>
    <row r="1095">
      <c r="A1095" s="103" t="s">
        <v>4676</v>
      </c>
      <c r="B1095" s="103">
        <v>1.100110232E9</v>
      </c>
      <c r="C1095" s="105"/>
      <c r="D1095" s="104" t="s">
        <v>8090</v>
      </c>
      <c r="E1095" s="104" t="s">
        <v>8091</v>
      </c>
      <c r="F1095" s="103" t="s">
        <v>4678</v>
      </c>
      <c r="G1095" s="103" t="s">
        <v>4679</v>
      </c>
      <c r="H1095" s="103" t="s">
        <v>8092</v>
      </c>
      <c r="I1095" s="103" t="s">
        <v>8093</v>
      </c>
      <c r="J1095" s="104" t="s">
        <v>8094</v>
      </c>
      <c r="K1095" s="105"/>
      <c r="L1095" s="105"/>
    </row>
    <row r="1096">
      <c r="A1096" s="103" t="s">
        <v>4676</v>
      </c>
      <c r="B1096" s="103">
        <v>1.10011023201E11</v>
      </c>
      <c r="C1096" s="105"/>
      <c r="D1096" s="104" t="s">
        <v>8090</v>
      </c>
      <c r="E1096" s="104" t="s">
        <v>8095</v>
      </c>
      <c r="F1096" s="103" t="s">
        <v>4678</v>
      </c>
      <c r="G1096" s="103" t="s">
        <v>4679</v>
      </c>
      <c r="H1096" s="103" t="s">
        <v>8092</v>
      </c>
      <c r="I1096" s="103" t="s">
        <v>8093</v>
      </c>
      <c r="J1096" s="104" t="s">
        <v>8094</v>
      </c>
      <c r="K1096" s="105"/>
      <c r="L1096" s="105"/>
    </row>
    <row r="1097">
      <c r="A1097" s="103" t="s">
        <v>4676</v>
      </c>
      <c r="B1097" s="103">
        <v>1.100110251E9</v>
      </c>
      <c r="C1097" s="105"/>
      <c r="D1097" s="104" t="s">
        <v>8096</v>
      </c>
      <c r="E1097" s="104" t="s">
        <v>8097</v>
      </c>
      <c r="F1097" s="103" t="s">
        <v>4678</v>
      </c>
      <c r="G1097" s="103" t="s">
        <v>4679</v>
      </c>
      <c r="H1097" s="103" t="s">
        <v>8098</v>
      </c>
      <c r="I1097" s="103">
        <v>7428900.0</v>
      </c>
      <c r="J1097" s="104" t="s">
        <v>8099</v>
      </c>
      <c r="K1097" s="105"/>
      <c r="L1097" s="105"/>
    </row>
    <row r="1098">
      <c r="A1098" s="103" t="s">
        <v>4676</v>
      </c>
      <c r="B1098" s="103">
        <v>1.10011025101E11</v>
      </c>
      <c r="C1098" s="105"/>
      <c r="D1098" s="104" t="s">
        <v>8096</v>
      </c>
      <c r="E1098" s="104" t="s">
        <v>8100</v>
      </c>
      <c r="F1098" s="103" t="s">
        <v>4678</v>
      </c>
      <c r="G1098" s="103" t="s">
        <v>4679</v>
      </c>
      <c r="H1098" s="103" t="s">
        <v>8098</v>
      </c>
      <c r="I1098" s="103">
        <v>7428900.0</v>
      </c>
      <c r="J1098" s="104" t="s">
        <v>8101</v>
      </c>
      <c r="K1098" s="105"/>
      <c r="L1098" s="105"/>
    </row>
    <row r="1099">
      <c r="A1099" s="103" t="s">
        <v>4676</v>
      </c>
      <c r="B1099" s="103">
        <v>1.100110294E9</v>
      </c>
      <c r="C1099" s="105"/>
      <c r="D1099" s="104" t="s">
        <v>8102</v>
      </c>
      <c r="E1099" s="104" t="s">
        <v>8103</v>
      </c>
      <c r="F1099" s="103" t="s">
        <v>4678</v>
      </c>
      <c r="G1099" s="103" t="s">
        <v>4679</v>
      </c>
      <c r="H1099" s="103" t="s">
        <v>8104</v>
      </c>
      <c r="I1099" s="103" t="s">
        <v>8105</v>
      </c>
      <c r="J1099" s="104" t="s">
        <v>8106</v>
      </c>
      <c r="K1099" s="105"/>
      <c r="L1099" s="105"/>
    </row>
    <row r="1100">
      <c r="A1100" s="103" t="s">
        <v>4676</v>
      </c>
      <c r="B1100" s="103">
        <v>1.10011029401E11</v>
      </c>
      <c r="C1100" s="105"/>
      <c r="D1100" s="104" t="s">
        <v>8107</v>
      </c>
      <c r="E1100" s="104" t="s">
        <v>8108</v>
      </c>
      <c r="F1100" s="103" t="s">
        <v>4678</v>
      </c>
      <c r="G1100" s="103" t="s">
        <v>4679</v>
      </c>
      <c r="H1100" s="103" t="s">
        <v>8104</v>
      </c>
      <c r="I1100" s="103" t="s">
        <v>8105</v>
      </c>
      <c r="J1100" s="104" t="s">
        <v>8106</v>
      </c>
      <c r="K1100" s="105"/>
      <c r="L1100" s="105"/>
    </row>
    <row r="1101">
      <c r="A1101" s="103" t="s">
        <v>4676</v>
      </c>
      <c r="B1101" s="103">
        <v>1.100110306E9</v>
      </c>
      <c r="C1101" s="105"/>
      <c r="D1101" s="104" t="s">
        <v>8109</v>
      </c>
      <c r="E1101" s="104" t="s">
        <v>8110</v>
      </c>
      <c r="F1101" s="103" t="s">
        <v>4678</v>
      </c>
      <c r="G1101" s="103" t="s">
        <v>4679</v>
      </c>
      <c r="H1101" s="103" t="s">
        <v>8111</v>
      </c>
      <c r="I1101" s="103">
        <v>6919248.0</v>
      </c>
      <c r="J1101" s="104" t="s">
        <v>8112</v>
      </c>
      <c r="K1101" s="105"/>
      <c r="L1101" s="105"/>
    </row>
    <row r="1102">
      <c r="A1102" s="103" t="s">
        <v>4676</v>
      </c>
      <c r="B1102" s="103">
        <v>1.10011030601E11</v>
      </c>
      <c r="C1102" s="105"/>
      <c r="D1102" s="104" t="s">
        <v>8109</v>
      </c>
      <c r="E1102" s="104" t="s">
        <v>8113</v>
      </c>
      <c r="F1102" s="103" t="s">
        <v>4678</v>
      </c>
      <c r="G1102" s="103" t="s">
        <v>4679</v>
      </c>
      <c r="H1102" s="103" t="s">
        <v>8111</v>
      </c>
      <c r="I1102" s="103">
        <v>6919248.0</v>
      </c>
      <c r="J1102" s="104" t="s">
        <v>8114</v>
      </c>
      <c r="K1102" s="105"/>
      <c r="L1102" s="105"/>
    </row>
    <row r="1103">
      <c r="A1103" s="103" t="s">
        <v>4676</v>
      </c>
      <c r="B1103" s="103">
        <v>1.10011031E9</v>
      </c>
      <c r="C1103" s="105"/>
      <c r="D1103" s="104" t="s">
        <v>8115</v>
      </c>
      <c r="E1103" s="104" t="s">
        <v>8116</v>
      </c>
      <c r="F1103" s="103" t="s">
        <v>4678</v>
      </c>
      <c r="G1103" s="103" t="s">
        <v>4679</v>
      </c>
      <c r="H1103" s="103" t="s">
        <v>8117</v>
      </c>
      <c r="I1103" s="103" t="s">
        <v>8118</v>
      </c>
      <c r="J1103" s="104" t="s">
        <v>8119</v>
      </c>
      <c r="K1103" s="107" t="s">
        <v>8120</v>
      </c>
      <c r="L1103" s="105"/>
    </row>
    <row r="1104">
      <c r="A1104" s="103" t="s">
        <v>4676</v>
      </c>
      <c r="B1104" s="103">
        <v>1.10011031001E11</v>
      </c>
      <c r="C1104" s="105"/>
      <c r="D1104" s="104" t="s">
        <v>8121</v>
      </c>
      <c r="E1104" s="104" t="s">
        <v>8122</v>
      </c>
      <c r="F1104" s="103" t="s">
        <v>4678</v>
      </c>
      <c r="G1104" s="103" t="s">
        <v>4679</v>
      </c>
      <c r="H1104" s="103" t="s">
        <v>8123</v>
      </c>
      <c r="I1104" s="103" t="s">
        <v>8118</v>
      </c>
      <c r="J1104" s="104" t="s">
        <v>8124</v>
      </c>
      <c r="K1104" s="105"/>
      <c r="L1104" s="105"/>
    </row>
    <row r="1105">
      <c r="A1105" s="103" t="s">
        <v>4676</v>
      </c>
      <c r="B1105" s="103">
        <v>1.10011038E9</v>
      </c>
      <c r="C1105" s="105"/>
      <c r="D1105" s="104" t="s">
        <v>8125</v>
      </c>
      <c r="E1105" s="104" t="s">
        <v>8126</v>
      </c>
      <c r="F1105" s="103" t="s">
        <v>4678</v>
      </c>
      <c r="G1105" s="103" t="s">
        <v>4679</v>
      </c>
      <c r="H1105" s="103" t="s">
        <v>8127</v>
      </c>
      <c r="I1105" s="103">
        <v>6.015142019E9</v>
      </c>
      <c r="J1105" s="104" t="s">
        <v>8128</v>
      </c>
      <c r="K1105" s="105"/>
      <c r="L1105" s="105"/>
    </row>
    <row r="1106">
      <c r="A1106" s="103" t="s">
        <v>4676</v>
      </c>
      <c r="B1106" s="103">
        <v>1.10011038001E11</v>
      </c>
      <c r="C1106" s="105"/>
      <c r="D1106" s="104" t="s">
        <v>8129</v>
      </c>
      <c r="E1106" s="106"/>
      <c r="F1106" s="103" t="s">
        <v>4678</v>
      </c>
      <c r="G1106" s="103" t="s">
        <v>4679</v>
      </c>
      <c r="H1106" s="103" t="s">
        <v>8130</v>
      </c>
      <c r="I1106" s="103">
        <v>6.015142019E9</v>
      </c>
      <c r="J1106" s="104" t="s">
        <v>8128</v>
      </c>
      <c r="K1106" s="105"/>
      <c r="L1106" s="105"/>
    </row>
    <row r="1107">
      <c r="A1107" s="103" t="s">
        <v>4676</v>
      </c>
      <c r="B1107" s="103">
        <v>1.10011038002E11</v>
      </c>
      <c r="C1107" s="105"/>
      <c r="D1107" s="104" t="s">
        <v>8125</v>
      </c>
      <c r="E1107" s="104" t="s">
        <v>8131</v>
      </c>
      <c r="F1107" s="103" t="s">
        <v>4678</v>
      </c>
      <c r="G1107" s="103" t="s">
        <v>4679</v>
      </c>
      <c r="H1107" s="103" t="s">
        <v>8132</v>
      </c>
      <c r="I1107" s="103" t="s">
        <v>8133</v>
      </c>
      <c r="J1107" s="104" t="s">
        <v>8134</v>
      </c>
      <c r="K1107" s="105"/>
      <c r="L1107" s="105"/>
    </row>
    <row r="1108">
      <c r="A1108" s="103" t="s">
        <v>4676</v>
      </c>
      <c r="B1108" s="103">
        <v>1.100110381E9</v>
      </c>
      <c r="C1108" s="105"/>
      <c r="D1108" s="104" t="s">
        <v>8135</v>
      </c>
      <c r="E1108" s="104" t="s">
        <v>8136</v>
      </c>
      <c r="F1108" s="103" t="s">
        <v>4678</v>
      </c>
      <c r="G1108" s="103" t="s">
        <v>4679</v>
      </c>
      <c r="H1108" s="103" t="s">
        <v>8137</v>
      </c>
      <c r="I1108" s="103" t="s">
        <v>8138</v>
      </c>
      <c r="J1108" s="104" t="s">
        <v>8139</v>
      </c>
      <c r="K1108" s="107" t="s">
        <v>8140</v>
      </c>
      <c r="L1108" s="105"/>
    </row>
    <row r="1109">
      <c r="A1109" s="103" t="s">
        <v>4676</v>
      </c>
      <c r="B1109" s="103">
        <v>1.10011038101E11</v>
      </c>
      <c r="C1109" s="105"/>
      <c r="D1109" s="104" t="s">
        <v>8141</v>
      </c>
      <c r="E1109" s="104" t="s">
        <v>8142</v>
      </c>
      <c r="F1109" s="103" t="s">
        <v>4678</v>
      </c>
      <c r="G1109" s="103" t="s">
        <v>4679</v>
      </c>
      <c r="H1109" s="103" t="s">
        <v>8137</v>
      </c>
      <c r="I1109" s="103" t="s">
        <v>8138</v>
      </c>
      <c r="J1109" s="104" t="s">
        <v>8139</v>
      </c>
      <c r="K1109" s="105"/>
      <c r="L1109" s="105"/>
    </row>
    <row r="1110">
      <c r="A1110" s="103" t="s">
        <v>4676</v>
      </c>
      <c r="B1110" s="103">
        <v>1.1001104E9</v>
      </c>
      <c r="C1110" s="105"/>
      <c r="D1110" s="104" t="s">
        <v>8143</v>
      </c>
      <c r="E1110" s="104" t="s">
        <v>8144</v>
      </c>
      <c r="F1110" s="103" t="s">
        <v>4678</v>
      </c>
      <c r="G1110" s="103" t="s">
        <v>4679</v>
      </c>
      <c r="H1110" s="103" t="s">
        <v>8145</v>
      </c>
      <c r="I1110" s="103">
        <v>3.17587279E9</v>
      </c>
      <c r="J1110" s="104" t="s">
        <v>8146</v>
      </c>
      <c r="K1110" s="105"/>
      <c r="L1110" s="105"/>
    </row>
    <row r="1111">
      <c r="A1111" s="103" t="s">
        <v>4676</v>
      </c>
      <c r="B1111" s="103">
        <v>1.10011040004E11</v>
      </c>
      <c r="C1111" s="105"/>
      <c r="D1111" s="104" t="s">
        <v>8147</v>
      </c>
      <c r="E1111" s="104" t="s">
        <v>8148</v>
      </c>
      <c r="F1111" s="103" t="s">
        <v>4678</v>
      </c>
      <c r="G1111" s="103" t="s">
        <v>4679</v>
      </c>
      <c r="H1111" s="103" t="s">
        <v>8149</v>
      </c>
      <c r="I1111" s="103">
        <v>3.17587279E9</v>
      </c>
      <c r="J1111" s="104" t="s">
        <v>8150</v>
      </c>
      <c r="K1111" s="105"/>
      <c r="L1111" s="105"/>
    </row>
    <row r="1112">
      <c r="A1112" s="103" t="s">
        <v>4676</v>
      </c>
      <c r="B1112" s="103">
        <v>1.100110447E9</v>
      </c>
      <c r="C1112" s="105"/>
      <c r="D1112" s="104" t="s">
        <v>8151</v>
      </c>
      <c r="E1112" s="106"/>
      <c r="F1112" s="103" t="s">
        <v>4678</v>
      </c>
      <c r="G1112" s="103" t="s">
        <v>4679</v>
      </c>
      <c r="H1112" s="103" t="s">
        <v>8152</v>
      </c>
      <c r="I1112" s="103">
        <v>6164585.0</v>
      </c>
      <c r="J1112" s="104" t="s">
        <v>8153</v>
      </c>
      <c r="K1112" s="105"/>
      <c r="L1112" s="105"/>
    </row>
    <row r="1113">
      <c r="A1113" s="103" t="s">
        <v>4676</v>
      </c>
      <c r="B1113" s="103">
        <v>1.10011044701E11</v>
      </c>
      <c r="C1113" s="105"/>
      <c r="D1113" s="104" t="s">
        <v>8154</v>
      </c>
      <c r="E1113" s="106"/>
      <c r="F1113" s="103" t="s">
        <v>4678</v>
      </c>
      <c r="G1113" s="103" t="s">
        <v>4679</v>
      </c>
      <c r="H1113" s="103" t="s">
        <v>8152</v>
      </c>
      <c r="I1113" s="103">
        <v>6164585.0</v>
      </c>
      <c r="J1113" s="104" t="s">
        <v>8155</v>
      </c>
      <c r="K1113" s="105"/>
      <c r="L1113" s="105"/>
    </row>
    <row r="1114">
      <c r="A1114" s="103" t="s">
        <v>4676</v>
      </c>
      <c r="B1114" s="103">
        <v>1.10011044702E11</v>
      </c>
      <c r="C1114" s="105"/>
      <c r="D1114" s="104" t="s">
        <v>8156</v>
      </c>
      <c r="E1114" s="104" t="s">
        <v>8157</v>
      </c>
      <c r="F1114" s="103" t="s">
        <v>4678</v>
      </c>
      <c r="G1114" s="103" t="s">
        <v>4679</v>
      </c>
      <c r="H1114" s="103" t="s">
        <v>8158</v>
      </c>
      <c r="I1114" s="103">
        <v>6164736.0</v>
      </c>
      <c r="J1114" s="104" t="s">
        <v>8155</v>
      </c>
      <c r="K1114" s="105"/>
      <c r="L1114" s="105"/>
    </row>
    <row r="1115">
      <c r="A1115" s="103" t="s">
        <v>4676</v>
      </c>
      <c r="B1115" s="103">
        <v>1.100110488E9</v>
      </c>
      <c r="C1115" s="105"/>
      <c r="D1115" s="104" t="s">
        <v>8159</v>
      </c>
      <c r="E1115" s="104" t="s">
        <v>8160</v>
      </c>
      <c r="F1115" s="103" t="s">
        <v>4678</v>
      </c>
      <c r="G1115" s="103" t="s">
        <v>4679</v>
      </c>
      <c r="H1115" s="103" t="s">
        <v>8161</v>
      </c>
      <c r="I1115" s="103">
        <v>6.013004456E9</v>
      </c>
      <c r="J1115" s="104" t="s">
        <v>8162</v>
      </c>
      <c r="K1115" s="105"/>
      <c r="L1115" s="105"/>
    </row>
    <row r="1116">
      <c r="A1116" s="103" t="s">
        <v>4676</v>
      </c>
      <c r="B1116" s="103">
        <v>1.10011048801E11</v>
      </c>
      <c r="C1116" s="105"/>
      <c r="D1116" s="104" t="s">
        <v>8163</v>
      </c>
      <c r="E1116" s="104" t="s">
        <v>8164</v>
      </c>
      <c r="F1116" s="103" t="s">
        <v>4678</v>
      </c>
      <c r="G1116" s="103" t="s">
        <v>4679</v>
      </c>
      <c r="H1116" s="103" t="s">
        <v>8161</v>
      </c>
      <c r="I1116" s="103">
        <v>6.013004456E9</v>
      </c>
      <c r="J1116" s="104" t="s">
        <v>8162</v>
      </c>
      <c r="K1116" s="105"/>
      <c r="L1116" s="105"/>
    </row>
    <row r="1117">
      <c r="A1117" s="103" t="s">
        <v>4676</v>
      </c>
      <c r="B1117" s="103">
        <v>1.100110582E9</v>
      </c>
      <c r="C1117" s="105"/>
      <c r="D1117" s="104" t="s">
        <v>8165</v>
      </c>
      <c r="E1117" s="104" t="s">
        <v>8166</v>
      </c>
      <c r="F1117" s="103" t="s">
        <v>4678</v>
      </c>
      <c r="G1117" s="103" t="s">
        <v>4679</v>
      </c>
      <c r="H1117" s="103" t="s">
        <v>8167</v>
      </c>
      <c r="I1117" s="103">
        <v>3463573.0</v>
      </c>
      <c r="J1117" s="104" t="s">
        <v>8168</v>
      </c>
      <c r="K1117" s="105"/>
      <c r="L1117" s="105"/>
    </row>
    <row r="1118">
      <c r="A1118" s="103" t="s">
        <v>4676</v>
      </c>
      <c r="B1118" s="103">
        <v>1.10011058201E11</v>
      </c>
      <c r="C1118" s="105"/>
      <c r="D1118" s="104" t="s">
        <v>8165</v>
      </c>
      <c r="E1118" s="106"/>
      <c r="F1118" s="103" t="s">
        <v>4678</v>
      </c>
      <c r="G1118" s="103" t="s">
        <v>4679</v>
      </c>
      <c r="H1118" s="103" t="s">
        <v>8167</v>
      </c>
      <c r="I1118" s="103">
        <v>3463573.0</v>
      </c>
      <c r="J1118" s="104" t="s">
        <v>8168</v>
      </c>
      <c r="K1118" s="105"/>
      <c r="L1118" s="105"/>
    </row>
    <row r="1119">
      <c r="A1119" s="103" t="s">
        <v>4676</v>
      </c>
      <c r="B1119" s="103">
        <v>1.100110589E9</v>
      </c>
      <c r="C1119" s="105"/>
      <c r="D1119" s="104" t="s">
        <v>8169</v>
      </c>
      <c r="E1119" s="104" t="s">
        <v>8170</v>
      </c>
      <c r="F1119" s="103" t="s">
        <v>4678</v>
      </c>
      <c r="G1119" s="103" t="s">
        <v>4679</v>
      </c>
      <c r="H1119" s="103" t="s">
        <v>8171</v>
      </c>
      <c r="I1119" s="103" t="s">
        <v>8172</v>
      </c>
      <c r="J1119" s="104" t="s">
        <v>8173</v>
      </c>
      <c r="K1119" s="105"/>
      <c r="L1119" s="105"/>
    </row>
    <row r="1120">
      <c r="A1120" s="103" t="s">
        <v>4676</v>
      </c>
      <c r="B1120" s="103">
        <v>1.10011058901E11</v>
      </c>
      <c r="C1120" s="105"/>
      <c r="D1120" s="104" t="s">
        <v>8169</v>
      </c>
      <c r="E1120" s="104" t="s">
        <v>8174</v>
      </c>
      <c r="F1120" s="103" t="s">
        <v>4678</v>
      </c>
      <c r="G1120" s="103" t="s">
        <v>4679</v>
      </c>
      <c r="H1120" s="103" t="s">
        <v>8175</v>
      </c>
      <c r="I1120" s="103" t="s">
        <v>8176</v>
      </c>
      <c r="J1120" s="104" t="s">
        <v>8177</v>
      </c>
      <c r="K1120" s="105"/>
      <c r="L1120" s="105"/>
    </row>
    <row r="1121">
      <c r="A1121" s="103" t="s">
        <v>4676</v>
      </c>
      <c r="B1121" s="103">
        <v>1.100110665E9</v>
      </c>
      <c r="C1121" s="105"/>
      <c r="D1121" s="104" t="s">
        <v>8178</v>
      </c>
      <c r="E1121" s="104" t="s">
        <v>8179</v>
      </c>
      <c r="F1121" s="103" t="s">
        <v>4678</v>
      </c>
      <c r="G1121" s="103" t="s">
        <v>4679</v>
      </c>
      <c r="H1121" s="103" t="s">
        <v>8180</v>
      </c>
      <c r="I1121" s="103">
        <v>3603331.0</v>
      </c>
      <c r="J1121" s="106"/>
      <c r="K1121" s="105"/>
      <c r="L1121" s="105"/>
    </row>
    <row r="1122">
      <c r="A1122" s="103" t="s">
        <v>4676</v>
      </c>
      <c r="B1122" s="103">
        <v>1.10011066502E11</v>
      </c>
      <c r="C1122" s="105"/>
      <c r="D1122" s="104" t="s">
        <v>8181</v>
      </c>
      <c r="E1122" s="106"/>
      <c r="F1122" s="103" t="s">
        <v>4678</v>
      </c>
      <c r="G1122" s="103" t="s">
        <v>4679</v>
      </c>
      <c r="H1122" s="103" t="s">
        <v>8180</v>
      </c>
      <c r="I1122" s="105"/>
      <c r="J1122" s="106"/>
      <c r="K1122" s="105"/>
      <c r="L1122" s="105"/>
    </row>
    <row r="1123">
      <c r="A1123" s="103" t="s">
        <v>4676</v>
      </c>
      <c r="B1123" s="103">
        <v>1.10011066503E11</v>
      </c>
      <c r="C1123" s="105"/>
      <c r="D1123" s="104" t="s">
        <v>8182</v>
      </c>
      <c r="E1123" s="106"/>
      <c r="F1123" s="103" t="s">
        <v>4678</v>
      </c>
      <c r="G1123" s="103" t="s">
        <v>4679</v>
      </c>
      <c r="H1123" s="103" t="s">
        <v>8183</v>
      </c>
      <c r="I1123" s="105"/>
      <c r="J1123" s="106"/>
      <c r="K1123" s="105"/>
      <c r="L1123" s="105"/>
    </row>
    <row r="1124">
      <c r="A1124" s="103" t="s">
        <v>4676</v>
      </c>
      <c r="B1124" s="103">
        <v>1.10011066504E11</v>
      </c>
      <c r="C1124" s="105"/>
      <c r="D1124" s="104" t="s">
        <v>8184</v>
      </c>
      <c r="E1124" s="106"/>
      <c r="F1124" s="103" t="s">
        <v>4678</v>
      </c>
      <c r="G1124" s="103" t="s">
        <v>4679</v>
      </c>
      <c r="H1124" s="103" t="s">
        <v>8185</v>
      </c>
      <c r="I1124" s="105"/>
      <c r="J1124" s="106"/>
      <c r="K1124" s="105"/>
      <c r="L1124" s="105"/>
    </row>
    <row r="1125">
      <c r="A1125" s="103" t="s">
        <v>4676</v>
      </c>
      <c r="B1125" s="103">
        <v>1.100110677E9</v>
      </c>
      <c r="C1125" s="105"/>
      <c r="D1125" s="104" t="s">
        <v>8186</v>
      </c>
      <c r="E1125" s="106"/>
      <c r="F1125" s="103" t="s">
        <v>4678</v>
      </c>
      <c r="G1125" s="103" t="s">
        <v>4679</v>
      </c>
      <c r="H1125" s="103" t="s">
        <v>8187</v>
      </c>
      <c r="I1125" s="103" t="s">
        <v>8188</v>
      </c>
      <c r="J1125" s="104" t="s">
        <v>8189</v>
      </c>
      <c r="K1125" s="105"/>
      <c r="L1125" s="105"/>
    </row>
    <row r="1126">
      <c r="A1126" s="103" t="s">
        <v>4676</v>
      </c>
      <c r="B1126" s="103">
        <v>1.10011067702E11</v>
      </c>
      <c r="C1126" s="105"/>
      <c r="D1126" s="104" t="s">
        <v>8190</v>
      </c>
      <c r="E1126" s="104" t="s">
        <v>8191</v>
      </c>
      <c r="F1126" s="103" t="s">
        <v>4678</v>
      </c>
      <c r="G1126" s="103" t="s">
        <v>4679</v>
      </c>
      <c r="H1126" s="103" t="s">
        <v>8192</v>
      </c>
      <c r="I1126" s="103" t="s">
        <v>8193</v>
      </c>
      <c r="J1126" s="104" t="s">
        <v>8189</v>
      </c>
      <c r="K1126" s="105"/>
      <c r="L1126" s="105"/>
    </row>
    <row r="1127">
      <c r="A1127" s="103" t="s">
        <v>4676</v>
      </c>
      <c r="B1127" s="103">
        <v>1.10011067704E11</v>
      </c>
      <c r="C1127" s="105"/>
      <c r="D1127" s="104" t="s">
        <v>8190</v>
      </c>
      <c r="E1127" s="104" t="s">
        <v>8191</v>
      </c>
      <c r="F1127" s="103" t="s">
        <v>4678</v>
      </c>
      <c r="G1127" s="103" t="s">
        <v>4679</v>
      </c>
      <c r="H1127" s="103" t="s">
        <v>8194</v>
      </c>
      <c r="I1127" s="103" t="s">
        <v>8195</v>
      </c>
      <c r="J1127" s="104" t="s">
        <v>8189</v>
      </c>
      <c r="K1127" s="105"/>
      <c r="L1127" s="105"/>
    </row>
    <row r="1128">
      <c r="A1128" s="103" t="s">
        <v>4676</v>
      </c>
      <c r="B1128" s="103">
        <v>1.10011067707E11</v>
      </c>
      <c r="C1128" s="105"/>
      <c r="D1128" s="104" t="s">
        <v>8190</v>
      </c>
      <c r="E1128" s="104" t="s">
        <v>8191</v>
      </c>
      <c r="F1128" s="103" t="s">
        <v>4678</v>
      </c>
      <c r="G1128" s="103" t="s">
        <v>4679</v>
      </c>
      <c r="H1128" s="103" t="s">
        <v>8196</v>
      </c>
      <c r="I1128" s="103" t="s">
        <v>8197</v>
      </c>
      <c r="J1128" s="104" t="s">
        <v>8189</v>
      </c>
      <c r="K1128" s="105"/>
      <c r="L1128" s="105"/>
    </row>
    <row r="1129">
      <c r="A1129" s="103" t="s">
        <v>4676</v>
      </c>
      <c r="B1129" s="103">
        <v>1.10011067708E11</v>
      </c>
      <c r="C1129" s="105"/>
      <c r="D1129" s="104" t="s">
        <v>8198</v>
      </c>
      <c r="E1129" s="104" t="s">
        <v>8191</v>
      </c>
      <c r="F1129" s="103" t="s">
        <v>4678</v>
      </c>
      <c r="G1129" s="103" t="s">
        <v>4679</v>
      </c>
      <c r="H1129" s="103" t="s">
        <v>8199</v>
      </c>
      <c r="I1129" s="103" t="s">
        <v>8200</v>
      </c>
      <c r="J1129" s="104" t="s">
        <v>8189</v>
      </c>
      <c r="K1129" s="105"/>
      <c r="L1129" s="105"/>
    </row>
    <row r="1130">
      <c r="A1130" s="103" t="s">
        <v>4676</v>
      </c>
      <c r="B1130" s="103">
        <v>1.10011067709E11</v>
      </c>
      <c r="C1130" s="105"/>
      <c r="D1130" s="104" t="s">
        <v>8201</v>
      </c>
      <c r="E1130" s="104" t="s">
        <v>8191</v>
      </c>
      <c r="F1130" s="103" t="s">
        <v>4678</v>
      </c>
      <c r="G1130" s="103" t="s">
        <v>4679</v>
      </c>
      <c r="H1130" s="103" t="s">
        <v>8202</v>
      </c>
      <c r="I1130" s="103" t="s">
        <v>8203</v>
      </c>
      <c r="J1130" s="104" t="s">
        <v>8189</v>
      </c>
      <c r="K1130" s="105"/>
      <c r="L1130" s="105"/>
    </row>
    <row r="1131">
      <c r="A1131" s="103" t="s">
        <v>4676</v>
      </c>
      <c r="B1131" s="103">
        <v>1.10011067711E11</v>
      </c>
      <c r="C1131" s="105"/>
      <c r="D1131" s="104" t="s">
        <v>8204</v>
      </c>
      <c r="E1131" s="104" t="s">
        <v>8191</v>
      </c>
      <c r="F1131" s="103" t="s">
        <v>4678</v>
      </c>
      <c r="G1131" s="103" t="s">
        <v>4679</v>
      </c>
      <c r="H1131" s="103" t="s">
        <v>8205</v>
      </c>
      <c r="I1131" s="103" t="s">
        <v>8206</v>
      </c>
      <c r="J1131" s="104" t="s">
        <v>8189</v>
      </c>
      <c r="K1131" s="105"/>
      <c r="L1131" s="105"/>
    </row>
    <row r="1132">
      <c r="A1132" s="103" t="s">
        <v>4676</v>
      </c>
      <c r="B1132" s="103">
        <v>1.10011067714E11</v>
      </c>
      <c r="C1132" s="105"/>
      <c r="D1132" s="104" t="s">
        <v>8207</v>
      </c>
      <c r="E1132" s="104" t="s">
        <v>8191</v>
      </c>
      <c r="F1132" s="103" t="s">
        <v>4678</v>
      </c>
      <c r="G1132" s="103" t="s">
        <v>4679</v>
      </c>
      <c r="H1132" s="103" t="s">
        <v>8208</v>
      </c>
      <c r="I1132" s="103" t="s">
        <v>8209</v>
      </c>
      <c r="J1132" s="104" t="s">
        <v>8189</v>
      </c>
      <c r="K1132" s="105"/>
      <c r="L1132" s="105"/>
    </row>
    <row r="1133">
      <c r="A1133" s="103" t="s">
        <v>4676</v>
      </c>
      <c r="B1133" s="103">
        <v>1.10011067715E11</v>
      </c>
      <c r="C1133" s="105"/>
      <c r="D1133" s="104" t="s">
        <v>8210</v>
      </c>
      <c r="E1133" s="104" t="s">
        <v>8191</v>
      </c>
      <c r="F1133" s="103" t="s">
        <v>4678</v>
      </c>
      <c r="G1133" s="103" t="s">
        <v>4679</v>
      </c>
      <c r="H1133" s="103" t="s">
        <v>8211</v>
      </c>
      <c r="I1133" s="103" t="s">
        <v>8212</v>
      </c>
      <c r="J1133" s="104" t="s">
        <v>8189</v>
      </c>
      <c r="K1133" s="105"/>
      <c r="L1133" s="105"/>
    </row>
    <row r="1134">
      <c r="A1134" s="103" t="s">
        <v>4676</v>
      </c>
      <c r="B1134" s="103">
        <v>1.10011067716E11</v>
      </c>
      <c r="C1134" s="105"/>
      <c r="D1134" s="104" t="s">
        <v>8190</v>
      </c>
      <c r="E1134" s="104" t="s">
        <v>8191</v>
      </c>
      <c r="F1134" s="103" t="s">
        <v>4678</v>
      </c>
      <c r="G1134" s="103" t="s">
        <v>4679</v>
      </c>
      <c r="H1134" s="103" t="s">
        <v>8213</v>
      </c>
      <c r="I1134" s="103" t="s">
        <v>8214</v>
      </c>
      <c r="J1134" s="104" t="s">
        <v>8189</v>
      </c>
      <c r="K1134" s="105"/>
      <c r="L1134" s="105"/>
    </row>
    <row r="1135">
      <c r="A1135" s="103" t="s">
        <v>4676</v>
      </c>
      <c r="B1135" s="103">
        <v>1.10011067717E11</v>
      </c>
      <c r="C1135" s="105"/>
      <c r="D1135" s="104" t="s">
        <v>8215</v>
      </c>
      <c r="E1135" s="104" t="s">
        <v>8191</v>
      </c>
      <c r="F1135" s="103" t="s">
        <v>4678</v>
      </c>
      <c r="G1135" s="103" t="s">
        <v>4679</v>
      </c>
      <c r="H1135" s="103" t="s">
        <v>8216</v>
      </c>
      <c r="I1135" s="103" t="s">
        <v>8217</v>
      </c>
      <c r="J1135" s="104" t="s">
        <v>8189</v>
      </c>
      <c r="K1135" s="105"/>
      <c r="L1135" s="105"/>
    </row>
    <row r="1136">
      <c r="A1136" s="103" t="s">
        <v>4676</v>
      </c>
      <c r="B1136" s="103">
        <v>1.10011067718E11</v>
      </c>
      <c r="C1136" s="105"/>
      <c r="D1136" s="104" t="s">
        <v>8190</v>
      </c>
      <c r="E1136" s="104" t="s">
        <v>8191</v>
      </c>
      <c r="F1136" s="103" t="s">
        <v>4678</v>
      </c>
      <c r="G1136" s="103" t="s">
        <v>4679</v>
      </c>
      <c r="H1136" s="103" t="s">
        <v>8218</v>
      </c>
      <c r="I1136" s="103" t="s">
        <v>8219</v>
      </c>
      <c r="J1136" s="104" t="s">
        <v>8189</v>
      </c>
      <c r="K1136" s="105"/>
      <c r="L1136" s="105"/>
    </row>
    <row r="1137">
      <c r="A1137" s="103" t="s">
        <v>4676</v>
      </c>
      <c r="B1137" s="103">
        <v>1.10011067719E11</v>
      </c>
      <c r="C1137" s="105"/>
      <c r="D1137" s="104" t="s">
        <v>8220</v>
      </c>
      <c r="E1137" s="104" t="s">
        <v>8191</v>
      </c>
      <c r="F1137" s="103" t="s">
        <v>4678</v>
      </c>
      <c r="G1137" s="103" t="s">
        <v>4679</v>
      </c>
      <c r="H1137" s="103" t="s">
        <v>8221</v>
      </c>
      <c r="I1137" s="103" t="s">
        <v>8222</v>
      </c>
      <c r="J1137" s="104" t="s">
        <v>8189</v>
      </c>
      <c r="K1137" s="105"/>
      <c r="L1137" s="105"/>
    </row>
    <row r="1138">
      <c r="A1138" s="103" t="s">
        <v>4676</v>
      </c>
      <c r="B1138" s="103">
        <v>1.1001106772E11</v>
      </c>
      <c r="C1138" s="105"/>
      <c r="D1138" s="104" t="s">
        <v>8223</v>
      </c>
      <c r="E1138" s="104" t="s">
        <v>8191</v>
      </c>
      <c r="F1138" s="103" t="s">
        <v>4678</v>
      </c>
      <c r="G1138" s="103" t="s">
        <v>4679</v>
      </c>
      <c r="H1138" s="103" t="s">
        <v>8224</v>
      </c>
      <c r="I1138" s="103" t="s">
        <v>8225</v>
      </c>
      <c r="J1138" s="104" t="s">
        <v>8189</v>
      </c>
      <c r="K1138" s="105"/>
      <c r="L1138" s="105"/>
    </row>
    <row r="1139">
      <c r="A1139" s="103" t="s">
        <v>4676</v>
      </c>
      <c r="B1139" s="103">
        <v>1.10011067722E11</v>
      </c>
      <c r="C1139" s="105"/>
      <c r="D1139" s="104" t="s">
        <v>8226</v>
      </c>
      <c r="E1139" s="104" t="s">
        <v>8191</v>
      </c>
      <c r="F1139" s="103" t="s">
        <v>4678</v>
      </c>
      <c r="G1139" s="103" t="s">
        <v>4679</v>
      </c>
      <c r="H1139" s="103" t="s">
        <v>8227</v>
      </c>
      <c r="I1139" s="103" t="s">
        <v>8228</v>
      </c>
      <c r="J1139" s="104" t="s">
        <v>8189</v>
      </c>
      <c r="K1139" s="105"/>
      <c r="L1139" s="105"/>
    </row>
    <row r="1140">
      <c r="A1140" s="103" t="s">
        <v>4676</v>
      </c>
      <c r="B1140" s="103">
        <v>1.10011067723E11</v>
      </c>
      <c r="C1140" s="105"/>
      <c r="D1140" s="104" t="s">
        <v>8229</v>
      </c>
      <c r="E1140" s="104" t="s">
        <v>8191</v>
      </c>
      <c r="F1140" s="103" t="s">
        <v>4678</v>
      </c>
      <c r="G1140" s="103" t="s">
        <v>4679</v>
      </c>
      <c r="H1140" s="103" t="s">
        <v>8230</v>
      </c>
      <c r="I1140" s="103" t="s">
        <v>8231</v>
      </c>
      <c r="J1140" s="104" t="s">
        <v>8189</v>
      </c>
      <c r="K1140" s="105"/>
      <c r="L1140" s="105"/>
    </row>
    <row r="1141">
      <c r="A1141" s="103" t="s">
        <v>4676</v>
      </c>
      <c r="B1141" s="103">
        <v>1.10011067724E11</v>
      </c>
      <c r="C1141" s="105"/>
      <c r="D1141" s="104" t="s">
        <v>8232</v>
      </c>
      <c r="E1141" s="104" t="s">
        <v>8191</v>
      </c>
      <c r="F1141" s="103" t="s">
        <v>4678</v>
      </c>
      <c r="G1141" s="103" t="s">
        <v>4679</v>
      </c>
      <c r="H1141" s="103" t="s">
        <v>8233</v>
      </c>
      <c r="I1141" s="103" t="s">
        <v>8234</v>
      </c>
      <c r="J1141" s="104" t="s">
        <v>8189</v>
      </c>
      <c r="K1141" s="105"/>
      <c r="L1141" s="105"/>
    </row>
    <row r="1142">
      <c r="A1142" s="103" t="s">
        <v>4676</v>
      </c>
      <c r="B1142" s="103">
        <v>1.10011067725E11</v>
      </c>
      <c r="C1142" s="105"/>
      <c r="D1142" s="104" t="s">
        <v>8235</v>
      </c>
      <c r="E1142" s="104" t="s">
        <v>8191</v>
      </c>
      <c r="F1142" s="103" t="s">
        <v>4678</v>
      </c>
      <c r="G1142" s="103" t="s">
        <v>4679</v>
      </c>
      <c r="H1142" s="103" t="s">
        <v>8236</v>
      </c>
      <c r="I1142" s="103" t="s">
        <v>8237</v>
      </c>
      <c r="J1142" s="104" t="s">
        <v>8189</v>
      </c>
      <c r="K1142" s="105"/>
      <c r="L1142" s="105"/>
    </row>
    <row r="1143">
      <c r="A1143" s="103" t="s">
        <v>4676</v>
      </c>
      <c r="B1143" s="103">
        <v>1.10011067726E11</v>
      </c>
      <c r="C1143" s="105"/>
      <c r="D1143" s="104" t="s">
        <v>8238</v>
      </c>
      <c r="E1143" s="104" t="s">
        <v>8191</v>
      </c>
      <c r="F1143" s="103" t="s">
        <v>4678</v>
      </c>
      <c r="G1143" s="103" t="s">
        <v>4679</v>
      </c>
      <c r="H1143" s="103" t="s">
        <v>8239</v>
      </c>
      <c r="I1143" s="103" t="s">
        <v>8240</v>
      </c>
      <c r="J1143" s="104" t="s">
        <v>8189</v>
      </c>
      <c r="K1143" s="105"/>
      <c r="L1143" s="105"/>
    </row>
    <row r="1144">
      <c r="A1144" s="103" t="s">
        <v>4676</v>
      </c>
      <c r="B1144" s="103">
        <v>1.10011067727E11</v>
      </c>
      <c r="C1144" s="105"/>
      <c r="D1144" s="104" t="s">
        <v>8241</v>
      </c>
      <c r="E1144" s="104" t="s">
        <v>8191</v>
      </c>
      <c r="F1144" s="103" t="s">
        <v>4678</v>
      </c>
      <c r="G1144" s="103" t="s">
        <v>4679</v>
      </c>
      <c r="H1144" s="103" t="s">
        <v>8242</v>
      </c>
      <c r="I1144" s="103" t="s">
        <v>8243</v>
      </c>
      <c r="J1144" s="104" t="s">
        <v>8189</v>
      </c>
      <c r="K1144" s="105"/>
      <c r="L1144" s="105"/>
    </row>
    <row r="1145">
      <c r="A1145" s="103" t="s">
        <v>4676</v>
      </c>
      <c r="B1145" s="103">
        <v>1.10011067728E11</v>
      </c>
      <c r="C1145" s="105"/>
      <c r="D1145" s="104" t="s">
        <v>8244</v>
      </c>
      <c r="E1145" s="104" t="s">
        <v>8191</v>
      </c>
      <c r="F1145" s="103" t="s">
        <v>4678</v>
      </c>
      <c r="G1145" s="103" t="s">
        <v>4679</v>
      </c>
      <c r="H1145" s="103" t="s">
        <v>8245</v>
      </c>
      <c r="I1145" s="103" t="s">
        <v>8246</v>
      </c>
      <c r="J1145" s="104" t="s">
        <v>8189</v>
      </c>
      <c r="K1145" s="105"/>
      <c r="L1145" s="105"/>
    </row>
    <row r="1146">
      <c r="A1146" s="103" t="s">
        <v>4676</v>
      </c>
      <c r="B1146" s="103">
        <v>1.100110816E9</v>
      </c>
      <c r="C1146" s="105"/>
      <c r="D1146" s="104" t="s">
        <v>8247</v>
      </c>
      <c r="E1146" s="104" t="s">
        <v>8248</v>
      </c>
      <c r="F1146" s="103" t="s">
        <v>4678</v>
      </c>
      <c r="G1146" s="103" t="s">
        <v>4679</v>
      </c>
      <c r="H1146" s="103" t="s">
        <v>8249</v>
      </c>
      <c r="I1146" s="103">
        <v>6233368.0</v>
      </c>
      <c r="J1146" s="104" t="s">
        <v>8250</v>
      </c>
      <c r="K1146" s="105"/>
      <c r="L1146" s="105"/>
    </row>
    <row r="1147">
      <c r="A1147" s="103" t="s">
        <v>4676</v>
      </c>
      <c r="B1147" s="103">
        <v>1.10011081601E11</v>
      </c>
      <c r="C1147" s="105"/>
      <c r="D1147" s="104" t="s">
        <v>8247</v>
      </c>
      <c r="E1147" s="106"/>
      <c r="F1147" s="103" t="s">
        <v>4678</v>
      </c>
      <c r="G1147" s="103" t="s">
        <v>4679</v>
      </c>
      <c r="H1147" s="103" t="s">
        <v>8251</v>
      </c>
      <c r="I1147" s="103">
        <v>6233368.0</v>
      </c>
      <c r="J1147" s="104" t="s">
        <v>8250</v>
      </c>
      <c r="K1147" s="105"/>
      <c r="L1147" s="105"/>
    </row>
    <row r="1148">
      <c r="A1148" s="103" t="s">
        <v>4676</v>
      </c>
      <c r="B1148" s="103">
        <v>1.100110861E9</v>
      </c>
      <c r="C1148" s="105"/>
      <c r="D1148" s="104" t="s">
        <v>8252</v>
      </c>
      <c r="E1148" s="104" t="s">
        <v>8253</v>
      </c>
      <c r="F1148" s="103" t="s">
        <v>4678</v>
      </c>
      <c r="G1148" s="103" t="s">
        <v>4679</v>
      </c>
      <c r="H1148" s="103" t="s">
        <v>8254</v>
      </c>
      <c r="I1148" s="103" t="s">
        <v>8255</v>
      </c>
      <c r="J1148" s="104" t="s">
        <v>8256</v>
      </c>
      <c r="K1148" s="105"/>
      <c r="L1148" s="105"/>
    </row>
    <row r="1149">
      <c r="A1149" s="103" t="s">
        <v>4676</v>
      </c>
      <c r="B1149" s="103">
        <v>1.10011086102E11</v>
      </c>
      <c r="C1149" s="105"/>
      <c r="D1149" s="104" t="s">
        <v>8257</v>
      </c>
      <c r="E1149" s="104" t="s">
        <v>8258</v>
      </c>
      <c r="F1149" s="103" t="s">
        <v>4678</v>
      </c>
      <c r="G1149" s="103" t="s">
        <v>4679</v>
      </c>
      <c r="H1149" s="103" t="s">
        <v>8254</v>
      </c>
      <c r="I1149" s="103">
        <v>6168152.0</v>
      </c>
      <c r="J1149" s="104" t="s">
        <v>8256</v>
      </c>
      <c r="K1149" s="105"/>
      <c r="L1149" s="105"/>
    </row>
    <row r="1150">
      <c r="A1150" s="103" t="s">
        <v>4676</v>
      </c>
      <c r="B1150" s="103">
        <v>1.10011086107E11</v>
      </c>
      <c r="C1150" s="105"/>
      <c r="D1150" s="104" t="s">
        <v>8259</v>
      </c>
      <c r="E1150" s="104" t="s">
        <v>8258</v>
      </c>
      <c r="F1150" s="103" t="s">
        <v>4678</v>
      </c>
      <c r="G1150" s="103" t="s">
        <v>4679</v>
      </c>
      <c r="H1150" s="103" t="s">
        <v>8260</v>
      </c>
      <c r="I1150" s="103" t="s">
        <v>8261</v>
      </c>
      <c r="J1150" s="104" t="s">
        <v>8256</v>
      </c>
      <c r="K1150" s="105"/>
      <c r="L1150" s="105"/>
    </row>
    <row r="1151">
      <c r="A1151" s="103" t="s">
        <v>4676</v>
      </c>
      <c r="B1151" s="103">
        <v>1.100110863E9</v>
      </c>
      <c r="C1151" s="105"/>
      <c r="D1151" s="104" t="s">
        <v>8262</v>
      </c>
      <c r="E1151" s="106"/>
      <c r="F1151" s="103" t="s">
        <v>4678</v>
      </c>
      <c r="G1151" s="103" t="s">
        <v>4679</v>
      </c>
      <c r="H1151" s="103" t="s">
        <v>8263</v>
      </c>
      <c r="I1151" s="103">
        <v>3.113812985E9</v>
      </c>
      <c r="J1151" s="104" t="s">
        <v>8264</v>
      </c>
      <c r="K1151" s="105"/>
      <c r="L1151" s="105"/>
    </row>
    <row r="1152">
      <c r="A1152" s="103" t="s">
        <v>4676</v>
      </c>
      <c r="B1152" s="103">
        <v>1.10011086301E11</v>
      </c>
      <c r="C1152" s="105"/>
      <c r="D1152" s="104" t="s">
        <v>8265</v>
      </c>
      <c r="E1152" s="104" t="s">
        <v>8266</v>
      </c>
      <c r="F1152" s="103" t="s">
        <v>4678</v>
      </c>
      <c r="G1152" s="103" t="s">
        <v>4679</v>
      </c>
      <c r="H1152" s="103" t="s">
        <v>8263</v>
      </c>
      <c r="I1152" s="103">
        <v>3.113812985E9</v>
      </c>
      <c r="J1152" s="104" t="s">
        <v>8264</v>
      </c>
      <c r="K1152" s="105"/>
      <c r="L1152" s="105"/>
    </row>
    <row r="1153">
      <c r="A1153" s="103" t="s">
        <v>4676</v>
      </c>
      <c r="B1153" s="103">
        <v>1.10011086302E11</v>
      </c>
      <c r="C1153" s="105"/>
      <c r="D1153" s="104" t="s">
        <v>8267</v>
      </c>
      <c r="E1153" s="104" t="s">
        <v>8266</v>
      </c>
      <c r="F1153" s="103" t="s">
        <v>4678</v>
      </c>
      <c r="G1153" s="103" t="s">
        <v>4679</v>
      </c>
      <c r="H1153" s="103" t="s">
        <v>8268</v>
      </c>
      <c r="I1153" s="103">
        <v>3.113812985E9</v>
      </c>
      <c r="J1153" s="104" t="s">
        <v>8264</v>
      </c>
      <c r="K1153" s="105"/>
      <c r="L1153" s="105"/>
    </row>
    <row r="1154">
      <c r="A1154" s="103" t="s">
        <v>4676</v>
      </c>
      <c r="B1154" s="103">
        <v>1.100110879E9</v>
      </c>
      <c r="C1154" s="105"/>
      <c r="D1154" s="104" t="s">
        <v>8269</v>
      </c>
      <c r="E1154" s="104" t="s">
        <v>8270</v>
      </c>
      <c r="F1154" s="103" t="s">
        <v>4678</v>
      </c>
      <c r="G1154" s="103" t="s">
        <v>4679</v>
      </c>
      <c r="H1154" s="103" t="s">
        <v>8271</v>
      </c>
      <c r="I1154" s="103">
        <v>3077098.0</v>
      </c>
      <c r="J1154" s="104" t="s">
        <v>8272</v>
      </c>
      <c r="K1154" s="107" t="s">
        <v>8273</v>
      </c>
      <c r="L1154" s="105"/>
    </row>
    <row r="1155">
      <c r="A1155" s="103" t="s">
        <v>4676</v>
      </c>
      <c r="B1155" s="103">
        <v>1.10011087901E11</v>
      </c>
      <c r="C1155" s="105"/>
      <c r="D1155" s="104" t="s">
        <v>8274</v>
      </c>
      <c r="E1155" s="104" t="s">
        <v>8275</v>
      </c>
      <c r="F1155" s="103" t="s">
        <v>4678</v>
      </c>
      <c r="G1155" s="103" t="s">
        <v>4679</v>
      </c>
      <c r="H1155" s="103" t="s">
        <v>8276</v>
      </c>
      <c r="I1155" s="103">
        <v>3077098.0</v>
      </c>
      <c r="J1155" s="104" t="s">
        <v>8272</v>
      </c>
      <c r="K1155" s="105"/>
      <c r="L1155" s="105"/>
    </row>
    <row r="1156">
      <c r="A1156" s="103" t="s">
        <v>4676</v>
      </c>
      <c r="B1156" s="103">
        <v>1.10011087902E11</v>
      </c>
      <c r="C1156" s="105"/>
      <c r="D1156" s="104" t="s">
        <v>8277</v>
      </c>
      <c r="E1156" s="104" t="s">
        <v>8275</v>
      </c>
      <c r="F1156" s="103" t="s">
        <v>4678</v>
      </c>
      <c r="G1156" s="103" t="s">
        <v>4679</v>
      </c>
      <c r="H1156" s="103" t="s">
        <v>8278</v>
      </c>
      <c r="I1156" s="103">
        <v>5190219.0</v>
      </c>
      <c r="J1156" s="104" t="s">
        <v>8272</v>
      </c>
      <c r="K1156" s="105"/>
      <c r="L1156" s="105"/>
    </row>
    <row r="1157">
      <c r="A1157" s="103" t="s">
        <v>4676</v>
      </c>
      <c r="B1157" s="103">
        <v>1.10011087903E11</v>
      </c>
      <c r="C1157" s="105"/>
      <c r="D1157" s="104" t="s">
        <v>8279</v>
      </c>
      <c r="E1157" s="104" t="s">
        <v>8275</v>
      </c>
      <c r="F1157" s="103" t="s">
        <v>4678</v>
      </c>
      <c r="G1157" s="103" t="s">
        <v>4679</v>
      </c>
      <c r="H1157" s="103" t="s">
        <v>8280</v>
      </c>
      <c r="I1157" s="103">
        <v>6.013559675E9</v>
      </c>
      <c r="J1157" s="104" t="s">
        <v>8272</v>
      </c>
      <c r="K1157" s="105"/>
      <c r="L1157" s="105"/>
    </row>
    <row r="1158">
      <c r="A1158" s="103" t="s">
        <v>4676</v>
      </c>
      <c r="B1158" s="103">
        <v>1.100110909E9</v>
      </c>
      <c r="C1158" s="105"/>
      <c r="D1158" s="104" t="s">
        <v>8281</v>
      </c>
      <c r="E1158" s="106"/>
      <c r="F1158" s="103" t="s">
        <v>4678</v>
      </c>
      <c r="G1158" s="103" t="s">
        <v>4679</v>
      </c>
      <c r="H1158" s="103" t="s">
        <v>8282</v>
      </c>
      <c r="I1158" s="103">
        <v>7946539.0</v>
      </c>
      <c r="J1158" s="104" t="s">
        <v>8283</v>
      </c>
      <c r="K1158" s="105"/>
      <c r="L1158" s="105"/>
    </row>
    <row r="1159">
      <c r="A1159" s="103" t="s">
        <v>4676</v>
      </c>
      <c r="B1159" s="103">
        <v>1.10011090901E11</v>
      </c>
      <c r="C1159" s="105"/>
      <c r="D1159" s="104" t="s">
        <v>8281</v>
      </c>
      <c r="E1159" s="104" t="s">
        <v>8284</v>
      </c>
      <c r="F1159" s="103" t="s">
        <v>4678</v>
      </c>
      <c r="G1159" s="103" t="s">
        <v>4679</v>
      </c>
      <c r="H1159" s="103" t="s">
        <v>8282</v>
      </c>
      <c r="I1159" s="103">
        <v>6104900.0</v>
      </c>
      <c r="J1159" s="104" t="s">
        <v>8285</v>
      </c>
      <c r="K1159" s="105"/>
      <c r="L1159" s="105"/>
    </row>
    <row r="1160">
      <c r="A1160" s="103" t="s">
        <v>4676</v>
      </c>
      <c r="B1160" s="103">
        <v>1.100110939E9</v>
      </c>
      <c r="C1160" s="105"/>
      <c r="D1160" s="104" t="s">
        <v>8286</v>
      </c>
      <c r="E1160" s="106"/>
      <c r="F1160" s="103" t="s">
        <v>4678</v>
      </c>
      <c r="G1160" s="103" t="s">
        <v>4679</v>
      </c>
      <c r="H1160" s="103" t="s">
        <v>8287</v>
      </c>
      <c r="I1160" s="103">
        <v>2583209.0</v>
      </c>
      <c r="J1160" s="104" t="s">
        <v>8288</v>
      </c>
      <c r="K1160" s="107" t="s">
        <v>8289</v>
      </c>
      <c r="L1160" s="105"/>
    </row>
    <row r="1161">
      <c r="A1161" s="103" t="s">
        <v>4676</v>
      </c>
      <c r="B1161" s="103">
        <v>1.10011093901E11</v>
      </c>
      <c r="C1161" s="105"/>
      <c r="D1161" s="104" t="s">
        <v>8286</v>
      </c>
      <c r="E1161" s="104" t="s">
        <v>8290</v>
      </c>
      <c r="F1161" s="103" t="s">
        <v>4678</v>
      </c>
      <c r="G1161" s="103" t="s">
        <v>4679</v>
      </c>
      <c r="H1161" s="103" t="s">
        <v>8287</v>
      </c>
      <c r="I1161" s="103">
        <v>2583209.0</v>
      </c>
      <c r="J1161" s="104" t="s">
        <v>8288</v>
      </c>
      <c r="K1161" s="105"/>
      <c r="L1161" s="105"/>
    </row>
    <row r="1162">
      <c r="A1162" s="103" t="s">
        <v>4676</v>
      </c>
      <c r="B1162" s="103">
        <v>1.10011093902E11</v>
      </c>
      <c r="C1162" s="105"/>
      <c r="D1162" s="104" t="s">
        <v>8291</v>
      </c>
      <c r="E1162" s="104" t="s">
        <v>8290</v>
      </c>
      <c r="F1162" s="103" t="s">
        <v>4678</v>
      </c>
      <c r="G1162" s="103" t="s">
        <v>4679</v>
      </c>
      <c r="H1162" s="103" t="s">
        <v>8292</v>
      </c>
      <c r="I1162" s="103" t="s">
        <v>8293</v>
      </c>
      <c r="J1162" s="104" t="s">
        <v>8288</v>
      </c>
      <c r="K1162" s="105"/>
      <c r="L1162" s="105"/>
    </row>
    <row r="1163">
      <c r="A1163" s="103" t="s">
        <v>4676</v>
      </c>
      <c r="B1163" s="103">
        <v>1.100111022E9</v>
      </c>
      <c r="C1163" s="105"/>
      <c r="D1163" s="104" t="s">
        <v>8294</v>
      </c>
      <c r="E1163" s="104" t="s">
        <v>8295</v>
      </c>
      <c r="F1163" s="103" t="s">
        <v>4678</v>
      </c>
      <c r="G1163" s="103" t="s">
        <v>4679</v>
      </c>
      <c r="H1163" s="103" t="s">
        <v>8296</v>
      </c>
      <c r="I1163" s="103">
        <v>6760077.0</v>
      </c>
      <c r="J1163" s="106"/>
      <c r="K1163" s="105"/>
      <c r="L1163" s="105"/>
    </row>
    <row r="1164">
      <c r="A1164" s="103" t="s">
        <v>4676</v>
      </c>
      <c r="B1164" s="103">
        <v>1.10011102201E11</v>
      </c>
      <c r="C1164" s="105"/>
      <c r="D1164" s="104" t="s">
        <v>8294</v>
      </c>
      <c r="E1164" s="106"/>
      <c r="F1164" s="103" t="s">
        <v>4678</v>
      </c>
      <c r="G1164" s="103" t="s">
        <v>4679</v>
      </c>
      <c r="H1164" s="103" t="s">
        <v>8297</v>
      </c>
      <c r="I1164" s="105"/>
      <c r="J1164" s="106"/>
      <c r="K1164" s="105"/>
      <c r="L1164" s="105"/>
    </row>
    <row r="1165">
      <c r="A1165" s="103" t="s">
        <v>4676</v>
      </c>
      <c r="B1165" s="103">
        <v>1.100111045E9</v>
      </c>
      <c r="C1165" s="105"/>
      <c r="D1165" s="104" t="s">
        <v>8298</v>
      </c>
      <c r="E1165" s="104" t="s">
        <v>8299</v>
      </c>
      <c r="F1165" s="103" t="s">
        <v>4678</v>
      </c>
      <c r="G1165" s="103" t="s">
        <v>4679</v>
      </c>
      <c r="H1165" s="103" t="s">
        <v>8300</v>
      </c>
      <c r="I1165" s="103">
        <v>7820470.0</v>
      </c>
      <c r="J1165" s="104" t="s">
        <v>8301</v>
      </c>
      <c r="K1165" s="105"/>
      <c r="L1165" s="105"/>
    </row>
    <row r="1166">
      <c r="A1166" s="103" t="s">
        <v>4676</v>
      </c>
      <c r="B1166" s="103">
        <v>1.10011104501E11</v>
      </c>
      <c r="C1166" s="105"/>
      <c r="D1166" s="104" t="s">
        <v>8302</v>
      </c>
      <c r="E1166" s="106"/>
      <c r="F1166" s="103" t="s">
        <v>4678</v>
      </c>
      <c r="G1166" s="103" t="s">
        <v>4679</v>
      </c>
      <c r="H1166" s="103" t="s">
        <v>8300</v>
      </c>
      <c r="I1166" s="103">
        <v>7820470.0</v>
      </c>
      <c r="J1166" s="104" t="s">
        <v>8301</v>
      </c>
      <c r="K1166" s="105"/>
      <c r="L1166" s="105"/>
    </row>
    <row r="1167">
      <c r="A1167" s="103" t="s">
        <v>4676</v>
      </c>
      <c r="B1167" s="103">
        <v>1.100111048E9</v>
      </c>
      <c r="C1167" s="105"/>
      <c r="D1167" s="104" t="s">
        <v>8303</v>
      </c>
      <c r="E1167" s="104" t="s">
        <v>8304</v>
      </c>
      <c r="F1167" s="103" t="s">
        <v>4678</v>
      </c>
      <c r="G1167" s="103" t="s">
        <v>4679</v>
      </c>
      <c r="H1167" s="103" t="s">
        <v>8305</v>
      </c>
      <c r="I1167" s="103" t="s">
        <v>8306</v>
      </c>
      <c r="J1167" s="104" t="s">
        <v>8307</v>
      </c>
      <c r="K1167" s="107" t="s">
        <v>8308</v>
      </c>
      <c r="L1167" s="105"/>
    </row>
    <row r="1168">
      <c r="A1168" s="103" t="s">
        <v>4676</v>
      </c>
      <c r="B1168" s="103">
        <v>1.10011104801E11</v>
      </c>
      <c r="C1168" s="105"/>
      <c r="D1168" s="104" t="s">
        <v>8309</v>
      </c>
      <c r="E1168" s="104" t="s">
        <v>8310</v>
      </c>
      <c r="F1168" s="103" t="s">
        <v>4678</v>
      </c>
      <c r="G1168" s="103" t="s">
        <v>4679</v>
      </c>
      <c r="H1168" s="103" t="s">
        <v>8311</v>
      </c>
      <c r="I1168" s="103" t="s">
        <v>8306</v>
      </c>
      <c r="J1168" s="104" t="s">
        <v>8307</v>
      </c>
      <c r="K1168" s="105"/>
      <c r="L1168" s="105"/>
    </row>
    <row r="1169">
      <c r="A1169" s="103" t="s">
        <v>4676</v>
      </c>
      <c r="B1169" s="103">
        <v>1.10011104802E11</v>
      </c>
      <c r="C1169" s="105"/>
      <c r="D1169" s="104" t="s">
        <v>8312</v>
      </c>
      <c r="E1169" s="104" t="s">
        <v>8310</v>
      </c>
      <c r="F1169" s="103" t="s">
        <v>4678</v>
      </c>
      <c r="G1169" s="103" t="s">
        <v>4679</v>
      </c>
      <c r="H1169" s="103" t="s">
        <v>8313</v>
      </c>
      <c r="I1169" s="103" t="s">
        <v>8314</v>
      </c>
      <c r="J1169" s="104" t="s">
        <v>8307</v>
      </c>
      <c r="K1169" s="105"/>
      <c r="L1169" s="105"/>
    </row>
    <row r="1170">
      <c r="A1170" s="103" t="s">
        <v>4676</v>
      </c>
      <c r="B1170" s="103">
        <v>1.10011104803E11</v>
      </c>
      <c r="C1170" s="105"/>
      <c r="D1170" s="104" t="s">
        <v>8315</v>
      </c>
      <c r="E1170" s="104" t="s">
        <v>8310</v>
      </c>
      <c r="F1170" s="103" t="s">
        <v>4678</v>
      </c>
      <c r="G1170" s="103" t="s">
        <v>4679</v>
      </c>
      <c r="H1170" s="103" t="s">
        <v>8316</v>
      </c>
      <c r="I1170" s="103" t="s">
        <v>8306</v>
      </c>
      <c r="J1170" s="104" t="s">
        <v>8317</v>
      </c>
      <c r="K1170" s="105"/>
      <c r="L1170" s="105"/>
    </row>
    <row r="1171">
      <c r="A1171" s="103" t="s">
        <v>4676</v>
      </c>
      <c r="B1171" s="103">
        <v>1.10011104804E11</v>
      </c>
      <c r="C1171" s="105"/>
      <c r="D1171" s="104" t="s">
        <v>8318</v>
      </c>
      <c r="E1171" s="104" t="s">
        <v>8310</v>
      </c>
      <c r="F1171" s="103" t="s">
        <v>4678</v>
      </c>
      <c r="G1171" s="103" t="s">
        <v>4679</v>
      </c>
      <c r="H1171" s="103" t="s">
        <v>8319</v>
      </c>
      <c r="I1171" s="103" t="s">
        <v>8306</v>
      </c>
      <c r="J1171" s="104" t="s">
        <v>8307</v>
      </c>
      <c r="K1171" s="105"/>
      <c r="L1171" s="105"/>
    </row>
    <row r="1172">
      <c r="A1172" s="103" t="s">
        <v>4676</v>
      </c>
      <c r="B1172" s="103">
        <v>1.10011104805E11</v>
      </c>
      <c r="C1172" s="105"/>
      <c r="D1172" s="104" t="s">
        <v>8320</v>
      </c>
      <c r="E1172" s="104" t="s">
        <v>8310</v>
      </c>
      <c r="F1172" s="103" t="s">
        <v>4678</v>
      </c>
      <c r="G1172" s="103" t="s">
        <v>4679</v>
      </c>
      <c r="H1172" s="103" t="s">
        <v>8321</v>
      </c>
      <c r="I1172" s="103" t="s">
        <v>8306</v>
      </c>
      <c r="J1172" s="104" t="s">
        <v>8307</v>
      </c>
      <c r="K1172" s="105"/>
      <c r="L1172" s="105"/>
    </row>
    <row r="1173">
      <c r="A1173" s="103" t="s">
        <v>4676</v>
      </c>
      <c r="B1173" s="103">
        <v>1.10011104806E11</v>
      </c>
      <c r="C1173" s="105"/>
      <c r="D1173" s="104" t="s">
        <v>8322</v>
      </c>
      <c r="E1173" s="104" t="s">
        <v>8310</v>
      </c>
      <c r="F1173" s="103" t="s">
        <v>4678</v>
      </c>
      <c r="G1173" s="103" t="s">
        <v>4679</v>
      </c>
      <c r="H1173" s="103" t="s">
        <v>8323</v>
      </c>
      <c r="I1173" s="103" t="s">
        <v>8306</v>
      </c>
      <c r="J1173" s="104" t="s">
        <v>8307</v>
      </c>
      <c r="K1173" s="105"/>
      <c r="L1173" s="105"/>
    </row>
    <row r="1174">
      <c r="A1174" s="103" t="s">
        <v>4676</v>
      </c>
      <c r="B1174" s="103">
        <v>1.10011104808E11</v>
      </c>
      <c r="C1174" s="105"/>
      <c r="D1174" s="104" t="s">
        <v>8324</v>
      </c>
      <c r="E1174" s="104" t="s">
        <v>8325</v>
      </c>
      <c r="F1174" s="103" t="s">
        <v>4678</v>
      </c>
      <c r="G1174" s="103" t="s">
        <v>4679</v>
      </c>
      <c r="H1174" s="103" t="s">
        <v>8326</v>
      </c>
      <c r="I1174" s="103" t="s">
        <v>8306</v>
      </c>
      <c r="J1174" s="104" t="s">
        <v>8307</v>
      </c>
      <c r="K1174" s="105"/>
      <c r="L1174" s="105"/>
    </row>
    <row r="1175">
      <c r="A1175" s="103" t="s">
        <v>4676</v>
      </c>
      <c r="B1175" s="103">
        <v>1.10011104809E11</v>
      </c>
      <c r="C1175" s="105"/>
      <c r="D1175" s="104" t="s">
        <v>8327</v>
      </c>
      <c r="E1175" s="104" t="s">
        <v>8328</v>
      </c>
      <c r="F1175" s="103" t="s">
        <v>4678</v>
      </c>
      <c r="G1175" s="103" t="s">
        <v>4679</v>
      </c>
      <c r="H1175" s="103" t="s">
        <v>8329</v>
      </c>
      <c r="I1175" s="103" t="s">
        <v>8306</v>
      </c>
      <c r="J1175" s="104" t="s">
        <v>8307</v>
      </c>
      <c r="K1175" s="105"/>
      <c r="L1175" s="105"/>
    </row>
    <row r="1176">
      <c r="A1176" s="103" t="s">
        <v>4676</v>
      </c>
      <c r="B1176" s="103">
        <v>1.1001110481E11</v>
      </c>
      <c r="C1176" s="105"/>
      <c r="D1176" s="104" t="s">
        <v>8330</v>
      </c>
      <c r="E1176" s="104" t="s">
        <v>8331</v>
      </c>
      <c r="F1176" s="103" t="s">
        <v>4678</v>
      </c>
      <c r="G1176" s="103" t="s">
        <v>4679</v>
      </c>
      <c r="H1176" s="103" t="s">
        <v>8332</v>
      </c>
      <c r="I1176" s="103" t="s">
        <v>8306</v>
      </c>
      <c r="J1176" s="104" t="s">
        <v>8307</v>
      </c>
      <c r="K1176" s="105"/>
      <c r="L1176" s="105"/>
    </row>
    <row r="1177">
      <c r="A1177" s="103" t="s">
        <v>4676</v>
      </c>
      <c r="B1177" s="103">
        <v>1.10011104811E11</v>
      </c>
      <c r="C1177" s="105"/>
      <c r="D1177" s="104" t="s">
        <v>8333</v>
      </c>
      <c r="E1177" s="104" t="s">
        <v>8334</v>
      </c>
      <c r="F1177" s="103" t="s">
        <v>4678</v>
      </c>
      <c r="G1177" s="103" t="s">
        <v>4679</v>
      </c>
      <c r="H1177" s="103" t="s">
        <v>8335</v>
      </c>
      <c r="I1177" s="103" t="s">
        <v>8306</v>
      </c>
      <c r="J1177" s="104" t="s">
        <v>8317</v>
      </c>
      <c r="K1177" s="105"/>
      <c r="L1177" s="105"/>
    </row>
    <row r="1178">
      <c r="A1178" s="103" t="s">
        <v>4676</v>
      </c>
      <c r="B1178" s="103">
        <v>1.10011104812E11</v>
      </c>
      <c r="C1178" s="105"/>
      <c r="D1178" s="104" t="s">
        <v>8336</v>
      </c>
      <c r="E1178" s="104" t="s">
        <v>8337</v>
      </c>
      <c r="F1178" s="103" t="s">
        <v>4678</v>
      </c>
      <c r="G1178" s="103" t="s">
        <v>4679</v>
      </c>
      <c r="H1178" s="103" t="s">
        <v>8338</v>
      </c>
      <c r="I1178" s="103">
        <v>7443001.0</v>
      </c>
      <c r="J1178" s="104" t="s">
        <v>8307</v>
      </c>
      <c r="K1178" s="105"/>
      <c r="L1178" s="105"/>
    </row>
    <row r="1179">
      <c r="A1179" s="103" t="s">
        <v>4676</v>
      </c>
      <c r="B1179" s="103">
        <v>1.10011104813E11</v>
      </c>
      <c r="C1179" s="105"/>
      <c r="D1179" s="104" t="s">
        <v>8339</v>
      </c>
      <c r="E1179" s="104" t="s">
        <v>8334</v>
      </c>
      <c r="F1179" s="103" t="s">
        <v>4678</v>
      </c>
      <c r="G1179" s="103" t="s">
        <v>4679</v>
      </c>
      <c r="H1179" s="103" t="s">
        <v>8340</v>
      </c>
      <c r="I1179" s="103">
        <v>3.132330205E9</v>
      </c>
      <c r="J1179" s="104" t="s">
        <v>8307</v>
      </c>
      <c r="K1179" s="105"/>
      <c r="L1179" s="105"/>
    </row>
    <row r="1180">
      <c r="A1180" s="103" t="s">
        <v>4676</v>
      </c>
      <c r="B1180" s="103">
        <v>1.100111076E9</v>
      </c>
      <c r="C1180" s="105"/>
      <c r="D1180" s="104" t="s">
        <v>8341</v>
      </c>
      <c r="E1180" s="104" t="s">
        <v>8342</v>
      </c>
      <c r="F1180" s="103" t="s">
        <v>4678</v>
      </c>
      <c r="G1180" s="103" t="s">
        <v>4679</v>
      </c>
      <c r="H1180" s="103" t="s">
        <v>8343</v>
      </c>
      <c r="I1180" s="103">
        <v>6917272.0</v>
      </c>
      <c r="J1180" s="104" t="s">
        <v>8344</v>
      </c>
      <c r="K1180" s="105"/>
      <c r="L1180" s="105"/>
    </row>
    <row r="1181">
      <c r="A1181" s="103" t="s">
        <v>4676</v>
      </c>
      <c r="B1181" s="103">
        <v>1.10011107601E11</v>
      </c>
      <c r="C1181" s="105"/>
      <c r="D1181" s="104" t="s">
        <v>8341</v>
      </c>
      <c r="E1181" s="106"/>
      <c r="F1181" s="103" t="s">
        <v>4678</v>
      </c>
      <c r="G1181" s="103" t="s">
        <v>4679</v>
      </c>
      <c r="H1181" s="103" t="s">
        <v>8345</v>
      </c>
      <c r="I1181" s="105"/>
      <c r="J1181" s="104" t="s">
        <v>8346</v>
      </c>
      <c r="K1181" s="105"/>
      <c r="L1181" s="105"/>
    </row>
    <row r="1182">
      <c r="A1182" s="103" t="s">
        <v>4676</v>
      </c>
      <c r="B1182" s="103">
        <v>1.10011107602E11</v>
      </c>
      <c r="C1182" s="105"/>
      <c r="D1182" s="104" t="s">
        <v>8347</v>
      </c>
      <c r="E1182" s="104" t="s">
        <v>8348</v>
      </c>
      <c r="F1182" s="103" t="s">
        <v>4678</v>
      </c>
      <c r="G1182" s="103" t="s">
        <v>4679</v>
      </c>
      <c r="H1182" s="103" t="s">
        <v>8349</v>
      </c>
      <c r="I1182" s="103">
        <v>2261644.0</v>
      </c>
      <c r="J1182" s="104" t="s">
        <v>8346</v>
      </c>
      <c r="K1182" s="105"/>
      <c r="L1182" s="105"/>
    </row>
    <row r="1183">
      <c r="A1183" s="103" t="s">
        <v>4676</v>
      </c>
      <c r="B1183" s="103">
        <v>1.10011107603E11</v>
      </c>
      <c r="C1183" s="105"/>
      <c r="D1183" s="104" t="s">
        <v>8350</v>
      </c>
      <c r="E1183" s="104" t="s">
        <v>8348</v>
      </c>
      <c r="F1183" s="103" t="s">
        <v>4678</v>
      </c>
      <c r="G1183" s="103" t="s">
        <v>4679</v>
      </c>
      <c r="H1183" s="103" t="s">
        <v>8351</v>
      </c>
      <c r="I1183" s="103">
        <v>6917272.0</v>
      </c>
      <c r="J1183" s="104" t="s">
        <v>8346</v>
      </c>
      <c r="K1183" s="105"/>
      <c r="L1183" s="105"/>
    </row>
    <row r="1184">
      <c r="A1184" s="103" t="s">
        <v>4676</v>
      </c>
      <c r="B1184" s="103">
        <v>1.100111138E9</v>
      </c>
      <c r="C1184" s="105"/>
      <c r="D1184" s="104" t="s">
        <v>8352</v>
      </c>
      <c r="E1184" s="104" t="s">
        <v>8353</v>
      </c>
      <c r="F1184" s="103" t="s">
        <v>4678</v>
      </c>
      <c r="G1184" s="103" t="s">
        <v>4679</v>
      </c>
      <c r="H1184" s="103" t="s">
        <v>8354</v>
      </c>
      <c r="I1184" s="103">
        <v>6446156.0</v>
      </c>
      <c r="J1184" s="104" t="s">
        <v>8355</v>
      </c>
      <c r="K1184" s="105"/>
      <c r="L1184" s="105"/>
    </row>
    <row r="1185">
      <c r="A1185" s="103" t="s">
        <v>4676</v>
      </c>
      <c r="B1185" s="103">
        <v>1.10011113801E11</v>
      </c>
      <c r="C1185" s="105"/>
      <c r="D1185" s="104" t="s">
        <v>8352</v>
      </c>
      <c r="E1185" s="104" t="s">
        <v>8356</v>
      </c>
      <c r="F1185" s="103" t="s">
        <v>4678</v>
      </c>
      <c r="G1185" s="103" t="s">
        <v>4679</v>
      </c>
      <c r="H1185" s="103" t="s">
        <v>8357</v>
      </c>
      <c r="I1185" s="103">
        <v>6446156.0</v>
      </c>
      <c r="J1185" s="104" t="s">
        <v>8355</v>
      </c>
      <c r="K1185" s="105"/>
      <c r="L1185" s="105"/>
    </row>
    <row r="1186">
      <c r="A1186" s="103" t="s">
        <v>4676</v>
      </c>
      <c r="B1186" s="103">
        <v>1.10011114E9</v>
      </c>
      <c r="C1186" s="105"/>
      <c r="D1186" s="104" t="s">
        <v>8358</v>
      </c>
      <c r="E1186" s="104" t="s">
        <v>8359</v>
      </c>
      <c r="F1186" s="103" t="s">
        <v>4678</v>
      </c>
      <c r="G1186" s="103" t="s">
        <v>4679</v>
      </c>
      <c r="H1186" s="103" t="s">
        <v>8360</v>
      </c>
      <c r="I1186" s="103">
        <v>7513562.0</v>
      </c>
      <c r="J1186" s="104" t="s">
        <v>8361</v>
      </c>
      <c r="K1186" s="105"/>
      <c r="L1186" s="105"/>
    </row>
    <row r="1187">
      <c r="A1187" s="103" t="s">
        <v>4676</v>
      </c>
      <c r="B1187" s="103">
        <v>1.10011114001E11</v>
      </c>
      <c r="C1187" s="105"/>
      <c r="D1187" s="104" t="s">
        <v>8358</v>
      </c>
      <c r="E1187" s="104" t="s">
        <v>8362</v>
      </c>
      <c r="F1187" s="103" t="s">
        <v>4678</v>
      </c>
      <c r="G1187" s="103" t="s">
        <v>4679</v>
      </c>
      <c r="H1187" s="103" t="s">
        <v>8363</v>
      </c>
      <c r="I1187" s="103">
        <v>7513562.0</v>
      </c>
      <c r="J1187" s="104" t="s">
        <v>8361</v>
      </c>
      <c r="K1187" s="105"/>
      <c r="L1187" s="105"/>
    </row>
    <row r="1188">
      <c r="A1188" s="103" t="s">
        <v>4676</v>
      </c>
      <c r="B1188" s="103">
        <v>1.10011114004E11</v>
      </c>
      <c r="C1188" s="105"/>
      <c r="D1188" s="104" t="s">
        <v>8364</v>
      </c>
      <c r="E1188" s="104" t="s">
        <v>8362</v>
      </c>
      <c r="F1188" s="103" t="s">
        <v>4678</v>
      </c>
      <c r="G1188" s="103" t="s">
        <v>4679</v>
      </c>
      <c r="H1188" s="103" t="s">
        <v>8365</v>
      </c>
      <c r="I1188" s="103">
        <v>7513562.0</v>
      </c>
      <c r="J1188" s="104" t="s">
        <v>8361</v>
      </c>
      <c r="K1188" s="105"/>
      <c r="L1188" s="105"/>
    </row>
    <row r="1189">
      <c r="A1189" s="103" t="s">
        <v>4676</v>
      </c>
      <c r="B1189" s="103">
        <v>1.100111142E9</v>
      </c>
      <c r="C1189" s="105"/>
      <c r="D1189" s="104" t="s">
        <v>8366</v>
      </c>
      <c r="E1189" s="104" t="s">
        <v>8367</v>
      </c>
      <c r="F1189" s="103" t="s">
        <v>4678</v>
      </c>
      <c r="G1189" s="103" t="s">
        <v>4679</v>
      </c>
      <c r="H1189" s="103" t="s">
        <v>8368</v>
      </c>
      <c r="I1189" s="103" t="s">
        <v>8369</v>
      </c>
      <c r="J1189" s="104" t="s">
        <v>8370</v>
      </c>
      <c r="K1189" s="107" t="s">
        <v>8371</v>
      </c>
      <c r="L1189" s="105"/>
    </row>
    <row r="1190">
      <c r="A1190" s="103" t="s">
        <v>4676</v>
      </c>
      <c r="B1190" s="103">
        <v>1.10011114201E11</v>
      </c>
      <c r="C1190" s="105"/>
      <c r="D1190" s="104" t="s">
        <v>8366</v>
      </c>
      <c r="E1190" s="104" t="s">
        <v>8372</v>
      </c>
      <c r="F1190" s="103" t="s">
        <v>4678</v>
      </c>
      <c r="G1190" s="103" t="s">
        <v>4679</v>
      </c>
      <c r="H1190" s="103" t="s">
        <v>8368</v>
      </c>
      <c r="I1190" s="103" t="s">
        <v>8369</v>
      </c>
      <c r="J1190" s="104" t="s">
        <v>8373</v>
      </c>
      <c r="K1190" s="105"/>
      <c r="L1190" s="105"/>
    </row>
    <row r="1191">
      <c r="A1191" s="103" t="s">
        <v>4676</v>
      </c>
      <c r="B1191" s="103">
        <v>1.100111145E9</v>
      </c>
      <c r="C1191" s="105"/>
      <c r="D1191" s="104" t="s">
        <v>8374</v>
      </c>
      <c r="E1191" s="106"/>
      <c r="F1191" s="103" t="s">
        <v>4678</v>
      </c>
      <c r="G1191" s="103" t="s">
        <v>4679</v>
      </c>
      <c r="H1191" s="103" t="s">
        <v>8375</v>
      </c>
      <c r="I1191" s="103">
        <v>3.137217589E9</v>
      </c>
      <c r="J1191" s="104" t="s">
        <v>8376</v>
      </c>
      <c r="K1191" s="107" t="s">
        <v>8377</v>
      </c>
      <c r="L1191" s="105"/>
    </row>
    <row r="1192">
      <c r="A1192" s="103" t="s">
        <v>4676</v>
      </c>
      <c r="B1192" s="103">
        <v>1.10011114512E11</v>
      </c>
      <c r="C1192" s="105"/>
      <c r="D1192" s="104" t="s">
        <v>8378</v>
      </c>
      <c r="E1192" s="104" t="s">
        <v>8379</v>
      </c>
      <c r="F1192" s="103" t="s">
        <v>4678</v>
      </c>
      <c r="G1192" s="103" t="s">
        <v>4679</v>
      </c>
      <c r="H1192" s="103" t="s">
        <v>8380</v>
      </c>
      <c r="I1192" s="103">
        <v>3.137217589E9</v>
      </c>
      <c r="J1192" s="104" t="s">
        <v>8381</v>
      </c>
      <c r="K1192" s="105"/>
      <c r="L1192" s="105"/>
    </row>
    <row r="1193">
      <c r="A1193" s="103" t="s">
        <v>4676</v>
      </c>
      <c r="B1193" s="103">
        <v>1.10011114513E11</v>
      </c>
      <c r="C1193" s="105"/>
      <c r="D1193" s="104" t="s">
        <v>8382</v>
      </c>
      <c r="E1193" s="104" t="s">
        <v>8379</v>
      </c>
      <c r="F1193" s="103" t="s">
        <v>4678</v>
      </c>
      <c r="G1193" s="103" t="s">
        <v>4679</v>
      </c>
      <c r="H1193" s="103" t="s">
        <v>8383</v>
      </c>
      <c r="I1193" s="103">
        <v>3.137217589E9</v>
      </c>
      <c r="J1193" s="104" t="s">
        <v>8381</v>
      </c>
      <c r="K1193" s="105"/>
      <c r="L1193" s="105"/>
    </row>
    <row r="1194">
      <c r="A1194" s="103" t="s">
        <v>4676</v>
      </c>
      <c r="B1194" s="103">
        <v>1.100111158E9</v>
      </c>
      <c r="C1194" s="105"/>
      <c r="D1194" s="104" t="s">
        <v>8384</v>
      </c>
      <c r="E1194" s="104" t="s">
        <v>8385</v>
      </c>
      <c r="F1194" s="103" t="s">
        <v>4678</v>
      </c>
      <c r="G1194" s="103" t="s">
        <v>4679</v>
      </c>
      <c r="H1194" s="103" t="s">
        <v>8386</v>
      </c>
      <c r="I1194" s="103" t="s">
        <v>8387</v>
      </c>
      <c r="J1194" s="104" t="s">
        <v>8388</v>
      </c>
      <c r="K1194" s="105"/>
      <c r="L1194" s="105"/>
    </row>
    <row r="1195">
      <c r="A1195" s="103" t="s">
        <v>4676</v>
      </c>
      <c r="B1195" s="103">
        <v>1.10011115801E11</v>
      </c>
      <c r="C1195" s="105"/>
      <c r="D1195" s="104" t="s">
        <v>8389</v>
      </c>
      <c r="E1195" s="104" t="s">
        <v>8385</v>
      </c>
      <c r="F1195" s="103" t="s">
        <v>4678</v>
      </c>
      <c r="G1195" s="103" t="s">
        <v>4679</v>
      </c>
      <c r="H1195" s="103" t="s">
        <v>8390</v>
      </c>
      <c r="I1195" s="103" t="s">
        <v>8387</v>
      </c>
      <c r="J1195" s="104" t="s">
        <v>8388</v>
      </c>
      <c r="K1195" s="105"/>
      <c r="L1195" s="105"/>
    </row>
    <row r="1196">
      <c r="A1196" s="103" t="s">
        <v>4676</v>
      </c>
      <c r="B1196" s="103">
        <v>1.10011115802E11</v>
      </c>
      <c r="C1196" s="105"/>
      <c r="D1196" s="104" t="s">
        <v>8391</v>
      </c>
      <c r="E1196" s="104" t="s">
        <v>8385</v>
      </c>
      <c r="F1196" s="103" t="s">
        <v>4678</v>
      </c>
      <c r="G1196" s="103" t="s">
        <v>4679</v>
      </c>
      <c r="H1196" s="103" t="s">
        <v>8392</v>
      </c>
      <c r="I1196" s="103" t="s">
        <v>8387</v>
      </c>
      <c r="J1196" s="104" t="s">
        <v>8388</v>
      </c>
      <c r="K1196" s="105"/>
      <c r="L1196" s="105"/>
    </row>
    <row r="1197">
      <c r="A1197" s="103" t="s">
        <v>4676</v>
      </c>
      <c r="B1197" s="103">
        <v>1.10011115803E11</v>
      </c>
      <c r="C1197" s="105"/>
      <c r="D1197" s="104" t="s">
        <v>8393</v>
      </c>
      <c r="E1197" s="104" t="s">
        <v>8385</v>
      </c>
      <c r="F1197" s="103" t="s">
        <v>4678</v>
      </c>
      <c r="G1197" s="103" t="s">
        <v>4679</v>
      </c>
      <c r="H1197" s="103" t="s">
        <v>8394</v>
      </c>
      <c r="I1197" s="103" t="s">
        <v>8387</v>
      </c>
      <c r="J1197" s="104" t="s">
        <v>8388</v>
      </c>
      <c r="K1197" s="105"/>
      <c r="L1197" s="105"/>
    </row>
    <row r="1198">
      <c r="A1198" s="103" t="s">
        <v>4676</v>
      </c>
      <c r="B1198" s="103">
        <v>1.10011115804E11</v>
      </c>
      <c r="C1198" s="105"/>
      <c r="D1198" s="104" t="s">
        <v>8395</v>
      </c>
      <c r="E1198" s="104" t="s">
        <v>8385</v>
      </c>
      <c r="F1198" s="103" t="s">
        <v>4678</v>
      </c>
      <c r="G1198" s="103" t="s">
        <v>4679</v>
      </c>
      <c r="H1198" s="103" t="s">
        <v>8396</v>
      </c>
      <c r="I1198" s="103" t="s">
        <v>8387</v>
      </c>
      <c r="J1198" s="104" t="s">
        <v>8388</v>
      </c>
      <c r="K1198" s="105"/>
      <c r="L1198" s="105"/>
    </row>
    <row r="1199">
      <c r="A1199" s="103" t="s">
        <v>4676</v>
      </c>
      <c r="B1199" s="103">
        <v>1.100111221E9</v>
      </c>
      <c r="C1199" s="105"/>
      <c r="D1199" s="104" t="s">
        <v>8397</v>
      </c>
      <c r="E1199" s="104" t="s">
        <v>8398</v>
      </c>
      <c r="F1199" s="103" t="s">
        <v>4678</v>
      </c>
      <c r="G1199" s="103" t="s">
        <v>4679</v>
      </c>
      <c r="H1199" s="103" t="s">
        <v>8399</v>
      </c>
      <c r="I1199" s="103">
        <v>2172829.0</v>
      </c>
      <c r="J1199" s="104" t="s">
        <v>8400</v>
      </c>
      <c r="K1199" s="107" t="s">
        <v>8401</v>
      </c>
      <c r="L1199" s="105"/>
    </row>
    <row r="1200">
      <c r="A1200" s="103" t="s">
        <v>4676</v>
      </c>
      <c r="B1200" s="103">
        <v>1.10011122101E11</v>
      </c>
      <c r="C1200" s="105"/>
      <c r="D1200" s="104" t="s">
        <v>8402</v>
      </c>
      <c r="E1200" s="104" t="s">
        <v>8403</v>
      </c>
      <c r="F1200" s="103" t="s">
        <v>4678</v>
      </c>
      <c r="G1200" s="103" t="s">
        <v>4679</v>
      </c>
      <c r="H1200" s="103" t="s">
        <v>8399</v>
      </c>
      <c r="I1200" s="103">
        <v>2172829.0</v>
      </c>
      <c r="J1200" s="104" t="s">
        <v>8400</v>
      </c>
      <c r="K1200" s="105"/>
      <c r="L1200" s="105"/>
    </row>
    <row r="1201">
      <c r="A1201" s="103" t="s">
        <v>4676</v>
      </c>
      <c r="B1201" s="103">
        <v>1.100111242E9</v>
      </c>
      <c r="C1201" s="105"/>
      <c r="D1201" s="104" t="s">
        <v>8404</v>
      </c>
      <c r="E1201" s="104" t="s">
        <v>8405</v>
      </c>
      <c r="F1201" s="103" t="s">
        <v>4678</v>
      </c>
      <c r="G1201" s="103" t="s">
        <v>4679</v>
      </c>
      <c r="H1201" s="103" t="s">
        <v>8406</v>
      </c>
      <c r="I1201" s="103">
        <v>3.155860099E9</v>
      </c>
      <c r="J1201" s="104" t="s">
        <v>8407</v>
      </c>
      <c r="K1201" s="105"/>
      <c r="L1201" s="105"/>
    </row>
    <row r="1202">
      <c r="A1202" s="103" t="s">
        <v>4676</v>
      </c>
      <c r="B1202" s="103">
        <v>1.10011124201E11</v>
      </c>
      <c r="C1202" s="105"/>
      <c r="D1202" s="104" t="s">
        <v>8404</v>
      </c>
      <c r="E1202" s="104" t="s">
        <v>8405</v>
      </c>
      <c r="F1202" s="103" t="s">
        <v>4678</v>
      </c>
      <c r="G1202" s="103" t="s">
        <v>4679</v>
      </c>
      <c r="H1202" s="103" t="s">
        <v>8408</v>
      </c>
      <c r="I1202" s="103" t="s">
        <v>8409</v>
      </c>
      <c r="J1202" s="104" t="s">
        <v>8407</v>
      </c>
      <c r="K1202" s="105"/>
      <c r="L1202" s="105"/>
    </row>
    <row r="1203">
      <c r="A1203" s="103" t="s">
        <v>4676</v>
      </c>
      <c r="B1203" s="103">
        <v>1.100111359E9</v>
      </c>
      <c r="C1203" s="105"/>
      <c r="D1203" s="104" t="s">
        <v>8410</v>
      </c>
      <c r="E1203" s="104" t="s">
        <v>8411</v>
      </c>
      <c r="F1203" s="103" t="s">
        <v>4678</v>
      </c>
      <c r="G1203" s="103" t="s">
        <v>4679</v>
      </c>
      <c r="H1203" s="103" t="s">
        <v>8412</v>
      </c>
      <c r="I1203" s="103">
        <v>2890234.0</v>
      </c>
      <c r="J1203" s="104" t="s">
        <v>8413</v>
      </c>
      <c r="K1203" s="105"/>
      <c r="L1203" s="105"/>
    </row>
    <row r="1204">
      <c r="A1204" s="103" t="s">
        <v>4676</v>
      </c>
      <c r="B1204" s="103">
        <v>1.10011135901E11</v>
      </c>
      <c r="C1204" s="105"/>
      <c r="D1204" s="104" t="s">
        <v>8410</v>
      </c>
      <c r="E1204" s="106"/>
      <c r="F1204" s="103" t="s">
        <v>4678</v>
      </c>
      <c r="G1204" s="103" t="s">
        <v>4679</v>
      </c>
      <c r="H1204" s="103" t="s">
        <v>8412</v>
      </c>
      <c r="I1204" s="105"/>
      <c r="J1204" s="106"/>
      <c r="K1204" s="105"/>
      <c r="L1204" s="105"/>
    </row>
    <row r="1205">
      <c r="A1205" s="103" t="s">
        <v>4676</v>
      </c>
      <c r="B1205" s="103">
        <v>1.100111623E9</v>
      </c>
      <c r="C1205" s="105"/>
      <c r="D1205" s="104" t="s">
        <v>8414</v>
      </c>
      <c r="E1205" s="104" t="s">
        <v>8415</v>
      </c>
      <c r="F1205" s="103" t="s">
        <v>4678</v>
      </c>
      <c r="G1205" s="103" t="s">
        <v>4679</v>
      </c>
      <c r="H1205" s="103" t="s">
        <v>8416</v>
      </c>
      <c r="I1205" s="103">
        <v>2339418.0</v>
      </c>
      <c r="J1205" s="104" t="s">
        <v>8417</v>
      </c>
      <c r="K1205" s="105"/>
      <c r="L1205" s="105"/>
    </row>
    <row r="1206">
      <c r="A1206" s="103" t="s">
        <v>4676</v>
      </c>
      <c r="B1206" s="103">
        <v>1.10011162301E11</v>
      </c>
      <c r="C1206" s="105"/>
      <c r="D1206" s="104" t="s">
        <v>8418</v>
      </c>
      <c r="E1206" s="106"/>
      <c r="F1206" s="103" t="s">
        <v>4678</v>
      </c>
      <c r="G1206" s="103" t="s">
        <v>4679</v>
      </c>
      <c r="H1206" s="103" t="s">
        <v>8416</v>
      </c>
      <c r="I1206" s="105"/>
      <c r="J1206" s="106"/>
      <c r="K1206" s="105"/>
      <c r="L1206" s="105"/>
    </row>
    <row r="1207">
      <c r="A1207" s="103" t="s">
        <v>4676</v>
      </c>
      <c r="B1207" s="103">
        <v>1.100111775E9</v>
      </c>
      <c r="C1207" s="105"/>
      <c r="D1207" s="104" t="s">
        <v>8419</v>
      </c>
      <c r="E1207" s="104" t="s">
        <v>8420</v>
      </c>
      <c r="F1207" s="103" t="s">
        <v>4678</v>
      </c>
      <c r="G1207" s="103" t="s">
        <v>4679</v>
      </c>
      <c r="H1207" s="103" t="s">
        <v>8421</v>
      </c>
      <c r="I1207" s="103">
        <v>5185019.0</v>
      </c>
      <c r="J1207" s="104" t="s">
        <v>8422</v>
      </c>
      <c r="K1207" s="105"/>
      <c r="L1207" s="105"/>
    </row>
    <row r="1208">
      <c r="A1208" s="103" t="s">
        <v>4676</v>
      </c>
      <c r="B1208" s="103">
        <v>1.10011177501E11</v>
      </c>
      <c r="C1208" s="105"/>
      <c r="D1208" s="104" t="s">
        <v>8419</v>
      </c>
      <c r="E1208" s="104" t="s">
        <v>8423</v>
      </c>
      <c r="F1208" s="103" t="s">
        <v>4678</v>
      </c>
      <c r="G1208" s="103" t="s">
        <v>4679</v>
      </c>
      <c r="H1208" s="103" t="s">
        <v>8424</v>
      </c>
      <c r="I1208" s="105"/>
      <c r="J1208" s="104" t="s">
        <v>8425</v>
      </c>
      <c r="K1208" s="105"/>
      <c r="L1208" s="105"/>
    </row>
    <row r="1209">
      <c r="A1209" s="103" t="s">
        <v>4676</v>
      </c>
      <c r="B1209" s="103">
        <v>1.100111819E9</v>
      </c>
      <c r="C1209" s="105"/>
      <c r="D1209" s="104" t="s">
        <v>333</v>
      </c>
      <c r="E1209" s="104" t="s">
        <v>8426</v>
      </c>
      <c r="F1209" s="103" t="s">
        <v>4678</v>
      </c>
      <c r="G1209" s="103" t="s">
        <v>4679</v>
      </c>
      <c r="H1209" s="103" t="s">
        <v>8427</v>
      </c>
      <c r="I1209" s="103">
        <v>3.125241437E9</v>
      </c>
      <c r="J1209" s="104" t="s">
        <v>8428</v>
      </c>
      <c r="K1209" s="107" t="s">
        <v>8429</v>
      </c>
      <c r="L1209" s="105"/>
    </row>
    <row r="1210">
      <c r="A1210" s="103" t="s">
        <v>4676</v>
      </c>
      <c r="B1210" s="103">
        <v>1.10011181901E11</v>
      </c>
      <c r="C1210" s="105"/>
      <c r="D1210" s="104" t="s">
        <v>333</v>
      </c>
      <c r="E1210" s="104" t="s">
        <v>220</v>
      </c>
      <c r="F1210" s="103" t="s">
        <v>4678</v>
      </c>
      <c r="G1210" s="103" t="s">
        <v>4679</v>
      </c>
      <c r="H1210" s="103" t="s">
        <v>8427</v>
      </c>
      <c r="I1210" s="103">
        <v>3101315.0</v>
      </c>
      <c r="J1210" s="104" t="s">
        <v>8428</v>
      </c>
      <c r="K1210" s="105"/>
      <c r="L1210" s="105"/>
    </row>
    <row r="1211">
      <c r="A1211" s="103" t="s">
        <v>4676</v>
      </c>
      <c r="B1211" s="103">
        <v>1.100111951E9</v>
      </c>
      <c r="C1211" s="105"/>
      <c r="D1211" s="104" t="s">
        <v>8430</v>
      </c>
      <c r="E1211" s="104" t="s">
        <v>8431</v>
      </c>
      <c r="F1211" s="103" t="s">
        <v>4678</v>
      </c>
      <c r="G1211" s="103" t="s">
        <v>4679</v>
      </c>
      <c r="H1211" s="103" t="s">
        <v>8432</v>
      </c>
      <c r="I1211" s="103" t="s">
        <v>8433</v>
      </c>
      <c r="J1211" s="104" t="s">
        <v>8434</v>
      </c>
      <c r="K1211" s="105"/>
      <c r="L1211" s="105"/>
    </row>
    <row r="1212">
      <c r="A1212" s="103" t="s">
        <v>4676</v>
      </c>
      <c r="B1212" s="103">
        <v>1.10011195101E11</v>
      </c>
      <c r="C1212" s="105"/>
      <c r="D1212" s="104" t="s">
        <v>8435</v>
      </c>
      <c r="E1212" s="104" t="s">
        <v>8431</v>
      </c>
      <c r="F1212" s="103" t="s">
        <v>4678</v>
      </c>
      <c r="G1212" s="103" t="s">
        <v>4679</v>
      </c>
      <c r="H1212" s="103" t="s">
        <v>8432</v>
      </c>
      <c r="I1212" s="103" t="s">
        <v>8436</v>
      </c>
      <c r="J1212" s="104" t="s">
        <v>8434</v>
      </c>
      <c r="K1212" s="105"/>
      <c r="L1212" s="105"/>
    </row>
    <row r="1213">
      <c r="A1213" s="103" t="s">
        <v>4676</v>
      </c>
      <c r="B1213" s="103">
        <v>1.100112289E9</v>
      </c>
      <c r="C1213" s="105"/>
      <c r="D1213" s="104" t="s">
        <v>8437</v>
      </c>
      <c r="E1213" s="104" t="s">
        <v>8438</v>
      </c>
      <c r="F1213" s="103" t="s">
        <v>4678</v>
      </c>
      <c r="G1213" s="103" t="s">
        <v>4679</v>
      </c>
      <c r="H1213" s="103" t="s">
        <v>8439</v>
      </c>
      <c r="I1213" s="103">
        <v>7461630.0</v>
      </c>
      <c r="J1213" s="104" t="s">
        <v>8440</v>
      </c>
      <c r="K1213" s="107" t="s">
        <v>8441</v>
      </c>
      <c r="L1213" s="105"/>
    </row>
    <row r="1214">
      <c r="A1214" s="103" t="s">
        <v>4676</v>
      </c>
      <c r="B1214" s="103">
        <v>1.10011228901E11</v>
      </c>
      <c r="C1214" s="105"/>
      <c r="D1214" s="104" t="s">
        <v>8442</v>
      </c>
      <c r="E1214" s="104" t="s">
        <v>8438</v>
      </c>
      <c r="F1214" s="103" t="s">
        <v>4678</v>
      </c>
      <c r="G1214" s="103" t="s">
        <v>4679</v>
      </c>
      <c r="H1214" s="103" t="s">
        <v>8443</v>
      </c>
      <c r="I1214" s="103">
        <v>7461630.0</v>
      </c>
      <c r="J1214" s="104" t="s">
        <v>8444</v>
      </c>
      <c r="K1214" s="105"/>
      <c r="L1214" s="105"/>
    </row>
    <row r="1215">
      <c r="A1215" s="103" t="s">
        <v>4676</v>
      </c>
      <c r="B1215" s="103">
        <v>1.100112336E9</v>
      </c>
      <c r="C1215" s="105"/>
      <c r="D1215" s="104" t="s">
        <v>8445</v>
      </c>
      <c r="E1215" s="104" t="s">
        <v>8446</v>
      </c>
      <c r="F1215" s="103" t="s">
        <v>4678</v>
      </c>
      <c r="G1215" s="103" t="s">
        <v>4679</v>
      </c>
      <c r="H1215" s="103" t="s">
        <v>8447</v>
      </c>
      <c r="I1215" s="103">
        <v>8077011.0</v>
      </c>
      <c r="J1215" s="104" t="s">
        <v>8448</v>
      </c>
      <c r="K1215" s="107" t="s">
        <v>8449</v>
      </c>
      <c r="L1215" s="105"/>
    </row>
    <row r="1216">
      <c r="A1216" s="103" t="s">
        <v>4676</v>
      </c>
      <c r="B1216" s="103">
        <v>1.10011233601E11</v>
      </c>
      <c r="C1216" s="105"/>
      <c r="D1216" s="104" t="s">
        <v>8445</v>
      </c>
      <c r="E1216" s="104" t="s">
        <v>8446</v>
      </c>
      <c r="F1216" s="103" t="s">
        <v>4678</v>
      </c>
      <c r="G1216" s="103" t="s">
        <v>4679</v>
      </c>
      <c r="H1216" s="103" t="s">
        <v>8447</v>
      </c>
      <c r="I1216" s="103">
        <v>3.177535222E9</v>
      </c>
      <c r="J1216" s="104" t="s">
        <v>8448</v>
      </c>
      <c r="K1216" s="105"/>
      <c r="L1216" s="105"/>
    </row>
    <row r="1217">
      <c r="A1217" s="103" t="s">
        <v>4676</v>
      </c>
      <c r="B1217" s="103">
        <v>1.100112413E9</v>
      </c>
      <c r="C1217" s="105"/>
      <c r="D1217" s="104" t="s">
        <v>8450</v>
      </c>
      <c r="E1217" s="104" t="s">
        <v>8451</v>
      </c>
      <c r="F1217" s="103" t="s">
        <v>4678</v>
      </c>
      <c r="G1217" s="103" t="s">
        <v>4679</v>
      </c>
      <c r="H1217" s="103" t="s">
        <v>8452</v>
      </c>
      <c r="I1217" s="103" t="s">
        <v>8453</v>
      </c>
      <c r="J1217" s="104" t="s">
        <v>8454</v>
      </c>
      <c r="K1217" s="105"/>
      <c r="L1217" s="105"/>
    </row>
    <row r="1218">
      <c r="A1218" s="103" t="s">
        <v>4676</v>
      </c>
      <c r="B1218" s="103">
        <v>1.10011241305E11</v>
      </c>
      <c r="C1218" s="105"/>
      <c r="D1218" s="104" t="s">
        <v>8450</v>
      </c>
      <c r="E1218" s="104" t="s">
        <v>6965</v>
      </c>
      <c r="F1218" s="103" t="s">
        <v>4678</v>
      </c>
      <c r="G1218" s="103" t="s">
        <v>4679</v>
      </c>
      <c r="H1218" s="103" t="s">
        <v>8452</v>
      </c>
      <c r="I1218" s="103" t="s">
        <v>8455</v>
      </c>
      <c r="J1218" s="104" t="s">
        <v>8454</v>
      </c>
      <c r="K1218" s="105"/>
      <c r="L1218" s="105"/>
    </row>
    <row r="1219">
      <c r="A1219" s="103" t="s">
        <v>4676</v>
      </c>
      <c r="B1219" s="103">
        <v>1.100112425E9</v>
      </c>
      <c r="C1219" s="105"/>
      <c r="D1219" s="104" t="s">
        <v>8456</v>
      </c>
      <c r="E1219" s="104" t="s">
        <v>8457</v>
      </c>
      <c r="F1219" s="103" t="s">
        <v>4678</v>
      </c>
      <c r="G1219" s="103" t="s">
        <v>4679</v>
      </c>
      <c r="H1219" s="103" t="s">
        <v>8458</v>
      </c>
      <c r="I1219" s="103" t="s">
        <v>8459</v>
      </c>
      <c r="J1219" s="104" t="s">
        <v>8460</v>
      </c>
      <c r="K1219" s="105"/>
      <c r="L1219" s="105"/>
    </row>
    <row r="1220">
      <c r="A1220" s="103" t="s">
        <v>4676</v>
      </c>
      <c r="B1220" s="103">
        <v>1.10011242501E11</v>
      </c>
      <c r="C1220" s="105"/>
      <c r="D1220" s="104" t="s">
        <v>8461</v>
      </c>
      <c r="E1220" s="104" t="s">
        <v>8462</v>
      </c>
      <c r="F1220" s="103" t="s">
        <v>4678</v>
      </c>
      <c r="G1220" s="103" t="s">
        <v>4679</v>
      </c>
      <c r="H1220" s="103" t="s">
        <v>8458</v>
      </c>
      <c r="I1220" s="103" t="s">
        <v>8459</v>
      </c>
      <c r="J1220" s="104" t="s">
        <v>8463</v>
      </c>
      <c r="K1220" s="105"/>
      <c r="L1220" s="105"/>
    </row>
    <row r="1221">
      <c r="A1221" s="103" t="s">
        <v>4676</v>
      </c>
      <c r="B1221" s="103">
        <v>1.10011242502E11</v>
      </c>
      <c r="C1221" s="105"/>
      <c r="D1221" s="104" t="s">
        <v>8456</v>
      </c>
      <c r="E1221" s="104" t="s">
        <v>8462</v>
      </c>
      <c r="F1221" s="103" t="s">
        <v>4678</v>
      </c>
      <c r="G1221" s="103" t="s">
        <v>4679</v>
      </c>
      <c r="H1221" s="103" t="s">
        <v>8464</v>
      </c>
      <c r="I1221" s="103" t="s">
        <v>8465</v>
      </c>
      <c r="J1221" s="104" t="s">
        <v>8463</v>
      </c>
      <c r="K1221" s="105"/>
      <c r="L1221" s="105"/>
    </row>
    <row r="1222">
      <c r="A1222" s="103" t="s">
        <v>4676</v>
      </c>
      <c r="B1222" s="103">
        <v>1.10011242503E11</v>
      </c>
      <c r="C1222" s="105"/>
      <c r="D1222" s="104" t="s">
        <v>8456</v>
      </c>
      <c r="E1222" s="104" t="s">
        <v>8462</v>
      </c>
      <c r="F1222" s="103" t="s">
        <v>4678</v>
      </c>
      <c r="G1222" s="103" t="s">
        <v>4679</v>
      </c>
      <c r="H1222" s="103" t="s">
        <v>8466</v>
      </c>
      <c r="I1222" s="103" t="s">
        <v>8459</v>
      </c>
      <c r="J1222" s="104" t="s">
        <v>8463</v>
      </c>
      <c r="K1222" s="105"/>
      <c r="L1222" s="105"/>
    </row>
    <row r="1223">
      <c r="A1223" s="103" t="s">
        <v>4676</v>
      </c>
      <c r="B1223" s="103">
        <v>1.100112437E9</v>
      </c>
      <c r="C1223" s="105"/>
      <c r="D1223" s="104" t="s">
        <v>8467</v>
      </c>
      <c r="E1223" s="104" t="s">
        <v>8468</v>
      </c>
      <c r="F1223" s="103" t="s">
        <v>4678</v>
      </c>
      <c r="G1223" s="103" t="s">
        <v>4679</v>
      </c>
      <c r="H1223" s="103" t="s">
        <v>8469</v>
      </c>
      <c r="I1223" s="103">
        <v>3.153705784E9</v>
      </c>
      <c r="J1223" s="104" t="s">
        <v>8470</v>
      </c>
      <c r="K1223" s="107" t="s">
        <v>8471</v>
      </c>
      <c r="L1223" s="105"/>
    </row>
    <row r="1224">
      <c r="A1224" s="103" t="s">
        <v>4676</v>
      </c>
      <c r="B1224" s="103">
        <v>1.10011243705E11</v>
      </c>
      <c r="C1224" s="105"/>
      <c r="D1224" s="104" t="s">
        <v>8472</v>
      </c>
      <c r="E1224" s="104" t="s">
        <v>8473</v>
      </c>
      <c r="F1224" s="103" t="s">
        <v>4678</v>
      </c>
      <c r="G1224" s="103" t="s">
        <v>4679</v>
      </c>
      <c r="H1224" s="103" t="s">
        <v>8474</v>
      </c>
      <c r="I1224" s="103">
        <v>3.102423837E9</v>
      </c>
      <c r="J1224" s="104" t="s">
        <v>8470</v>
      </c>
      <c r="K1224" s="105"/>
      <c r="L1224" s="105"/>
    </row>
    <row r="1225">
      <c r="A1225" s="103" t="s">
        <v>4676</v>
      </c>
      <c r="B1225" s="103">
        <v>1.10011243706E11</v>
      </c>
      <c r="C1225" s="105"/>
      <c r="D1225" s="104" t="s">
        <v>8475</v>
      </c>
      <c r="E1225" s="104" t="s">
        <v>8473</v>
      </c>
      <c r="F1225" s="103" t="s">
        <v>4678</v>
      </c>
      <c r="G1225" s="103" t="s">
        <v>4679</v>
      </c>
      <c r="H1225" s="103" t="s">
        <v>8476</v>
      </c>
      <c r="I1225" s="103">
        <v>3.102423837E9</v>
      </c>
      <c r="J1225" s="104" t="s">
        <v>8470</v>
      </c>
      <c r="K1225" s="105"/>
      <c r="L1225" s="105"/>
    </row>
    <row r="1226">
      <c r="A1226" s="103" t="s">
        <v>4676</v>
      </c>
      <c r="B1226" s="103">
        <v>1.10011243707E11</v>
      </c>
      <c r="C1226" s="105"/>
      <c r="D1226" s="104" t="s">
        <v>8477</v>
      </c>
      <c r="E1226" s="104" t="s">
        <v>8473</v>
      </c>
      <c r="F1226" s="103" t="s">
        <v>4678</v>
      </c>
      <c r="G1226" s="103" t="s">
        <v>4679</v>
      </c>
      <c r="H1226" s="103" t="s">
        <v>8478</v>
      </c>
      <c r="I1226" s="103">
        <v>3.102423837E9</v>
      </c>
      <c r="J1226" s="104" t="s">
        <v>8470</v>
      </c>
      <c r="K1226" s="105"/>
      <c r="L1226" s="105"/>
    </row>
    <row r="1227">
      <c r="A1227" s="103" t="s">
        <v>4676</v>
      </c>
      <c r="B1227" s="103">
        <v>1.100112503E9</v>
      </c>
      <c r="C1227" s="105"/>
      <c r="D1227" s="104" t="s">
        <v>8479</v>
      </c>
      <c r="E1227" s="104" t="s">
        <v>8480</v>
      </c>
      <c r="F1227" s="103" t="s">
        <v>4678</v>
      </c>
      <c r="G1227" s="103" t="s">
        <v>4679</v>
      </c>
      <c r="H1227" s="103" t="s">
        <v>8481</v>
      </c>
      <c r="I1227" s="103">
        <v>6154711.0</v>
      </c>
      <c r="J1227" s="104" t="s">
        <v>8482</v>
      </c>
      <c r="K1227" s="105"/>
      <c r="L1227" s="105"/>
    </row>
    <row r="1228">
      <c r="A1228" s="103" t="s">
        <v>4676</v>
      </c>
      <c r="B1228" s="103">
        <v>1.10011250301E11</v>
      </c>
      <c r="C1228" s="105"/>
      <c r="D1228" s="104" t="s">
        <v>8479</v>
      </c>
      <c r="E1228" s="104" t="s">
        <v>8483</v>
      </c>
      <c r="F1228" s="103" t="s">
        <v>4678</v>
      </c>
      <c r="G1228" s="103" t="s">
        <v>4679</v>
      </c>
      <c r="H1228" s="103" t="s">
        <v>8481</v>
      </c>
      <c r="I1228" s="103">
        <v>6154711.0</v>
      </c>
      <c r="J1228" s="104" t="s">
        <v>8484</v>
      </c>
      <c r="K1228" s="105"/>
      <c r="L1228" s="105"/>
    </row>
    <row r="1229">
      <c r="A1229" s="103" t="s">
        <v>4676</v>
      </c>
      <c r="B1229" s="103">
        <v>1.100112552E9</v>
      </c>
      <c r="C1229" s="105"/>
      <c r="D1229" s="104" t="s">
        <v>8485</v>
      </c>
      <c r="E1229" s="106"/>
      <c r="F1229" s="103" t="s">
        <v>4678</v>
      </c>
      <c r="G1229" s="103" t="s">
        <v>4679</v>
      </c>
      <c r="H1229" s="103" t="s">
        <v>8486</v>
      </c>
      <c r="I1229" s="103" t="s">
        <v>8487</v>
      </c>
      <c r="J1229" s="104" t="s">
        <v>8488</v>
      </c>
      <c r="K1229" s="105"/>
      <c r="L1229" s="105"/>
    </row>
    <row r="1230">
      <c r="A1230" s="103" t="s">
        <v>4676</v>
      </c>
      <c r="B1230" s="103">
        <v>1.10011255201E11</v>
      </c>
      <c r="C1230" s="105"/>
      <c r="D1230" s="104" t="s">
        <v>8485</v>
      </c>
      <c r="E1230" s="104" t="s">
        <v>8489</v>
      </c>
      <c r="F1230" s="103" t="s">
        <v>4678</v>
      </c>
      <c r="G1230" s="103" t="s">
        <v>4679</v>
      </c>
      <c r="H1230" s="103" t="s">
        <v>8486</v>
      </c>
      <c r="I1230" s="103" t="s">
        <v>8490</v>
      </c>
      <c r="J1230" s="104" t="s">
        <v>8488</v>
      </c>
      <c r="K1230" s="105"/>
      <c r="L1230" s="105"/>
    </row>
    <row r="1231">
      <c r="A1231" s="103" t="s">
        <v>4676</v>
      </c>
      <c r="B1231" s="103">
        <v>1.10011255202E11</v>
      </c>
      <c r="C1231" s="105"/>
      <c r="D1231" s="104" t="s">
        <v>8491</v>
      </c>
      <c r="E1231" s="104" t="s">
        <v>8489</v>
      </c>
      <c r="F1231" s="103" t="s">
        <v>4678</v>
      </c>
      <c r="G1231" s="103" t="s">
        <v>4679</v>
      </c>
      <c r="H1231" s="103" t="s">
        <v>8492</v>
      </c>
      <c r="I1231" s="103" t="s">
        <v>8493</v>
      </c>
      <c r="J1231" s="104" t="s">
        <v>8488</v>
      </c>
      <c r="K1231" s="105"/>
      <c r="L1231" s="105"/>
    </row>
    <row r="1232">
      <c r="A1232" s="103" t="s">
        <v>4676</v>
      </c>
      <c r="B1232" s="103">
        <v>1.10011255203E11</v>
      </c>
      <c r="C1232" s="105"/>
      <c r="D1232" s="104" t="s">
        <v>8494</v>
      </c>
      <c r="E1232" s="104" t="s">
        <v>8495</v>
      </c>
      <c r="F1232" s="103" t="s">
        <v>4678</v>
      </c>
      <c r="G1232" s="103" t="s">
        <v>4679</v>
      </c>
      <c r="H1232" s="103" t="s">
        <v>8496</v>
      </c>
      <c r="I1232" s="103" t="s">
        <v>8497</v>
      </c>
      <c r="J1232" s="104" t="s">
        <v>8488</v>
      </c>
      <c r="K1232" s="105"/>
      <c r="L1232" s="105"/>
    </row>
    <row r="1233">
      <c r="A1233" s="103" t="s">
        <v>4676</v>
      </c>
      <c r="B1233" s="103">
        <v>1.10011256E9</v>
      </c>
      <c r="C1233" s="105"/>
      <c r="D1233" s="104" t="s">
        <v>8498</v>
      </c>
      <c r="E1233" s="104" t="s">
        <v>8499</v>
      </c>
      <c r="F1233" s="103" t="s">
        <v>4678</v>
      </c>
      <c r="G1233" s="103" t="s">
        <v>4679</v>
      </c>
      <c r="H1233" s="103" t="s">
        <v>8500</v>
      </c>
      <c r="I1233" s="103">
        <v>3.209465519E9</v>
      </c>
      <c r="J1233" s="104" t="s">
        <v>8501</v>
      </c>
      <c r="K1233" s="105"/>
      <c r="L1233" s="105"/>
    </row>
    <row r="1234">
      <c r="A1234" s="103" t="s">
        <v>4676</v>
      </c>
      <c r="B1234" s="103">
        <v>1.10011256001E11</v>
      </c>
      <c r="C1234" s="105"/>
      <c r="D1234" s="104" t="s">
        <v>8498</v>
      </c>
      <c r="E1234" s="104" t="s">
        <v>8502</v>
      </c>
      <c r="F1234" s="103" t="s">
        <v>4678</v>
      </c>
      <c r="G1234" s="103" t="s">
        <v>4679</v>
      </c>
      <c r="H1234" s="103" t="s">
        <v>8503</v>
      </c>
      <c r="I1234" s="103" t="s">
        <v>8504</v>
      </c>
      <c r="J1234" s="104" t="s">
        <v>8501</v>
      </c>
      <c r="K1234" s="105"/>
      <c r="L1234" s="105"/>
    </row>
    <row r="1235">
      <c r="A1235" s="103" t="s">
        <v>4676</v>
      </c>
      <c r="B1235" s="103">
        <v>1.100112713E9</v>
      </c>
      <c r="C1235" s="105"/>
      <c r="D1235" s="104" t="s">
        <v>8505</v>
      </c>
      <c r="E1235" s="104" t="s">
        <v>8506</v>
      </c>
      <c r="F1235" s="103" t="s">
        <v>4678</v>
      </c>
      <c r="G1235" s="103" t="s">
        <v>4679</v>
      </c>
      <c r="H1235" s="103" t="s">
        <v>8507</v>
      </c>
      <c r="I1235" s="103" t="s">
        <v>8508</v>
      </c>
      <c r="J1235" s="104" t="s">
        <v>8509</v>
      </c>
      <c r="K1235" s="105"/>
      <c r="L1235" s="105"/>
    </row>
    <row r="1236">
      <c r="A1236" s="103" t="s">
        <v>4676</v>
      </c>
      <c r="B1236" s="103">
        <v>1.10011271301E11</v>
      </c>
      <c r="C1236" s="105"/>
      <c r="D1236" s="104" t="s">
        <v>8505</v>
      </c>
      <c r="E1236" s="104" t="s">
        <v>8506</v>
      </c>
      <c r="F1236" s="103" t="s">
        <v>4678</v>
      </c>
      <c r="G1236" s="103" t="s">
        <v>4679</v>
      </c>
      <c r="H1236" s="103" t="s">
        <v>8510</v>
      </c>
      <c r="I1236" s="103" t="s">
        <v>8511</v>
      </c>
      <c r="J1236" s="104" t="s">
        <v>8509</v>
      </c>
      <c r="K1236" s="105"/>
      <c r="L1236" s="105"/>
    </row>
    <row r="1237">
      <c r="A1237" s="103" t="s">
        <v>4676</v>
      </c>
      <c r="B1237" s="103">
        <v>1.100112756E9</v>
      </c>
      <c r="C1237" s="105"/>
      <c r="D1237" s="104" t="s">
        <v>8512</v>
      </c>
      <c r="E1237" s="104" t="s">
        <v>5162</v>
      </c>
      <c r="F1237" s="103" t="s">
        <v>4678</v>
      </c>
      <c r="G1237" s="103" t="s">
        <v>4679</v>
      </c>
      <c r="H1237" s="103" t="s">
        <v>8513</v>
      </c>
      <c r="I1237" s="103">
        <v>3383864.0</v>
      </c>
      <c r="J1237" s="104" t="s">
        <v>8514</v>
      </c>
      <c r="K1237" s="105"/>
      <c r="L1237" s="105"/>
    </row>
    <row r="1238">
      <c r="A1238" s="103" t="s">
        <v>4676</v>
      </c>
      <c r="B1238" s="103">
        <v>1.10011275601E11</v>
      </c>
      <c r="C1238" s="105"/>
      <c r="D1238" s="104" t="s">
        <v>8515</v>
      </c>
      <c r="E1238" s="104" t="s">
        <v>5162</v>
      </c>
      <c r="F1238" s="103" t="s">
        <v>4678</v>
      </c>
      <c r="G1238" s="103" t="s">
        <v>4679</v>
      </c>
      <c r="H1238" s="103" t="s">
        <v>8516</v>
      </c>
      <c r="I1238" s="103" t="s">
        <v>8517</v>
      </c>
      <c r="J1238" s="104" t="s">
        <v>8514</v>
      </c>
      <c r="K1238" s="105"/>
      <c r="L1238" s="105"/>
    </row>
    <row r="1239">
      <c r="A1239" s="103" t="s">
        <v>4676</v>
      </c>
      <c r="B1239" s="103">
        <v>1.10011275602E11</v>
      </c>
      <c r="C1239" s="105"/>
      <c r="D1239" s="104" t="s">
        <v>8518</v>
      </c>
      <c r="E1239" s="104" t="s">
        <v>5162</v>
      </c>
      <c r="F1239" s="103" t="s">
        <v>4678</v>
      </c>
      <c r="G1239" s="103" t="s">
        <v>4679</v>
      </c>
      <c r="H1239" s="103" t="s">
        <v>8519</v>
      </c>
      <c r="I1239" s="103">
        <v>2158007.0</v>
      </c>
      <c r="J1239" s="104" t="s">
        <v>8514</v>
      </c>
      <c r="K1239" s="105"/>
      <c r="L1239" s="105"/>
    </row>
    <row r="1240">
      <c r="A1240" s="103" t="s">
        <v>4676</v>
      </c>
      <c r="B1240" s="103">
        <v>1.100112762E9</v>
      </c>
      <c r="C1240" s="105"/>
      <c r="D1240" s="104" t="s">
        <v>8520</v>
      </c>
      <c r="E1240" s="104" t="s">
        <v>8521</v>
      </c>
      <c r="F1240" s="103" t="s">
        <v>4678</v>
      </c>
      <c r="G1240" s="103" t="s">
        <v>4679</v>
      </c>
      <c r="H1240" s="103" t="s">
        <v>8522</v>
      </c>
      <c r="I1240" s="103">
        <v>3.006168831E9</v>
      </c>
      <c r="J1240" s="104" t="s">
        <v>8523</v>
      </c>
      <c r="K1240" s="105"/>
      <c r="L1240" s="105"/>
    </row>
    <row r="1241">
      <c r="A1241" s="103" t="s">
        <v>4676</v>
      </c>
      <c r="B1241" s="103">
        <v>1.10011276201E11</v>
      </c>
      <c r="C1241" s="105"/>
      <c r="D1241" s="104" t="s">
        <v>8520</v>
      </c>
      <c r="E1241" s="104" t="s">
        <v>8521</v>
      </c>
      <c r="F1241" s="103" t="s">
        <v>4678</v>
      </c>
      <c r="G1241" s="103" t="s">
        <v>4679</v>
      </c>
      <c r="H1241" s="103" t="s">
        <v>8522</v>
      </c>
      <c r="I1241" s="103">
        <v>3.006168831E9</v>
      </c>
      <c r="J1241" s="104" t="s">
        <v>8523</v>
      </c>
      <c r="K1241" s="105"/>
      <c r="L1241" s="105"/>
    </row>
    <row r="1242">
      <c r="A1242" s="103" t="s">
        <v>4676</v>
      </c>
      <c r="B1242" s="103">
        <v>1.100112797E9</v>
      </c>
      <c r="C1242" s="105"/>
      <c r="D1242" s="104" t="s">
        <v>8524</v>
      </c>
      <c r="E1242" s="104" t="s">
        <v>8525</v>
      </c>
      <c r="F1242" s="103" t="s">
        <v>4678</v>
      </c>
      <c r="G1242" s="103" t="s">
        <v>4679</v>
      </c>
      <c r="H1242" s="103" t="s">
        <v>8526</v>
      </c>
      <c r="I1242" s="103" t="s">
        <v>8527</v>
      </c>
      <c r="J1242" s="104" t="s">
        <v>8528</v>
      </c>
      <c r="K1242" s="105"/>
      <c r="L1242" s="105"/>
    </row>
    <row r="1243">
      <c r="A1243" s="103" t="s">
        <v>4676</v>
      </c>
      <c r="B1243" s="103">
        <v>1.10011279701E11</v>
      </c>
      <c r="C1243" s="105"/>
      <c r="D1243" s="104" t="s">
        <v>8524</v>
      </c>
      <c r="E1243" s="104" t="s">
        <v>8525</v>
      </c>
      <c r="F1243" s="103" t="s">
        <v>4678</v>
      </c>
      <c r="G1243" s="103" t="s">
        <v>4679</v>
      </c>
      <c r="H1243" s="103" t="s">
        <v>8529</v>
      </c>
      <c r="I1243" s="103" t="s">
        <v>8527</v>
      </c>
      <c r="J1243" s="104" t="s">
        <v>8528</v>
      </c>
      <c r="K1243" s="105"/>
      <c r="L1243" s="105"/>
    </row>
    <row r="1244">
      <c r="A1244" s="103" t="s">
        <v>4676</v>
      </c>
      <c r="B1244" s="103">
        <v>1.100112808E9</v>
      </c>
      <c r="C1244" s="105"/>
      <c r="D1244" s="104" t="s">
        <v>8530</v>
      </c>
      <c r="E1244" s="104" t="s">
        <v>8531</v>
      </c>
      <c r="F1244" s="103" t="s">
        <v>4678</v>
      </c>
      <c r="G1244" s="103" t="s">
        <v>4679</v>
      </c>
      <c r="H1244" s="103" t="s">
        <v>8532</v>
      </c>
      <c r="I1244" s="103">
        <v>3101279.0</v>
      </c>
      <c r="J1244" s="104" t="s">
        <v>8533</v>
      </c>
      <c r="K1244" s="105"/>
      <c r="L1244" s="105"/>
    </row>
    <row r="1245">
      <c r="A1245" s="103" t="s">
        <v>4676</v>
      </c>
      <c r="B1245" s="103">
        <v>1.10011280801E11</v>
      </c>
      <c r="C1245" s="105"/>
      <c r="D1245" s="104" t="s">
        <v>8530</v>
      </c>
      <c r="E1245" s="106"/>
      <c r="F1245" s="103" t="s">
        <v>4678</v>
      </c>
      <c r="G1245" s="103" t="s">
        <v>4679</v>
      </c>
      <c r="H1245" s="103" t="s">
        <v>8532</v>
      </c>
      <c r="I1245" s="105"/>
      <c r="J1245" s="104" t="s">
        <v>8533</v>
      </c>
      <c r="K1245" s="105"/>
      <c r="L1245" s="105"/>
    </row>
    <row r="1246">
      <c r="A1246" s="103" t="s">
        <v>4676</v>
      </c>
      <c r="B1246" s="103">
        <v>1.100112848E9</v>
      </c>
      <c r="C1246" s="105"/>
      <c r="D1246" s="104" t="s">
        <v>8534</v>
      </c>
      <c r="E1246" s="104" t="s">
        <v>8535</v>
      </c>
      <c r="F1246" s="103" t="s">
        <v>4678</v>
      </c>
      <c r="G1246" s="103" t="s">
        <v>4679</v>
      </c>
      <c r="H1246" s="103" t="s">
        <v>8536</v>
      </c>
      <c r="I1246" s="103">
        <v>3.222579847E9</v>
      </c>
      <c r="J1246" s="104" t="s">
        <v>8537</v>
      </c>
      <c r="K1246" s="107" t="s">
        <v>8538</v>
      </c>
      <c r="L1246" s="105"/>
    </row>
    <row r="1247">
      <c r="A1247" s="103" t="s">
        <v>4676</v>
      </c>
      <c r="B1247" s="103">
        <v>1.10011284801E11</v>
      </c>
      <c r="C1247" s="105"/>
      <c r="D1247" s="104" t="s">
        <v>8534</v>
      </c>
      <c r="E1247" s="104" t="s">
        <v>8539</v>
      </c>
      <c r="F1247" s="103" t="s">
        <v>4678</v>
      </c>
      <c r="G1247" s="103" t="s">
        <v>4679</v>
      </c>
      <c r="H1247" s="103" t="s">
        <v>8540</v>
      </c>
      <c r="I1247" s="103">
        <v>3.222579847E9</v>
      </c>
      <c r="J1247" s="104" t="s">
        <v>8537</v>
      </c>
      <c r="K1247" s="105"/>
      <c r="L1247" s="105"/>
    </row>
    <row r="1248">
      <c r="A1248" s="103" t="s">
        <v>4676</v>
      </c>
      <c r="B1248" s="103">
        <v>1.100113082E9</v>
      </c>
      <c r="C1248" s="105"/>
      <c r="D1248" s="104" t="s">
        <v>8541</v>
      </c>
      <c r="E1248" s="104" t="s">
        <v>8542</v>
      </c>
      <c r="F1248" s="103" t="s">
        <v>4678</v>
      </c>
      <c r="G1248" s="103" t="s">
        <v>4679</v>
      </c>
      <c r="H1248" s="103" t="s">
        <v>8543</v>
      </c>
      <c r="I1248" s="103" t="s">
        <v>8544</v>
      </c>
      <c r="J1248" s="104" t="s">
        <v>8545</v>
      </c>
      <c r="K1248" s="107" t="s">
        <v>8546</v>
      </c>
      <c r="L1248" s="105"/>
    </row>
    <row r="1249">
      <c r="A1249" s="103" t="s">
        <v>4676</v>
      </c>
      <c r="B1249" s="103">
        <v>1.10011308201E11</v>
      </c>
      <c r="C1249" s="105"/>
      <c r="D1249" s="104" t="s">
        <v>8547</v>
      </c>
      <c r="E1249" s="104" t="s">
        <v>8542</v>
      </c>
      <c r="F1249" s="103" t="s">
        <v>4678</v>
      </c>
      <c r="G1249" s="103" t="s">
        <v>4679</v>
      </c>
      <c r="H1249" s="103" t="s">
        <v>8548</v>
      </c>
      <c r="I1249" s="103" t="s">
        <v>8549</v>
      </c>
      <c r="J1249" s="104" t="s">
        <v>8550</v>
      </c>
      <c r="K1249" s="105"/>
      <c r="L1249" s="105"/>
    </row>
    <row r="1250">
      <c r="A1250" s="103" t="s">
        <v>4676</v>
      </c>
      <c r="B1250" s="103">
        <v>1.100113132E9</v>
      </c>
      <c r="C1250" s="105"/>
      <c r="D1250" s="104" t="s">
        <v>8551</v>
      </c>
      <c r="E1250" s="104" t="s">
        <v>8552</v>
      </c>
      <c r="F1250" s="103" t="s">
        <v>4678</v>
      </c>
      <c r="G1250" s="103" t="s">
        <v>4679</v>
      </c>
      <c r="H1250" s="103" t="s">
        <v>8553</v>
      </c>
      <c r="I1250" s="103">
        <v>3.002937837E9</v>
      </c>
      <c r="J1250" s="104" t="s">
        <v>8554</v>
      </c>
      <c r="K1250" s="107" t="s">
        <v>8555</v>
      </c>
      <c r="L1250" s="105"/>
    </row>
    <row r="1251">
      <c r="A1251" s="103" t="s">
        <v>4676</v>
      </c>
      <c r="B1251" s="103">
        <v>1.10011313201E11</v>
      </c>
      <c r="C1251" s="105"/>
      <c r="D1251" s="104" t="s">
        <v>8556</v>
      </c>
      <c r="E1251" s="104" t="s">
        <v>8557</v>
      </c>
      <c r="F1251" s="103" t="s">
        <v>4678</v>
      </c>
      <c r="G1251" s="103" t="s">
        <v>4679</v>
      </c>
      <c r="H1251" s="103" t="s">
        <v>8558</v>
      </c>
      <c r="I1251" s="103">
        <v>3.002937837E9</v>
      </c>
      <c r="J1251" s="104" t="s">
        <v>8554</v>
      </c>
      <c r="K1251" s="105"/>
      <c r="L1251" s="105"/>
    </row>
    <row r="1252">
      <c r="A1252" s="103" t="s">
        <v>4676</v>
      </c>
      <c r="B1252" s="103">
        <v>1.100113406E9</v>
      </c>
      <c r="C1252" s="105"/>
      <c r="D1252" s="104" t="s">
        <v>8559</v>
      </c>
      <c r="E1252" s="106"/>
      <c r="F1252" s="103" t="s">
        <v>4678</v>
      </c>
      <c r="G1252" s="103" t="s">
        <v>4679</v>
      </c>
      <c r="H1252" s="103" t="s">
        <v>8560</v>
      </c>
      <c r="I1252" s="103" t="s">
        <v>8561</v>
      </c>
      <c r="J1252" s="104" t="s">
        <v>8562</v>
      </c>
      <c r="K1252" s="105"/>
      <c r="L1252" s="105"/>
    </row>
    <row r="1253">
      <c r="A1253" s="103" t="s">
        <v>4676</v>
      </c>
      <c r="B1253" s="103">
        <v>1.10011340602E11</v>
      </c>
      <c r="C1253" s="105"/>
      <c r="D1253" s="104" t="s">
        <v>8563</v>
      </c>
      <c r="E1253" s="104" t="s">
        <v>8564</v>
      </c>
      <c r="F1253" s="103" t="s">
        <v>4678</v>
      </c>
      <c r="G1253" s="103" t="s">
        <v>4679</v>
      </c>
      <c r="H1253" s="103" t="s">
        <v>8565</v>
      </c>
      <c r="I1253" s="103" t="s">
        <v>8561</v>
      </c>
      <c r="J1253" s="104" t="s">
        <v>8566</v>
      </c>
      <c r="K1253" s="105"/>
      <c r="L1253" s="105"/>
    </row>
    <row r="1254">
      <c r="A1254" s="103" t="s">
        <v>4676</v>
      </c>
      <c r="B1254" s="103">
        <v>1.100113473E9</v>
      </c>
      <c r="C1254" s="105"/>
      <c r="D1254" s="104" t="s">
        <v>8567</v>
      </c>
      <c r="E1254" s="104" t="s">
        <v>8568</v>
      </c>
      <c r="F1254" s="103" t="s">
        <v>4678</v>
      </c>
      <c r="G1254" s="103" t="s">
        <v>4679</v>
      </c>
      <c r="H1254" s="103" t="s">
        <v>8569</v>
      </c>
      <c r="I1254" s="103">
        <v>6208190.0</v>
      </c>
      <c r="J1254" s="104" t="s">
        <v>8570</v>
      </c>
      <c r="K1254" s="107" t="s">
        <v>8571</v>
      </c>
      <c r="L1254" s="105"/>
    </row>
    <row r="1255">
      <c r="A1255" s="103" t="s">
        <v>4676</v>
      </c>
      <c r="B1255" s="103">
        <v>1.10011347301E11</v>
      </c>
      <c r="C1255" s="105"/>
      <c r="D1255" s="104" t="s">
        <v>8567</v>
      </c>
      <c r="E1255" s="104" t="s">
        <v>8568</v>
      </c>
      <c r="F1255" s="103" t="s">
        <v>4678</v>
      </c>
      <c r="G1255" s="103" t="s">
        <v>4679</v>
      </c>
      <c r="H1255" s="103" t="s">
        <v>8569</v>
      </c>
      <c r="I1255" s="103">
        <v>6208190.0</v>
      </c>
      <c r="J1255" s="104" t="s">
        <v>8570</v>
      </c>
      <c r="K1255" s="105"/>
      <c r="L1255" s="105"/>
    </row>
    <row r="1256">
      <c r="A1256" s="103" t="s">
        <v>4676</v>
      </c>
      <c r="B1256" s="103">
        <v>1.100113483E9</v>
      </c>
      <c r="C1256" s="105"/>
      <c r="D1256" s="104" t="s">
        <v>8572</v>
      </c>
      <c r="E1256" s="106"/>
      <c r="F1256" s="103" t="s">
        <v>4678</v>
      </c>
      <c r="G1256" s="103" t="s">
        <v>4679</v>
      </c>
      <c r="H1256" s="103" t="s">
        <v>8573</v>
      </c>
      <c r="I1256" s="103">
        <v>6021070.0</v>
      </c>
      <c r="J1256" s="104" t="s">
        <v>8574</v>
      </c>
      <c r="K1256" s="105"/>
      <c r="L1256" s="105"/>
    </row>
    <row r="1257">
      <c r="A1257" s="103" t="s">
        <v>4676</v>
      </c>
      <c r="B1257" s="103">
        <v>1.10011348301E11</v>
      </c>
      <c r="C1257" s="105"/>
      <c r="D1257" s="104" t="s">
        <v>8575</v>
      </c>
      <c r="E1257" s="104" t="s">
        <v>8576</v>
      </c>
      <c r="F1257" s="103" t="s">
        <v>4678</v>
      </c>
      <c r="G1257" s="103" t="s">
        <v>4679</v>
      </c>
      <c r="H1257" s="103" t="s">
        <v>8577</v>
      </c>
      <c r="I1257" s="103">
        <v>6021070.0</v>
      </c>
      <c r="J1257" s="104" t="s">
        <v>8574</v>
      </c>
      <c r="K1257" s="105"/>
      <c r="L1257" s="105"/>
    </row>
    <row r="1258">
      <c r="A1258" s="103" t="s">
        <v>4676</v>
      </c>
      <c r="B1258" s="103">
        <v>1.100113508E9</v>
      </c>
      <c r="C1258" s="105"/>
      <c r="D1258" s="104" t="s">
        <v>8578</v>
      </c>
      <c r="E1258" s="104" t="s">
        <v>8579</v>
      </c>
      <c r="F1258" s="103" t="s">
        <v>4678</v>
      </c>
      <c r="G1258" s="103" t="s">
        <v>4679</v>
      </c>
      <c r="H1258" s="103" t="s">
        <v>8580</v>
      </c>
      <c r="I1258" s="103" t="s">
        <v>8581</v>
      </c>
      <c r="J1258" s="104" t="s">
        <v>8582</v>
      </c>
      <c r="K1258" s="107" t="s">
        <v>8583</v>
      </c>
      <c r="L1258" s="105"/>
    </row>
    <row r="1259">
      <c r="A1259" s="103" t="s">
        <v>4676</v>
      </c>
      <c r="B1259" s="103">
        <v>1.10011350801E11</v>
      </c>
      <c r="C1259" s="105"/>
      <c r="D1259" s="104" t="s">
        <v>8584</v>
      </c>
      <c r="E1259" s="104" t="s">
        <v>8579</v>
      </c>
      <c r="F1259" s="103" t="s">
        <v>4678</v>
      </c>
      <c r="G1259" s="103" t="s">
        <v>4679</v>
      </c>
      <c r="H1259" s="103" t="s">
        <v>8585</v>
      </c>
      <c r="I1259" s="103">
        <v>4929220.0</v>
      </c>
      <c r="J1259" s="104" t="s">
        <v>8586</v>
      </c>
      <c r="K1259" s="105"/>
      <c r="L1259" s="105"/>
    </row>
    <row r="1260">
      <c r="A1260" s="103" t="s">
        <v>4676</v>
      </c>
      <c r="B1260" s="103">
        <v>1.10011350802E11</v>
      </c>
      <c r="C1260" s="105"/>
      <c r="D1260" s="104" t="s">
        <v>8587</v>
      </c>
      <c r="E1260" s="104" t="s">
        <v>8588</v>
      </c>
      <c r="F1260" s="103" t="s">
        <v>4678</v>
      </c>
      <c r="G1260" s="103" t="s">
        <v>4679</v>
      </c>
      <c r="H1260" s="103" t="s">
        <v>8589</v>
      </c>
      <c r="I1260" s="103" t="s">
        <v>8590</v>
      </c>
      <c r="J1260" s="104" t="s">
        <v>8586</v>
      </c>
      <c r="K1260" s="105"/>
      <c r="L1260" s="105"/>
    </row>
    <row r="1261">
      <c r="A1261" s="103" t="s">
        <v>4676</v>
      </c>
      <c r="B1261" s="103">
        <v>1.10011350804E11</v>
      </c>
      <c r="C1261" s="105"/>
      <c r="D1261" s="104" t="s">
        <v>8591</v>
      </c>
      <c r="E1261" s="104" t="s">
        <v>8588</v>
      </c>
      <c r="F1261" s="103" t="s">
        <v>4678</v>
      </c>
      <c r="G1261" s="103" t="s">
        <v>4679</v>
      </c>
      <c r="H1261" s="103" t="s">
        <v>8592</v>
      </c>
      <c r="I1261" s="103" t="s">
        <v>8593</v>
      </c>
      <c r="J1261" s="104" t="s">
        <v>8586</v>
      </c>
      <c r="K1261" s="105"/>
      <c r="L1261" s="105"/>
    </row>
    <row r="1262">
      <c r="A1262" s="103" t="s">
        <v>4676</v>
      </c>
      <c r="B1262" s="103">
        <v>1.10011350805E11</v>
      </c>
      <c r="C1262" s="105"/>
      <c r="D1262" s="104" t="s">
        <v>8594</v>
      </c>
      <c r="E1262" s="104" t="s">
        <v>8595</v>
      </c>
      <c r="F1262" s="103" t="s">
        <v>4678</v>
      </c>
      <c r="G1262" s="103" t="s">
        <v>4679</v>
      </c>
      <c r="H1262" s="103" t="s">
        <v>8596</v>
      </c>
      <c r="I1262" s="103">
        <v>3.144262498E9</v>
      </c>
      <c r="J1262" s="104" t="s">
        <v>8586</v>
      </c>
      <c r="K1262" s="105"/>
      <c r="L1262" s="105"/>
    </row>
    <row r="1263">
      <c r="A1263" s="103" t="s">
        <v>4676</v>
      </c>
      <c r="B1263" s="103">
        <v>1.100113701E9</v>
      </c>
      <c r="C1263" s="105"/>
      <c r="D1263" s="104" t="s">
        <v>8597</v>
      </c>
      <c r="E1263" s="104" t="s">
        <v>8598</v>
      </c>
      <c r="F1263" s="103" t="s">
        <v>4678</v>
      </c>
      <c r="G1263" s="103" t="s">
        <v>4679</v>
      </c>
      <c r="H1263" s="103" t="s">
        <v>8599</v>
      </c>
      <c r="I1263" s="103" t="s">
        <v>8600</v>
      </c>
      <c r="J1263" s="104" t="s">
        <v>8601</v>
      </c>
      <c r="K1263" s="105"/>
      <c r="L1263" s="105"/>
    </row>
    <row r="1264">
      <c r="A1264" s="103" t="s">
        <v>4676</v>
      </c>
      <c r="B1264" s="103">
        <v>1.10011370101E11</v>
      </c>
      <c r="C1264" s="105"/>
      <c r="D1264" s="104" t="s">
        <v>8597</v>
      </c>
      <c r="E1264" s="104" t="s">
        <v>8598</v>
      </c>
      <c r="F1264" s="103" t="s">
        <v>4678</v>
      </c>
      <c r="G1264" s="103" t="s">
        <v>4679</v>
      </c>
      <c r="H1264" s="103" t="s">
        <v>8599</v>
      </c>
      <c r="I1264" s="103" t="s">
        <v>8600</v>
      </c>
      <c r="J1264" s="104" t="s">
        <v>8601</v>
      </c>
      <c r="K1264" s="105"/>
      <c r="L1264" s="105"/>
    </row>
    <row r="1265">
      <c r="A1265" s="103" t="s">
        <v>4676</v>
      </c>
      <c r="B1265" s="103">
        <v>1.10011370102E11</v>
      </c>
      <c r="C1265" s="105"/>
      <c r="D1265" s="104" t="s">
        <v>8602</v>
      </c>
      <c r="E1265" s="104" t="s">
        <v>7520</v>
      </c>
      <c r="F1265" s="103" t="s">
        <v>4678</v>
      </c>
      <c r="G1265" s="103" t="s">
        <v>4679</v>
      </c>
      <c r="H1265" s="103" t="s">
        <v>8603</v>
      </c>
      <c r="I1265" s="103">
        <v>5460600.0</v>
      </c>
      <c r="J1265" s="104" t="s">
        <v>8604</v>
      </c>
      <c r="K1265" s="105"/>
      <c r="L1265" s="105"/>
    </row>
    <row r="1266">
      <c r="A1266" s="103" t="s">
        <v>4676</v>
      </c>
      <c r="B1266" s="103">
        <v>1.100113706E9</v>
      </c>
      <c r="C1266" s="105"/>
      <c r="D1266" s="104" t="s">
        <v>8605</v>
      </c>
      <c r="E1266" s="104" t="s">
        <v>8606</v>
      </c>
      <c r="F1266" s="103" t="s">
        <v>4678</v>
      </c>
      <c r="G1266" s="103" t="s">
        <v>4679</v>
      </c>
      <c r="H1266" s="103" t="s">
        <v>8607</v>
      </c>
      <c r="I1266" s="103">
        <v>7454542.0</v>
      </c>
      <c r="J1266" s="104" t="s">
        <v>8608</v>
      </c>
      <c r="K1266" s="107" t="s">
        <v>8609</v>
      </c>
      <c r="L1266" s="105"/>
    </row>
    <row r="1267">
      <c r="A1267" s="103" t="s">
        <v>4676</v>
      </c>
      <c r="B1267" s="103">
        <v>1.10011370601E11</v>
      </c>
      <c r="C1267" s="105"/>
      <c r="D1267" s="104" t="s">
        <v>8605</v>
      </c>
      <c r="E1267" s="104" t="s">
        <v>8610</v>
      </c>
      <c r="F1267" s="103" t="s">
        <v>4678</v>
      </c>
      <c r="G1267" s="103" t="s">
        <v>4679</v>
      </c>
      <c r="H1267" s="103" t="s">
        <v>8611</v>
      </c>
      <c r="I1267" s="103" t="s">
        <v>8612</v>
      </c>
      <c r="J1267" s="104" t="s">
        <v>8608</v>
      </c>
      <c r="K1267" s="105"/>
      <c r="L1267" s="105"/>
    </row>
    <row r="1268">
      <c r="A1268" s="103" t="s">
        <v>4676</v>
      </c>
      <c r="B1268" s="103">
        <v>1.100114073E9</v>
      </c>
      <c r="C1268" s="105"/>
      <c r="D1268" s="104" t="s">
        <v>8613</v>
      </c>
      <c r="E1268" s="106"/>
      <c r="F1268" s="103" t="s">
        <v>4678</v>
      </c>
      <c r="G1268" s="103" t="s">
        <v>4679</v>
      </c>
      <c r="H1268" s="103" t="s">
        <v>8614</v>
      </c>
      <c r="I1268" s="103" t="s">
        <v>8615</v>
      </c>
      <c r="J1268" s="104" t="s">
        <v>8616</v>
      </c>
      <c r="K1268" s="105"/>
      <c r="L1268" s="105"/>
    </row>
    <row r="1269">
      <c r="A1269" s="103" t="s">
        <v>4676</v>
      </c>
      <c r="B1269" s="103">
        <v>1.10011407301E11</v>
      </c>
      <c r="C1269" s="105"/>
      <c r="D1269" s="104" t="s">
        <v>8613</v>
      </c>
      <c r="E1269" s="104" t="s">
        <v>8617</v>
      </c>
      <c r="F1269" s="103" t="s">
        <v>4678</v>
      </c>
      <c r="G1269" s="103" t="s">
        <v>4679</v>
      </c>
      <c r="H1269" s="103" t="s">
        <v>8614</v>
      </c>
      <c r="I1269" s="103" t="s">
        <v>8618</v>
      </c>
      <c r="J1269" s="104" t="s">
        <v>8616</v>
      </c>
      <c r="K1269" s="105"/>
      <c r="L1269" s="105"/>
    </row>
    <row r="1270">
      <c r="A1270" s="103" t="s">
        <v>4676</v>
      </c>
      <c r="B1270" s="103">
        <v>1.100114074E9</v>
      </c>
      <c r="C1270" s="105"/>
      <c r="D1270" s="104" t="s">
        <v>8619</v>
      </c>
      <c r="E1270" s="106"/>
      <c r="F1270" s="103" t="s">
        <v>4678</v>
      </c>
      <c r="G1270" s="103" t="s">
        <v>4679</v>
      </c>
      <c r="H1270" s="103" t="s">
        <v>8620</v>
      </c>
      <c r="I1270" s="103" t="s">
        <v>8621</v>
      </c>
      <c r="J1270" s="104" t="s">
        <v>8622</v>
      </c>
      <c r="K1270" s="105"/>
      <c r="L1270" s="105"/>
    </row>
    <row r="1271">
      <c r="A1271" s="103" t="s">
        <v>4676</v>
      </c>
      <c r="B1271" s="103">
        <v>1.10011407401E11</v>
      </c>
      <c r="C1271" s="105"/>
      <c r="D1271" s="104" t="s">
        <v>8619</v>
      </c>
      <c r="E1271" s="106"/>
      <c r="F1271" s="103" t="s">
        <v>4678</v>
      </c>
      <c r="G1271" s="103" t="s">
        <v>4679</v>
      </c>
      <c r="H1271" s="103" t="s">
        <v>8623</v>
      </c>
      <c r="I1271" s="103" t="s">
        <v>8621</v>
      </c>
      <c r="J1271" s="104" t="s">
        <v>8622</v>
      </c>
      <c r="K1271" s="105"/>
      <c r="L1271" s="105"/>
    </row>
    <row r="1272">
      <c r="A1272" s="103" t="s">
        <v>4676</v>
      </c>
      <c r="B1272" s="103">
        <v>1.10011415E9</v>
      </c>
      <c r="C1272" s="105"/>
      <c r="D1272" s="104" t="s">
        <v>8624</v>
      </c>
      <c r="E1272" s="104" t="s">
        <v>8625</v>
      </c>
      <c r="F1272" s="103" t="s">
        <v>4678</v>
      </c>
      <c r="G1272" s="103" t="s">
        <v>4679</v>
      </c>
      <c r="H1272" s="103" t="s">
        <v>8626</v>
      </c>
      <c r="I1272" s="103">
        <v>2366927.0</v>
      </c>
      <c r="J1272" s="104" t="s">
        <v>8627</v>
      </c>
      <c r="K1272" s="107" t="s">
        <v>8628</v>
      </c>
      <c r="L1272" s="105"/>
    </row>
    <row r="1273">
      <c r="A1273" s="103" t="s">
        <v>4676</v>
      </c>
      <c r="B1273" s="103">
        <v>1.10011415001E11</v>
      </c>
      <c r="C1273" s="105"/>
      <c r="D1273" s="104" t="s">
        <v>8624</v>
      </c>
      <c r="E1273" s="104" t="s">
        <v>8625</v>
      </c>
      <c r="F1273" s="103" t="s">
        <v>4678</v>
      </c>
      <c r="G1273" s="103" t="s">
        <v>4679</v>
      </c>
      <c r="H1273" s="103" t="s">
        <v>8629</v>
      </c>
      <c r="I1273" s="103">
        <v>2366927.0</v>
      </c>
      <c r="J1273" s="104" t="s">
        <v>8630</v>
      </c>
      <c r="K1273" s="105"/>
      <c r="L1273" s="105"/>
    </row>
    <row r="1274">
      <c r="A1274" s="103" t="s">
        <v>4676</v>
      </c>
      <c r="B1274" s="103">
        <v>1.10011415002E11</v>
      </c>
      <c r="C1274" s="105"/>
      <c r="D1274" s="104" t="s">
        <v>8631</v>
      </c>
      <c r="E1274" s="104" t="s">
        <v>8632</v>
      </c>
      <c r="F1274" s="103" t="s">
        <v>4678</v>
      </c>
      <c r="G1274" s="103" t="s">
        <v>4679</v>
      </c>
      <c r="H1274" s="103" t="s">
        <v>8633</v>
      </c>
      <c r="I1274" s="103">
        <v>6.012366927E9</v>
      </c>
      <c r="J1274" s="104" t="s">
        <v>8630</v>
      </c>
      <c r="K1274" s="105"/>
      <c r="L1274" s="105"/>
    </row>
    <row r="1275">
      <c r="A1275" s="103" t="s">
        <v>4676</v>
      </c>
      <c r="B1275" s="103">
        <v>1.10011415003E11</v>
      </c>
      <c r="C1275" s="105"/>
      <c r="D1275" s="104" t="s">
        <v>8634</v>
      </c>
      <c r="E1275" s="104" t="s">
        <v>8625</v>
      </c>
      <c r="F1275" s="103" t="s">
        <v>4678</v>
      </c>
      <c r="G1275" s="103" t="s">
        <v>4679</v>
      </c>
      <c r="H1275" s="103" t="s">
        <v>8635</v>
      </c>
      <c r="I1275" s="103">
        <v>3.232308728E9</v>
      </c>
      <c r="J1275" s="104" t="s">
        <v>8630</v>
      </c>
      <c r="K1275" s="105"/>
      <c r="L1275" s="105"/>
    </row>
    <row r="1276">
      <c r="A1276" s="103" t="s">
        <v>4676</v>
      </c>
      <c r="B1276" s="103">
        <v>1.100114291E9</v>
      </c>
      <c r="C1276" s="105"/>
      <c r="D1276" s="104" t="s">
        <v>8636</v>
      </c>
      <c r="E1276" s="106"/>
      <c r="F1276" s="103" t="s">
        <v>4678</v>
      </c>
      <c r="G1276" s="103" t="s">
        <v>4679</v>
      </c>
      <c r="H1276" s="103" t="s">
        <v>8637</v>
      </c>
      <c r="I1276" s="103">
        <v>1.8005190175E10</v>
      </c>
      <c r="J1276" s="104" t="s">
        <v>8638</v>
      </c>
      <c r="K1276" s="107" t="s">
        <v>8639</v>
      </c>
      <c r="L1276" s="105"/>
    </row>
    <row r="1277">
      <c r="A1277" s="103" t="s">
        <v>4676</v>
      </c>
      <c r="B1277" s="103">
        <v>1.10011429102E11</v>
      </c>
      <c r="C1277" s="105"/>
      <c r="D1277" s="104" t="s">
        <v>8640</v>
      </c>
      <c r="E1277" s="104" t="s">
        <v>8641</v>
      </c>
      <c r="F1277" s="103" t="s">
        <v>4678</v>
      </c>
      <c r="G1277" s="103" t="s">
        <v>4679</v>
      </c>
      <c r="H1277" s="103" t="s">
        <v>8637</v>
      </c>
      <c r="I1277" s="103">
        <v>1.8005190175E10</v>
      </c>
      <c r="J1277" s="104" t="s">
        <v>8642</v>
      </c>
      <c r="K1277" s="105"/>
      <c r="L1277" s="105"/>
    </row>
    <row r="1278">
      <c r="A1278" s="103" t="s">
        <v>4676</v>
      </c>
      <c r="B1278" s="103">
        <v>1.100114343E9</v>
      </c>
      <c r="C1278" s="105"/>
      <c r="D1278" s="104" t="s">
        <v>8643</v>
      </c>
      <c r="E1278" s="104" t="s">
        <v>8644</v>
      </c>
      <c r="F1278" s="103" t="s">
        <v>4678</v>
      </c>
      <c r="G1278" s="103" t="s">
        <v>4679</v>
      </c>
      <c r="H1278" s="103" t="s">
        <v>8645</v>
      </c>
      <c r="I1278" s="103">
        <v>3.143997827E9</v>
      </c>
      <c r="J1278" s="104" t="s">
        <v>8646</v>
      </c>
      <c r="K1278" s="105"/>
      <c r="L1278" s="105"/>
    </row>
    <row r="1279">
      <c r="A1279" s="103" t="s">
        <v>4676</v>
      </c>
      <c r="B1279" s="103">
        <v>1.10011434302E11</v>
      </c>
      <c r="C1279" s="105"/>
      <c r="D1279" s="104" t="s">
        <v>8643</v>
      </c>
      <c r="E1279" s="104" t="s">
        <v>8644</v>
      </c>
      <c r="F1279" s="103" t="s">
        <v>4678</v>
      </c>
      <c r="G1279" s="103" t="s">
        <v>4679</v>
      </c>
      <c r="H1279" s="103" t="s">
        <v>8645</v>
      </c>
      <c r="I1279" s="103">
        <v>3.143997827E9</v>
      </c>
      <c r="J1279" s="104" t="s">
        <v>8647</v>
      </c>
      <c r="K1279" s="105"/>
      <c r="L1279" s="105"/>
    </row>
    <row r="1280">
      <c r="A1280" s="103" t="s">
        <v>4676</v>
      </c>
      <c r="B1280" s="103">
        <v>1.100114369E9</v>
      </c>
      <c r="C1280" s="105"/>
      <c r="D1280" s="104" t="s">
        <v>8648</v>
      </c>
      <c r="E1280" s="104" t="s">
        <v>8649</v>
      </c>
      <c r="F1280" s="103" t="s">
        <v>4678</v>
      </c>
      <c r="G1280" s="103" t="s">
        <v>4679</v>
      </c>
      <c r="H1280" s="103" t="s">
        <v>8650</v>
      </c>
      <c r="I1280" s="103">
        <v>5205251.0</v>
      </c>
      <c r="J1280" s="104" t="s">
        <v>8651</v>
      </c>
      <c r="K1280" s="105"/>
      <c r="L1280" s="105"/>
    </row>
    <row r="1281">
      <c r="A1281" s="103" t="s">
        <v>4676</v>
      </c>
      <c r="B1281" s="103">
        <v>1.10011436901E11</v>
      </c>
      <c r="C1281" s="105"/>
      <c r="D1281" s="104" t="s">
        <v>8648</v>
      </c>
      <c r="E1281" s="104" t="s">
        <v>8649</v>
      </c>
      <c r="F1281" s="103" t="s">
        <v>4678</v>
      </c>
      <c r="G1281" s="103" t="s">
        <v>4679</v>
      </c>
      <c r="H1281" s="103" t="s">
        <v>8650</v>
      </c>
      <c r="I1281" s="103">
        <v>5205251.0</v>
      </c>
      <c r="J1281" s="104" t="s">
        <v>8651</v>
      </c>
      <c r="K1281" s="105"/>
      <c r="L1281" s="105"/>
    </row>
    <row r="1282">
      <c r="A1282" s="103" t="s">
        <v>4676</v>
      </c>
      <c r="B1282" s="103">
        <v>1.100114456E9</v>
      </c>
      <c r="C1282" s="105"/>
      <c r="D1282" s="104" t="s">
        <v>8652</v>
      </c>
      <c r="E1282" s="104" t="s">
        <v>8653</v>
      </c>
      <c r="F1282" s="103" t="s">
        <v>4678</v>
      </c>
      <c r="G1282" s="103" t="s">
        <v>4679</v>
      </c>
      <c r="H1282" s="103" t="s">
        <v>8654</v>
      </c>
      <c r="I1282" s="103">
        <v>2374625.0</v>
      </c>
      <c r="J1282" s="104" t="s">
        <v>8655</v>
      </c>
      <c r="K1282" s="105"/>
      <c r="L1282" s="105"/>
    </row>
    <row r="1283">
      <c r="A1283" s="103" t="s">
        <v>4676</v>
      </c>
      <c r="B1283" s="103">
        <v>1.10011445601E11</v>
      </c>
      <c r="C1283" s="105"/>
      <c r="D1283" s="104" t="s">
        <v>8656</v>
      </c>
      <c r="E1283" s="104" t="s">
        <v>8657</v>
      </c>
      <c r="F1283" s="103" t="s">
        <v>4678</v>
      </c>
      <c r="G1283" s="103" t="s">
        <v>4679</v>
      </c>
      <c r="H1283" s="103" t="s">
        <v>8654</v>
      </c>
      <c r="I1283" s="103">
        <v>2374625.0</v>
      </c>
      <c r="J1283" s="104" t="s">
        <v>8655</v>
      </c>
      <c r="K1283" s="105"/>
      <c r="L1283" s="105"/>
    </row>
    <row r="1284">
      <c r="A1284" s="103" t="s">
        <v>4676</v>
      </c>
      <c r="B1284" s="103">
        <v>1.100114524E9</v>
      </c>
      <c r="C1284" s="105"/>
      <c r="D1284" s="104" t="s">
        <v>8658</v>
      </c>
      <c r="E1284" s="106"/>
      <c r="F1284" s="103" t="s">
        <v>4678</v>
      </c>
      <c r="G1284" s="103" t="s">
        <v>4679</v>
      </c>
      <c r="H1284" s="103" t="s">
        <v>8659</v>
      </c>
      <c r="I1284" s="103" t="s">
        <v>8660</v>
      </c>
      <c r="J1284" s="104" t="s">
        <v>8661</v>
      </c>
      <c r="K1284" s="105"/>
      <c r="L1284" s="105"/>
    </row>
    <row r="1285">
      <c r="A1285" s="103" t="s">
        <v>4676</v>
      </c>
      <c r="B1285" s="103">
        <v>1.10011452401E11</v>
      </c>
      <c r="C1285" s="105"/>
      <c r="D1285" s="104" t="s">
        <v>8658</v>
      </c>
      <c r="E1285" s="104" t="s">
        <v>8662</v>
      </c>
      <c r="F1285" s="103" t="s">
        <v>4678</v>
      </c>
      <c r="G1285" s="103" t="s">
        <v>4679</v>
      </c>
      <c r="H1285" s="103" t="s">
        <v>8659</v>
      </c>
      <c r="I1285" s="103" t="s">
        <v>8660</v>
      </c>
      <c r="J1285" s="104" t="s">
        <v>8661</v>
      </c>
      <c r="K1285" s="105"/>
      <c r="L1285" s="105"/>
    </row>
    <row r="1286">
      <c r="A1286" s="103" t="s">
        <v>4676</v>
      </c>
      <c r="B1286" s="103">
        <v>1.100114619E9</v>
      </c>
      <c r="C1286" s="105"/>
      <c r="D1286" s="104" t="s">
        <v>8663</v>
      </c>
      <c r="E1286" s="106"/>
      <c r="F1286" s="103" t="s">
        <v>4678</v>
      </c>
      <c r="G1286" s="103" t="s">
        <v>4679</v>
      </c>
      <c r="H1286" s="103" t="s">
        <v>8664</v>
      </c>
      <c r="I1286" s="103">
        <v>2960533.0</v>
      </c>
      <c r="J1286" s="104" t="s">
        <v>8665</v>
      </c>
      <c r="K1286" s="105"/>
      <c r="L1286" s="105"/>
    </row>
    <row r="1287">
      <c r="A1287" s="103" t="s">
        <v>4676</v>
      </c>
      <c r="B1287" s="103">
        <v>1.10011461901E11</v>
      </c>
      <c r="C1287" s="105"/>
      <c r="D1287" s="104" t="s">
        <v>8663</v>
      </c>
      <c r="E1287" s="106"/>
      <c r="F1287" s="103" t="s">
        <v>4678</v>
      </c>
      <c r="G1287" s="103" t="s">
        <v>4679</v>
      </c>
      <c r="H1287" s="103" t="s">
        <v>8664</v>
      </c>
      <c r="I1287" s="103">
        <v>2960533.0</v>
      </c>
      <c r="J1287" s="104" t="s">
        <v>8665</v>
      </c>
      <c r="K1287" s="105"/>
      <c r="L1287" s="105"/>
    </row>
    <row r="1288">
      <c r="A1288" s="103" t="s">
        <v>4676</v>
      </c>
      <c r="B1288" s="103">
        <v>1.100114648E9</v>
      </c>
      <c r="C1288" s="105"/>
      <c r="D1288" s="104" t="s">
        <v>8666</v>
      </c>
      <c r="E1288" s="104" t="s">
        <v>8667</v>
      </c>
      <c r="F1288" s="103" t="s">
        <v>4678</v>
      </c>
      <c r="G1288" s="103" t="s">
        <v>4679</v>
      </c>
      <c r="H1288" s="103" t="s">
        <v>8668</v>
      </c>
      <c r="I1288" s="103">
        <v>3222061.0</v>
      </c>
      <c r="J1288" s="104" t="s">
        <v>8669</v>
      </c>
      <c r="K1288" s="105"/>
      <c r="L1288" s="105"/>
    </row>
    <row r="1289">
      <c r="A1289" s="103" t="s">
        <v>4676</v>
      </c>
      <c r="B1289" s="103">
        <v>1.10011464801E11</v>
      </c>
      <c r="C1289" s="105"/>
      <c r="D1289" s="104" t="s">
        <v>8670</v>
      </c>
      <c r="E1289" s="104" t="s">
        <v>8671</v>
      </c>
      <c r="F1289" s="103" t="s">
        <v>4678</v>
      </c>
      <c r="G1289" s="103" t="s">
        <v>4679</v>
      </c>
      <c r="H1289" s="103" t="s">
        <v>8668</v>
      </c>
      <c r="I1289" s="103" t="s">
        <v>8672</v>
      </c>
      <c r="J1289" s="104" t="s">
        <v>8669</v>
      </c>
      <c r="K1289" s="105"/>
      <c r="L1289" s="105"/>
    </row>
    <row r="1290">
      <c r="A1290" s="103" t="s">
        <v>4676</v>
      </c>
      <c r="B1290" s="103">
        <v>1.100114721E9</v>
      </c>
      <c r="C1290" s="105"/>
      <c r="D1290" s="104" t="s">
        <v>8673</v>
      </c>
      <c r="E1290" s="106"/>
      <c r="F1290" s="103" t="s">
        <v>4678</v>
      </c>
      <c r="G1290" s="103" t="s">
        <v>4679</v>
      </c>
      <c r="H1290" s="103" t="s">
        <v>8674</v>
      </c>
      <c r="I1290" s="103" t="s">
        <v>8675</v>
      </c>
      <c r="J1290" s="104" t="s">
        <v>8676</v>
      </c>
      <c r="K1290" s="105"/>
      <c r="L1290" s="105"/>
    </row>
    <row r="1291">
      <c r="A1291" s="103" t="s">
        <v>4676</v>
      </c>
      <c r="B1291" s="103">
        <v>1.10011472101E11</v>
      </c>
      <c r="C1291" s="105"/>
      <c r="D1291" s="104" t="s">
        <v>8677</v>
      </c>
      <c r="E1291" s="104" t="s">
        <v>8678</v>
      </c>
      <c r="F1291" s="103" t="s">
        <v>4678</v>
      </c>
      <c r="G1291" s="103" t="s">
        <v>4679</v>
      </c>
      <c r="H1291" s="103" t="s">
        <v>8674</v>
      </c>
      <c r="I1291" s="103" t="s">
        <v>8679</v>
      </c>
      <c r="J1291" s="104" t="s">
        <v>8680</v>
      </c>
      <c r="K1291" s="105"/>
      <c r="L1291" s="105"/>
    </row>
    <row r="1292">
      <c r="A1292" s="103" t="s">
        <v>4676</v>
      </c>
      <c r="B1292" s="103">
        <v>1.100114725E9</v>
      </c>
      <c r="C1292" s="105"/>
      <c r="D1292" s="104" t="s">
        <v>8681</v>
      </c>
      <c r="E1292" s="104" t="s">
        <v>8682</v>
      </c>
      <c r="F1292" s="103" t="s">
        <v>4678</v>
      </c>
      <c r="G1292" s="103" t="s">
        <v>4679</v>
      </c>
      <c r="H1292" s="103" t="s">
        <v>8683</v>
      </c>
      <c r="I1292" s="103">
        <v>6.01743015E9</v>
      </c>
      <c r="J1292" s="104" t="s">
        <v>8684</v>
      </c>
      <c r="K1292" s="107" t="s">
        <v>8685</v>
      </c>
      <c r="L1292" s="105"/>
    </row>
    <row r="1293">
      <c r="A1293" s="103" t="s">
        <v>4676</v>
      </c>
      <c r="B1293" s="103">
        <v>1.10011472502E11</v>
      </c>
      <c r="C1293" s="105"/>
      <c r="D1293" s="104" t="s">
        <v>8686</v>
      </c>
      <c r="E1293" s="104" t="s">
        <v>8687</v>
      </c>
      <c r="F1293" s="103" t="s">
        <v>4678</v>
      </c>
      <c r="G1293" s="103" t="s">
        <v>4679</v>
      </c>
      <c r="H1293" s="103" t="s">
        <v>8688</v>
      </c>
      <c r="I1293" s="103">
        <v>6.012541551E9</v>
      </c>
      <c r="J1293" s="104" t="s">
        <v>8684</v>
      </c>
      <c r="K1293" s="105"/>
      <c r="L1293" s="105"/>
    </row>
    <row r="1294">
      <c r="A1294" s="103" t="s">
        <v>4676</v>
      </c>
      <c r="B1294" s="103">
        <v>1.10011472503E11</v>
      </c>
      <c r="C1294" s="105"/>
      <c r="D1294" s="104" t="s">
        <v>8689</v>
      </c>
      <c r="E1294" s="104" t="s">
        <v>8687</v>
      </c>
      <c r="F1294" s="103" t="s">
        <v>4678</v>
      </c>
      <c r="G1294" s="103" t="s">
        <v>4679</v>
      </c>
      <c r="H1294" s="103" t="s">
        <v>8690</v>
      </c>
      <c r="I1294" s="103">
        <v>6.012541551E9</v>
      </c>
      <c r="J1294" s="104" t="s">
        <v>8684</v>
      </c>
      <c r="K1294" s="105"/>
      <c r="L1294" s="105"/>
    </row>
    <row r="1295">
      <c r="A1295" s="103" t="s">
        <v>4676</v>
      </c>
      <c r="B1295" s="103">
        <v>1.100114735E9</v>
      </c>
      <c r="C1295" s="105"/>
      <c r="D1295" s="104" t="s">
        <v>8691</v>
      </c>
      <c r="E1295" s="104" t="s">
        <v>8692</v>
      </c>
      <c r="F1295" s="103" t="s">
        <v>4678</v>
      </c>
      <c r="G1295" s="103" t="s">
        <v>4679</v>
      </c>
      <c r="H1295" s="103" t="s">
        <v>8693</v>
      </c>
      <c r="I1295" s="103">
        <v>2219283.0</v>
      </c>
      <c r="J1295" s="104" t="s">
        <v>8694</v>
      </c>
      <c r="K1295" s="107" t="s">
        <v>8695</v>
      </c>
      <c r="L1295" s="105"/>
    </row>
    <row r="1296">
      <c r="A1296" s="103" t="s">
        <v>4676</v>
      </c>
      <c r="B1296" s="103">
        <v>1.10011473502E11</v>
      </c>
      <c r="C1296" s="105"/>
      <c r="D1296" s="104" t="s">
        <v>8696</v>
      </c>
      <c r="E1296" s="104" t="s">
        <v>8697</v>
      </c>
      <c r="F1296" s="103" t="s">
        <v>4678</v>
      </c>
      <c r="G1296" s="103" t="s">
        <v>4679</v>
      </c>
      <c r="H1296" s="103" t="s">
        <v>8693</v>
      </c>
      <c r="I1296" s="103">
        <v>6.015635802E9</v>
      </c>
      <c r="J1296" s="104" t="s">
        <v>8694</v>
      </c>
      <c r="K1296" s="105"/>
      <c r="L1296" s="105"/>
    </row>
    <row r="1297">
      <c r="A1297" s="103" t="s">
        <v>4676</v>
      </c>
      <c r="B1297" s="103">
        <v>1.10011473505E11</v>
      </c>
      <c r="C1297" s="105"/>
      <c r="D1297" s="104" t="s">
        <v>8698</v>
      </c>
      <c r="E1297" s="104" t="s">
        <v>8697</v>
      </c>
      <c r="F1297" s="103" t="s">
        <v>4678</v>
      </c>
      <c r="G1297" s="103" t="s">
        <v>4679</v>
      </c>
      <c r="H1297" s="103" t="s">
        <v>8699</v>
      </c>
      <c r="I1297" s="103">
        <v>3.176426412E9</v>
      </c>
      <c r="J1297" s="104" t="s">
        <v>8694</v>
      </c>
      <c r="K1297" s="105"/>
      <c r="L1297" s="105"/>
    </row>
    <row r="1298">
      <c r="A1298" s="103" t="s">
        <v>4676</v>
      </c>
      <c r="B1298" s="103">
        <v>1.10011473507E11</v>
      </c>
      <c r="C1298" s="105"/>
      <c r="D1298" s="104" t="s">
        <v>8700</v>
      </c>
      <c r="E1298" s="104" t="s">
        <v>8697</v>
      </c>
      <c r="F1298" s="103" t="s">
        <v>4678</v>
      </c>
      <c r="G1298" s="103" t="s">
        <v>4679</v>
      </c>
      <c r="H1298" s="103" t="s">
        <v>8701</v>
      </c>
      <c r="I1298" s="103">
        <v>3.176426412E9</v>
      </c>
      <c r="J1298" s="104" t="s">
        <v>8694</v>
      </c>
      <c r="K1298" s="105"/>
      <c r="L1298" s="105"/>
    </row>
    <row r="1299">
      <c r="A1299" s="103" t="s">
        <v>4676</v>
      </c>
      <c r="B1299" s="103">
        <v>1.10011473508E11</v>
      </c>
      <c r="C1299" s="105"/>
      <c r="D1299" s="104" t="s">
        <v>8702</v>
      </c>
      <c r="E1299" s="104" t="s">
        <v>8697</v>
      </c>
      <c r="F1299" s="103" t="s">
        <v>4678</v>
      </c>
      <c r="G1299" s="103" t="s">
        <v>4679</v>
      </c>
      <c r="H1299" s="103" t="s">
        <v>8703</v>
      </c>
      <c r="I1299" s="103">
        <v>3.176426412E9</v>
      </c>
      <c r="J1299" s="104" t="s">
        <v>8694</v>
      </c>
      <c r="K1299" s="105"/>
      <c r="L1299" s="105"/>
    </row>
    <row r="1300">
      <c r="A1300" s="103" t="s">
        <v>4676</v>
      </c>
      <c r="B1300" s="103">
        <v>1.100114757E9</v>
      </c>
      <c r="C1300" s="105"/>
      <c r="D1300" s="104" t="s">
        <v>8704</v>
      </c>
      <c r="E1300" s="106"/>
      <c r="F1300" s="103" t="s">
        <v>4678</v>
      </c>
      <c r="G1300" s="103" t="s">
        <v>4679</v>
      </c>
      <c r="H1300" s="103" t="s">
        <v>8705</v>
      </c>
      <c r="I1300" s="103">
        <v>3.108545751E9</v>
      </c>
      <c r="J1300" s="104" t="s">
        <v>8706</v>
      </c>
      <c r="K1300" s="105"/>
      <c r="L1300" s="105"/>
    </row>
    <row r="1301">
      <c r="A1301" s="103" t="s">
        <v>4676</v>
      </c>
      <c r="B1301" s="103">
        <v>1.10011475701E11</v>
      </c>
      <c r="C1301" s="105"/>
      <c r="D1301" s="104" t="s">
        <v>8707</v>
      </c>
      <c r="E1301" s="104" t="s">
        <v>8708</v>
      </c>
      <c r="F1301" s="103" t="s">
        <v>4678</v>
      </c>
      <c r="G1301" s="103" t="s">
        <v>4679</v>
      </c>
      <c r="H1301" s="103" t="s">
        <v>8709</v>
      </c>
      <c r="I1301" s="103">
        <v>3.108545751E9</v>
      </c>
      <c r="J1301" s="104" t="s">
        <v>8706</v>
      </c>
      <c r="K1301" s="105"/>
      <c r="L1301" s="105"/>
    </row>
    <row r="1302">
      <c r="A1302" s="103" t="s">
        <v>4676</v>
      </c>
      <c r="B1302" s="103">
        <v>1.100114836E9</v>
      </c>
      <c r="C1302" s="105"/>
      <c r="D1302" s="104" t="s">
        <v>8710</v>
      </c>
      <c r="E1302" s="104" t="s">
        <v>8711</v>
      </c>
      <c r="F1302" s="103" t="s">
        <v>4678</v>
      </c>
      <c r="G1302" s="103" t="s">
        <v>4679</v>
      </c>
      <c r="H1302" s="103" t="s">
        <v>8712</v>
      </c>
      <c r="I1302" s="103" t="s">
        <v>8713</v>
      </c>
      <c r="J1302" s="104" t="s">
        <v>8714</v>
      </c>
      <c r="K1302" s="105"/>
      <c r="L1302" s="105"/>
    </row>
    <row r="1303">
      <c r="A1303" s="103" t="s">
        <v>4676</v>
      </c>
      <c r="B1303" s="103">
        <v>1.10011483601E11</v>
      </c>
      <c r="C1303" s="105"/>
      <c r="D1303" s="104" t="s">
        <v>8710</v>
      </c>
      <c r="E1303" s="104" t="s">
        <v>8711</v>
      </c>
      <c r="F1303" s="103" t="s">
        <v>4678</v>
      </c>
      <c r="G1303" s="103" t="s">
        <v>4679</v>
      </c>
      <c r="H1303" s="103" t="s">
        <v>8715</v>
      </c>
      <c r="I1303" s="103" t="s">
        <v>8716</v>
      </c>
      <c r="J1303" s="104" t="s">
        <v>8714</v>
      </c>
      <c r="K1303" s="105"/>
      <c r="L1303" s="105"/>
    </row>
    <row r="1304">
      <c r="A1304" s="103" t="s">
        <v>4676</v>
      </c>
      <c r="B1304" s="103">
        <v>1.100114862E9</v>
      </c>
      <c r="C1304" s="105"/>
      <c r="D1304" s="104" t="s">
        <v>8717</v>
      </c>
      <c r="E1304" s="104" t="s">
        <v>8718</v>
      </c>
      <c r="F1304" s="103" t="s">
        <v>4678</v>
      </c>
      <c r="G1304" s="103" t="s">
        <v>4679</v>
      </c>
      <c r="H1304" s="103" t="s">
        <v>8719</v>
      </c>
      <c r="I1304" s="103" t="s">
        <v>8720</v>
      </c>
      <c r="J1304" s="104" t="s">
        <v>8721</v>
      </c>
      <c r="K1304" s="105"/>
      <c r="L1304" s="105"/>
    </row>
    <row r="1305">
      <c r="A1305" s="103" t="s">
        <v>4676</v>
      </c>
      <c r="B1305" s="103">
        <v>1.10011486201E11</v>
      </c>
      <c r="C1305" s="105"/>
      <c r="D1305" s="104" t="s">
        <v>8717</v>
      </c>
      <c r="E1305" s="104" t="s">
        <v>8722</v>
      </c>
      <c r="F1305" s="103" t="s">
        <v>4678</v>
      </c>
      <c r="G1305" s="103" t="s">
        <v>4679</v>
      </c>
      <c r="H1305" s="103" t="s">
        <v>8723</v>
      </c>
      <c r="I1305" s="103" t="s">
        <v>8724</v>
      </c>
      <c r="J1305" s="104" t="s">
        <v>8721</v>
      </c>
      <c r="K1305" s="105"/>
      <c r="L1305" s="105"/>
    </row>
    <row r="1306">
      <c r="A1306" s="103" t="s">
        <v>4676</v>
      </c>
      <c r="B1306" s="103">
        <v>1.100114931E9</v>
      </c>
      <c r="C1306" s="105"/>
      <c r="D1306" s="104" t="s">
        <v>8725</v>
      </c>
      <c r="E1306" s="104" t="s">
        <v>8726</v>
      </c>
      <c r="F1306" s="103" t="s">
        <v>4678</v>
      </c>
      <c r="G1306" s="103" t="s">
        <v>4679</v>
      </c>
      <c r="H1306" s="103" t="s">
        <v>8727</v>
      </c>
      <c r="I1306" s="103">
        <v>6724357.0</v>
      </c>
      <c r="J1306" s="104" t="s">
        <v>8728</v>
      </c>
      <c r="K1306" s="105"/>
      <c r="L1306" s="105"/>
    </row>
    <row r="1307">
      <c r="A1307" s="103" t="s">
        <v>4676</v>
      </c>
      <c r="B1307" s="103">
        <v>1.10011493101E11</v>
      </c>
      <c r="C1307" s="105"/>
      <c r="D1307" s="104" t="s">
        <v>8725</v>
      </c>
      <c r="E1307" s="104" t="s">
        <v>8726</v>
      </c>
      <c r="F1307" s="103" t="s">
        <v>4678</v>
      </c>
      <c r="G1307" s="103" t="s">
        <v>4679</v>
      </c>
      <c r="H1307" s="103" t="s">
        <v>8727</v>
      </c>
      <c r="I1307" s="103">
        <v>6724357.0</v>
      </c>
      <c r="J1307" s="104" t="s">
        <v>8728</v>
      </c>
      <c r="K1307" s="105"/>
      <c r="L1307" s="105"/>
    </row>
    <row r="1308">
      <c r="A1308" s="103" t="s">
        <v>4676</v>
      </c>
      <c r="B1308" s="103">
        <v>1.100115024E9</v>
      </c>
      <c r="C1308" s="105"/>
      <c r="D1308" s="104" t="s">
        <v>8729</v>
      </c>
      <c r="E1308" s="104" t="s">
        <v>8730</v>
      </c>
      <c r="F1308" s="103" t="s">
        <v>4678</v>
      </c>
      <c r="G1308" s="103" t="s">
        <v>4679</v>
      </c>
      <c r="H1308" s="103" t="s">
        <v>8731</v>
      </c>
      <c r="I1308" s="103">
        <v>3.152694584E9</v>
      </c>
      <c r="J1308" s="104" t="s">
        <v>8732</v>
      </c>
      <c r="K1308" s="107" t="s">
        <v>8733</v>
      </c>
      <c r="L1308" s="105"/>
    </row>
    <row r="1309">
      <c r="A1309" s="103" t="s">
        <v>4676</v>
      </c>
      <c r="B1309" s="103">
        <v>1.10011502402E11</v>
      </c>
      <c r="C1309" s="105"/>
      <c r="D1309" s="104" t="s">
        <v>8734</v>
      </c>
      <c r="E1309" s="104" t="s">
        <v>8730</v>
      </c>
      <c r="F1309" s="103" t="s">
        <v>4678</v>
      </c>
      <c r="G1309" s="103" t="s">
        <v>4679</v>
      </c>
      <c r="H1309" s="103" t="s">
        <v>8731</v>
      </c>
      <c r="I1309" s="103">
        <v>3.336026006E9</v>
      </c>
      <c r="J1309" s="104" t="s">
        <v>8732</v>
      </c>
      <c r="K1309" s="105"/>
      <c r="L1309" s="105"/>
    </row>
    <row r="1310">
      <c r="A1310" s="103" t="s">
        <v>4676</v>
      </c>
      <c r="B1310" s="103">
        <v>1.100115051E9</v>
      </c>
      <c r="C1310" s="105"/>
      <c r="D1310" s="104" t="s">
        <v>8735</v>
      </c>
      <c r="E1310" s="106"/>
      <c r="F1310" s="103" t="s">
        <v>4678</v>
      </c>
      <c r="G1310" s="103" t="s">
        <v>4679</v>
      </c>
      <c r="H1310" s="103" t="s">
        <v>8736</v>
      </c>
      <c r="I1310" s="103" t="s">
        <v>8737</v>
      </c>
      <c r="J1310" s="104" t="s">
        <v>8738</v>
      </c>
      <c r="K1310" s="107" t="s">
        <v>8739</v>
      </c>
      <c r="L1310" s="105"/>
    </row>
    <row r="1311">
      <c r="A1311" s="103" t="s">
        <v>4676</v>
      </c>
      <c r="B1311" s="103">
        <v>1.10011505101E11</v>
      </c>
      <c r="C1311" s="105"/>
      <c r="D1311" s="104" t="s">
        <v>8735</v>
      </c>
      <c r="E1311" s="104" t="s">
        <v>8740</v>
      </c>
      <c r="F1311" s="103" t="s">
        <v>4678</v>
      </c>
      <c r="G1311" s="103" t="s">
        <v>4679</v>
      </c>
      <c r="H1311" s="103" t="s">
        <v>8736</v>
      </c>
      <c r="I1311" s="103" t="s">
        <v>8737</v>
      </c>
      <c r="J1311" s="104" t="s">
        <v>8741</v>
      </c>
      <c r="K1311" s="105"/>
      <c r="L1311" s="105"/>
    </row>
    <row r="1312">
      <c r="A1312" s="103" t="s">
        <v>4676</v>
      </c>
      <c r="B1312" s="103">
        <v>1.10011505102E11</v>
      </c>
      <c r="C1312" s="105"/>
      <c r="D1312" s="104" t="s">
        <v>8742</v>
      </c>
      <c r="E1312" s="104" t="s">
        <v>8740</v>
      </c>
      <c r="F1312" s="103" t="s">
        <v>4678</v>
      </c>
      <c r="G1312" s="103" t="s">
        <v>4679</v>
      </c>
      <c r="H1312" s="103" t="s">
        <v>8743</v>
      </c>
      <c r="I1312" s="103" t="s">
        <v>8744</v>
      </c>
      <c r="J1312" s="104" t="s">
        <v>8738</v>
      </c>
      <c r="K1312" s="105"/>
      <c r="L1312" s="105"/>
    </row>
    <row r="1313">
      <c r="A1313" s="103" t="s">
        <v>4676</v>
      </c>
      <c r="B1313" s="103">
        <v>1.10011507E9</v>
      </c>
      <c r="C1313" s="105"/>
      <c r="D1313" s="104" t="s">
        <v>8745</v>
      </c>
      <c r="E1313" s="104" t="s">
        <v>8746</v>
      </c>
      <c r="F1313" s="103" t="s">
        <v>4678</v>
      </c>
      <c r="G1313" s="103" t="s">
        <v>4679</v>
      </c>
      <c r="H1313" s="103" t="s">
        <v>8747</v>
      </c>
      <c r="I1313" s="103" t="s">
        <v>8748</v>
      </c>
      <c r="J1313" s="104" t="s">
        <v>8749</v>
      </c>
      <c r="K1313" s="105"/>
      <c r="L1313" s="105"/>
    </row>
    <row r="1314">
      <c r="A1314" s="103" t="s">
        <v>4676</v>
      </c>
      <c r="B1314" s="103">
        <v>1.10011507001E11</v>
      </c>
      <c r="C1314" s="105"/>
      <c r="D1314" s="104" t="s">
        <v>8750</v>
      </c>
      <c r="E1314" s="104" t="s">
        <v>8746</v>
      </c>
      <c r="F1314" s="103" t="s">
        <v>4678</v>
      </c>
      <c r="G1314" s="103" t="s">
        <v>4679</v>
      </c>
      <c r="H1314" s="103" t="s">
        <v>8751</v>
      </c>
      <c r="I1314" s="103" t="s">
        <v>8748</v>
      </c>
      <c r="J1314" s="104" t="s">
        <v>8749</v>
      </c>
      <c r="K1314" s="105"/>
      <c r="L1314" s="105"/>
    </row>
    <row r="1315">
      <c r="A1315" s="103" t="s">
        <v>4676</v>
      </c>
      <c r="B1315" s="103">
        <v>1.10011507002E11</v>
      </c>
      <c r="C1315" s="105"/>
      <c r="D1315" s="104" t="s">
        <v>8752</v>
      </c>
      <c r="E1315" s="104" t="s">
        <v>8746</v>
      </c>
      <c r="F1315" s="103" t="s">
        <v>4678</v>
      </c>
      <c r="G1315" s="103" t="s">
        <v>4679</v>
      </c>
      <c r="H1315" s="103" t="s">
        <v>8753</v>
      </c>
      <c r="I1315" s="103" t="s">
        <v>8748</v>
      </c>
      <c r="J1315" s="104" t="s">
        <v>8749</v>
      </c>
      <c r="K1315" s="105"/>
      <c r="L1315" s="105"/>
    </row>
    <row r="1316">
      <c r="A1316" s="103" t="s">
        <v>4676</v>
      </c>
      <c r="B1316" s="103">
        <v>1.10011507004E11</v>
      </c>
      <c r="C1316" s="105"/>
      <c r="D1316" s="104" t="s">
        <v>8754</v>
      </c>
      <c r="E1316" s="104" t="s">
        <v>8746</v>
      </c>
      <c r="F1316" s="103" t="s">
        <v>4678</v>
      </c>
      <c r="G1316" s="103" t="s">
        <v>4679</v>
      </c>
      <c r="H1316" s="103" t="s">
        <v>8755</v>
      </c>
      <c r="I1316" s="103" t="s">
        <v>8748</v>
      </c>
      <c r="J1316" s="104" t="s">
        <v>8749</v>
      </c>
      <c r="K1316" s="105"/>
      <c r="L1316" s="105"/>
    </row>
    <row r="1317">
      <c r="A1317" s="103" t="s">
        <v>4676</v>
      </c>
      <c r="B1317" s="103">
        <v>1.10011507005E11</v>
      </c>
      <c r="C1317" s="105"/>
      <c r="D1317" s="104" t="s">
        <v>8756</v>
      </c>
      <c r="E1317" s="104" t="s">
        <v>8746</v>
      </c>
      <c r="F1317" s="103" t="s">
        <v>4678</v>
      </c>
      <c r="G1317" s="103" t="s">
        <v>4679</v>
      </c>
      <c r="H1317" s="103" t="s">
        <v>8757</v>
      </c>
      <c r="I1317" s="103" t="s">
        <v>8748</v>
      </c>
      <c r="J1317" s="104" t="s">
        <v>8749</v>
      </c>
      <c r="K1317" s="105"/>
      <c r="L1317" s="105"/>
    </row>
    <row r="1318">
      <c r="A1318" s="103" t="s">
        <v>4676</v>
      </c>
      <c r="B1318" s="103">
        <v>1.10011507009E11</v>
      </c>
      <c r="C1318" s="105"/>
      <c r="D1318" s="104" t="s">
        <v>8758</v>
      </c>
      <c r="E1318" s="104" t="s">
        <v>8746</v>
      </c>
      <c r="F1318" s="103" t="s">
        <v>4678</v>
      </c>
      <c r="G1318" s="103" t="s">
        <v>4679</v>
      </c>
      <c r="H1318" s="103" t="s">
        <v>8759</v>
      </c>
      <c r="I1318" s="103" t="s">
        <v>8748</v>
      </c>
      <c r="J1318" s="104" t="s">
        <v>8749</v>
      </c>
      <c r="K1318" s="105"/>
      <c r="L1318" s="105"/>
    </row>
    <row r="1319">
      <c r="A1319" s="103" t="s">
        <v>4676</v>
      </c>
      <c r="B1319" s="103">
        <v>1.10011507012E11</v>
      </c>
      <c r="C1319" s="105"/>
      <c r="D1319" s="104" t="s">
        <v>8760</v>
      </c>
      <c r="E1319" s="104" t="s">
        <v>8761</v>
      </c>
      <c r="F1319" s="103" t="s">
        <v>4678</v>
      </c>
      <c r="G1319" s="103" t="s">
        <v>4679</v>
      </c>
      <c r="H1319" s="103" t="s">
        <v>8762</v>
      </c>
      <c r="I1319" s="103" t="s">
        <v>8748</v>
      </c>
      <c r="J1319" s="104" t="s">
        <v>8749</v>
      </c>
      <c r="K1319" s="105"/>
      <c r="L1319" s="105"/>
    </row>
    <row r="1320">
      <c r="A1320" s="103" t="s">
        <v>4676</v>
      </c>
      <c r="B1320" s="103">
        <v>1.10011507015E11</v>
      </c>
      <c r="C1320" s="105"/>
      <c r="D1320" s="104" t="s">
        <v>8763</v>
      </c>
      <c r="E1320" s="104" t="s">
        <v>8746</v>
      </c>
      <c r="F1320" s="103" t="s">
        <v>4678</v>
      </c>
      <c r="G1320" s="103" t="s">
        <v>4679</v>
      </c>
      <c r="H1320" s="103" t="s">
        <v>8764</v>
      </c>
      <c r="I1320" s="103" t="s">
        <v>8748</v>
      </c>
      <c r="J1320" s="104" t="s">
        <v>8749</v>
      </c>
      <c r="K1320" s="105"/>
      <c r="L1320" s="105"/>
    </row>
    <row r="1321">
      <c r="A1321" s="103" t="s">
        <v>4676</v>
      </c>
      <c r="B1321" s="103">
        <v>1.10011507016E11</v>
      </c>
      <c r="C1321" s="105"/>
      <c r="D1321" s="104" t="s">
        <v>8765</v>
      </c>
      <c r="E1321" s="104" t="s">
        <v>8746</v>
      </c>
      <c r="F1321" s="103" t="s">
        <v>4678</v>
      </c>
      <c r="G1321" s="103" t="s">
        <v>4679</v>
      </c>
      <c r="H1321" s="103" t="s">
        <v>8766</v>
      </c>
      <c r="I1321" s="103" t="s">
        <v>8748</v>
      </c>
      <c r="J1321" s="104" t="s">
        <v>8749</v>
      </c>
      <c r="K1321" s="105"/>
      <c r="L1321" s="105"/>
    </row>
    <row r="1322">
      <c r="A1322" s="103" t="s">
        <v>4676</v>
      </c>
      <c r="B1322" s="103">
        <v>1.10011507017E11</v>
      </c>
      <c r="C1322" s="105"/>
      <c r="D1322" s="104" t="s">
        <v>8767</v>
      </c>
      <c r="E1322" s="104" t="s">
        <v>8761</v>
      </c>
      <c r="F1322" s="103" t="s">
        <v>4678</v>
      </c>
      <c r="G1322" s="103" t="s">
        <v>4679</v>
      </c>
      <c r="H1322" s="103" t="s">
        <v>8768</v>
      </c>
      <c r="I1322" s="103" t="s">
        <v>8769</v>
      </c>
      <c r="J1322" s="104" t="s">
        <v>8749</v>
      </c>
      <c r="K1322" s="105"/>
      <c r="L1322" s="105"/>
    </row>
    <row r="1323">
      <c r="A1323" s="103" t="s">
        <v>4676</v>
      </c>
      <c r="B1323" s="103">
        <v>1.10011507018E11</v>
      </c>
      <c r="C1323" s="105"/>
      <c r="D1323" s="104" t="s">
        <v>8770</v>
      </c>
      <c r="E1323" s="104" t="s">
        <v>8746</v>
      </c>
      <c r="F1323" s="103" t="s">
        <v>4678</v>
      </c>
      <c r="G1323" s="103" t="s">
        <v>4679</v>
      </c>
      <c r="H1323" s="103" t="s">
        <v>8771</v>
      </c>
      <c r="I1323" s="103" t="s">
        <v>8748</v>
      </c>
      <c r="J1323" s="104" t="s">
        <v>8749</v>
      </c>
      <c r="K1323" s="105"/>
      <c r="L1323" s="105"/>
    </row>
    <row r="1324">
      <c r="A1324" s="103" t="s">
        <v>4676</v>
      </c>
      <c r="B1324" s="103">
        <v>1.10011507021E11</v>
      </c>
      <c r="C1324" s="105"/>
      <c r="D1324" s="104" t="s">
        <v>8772</v>
      </c>
      <c r="E1324" s="104" t="s">
        <v>8746</v>
      </c>
      <c r="F1324" s="103" t="s">
        <v>4678</v>
      </c>
      <c r="G1324" s="103" t="s">
        <v>4679</v>
      </c>
      <c r="H1324" s="103" t="s">
        <v>8773</v>
      </c>
      <c r="I1324" s="103" t="s">
        <v>8748</v>
      </c>
      <c r="J1324" s="104" t="s">
        <v>8749</v>
      </c>
      <c r="K1324" s="105"/>
      <c r="L1324" s="105"/>
    </row>
    <row r="1325">
      <c r="A1325" s="103" t="s">
        <v>4676</v>
      </c>
      <c r="B1325" s="103">
        <v>1.10011507022E11</v>
      </c>
      <c r="C1325" s="105"/>
      <c r="D1325" s="104" t="s">
        <v>8774</v>
      </c>
      <c r="E1325" s="104" t="s">
        <v>8775</v>
      </c>
      <c r="F1325" s="103" t="s">
        <v>4678</v>
      </c>
      <c r="G1325" s="103" t="s">
        <v>4679</v>
      </c>
      <c r="H1325" s="103" t="s">
        <v>8776</v>
      </c>
      <c r="I1325" s="103" t="s">
        <v>8748</v>
      </c>
      <c r="J1325" s="104" t="s">
        <v>8749</v>
      </c>
      <c r="K1325" s="105"/>
      <c r="L1325" s="105"/>
    </row>
    <row r="1326">
      <c r="A1326" s="103" t="s">
        <v>4676</v>
      </c>
      <c r="B1326" s="103">
        <v>1.10011507023E11</v>
      </c>
      <c r="C1326" s="105"/>
      <c r="D1326" s="104" t="s">
        <v>8777</v>
      </c>
      <c r="E1326" s="104" t="s">
        <v>8746</v>
      </c>
      <c r="F1326" s="103" t="s">
        <v>4678</v>
      </c>
      <c r="G1326" s="103" t="s">
        <v>4679</v>
      </c>
      <c r="H1326" s="103" t="s">
        <v>8778</v>
      </c>
      <c r="I1326" s="103" t="s">
        <v>8779</v>
      </c>
      <c r="J1326" s="104" t="s">
        <v>8749</v>
      </c>
      <c r="K1326" s="105"/>
      <c r="L1326" s="105"/>
    </row>
    <row r="1327">
      <c r="A1327" s="103" t="s">
        <v>4676</v>
      </c>
      <c r="B1327" s="103">
        <v>1.100115099E9</v>
      </c>
      <c r="C1327" s="105"/>
      <c r="D1327" s="104" t="s">
        <v>8780</v>
      </c>
      <c r="E1327" s="106"/>
      <c r="F1327" s="103" t="s">
        <v>4678</v>
      </c>
      <c r="G1327" s="103" t="s">
        <v>4679</v>
      </c>
      <c r="H1327" s="103" t="s">
        <v>8781</v>
      </c>
      <c r="I1327" s="103" t="s">
        <v>8782</v>
      </c>
      <c r="J1327" s="104" t="s">
        <v>8783</v>
      </c>
      <c r="K1327" s="105"/>
      <c r="L1327" s="105"/>
    </row>
    <row r="1328">
      <c r="A1328" s="103" t="s">
        <v>4676</v>
      </c>
      <c r="B1328" s="103">
        <v>1.10011509902E11</v>
      </c>
      <c r="C1328" s="105"/>
      <c r="D1328" s="104" t="s">
        <v>8784</v>
      </c>
      <c r="E1328" s="104" t="s">
        <v>8785</v>
      </c>
      <c r="F1328" s="103" t="s">
        <v>4678</v>
      </c>
      <c r="G1328" s="103" t="s">
        <v>4679</v>
      </c>
      <c r="H1328" s="103" t="s">
        <v>8786</v>
      </c>
      <c r="I1328" s="103" t="s">
        <v>8787</v>
      </c>
      <c r="J1328" s="104" t="s">
        <v>8788</v>
      </c>
      <c r="K1328" s="105"/>
      <c r="L1328" s="105"/>
    </row>
    <row r="1329">
      <c r="A1329" s="103" t="s">
        <v>4676</v>
      </c>
      <c r="B1329" s="103">
        <v>1.10011509905E11</v>
      </c>
      <c r="C1329" s="105"/>
      <c r="D1329" s="104" t="s">
        <v>8789</v>
      </c>
      <c r="E1329" s="104" t="s">
        <v>8790</v>
      </c>
      <c r="F1329" s="103" t="s">
        <v>4678</v>
      </c>
      <c r="G1329" s="103" t="s">
        <v>4679</v>
      </c>
      <c r="H1329" s="103" t="s">
        <v>8791</v>
      </c>
      <c r="I1329" s="103">
        <v>4254550.0</v>
      </c>
      <c r="J1329" s="104" t="s">
        <v>8788</v>
      </c>
      <c r="K1329" s="105"/>
      <c r="L1329" s="105"/>
    </row>
    <row r="1330">
      <c r="A1330" s="103" t="s">
        <v>4676</v>
      </c>
      <c r="B1330" s="103">
        <v>1.100115117E9</v>
      </c>
      <c r="C1330" s="105"/>
      <c r="D1330" s="104" t="s">
        <v>8792</v>
      </c>
      <c r="E1330" s="104" t="s">
        <v>8793</v>
      </c>
      <c r="F1330" s="103" t="s">
        <v>4678</v>
      </c>
      <c r="G1330" s="103" t="s">
        <v>4679</v>
      </c>
      <c r="H1330" s="103" t="s">
        <v>8794</v>
      </c>
      <c r="I1330" s="103" t="s">
        <v>8795</v>
      </c>
      <c r="J1330" s="104" t="s">
        <v>8796</v>
      </c>
      <c r="K1330" s="105"/>
      <c r="L1330" s="105"/>
    </row>
    <row r="1331">
      <c r="A1331" s="103" t="s">
        <v>4676</v>
      </c>
      <c r="B1331" s="103">
        <v>1.10011511701E11</v>
      </c>
      <c r="C1331" s="105"/>
      <c r="D1331" s="104" t="s">
        <v>8792</v>
      </c>
      <c r="E1331" s="104" t="s">
        <v>8797</v>
      </c>
      <c r="F1331" s="103" t="s">
        <v>4678</v>
      </c>
      <c r="G1331" s="103" t="s">
        <v>4679</v>
      </c>
      <c r="H1331" s="103" t="s">
        <v>8794</v>
      </c>
      <c r="I1331" s="103">
        <v>6349200.0</v>
      </c>
      <c r="J1331" s="104" t="s">
        <v>8796</v>
      </c>
      <c r="K1331" s="105"/>
      <c r="L1331" s="105"/>
    </row>
    <row r="1332">
      <c r="A1332" s="103" t="s">
        <v>4676</v>
      </c>
      <c r="B1332" s="103">
        <v>1.100115221E9</v>
      </c>
      <c r="C1332" s="105"/>
      <c r="D1332" s="104" t="s">
        <v>8798</v>
      </c>
      <c r="E1332" s="104" t="s">
        <v>8799</v>
      </c>
      <c r="F1332" s="103" t="s">
        <v>4678</v>
      </c>
      <c r="G1332" s="103" t="s">
        <v>4679</v>
      </c>
      <c r="H1332" s="103" t="s">
        <v>8800</v>
      </c>
      <c r="I1332" s="103" t="s">
        <v>8801</v>
      </c>
      <c r="J1332" s="104" t="s">
        <v>8802</v>
      </c>
      <c r="K1332" s="105"/>
      <c r="L1332" s="105"/>
    </row>
    <row r="1333">
      <c r="A1333" s="103" t="s">
        <v>4676</v>
      </c>
      <c r="B1333" s="103">
        <v>1.10011522102E11</v>
      </c>
      <c r="C1333" s="105"/>
      <c r="D1333" s="104" t="s">
        <v>8803</v>
      </c>
      <c r="E1333" s="104" t="s">
        <v>8804</v>
      </c>
      <c r="F1333" s="103" t="s">
        <v>4678</v>
      </c>
      <c r="G1333" s="103" t="s">
        <v>4679</v>
      </c>
      <c r="H1333" s="103" t="s">
        <v>8805</v>
      </c>
      <c r="I1333" s="103" t="s">
        <v>8806</v>
      </c>
      <c r="J1333" s="104" t="s">
        <v>8802</v>
      </c>
      <c r="K1333" s="105"/>
      <c r="L1333" s="105"/>
    </row>
    <row r="1334">
      <c r="A1334" s="103" t="s">
        <v>4676</v>
      </c>
      <c r="B1334" s="103">
        <v>1.10011522105E11</v>
      </c>
      <c r="C1334" s="105"/>
      <c r="D1334" s="104" t="s">
        <v>8807</v>
      </c>
      <c r="E1334" s="104" t="s">
        <v>8808</v>
      </c>
      <c r="F1334" s="103" t="s">
        <v>4678</v>
      </c>
      <c r="G1334" s="103" t="s">
        <v>4679</v>
      </c>
      <c r="H1334" s="103" t="s">
        <v>8809</v>
      </c>
      <c r="I1334" s="103" t="s">
        <v>8801</v>
      </c>
      <c r="J1334" s="104" t="s">
        <v>8802</v>
      </c>
      <c r="K1334" s="105"/>
      <c r="L1334" s="105"/>
    </row>
    <row r="1335">
      <c r="A1335" s="103" t="s">
        <v>4676</v>
      </c>
      <c r="B1335" s="103">
        <v>1.100115235E9</v>
      </c>
      <c r="C1335" s="105"/>
      <c r="D1335" s="104" t="s">
        <v>8810</v>
      </c>
      <c r="E1335" s="106"/>
      <c r="F1335" s="103" t="s">
        <v>4678</v>
      </c>
      <c r="G1335" s="103" t="s">
        <v>4679</v>
      </c>
      <c r="H1335" s="103" t="s">
        <v>8811</v>
      </c>
      <c r="I1335" s="103" t="s">
        <v>8812</v>
      </c>
      <c r="J1335" s="104" t="s">
        <v>8813</v>
      </c>
      <c r="K1335" s="105"/>
      <c r="L1335" s="105"/>
    </row>
    <row r="1336">
      <c r="A1336" s="103" t="s">
        <v>4676</v>
      </c>
      <c r="B1336" s="103">
        <v>1.10011523501E11</v>
      </c>
      <c r="C1336" s="105"/>
      <c r="D1336" s="104" t="s">
        <v>8810</v>
      </c>
      <c r="E1336" s="106"/>
      <c r="F1336" s="103" t="s">
        <v>4678</v>
      </c>
      <c r="G1336" s="103" t="s">
        <v>4679</v>
      </c>
      <c r="H1336" s="103" t="s">
        <v>8811</v>
      </c>
      <c r="I1336" s="103" t="s">
        <v>8812</v>
      </c>
      <c r="J1336" s="104" t="s">
        <v>8813</v>
      </c>
      <c r="K1336" s="105"/>
      <c r="L1336" s="105"/>
    </row>
    <row r="1337">
      <c r="A1337" s="103" t="s">
        <v>4676</v>
      </c>
      <c r="B1337" s="103">
        <v>1.10011523502E11</v>
      </c>
      <c r="C1337" s="105"/>
      <c r="D1337" s="104" t="s">
        <v>8810</v>
      </c>
      <c r="E1337" s="106"/>
      <c r="F1337" s="103" t="s">
        <v>4678</v>
      </c>
      <c r="G1337" s="103" t="s">
        <v>4679</v>
      </c>
      <c r="H1337" s="103" t="s">
        <v>8814</v>
      </c>
      <c r="I1337" s="103">
        <v>2920706.0</v>
      </c>
      <c r="J1337" s="104" t="s">
        <v>8813</v>
      </c>
      <c r="K1337" s="105"/>
      <c r="L1337" s="105"/>
    </row>
    <row r="1338">
      <c r="A1338" s="103" t="s">
        <v>4676</v>
      </c>
      <c r="B1338" s="103">
        <v>1.100115254E9</v>
      </c>
      <c r="C1338" s="105"/>
      <c r="D1338" s="104" t="s">
        <v>8815</v>
      </c>
      <c r="E1338" s="104" t="s">
        <v>8816</v>
      </c>
      <c r="F1338" s="103" t="s">
        <v>4678</v>
      </c>
      <c r="G1338" s="103" t="s">
        <v>4679</v>
      </c>
      <c r="H1338" s="103" t="s">
        <v>8817</v>
      </c>
      <c r="I1338" s="103">
        <v>2524906.0</v>
      </c>
      <c r="J1338" s="104" t="s">
        <v>8818</v>
      </c>
      <c r="K1338" s="105"/>
      <c r="L1338" s="105"/>
    </row>
    <row r="1339">
      <c r="A1339" s="103" t="s">
        <v>4676</v>
      </c>
      <c r="B1339" s="103">
        <v>1.10011525401E11</v>
      </c>
      <c r="C1339" s="105"/>
      <c r="D1339" s="104" t="s">
        <v>8815</v>
      </c>
      <c r="E1339" s="104" t="s">
        <v>8816</v>
      </c>
      <c r="F1339" s="103" t="s">
        <v>4678</v>
      </c>
      <c r="G1339" s="103" t="s">
        <v>4679</v>
      </c>
      <c r="H1339" s="103" t="s">
        <v>8817</v>
      </c>
      <c r="I1339" s="103">
        <v>2524906.0</v>
      </c>
      <c r="J1339" s="104" t="s">
        <v>8818</v>
      </c>
      <c r="K1339" s="105"/>
      <c r="L1339" s="105"/>
    </row>
    <row r="1340">
      <c r="A1340" s="103" t="s">
        <v>4676</v>
      </c>
      <c r="B1340" s="103">
        <v>1.100115272E9</v>
      </c>
      <c r="C1340" s="105"/>
      <c r="D1340" s="104" t="s">
        <v>8819</v>
      </c>
      <c r="E1340" s="104" t="s">
        <v>8820</v>
      </c>
      <c r="F1340" s="103" t="s">
        <v>4678</v>
      </c>
      <c r="G1340" s="103" t="s">
        <v>4679</v>
      </c>
      <c r="H1340" s="103" t="s">
        <v>8821</v>
      </c>
      <c r="I1340" s="103">
        <v>8050082.0</v>
      </c>
      <c r="J1340" s="104" t="s">
        <v>8822</v>
      </c>
      <c r="K1340" s="105"/>
      <c r="L1340" s="105"/>
    </row>
    <row r="1341">
      <c r="A1341" s="103" t="s">
        <v>4676</v>
      </c>
      <c r="B1341" s="103">
        <v>1.10011527201E11</v>
      </c>
      <c r="C1341" s="105"/>
      <c r="D1341" s="104" t="s">
        <v>8819</v>
      </c>
      <c r="E1341" s="104" t="s">
        <v>8820</v>
      </c>
      <c r="F1341" s="103" t="s">
        <v>4678</v>
      </c>
      <c r="G1341" s="103" t="s">
        <v>4679</v>
      </c>
      <c r="H1341" s="103" t="s">
        <v>8821</v>
      </c>
      <c r="I1341" s="103">
        <v>2565416.0</v>
      </c>
      <c r="J1341" s="104" t="s">
        <v>8822</v>
      </c>
      <c r="K1341" s="105"/>
      <c r="L1341" s="105"/>
    </row>
    <row r="1342">
      <c r="A1342" s="103" t="s">
        <v>4676</v>
      </c>
      <c r="B1342" s="103">
        <v>1.100115308E9</v>
      </c>
      <c r="C1342" s="105"/>
      <c r="D1342" s="104" t="s">
        <v>8823</v>
      </c>
      <c r="E1342" s="104" t="s">
        <v>8824</v>
      </c>
      <c r="F1342" s="103" t="s">
        <v>4678</v>
      </c>
      <c r="G1342" s="103" t="s">
        <v>4679</v>
      </c>
      <c r="H1342" s="103" t="s">
        <v>8825</v>
      </c>
      <c r="I1342" s="103">
        <v>3478514.0</v>
      </c>
      <c r="J1342" s="104" t="s">
        <v>8826</v>
      </c>
      <c r="K1342" s="105"/>
      <c r="L1342" s="105"/>
    </row>
    <row r="1343">
      <c r="A1343" s="103" t="s">
        <v>4676</v>
      </c>
      <c r="B1343" s="103">
        <v>1.10011530801E11</v>
      </c>
      <c r="C1343" s="105"/>
      <c r="D1343" s="104" t="s">
        <v>8827</v>
      </c>
      <c r="E1343" s="104" t="s">
        <v>8824</v>
      </c>
      <c r="F1343" s="103" t="s">
        <v>4678</v>
      </c>
      <c r="G1343" s="103" t="s">
        <v>4679</v>
      </c>
      <c r="H1343" s="103" t="s">
        <v>8828</v>
      </c>
      <c r="I1343" s="103" t="s">
        <v>8829</v>
      </c>
      <c r="J1343" s="104" t="s">
        <v>8826</v>
      </c>
      <c r="K1343" s="105"/>
      <c r="L1343" s="105"/>
    </row>
    <row r="1344">
      <c r="A1344" s="103" t="s">
        <v>4676</v>
      </c>
      <c r="B1344" s="103">
        <v>1.10011530802E11</v>
      </c>
      <c r="C1344" s="105"/>
      <c r="D1344" s="104" t="s">
        <v>8830</v>
      </c>
      <c r="E1344" s="104" t="s">
        <v>8831</v>
      </c>
      <c r="F1344" s="103" t="s">
        <v>4678</v>
      </c>
      <c r="G1344" s="103" t="s">
        <v>4679</v>
      </c>
      <c r="H1344" s="103" t="s">
        <v>8832</v>
      </c>
      <c r="I1344" s="103" t="s">
        <v>8833</v>
      </c>
      <c r="J1344" s="104" t="s">
        <v>8826</v>
      </c>
      <c r="K1344" s="105"/>
      <c r="L1344" s="105"/>
    </row>
    <row r="1345">
      <c r="A1345" s="103" t="s">
        <v>4676</v>
      </c>
      <c r="B1345" s="103">
        <v>1.10011530804E11</v>
      </c>
      <c r="C1345" s="105"/>
      <c r="D1345" s="104" t="s">
        <v>8834</v>
      </c>
      <c r="E1345" s="104" t="s">
        <v>8831</v>
      </c>
      <c r="F1345" s="103" t="s">
        <v>4678</v>
      </c>
      <c r="G1345" s="103" t="s">
        <v>4679</v>
      </c>
      <c r="H1345" s="103" t="s">
        <v>8835</v>
      </c>
      <c r="I1345" s="103">
        <v>3.142197657E9</v>
      </c>
      <c r="J1345" s="104" t="s">
        <v>8836</v>
      </c>
      <c r="K1345" s="105"/>
      <c r="L1345" s="105"/>
    </row>
    <row r="1346">
      <c r="A1346" s="103" t="s">
        <v>4676</v>
      </c>
      <c r="B1346" s="103">
        <v>1.100115375E9</v>
      </c>
      <c r="C1346" s="105"/>
      <c r="D1346" s="104" t="s">
        <v>8837</v>
      </c>
      <c r="E1346" s="106"/>
      <c r="F1346" s="103" t="s">
        <v>4678</v>
      </c>
      <c r="G1346" s="103" t="s">
        <v>4679</v>
      </c>
      <c r="H1346" s="103" t="s">
        <v>8838</v>
      </c>
      <c r="I1346" s="103" t="s">
        <v>8839</v>
      </c>
      <c r="J1346" s="104" t="s">
        <v>8840</v>
      </c>
      <c r="K1346" s="105"/>
      <c r="L1346" s="105"/>
    </row>
    <row r="1347">
      <c r="A1347" s="103" t="s">
        <v>4676</v>
      </c>
      <c r="B1347" s="103">
        <v>1.10011537501E11</v>
      </c>
      <c r="C1347" s="105"/>
      <c r="D1347" s="104" t="s">
        <v>8837</v>
      </c>
      <c r="E1347" s="104" t="s">
        <v>8841</v>
      </c>
      <c r="F1347" s="103" t="s">
        <v>4678</v>
      </c>
      <c r="G1347" s="103" t="s">
        <v>4679</v>
      </c>
      <c r="H1347" s="103" t="s">
        <v>8842</v>
      </c>
      <c r="I1347" s="103" t="s">
        <v>8839</v>
      </c>
      <c r="J1347" s="104" t="s">
        <v>8843</v>
      </c>
      <c r="K1347" s="105"/>
      <c r="L1347" s="105"/>
    </row>
    <row r="1348">
      <c r="A1348" s="103" t="s">
        <v>4676</v>
      </c>
      <c r="B1348" s="103">
        <v>1.100115547E9</v>
      </c>
      <c r="C1348" s="105"/>
      <c r="D1348" s="104" t="s">
        <v>8844</v>
      </c>
      <c r="E1348" s="106"/>
      <c r="F1348" s="103" t="s">
        <v>4678</v>
      </c>
      <c r="G1348" s="103" t="s">
        <v>4679</v>
      </c>
      <c r="H1348" s="103" t="s">
        <v>8845</v>
      </c>
      <c r="I1348" s="103">
        <v>2871908.0</v>
      </c>
      <c r="J1348" s="104" t="s">
        <v>6768</v>
      </c>
      <c r="K1348" s="105"/>
      <c r="L1348" s="105"/>
    </row>
    <row r="1349">
      <c r="A1349" s="103" t="s">
        <v>4676</v>
      </c>
      <c r="B1349" s="103">
        <v>1.10011554701E11</v>
      </c>
      <c r="C1349" s="105"/>
      <c r="D1349" s="104" t="s">
        <v>8846</v>
      </c>
      <c r="E1349" s="104" t="s">
        <v>7695</v>
      </c>
      <c r="F1349" s="103" t="s">
        <v>4678</v>
      </c>
      <c r="G1349" s="103" t="s">
        <v>4679</v>
      </c>
      <c r="H1349" s="103" t="s">
        <v>8845</v>
      </c>
      <c r="I1349" s="103">
        <v>2871908.0</v>
      </c>
      <c r="J1349" s="104" t="s">
        <v>6768</v>
      </c>
      <c r="K1349" s="105"/>
      <c r="L1349" s="105"/>
    </row>
    <row r="1350">
      <c r="A1350" s="103" t="s">
        <v>4676</v>
      </c>
      <c r="B1350" s="103">
        <v>1.100115658E9</v>
      </c>
      <c r="C1350" s="105"/>
      <c r="D1350" s="104" t="s">
        <v>8847</v>
      </c>
      <c r="E1350" s="104" t="s">
        <v>8848</v>
      </c>
      <c r="F1350" s="103" t="s">
        <v>4678</v>
      </c>
      <c r="G1350" s="103" t="s">
        <v>4679</v>
      </c>
      <c r="H1350" s="103" t="s">
        <v>8849</v>
      </c>
      <c r="I1350" s="103">
        <v>2141275.0</v>
      </c>
      <c r="J1350" s="104" t="s">
        <v>8850</v>
      </c>
      <c r="K1350" s="105"/>
      <c r="L1350" s="105"/>
    </row>
    <row r="1351">
      <c r="A1351" s="103" t="s">
        <v>4676</v>
      </c>
      <c r="B1351" s="103">
        <v>1.10011565801E11</v>
      </c>
      <c r="C1351" s="105"/>
      <c r="D1351" s="104" t="s">
        <v>8851</v>
      </c>
      <c r="E1351" s="104" t="s">
        <v>8848</v>
      </c>
      <c r="F1351" s="103" t="s">
        <v>4678</v>
      </c>
      <c r="G1351" s="103" t="s">
        <v>4679</v>
      </c>
      <c r="H1351" s="103" t="s">
        <v>8852</v>
      </c>
      <c r="I1351" s="103">
        <v>2141275.0</v>
      </c>
      <c r="J1351" s="104" t="s">
        <v>8850</v>
      </c>
      <c r="K1351" s="105"/>
      <c r="L1351" s="105"/>
    </row>
    <row r="1352">
      <c r="A1352" s="103" t="s">
        <v>4676</v>
      </c>
      <c r="B1352" s="103">
        <v>1.100115707E9</v>
      </c>
      <c r="C1352" s="105"/>
      <c r="D1352" s="104" t="s">
        <v>8853</v>
      </c>
      <c r="E1352" s="104" t="s">
        <v>8854</v>
      </c>
      <c r="F1352" s="103" t="s">
        <v>4678</v>
      </c>
      <c r="G1352" s="103" t="s">
        <v>4679</v>
      </c>
      <c r="H1352" s="103" t="s">
        <v>8855</v>
      </c>
      <c r="I1352" s="103">
        <v>3.014668203E9</v>
      </c>
      <c r="J1352" s="104" t="s">
        <v>8856</v>
      </c>
      <c r="K1352" s="105"/>
      <c r="L1352" s="105"/>
    </row>
    <row r="1353">
      <c r="A1353" s="103" t="s">
        <v>4676</v>
      </c>
      <c r="B1353" s="103">
        <v>1.10011570701E11</v>
      </c>
      <c r="C1353" s="105"/>
      <c r="D1353" s="104" t="s">
        <v>8857</v>
      </c>
      <c r="E1353" s="104" t="s">
        <v>8858</v>
      </c>
      <c r="F1353" s="103" t="s">
        <v>4678</v>
      </c>
      <c r="G1353" s="103" t="s">
        <v>4679</v>
      </c>
      <c r="H1353" s="103" t="s">
        <v>8855</v>
      </c>
      <c r="I1353" s="103">
        <v>3.014668203E9</v>
      </c>
      <c r="J1353" s="104" t="s">
        <v>8856</v>
      </c>
      <c r="K1353" s="105"/>
      <c r="L1353" s="105"/>
    </row>
    <row r="1354">
      <c r="A1354" s="103" t="s">
        <v>4676</v>
      </c>
      <c r="B1354" s="103">
        <v>1.10011570702E11</v>
      </c>
      <c r="C1354" s="105"/>
      <c r="D1354" s="104" t="s">
        <v>8859</v>
      </c>
      <c r="E1354" s="104" t="s">
        <v>8858</v>
      </c>
      <c r="F1354" s="103" t="s">
        <v>4678</v>
      </c>
      <c r="G1354" s="103" t="s">
        <v>4679</v>
      </c>
      <c r="H1354" s="103" t="s">
        <v>8860</v>
      </c>
      <c r="I1354" s="103">
        <v>3.014668203E9</v>
      </c>
      <c r="J1354" s="104" t="s">
        <v>8856</v>
      </c>
      <c r="K1354" s="105"/>
      <c r="L1354" s="105"/>
    </row>
    <row r="1355">
      <c r="A1355" s="103" t="s">
        <v>4676</v>
      </c>
      <c r="B1355" s="103">
        <v>1.10011570704E11</v>
      </c>
      <c r="C1355" s="105"/>
      <c r="D1355" s="104" t="s">
        <v>8861</v>
      </c>
      <c r="E1355" s="104" t="s">
        <v>8858</v>
      </c>
      <c r="F1355" s="103" t="s">
        <v>4678</v>
      </c>
      <c r="G1355" s="103" t="s">
        <v>4679</v>
      </c>
      <c r="H1355" s="103" t="s">
        <v>8862</v>
      </c>
      <c r="I1355" s="103">
        <v>3.014668203E9</v>
      </c>
      <c r="J1355" s="104" t="s">
        <v>8863</v>
      </c>
      <c r="K1355" s="105"/>
      <c r="L1355" s="105"/>
    </row>
    <row r="1356">
      <c r="A1356" s="103" t="s">
        <v>4676</v>
      </c>
      <c r="B1356" s="103">
        <v>1.10011570705E11</v>
      </c>
      <c r="C1356" s="105"/>
      <c r="D1356" s="104" t="s">
        <v>8864</v>
      </c>
      <c r="E1356" s="104" t="s">
        <v>8858</v>
      </c>
      <c r="F1356" s="103" t="s">
        <v>4678</v>
      </c>
      <c r="G1356" s="103" t="s">
        <v>4679</v>
      </c>
      <c r="H1356" s="103" t="s">
        <v>8865</v>
      </c>
      <c r="I1356" s="103">
        <v>3.014668203E9</v>
      </c>
      <c r="J1356" s="104" t="s">
        <v>8863</v>
      </c>
      <c r="K1356" s="105"/>
      <c r="L1356" s="105"/>
    </row>
    <row r="1357">
      <c r="A1357" s="103" t="s">
        <v>4676</v>
      </c>
      <c r="B1357" s="103">
        <v>1.100115731E9</v>
      </c>
      <c r="C1357" s="105"/>
      <c r="D1357" s="104" t="s">
        <v>8866</v>
      </c>
      <c r="E1357" s="104" t="s">
        <v>8867</v>
      </c>
      <c r="F1357" s="103" t="s">
        <v>4678</v>
      </c>
      <c r="G1357" s="103" t="s">
        <v>4679</v>
      </c>
      <c r="H1357" s="103" t="s">
        <v>8868</v>
      </c>
      <c r="I1357" s="103">
        <v>6369541.0</v>
      </c>
      <c r="J1357" s="104" t="s">
        <v>8869</v>
      </c>
      <c r="K1357" s="105"/>
      <c r="L1357" s="105"/>
    </row>
    <row r="1358">
      <c r="A1358" s="103" t="s">
        <v>4676</v>
      </c>
      <c r="B1358" s="103">
        <v>1.10011573101E11</v>
      </c>
      <c r="C1358" s="105"/>
      <c r="D1358" s="104" t="s">
        <v>8866</v>
      </c>
      <c r="E1358" s="104" t="s">
        <v>8867</v>
      </c>
      <c r="F1358" s="103" t="s">
        <v>4678</v>
      </c>
      <c r="G1358" s="103" t="s">
        <v>4679</v>
      </c>
      <c r="H1358" s="103" t="s">
        <v>8870</v>
      </c>
      <c r="I1358" s="103">
        <v>6369541.0</v>
      </c>
      <c r="J1358" s="104" t="s">
        <v>8869</v>
      </c>
      <c r="K1358" s="105"/>
      <c r="L1358" s="105"/>
    </row>
    <row r="1359">
      <c r="A1359" s="103" t="s">
        <v>4676</v>
      </c>
      <c r="B1359" s="103">
        <v>1.10011578E9</v>
      </c>
      <c r="C1359" s="105"/>
      <c r="D1359" s="104" t="s">
        <v>8871</v>
      </c>
      <c r="E1359" s="104" t="s">
        <v>8872</v>
      </c>
      <c r="F1359" s="103" t="s">
        <v>4678</v>
      </c>
      <c r="G1359" s="103" t="s">
        <v>4679</v>
      </c>
      <c r="H1359" s="103" t="s">
        <v>8873</v>
      </c>
      <c r="I1359" s="103" t="s">
        <v>8874</v>
      </c>
      <c r="J1359" s="104" t="s">
        <v>8875</v>
      </c>
      <c r="K1359" s="105"/>
      <c r="L1359" s="105"/>
    </row>
    <row r="1360">
      <c r="A1360" s="103" t="s">
        <v>4676</v>
      </c>
      <c r="B1360" s="103">
        <v>1.10011578001E11</v>
      </c>
      <c r="C1360" s="105"/>
      <c r="D1360" s="104" t="s">
        <v>8871</v>
      </c>
      <c r="E1360" s="104" t="s">
        <v>8872</v>
      </c>
      <c r="F1360" s="103" t="s">
        <v>4678</v>
      </c>
      <c r="G1360" s="103" t="s">
        <v>4679</v>
      </c>
      <c r="H1360" s="103" t="s">
        <v>8873</v>
      </c>
      <c r="I1360" s="103" t="s">
        <v>8874</v>
      </c>
      <c r="J1360" s="104" t="s">
        <v>8875</v>
      </c>
      <c r="K1360" s="105"/>
      <c r="L1360" s="105"/>
    </row>
    <row r="1361">
      <c r="A1361" s="103" t="s">
        <v>4676</v>
      </c>
      <c r="B1361" s="103">
        <v>1.100115867E9</v>
      </c>
      <c r="C1361" s="105"/>
      <c r="D1361" s="104" t="s">
        <v>8876</v>
      </c>
      <c r="E1361" s="106"/>
      <c r="F1361" s="103" t="s">
        <v>4678</v>
      </c>
      <c r="G1361" s="103" t="s">
        <v>4679</v>
      </c>
      <c r="H1361" s="103" t="s">
        <v>8877</v>
      </c>
      <c r="I1361" s="103" t="s">
        <v>8878</v>
      </c>
      <c r="J1361" s="104" t="s">
        <v>8879</v>
      </c>
      <c r="K1361" s="105"/>
      <c r="L1361" s="105"/>
    </row>
    <row r="1362">
      <c r="A1362" s="103" t="s">
        <v>4676</v>
      </c>
      <c r="B1362" s="103">
        <v>1.10011586702E11</v>
      </c>
      <c r="C1362" s="105"/>
      <c r="D1362" s="104" t="s">
        <v>8876</v>
      </c>
      <c r="E1362" s="104" t="s">
        <v>8880</v>
      </c>
      <c r="F1362" s="103" t="s">
        <v>4678</v>
      </c>
      <c r="G1362" s="103" t="s">
        <v>4679</v>
      </c>
      <c r="H1362" s="103" t="s">
        <v>8881</v>
      </c>
      <c r="I1362" s="103" t="s">
        <v>8882</v>
      </c>
      <c r="J1362" s="104" t="s">
        <v>8879</v>
      </c>
      <c r="K1362" s="105"/>
      <c r="L1362" s="105"/>
    </row>
    <row r="1363">
      <c r="A1363" s="103" t="s">
        <v>4676</v>
      </c>
      <c r="B1363" s="103">
        <v>1.100115877E9</v>
      </c>
      <c r="C1363" s="105"/>
      <c r="D1363" s="104" t="s">
        <v>8883</v>
      </c>
      <c r="E1363" s="104" t="s">
        <v>8884</v>
      </c>
      <c r="F1363" s="103" t="s">
        <v>4678</v>
      </c>
      <c r="G1363" s="103" t="s">
        <v>4679</v>
      </c>
      <c r="H1363" s="103" t="s">
        <v>8885</v>
      </c>
      <c r="I1363" s="103" t="s">
        <v>8886</v>
      </c>
      <c r="J1363" s="104" t="s">
        <v>8887</v>
      </c>
      <c r="K1363" s="105"/>
      <c r="L1363" s="105"/>
    </row>
    <row r="1364">
      <c r="A1364" s="103" t="s">
        <v>4676</v>
      </c>
      <c r="B1364" s="103">
        <v>1.10011587701E11</v>
      </c>
      <c r="C1364" s="105"/>
      <c r="D1364" s="104" t="s">
        <v>8883</v>
      </c>
      <c r="E1364" s="104" t="s">
        <v>8884</v>
      </c>
      <c r="F1364" s="103" t="s">
        <v>4678</v>
      </c>
      <c r="G1364" s="103" t="s">
        <v>4679</v>
      </c>
      <c r="H1364" s="103" t="s">
        <v>8885</v>
      </c>
      <c r="I1364" s="103" t="s">
        <v>8886</v>
      </c>
      <c r="J1364" s="104" t="s">
        <v>8887</v>
      </c>
      <c r="K1364" s="105"/>
      <c r="L1364" s="105"/>
    </row>
    <row r="1365">
      <c r="A1365" s="103" t="s">
        <v>4676</v>
      </c>
      <c r="B1365" s="103">
        <v>1.100115879E9</v>
      </c>
      <c r="C1365" s="105"/>
      <c r="D1365" s="104" t="s">
        <v>8888</v>
      </c>
      <c r="E1365" s="104" t="s">
        <v>8889</v>
      </c>
      <c r="F1365" s="103" t="s">
        <v>4678</v>
      </c>
      <c r="G1365" s="103" t="s">
        <v>4679</v>
      </c>
      <c r="H1365" s="103" t="s">
        <v>8890</v>
      </c>
      <c r="I1365" s="103" t="s">
        <v>8891</v>
      </c>
      <c r="J1365" s="104" t="s">
        <v>8892</v>
      </c>
      <c r="K1365" s="105"/>
      <c r="L1365" s="105"/>
    </row>
    <row r="1366">
      <c r="A1366" s="103" t="s">
        <v>4676</v>
      </c>
      <c r="B1366" s="103">
        <v>1.10011587901E11</v>
      </c>
      <c r="C1366" s="105"/>
      <c r="D1366" s="104" t="s">
        <v>8893</v>
      </c>
      <c r="E1366" s="104" t="s">
        <v>8889</v>
      </c>
      <c r="F1366" s="103" t="s">
        <v>4678</v>
      </c>
      <c r="G1366" s="103" t="s">
        <v>4679</v>
      </c>
      <c r="H1366" s="103" t="s">
        <v>8894</v>
      </c>
      <c r="I1366" s="103" t="s">
        <v>8891</v>
      </c>
      <c r="J1366" s="104" t="s">
        <v>8892</v>
      </c>
      <c r="K1366" s="105"/>
      <c r="L1366" s="105"/>
    </row>
    <row r="1367">
      <c r="A1367" s="103" t="s">
        <v>4676</v>
      </c>
      <c r="B1367" s="103">
        <v>1.100115904E9</v>
      </c>
      <c r="C1367" s="105"/>
      <c r="D1367" s="104" t="s">
        <v>8895</v>
      </c>
      <c r="E1367" s="106"/>
      <c r="F1367" s="103" t="s">
        <v>4678</v>
      </c>
      <c r="G1367" s="103" t="s">
        <v>4679</v>
      </c>
      <c r="H1367" s="103" t="s">
        <v>8896</v>
      </c>
      <c r="I1367" s="103">
        <v>2138331.0</v>
      </c>
      <c r="J1367" s="104" t="s">
        <v>8897</v>
      </c>
      <c r="K1367" s="105"/>
      <c r="L1367" s="105"/>
    </row>
    <row r="1368">
      <c r="A1368" s="103" t="s">
        <v>4676</v>
      </c>
      <c r="B1368" s="103">
        <v>1.10011590401E11</v>
      </c>
      <c r="C1368" s="105"/>
      <c r="D1368" s="104" t="s">
        <v>8898</v>
      </c>
      <c r="E1368" s="106"/>
      <c r="F1368" s="103" t="s">
        <v>4678</v>
      </c>
      <c r="G1368" s="103" t="s">
        <v>4679</v>
      </c>
      <c r="H1368" s="103" t="s">
        <v>8896</v>
      </c>
      <c r="I1368" s="103">
        <v>2138331.0</v>
      </c>
      <c r="J1368" s="104" t="s">
        <v>8897</v>
      </c>
      <c r="K1368" s="105"/>
      <c r="L1368" s="105"/>
    </row>
    <row r="1369">
      <c r="A1369" s="103" t="s">
        <v>4676</v>
      </c>
      <c r="B1369" s="103">
        <v>1.10011593E9</v>
      </c>
      <c r="C1369" s="105"/>
      <c r="D1369" s="104" t="s">
        <v>8899</v>
      </c>
      <c r="E1369" s="104" t="s">
        <v>8900</v>
      </c>
      <c r="F1369" s="103" t="s">
        <v>4678</v>
      </c>
      <c r="G1369" s="103" t="s">
        <v>4679</v>
      </c>
      <c r="H1369" s="103" t="s">
        <v>8901</v>
      </c>
      <c r="I1369" s="103">
        <v>6960047.0</v>
      </c>
      <c r="J1369" s="104" t="s">
        <v>8902</v>
      </c>
      <c r="K1369" s="105"/>
      <c r="L1369" s="105"/>
    </row>
    <row r="1370">
      <c r="A1370" s="103" t="s">
        <v>4676</v>
      </c>
      <c r="B1370" s="103">
        <v>1.10011593001E11</v>
      </c>
      <c r="C1370" s="105"/>
      <c r="D1370" s="104" t="s">
        <v>8903</v>
      </c>
      <c r="E1370" s="104" t="s">
        <v>8900</v>
      </c>
      <c r="F1370" s="103" t="s">
        <v>4678</v>
      </c>
      <c r="G1370" s="103" t="s">
        <v>4679</v>
      </c>
      <c r="H1370" s="103" t="s">
        <v>8904</v>
      </c>
      <c r="I1370" s="103">
        <v>6960047.0</v>
      </c>
      <c r="J1370" s="104" t="s">
        <v>8902</v>
      </c>
      <c r="K1370" s="105"/>
      <c r="L1370" s="105"/>
    </row>
    <row r="1371">
      <c r="A1371" s="103" t="s">
        <v>4676</v>
      </c>
      <c r="B1371" s="103">
        <v>1.100115941E9</v>
      </c>
      <c r="C1371" s="105"/>
      <c r="D1371" s="104" t="s">
        <v>8905</v>
      </c>
      <c r="E1371" s="104" t="s">
        <v>8906</v>
      </c>
      <c r="F1371" s="103" t="s">
        <v>4678</v>
      </c>
      <c r="G1371" s="103" t="s">
        <v>4679</v>
      </c>
      <c r="H1371" s="103" t="s">
        <v>8907</v>
      </c>
      <c r="I1371" s="103">
        <v>6122605.0</v>
      </c>
      <c r="J1371" s="104" t="s">
        <v>8908</v>
      </c>
      <c r="K1371" s="105"/>
      <c r="L1371" s="105"/>
    </row>
    <row r="1372">
      <c r="A1372" s="103" t="s">
        <v>4676</v>
      </c>
      <c r="B1372" s="103">
        <v>1.10011594101E11</v>
      </c>
      <c r="C1372" s="105"/>
      <c r="D1372" s="104" t="s">
        <v>8909</v>
      </c>
      <c r="E1372" s="104" t="s">
        <v>8906</v>
      </c>
      <c r="F1372" s="103" t="s">
        <v>4678</v>
      </c>
      <c r="G1372" s="103" t="s">
        <v>4679</v>
      </c>
      <c r="H1372" s="103" t="s">
        <v>8907</v>
      </c>
      <c r="I1372" s="103">
        <v>6122605.0</v>
      </c>
      <c r="J1372" s="104" t="s">
        <v>8908</v>
      </c>
      <c r="K1372" s="105"/>
      <c r="L1372" s="105"/>
    </row>
    <row r="1373">
      <c r="A1373" s="103" t="s">
        <v>4676</v>
      </c>
      <c r="B1373" s="103">
        <v>1.100116016E9</v>
      </c>
      <c r="C1373" s="105"/>
      <c r="D1373" s="104" t="s">
        <v>8910</v>
      </c>
      <c r="E1373" s="104" t="s">
        <v>8911</v>
      </c>
      <c r="F1373" s="103" t="s">
        <v>4678</v>
      </c>
      <c r="G1373" s="103" t="s">
        <v>4679</v>
      </c>
      <c r="H1373" s="103" t="s">
        <v>8912</v>
      </c>
      <c r="I1373" s="103">
        <v>6940460.0</v>
      </c>
      <c r="J1373" s="104" t="s">
        <v>8913</v>
      </c>
      <c r="K1373" s="107" t="s">
        <v>8914</v>
      </c>
      <c r="L1373" s="105"/>
    </row>
    <row r="1374">
      <c r="A1374" s="103" t="s">
        <v>4676</v>
      </c>
      <c r="B1374" s="103">
        <v>1.10011601601E11</v>
      </c>
      <c r="C1374" s="105"/>
      <c r="D1374" s="104" t="s">
        <v>8915</v>
      </c>
      <c r="E1374" s="104" t="s">
        <v>8916</v>
      </c>
      <c r="F1374" s="103" t="s">
        <v>4678</v>
      </c>
      <c r="G1374" s="103" t="s">
        <v>4679</v>
      </c>
      <c r="H1374" s="103" t="s">
        <v>8912</v>
      </c>
      <c r="I1374" s="103">
        <v>6940460.0</v>
      </c>
      <c r="J1374" s="104" t="s">
        <v>8913</v>
      </c>
      <c r="K1374" s="105"/>
      <c r="L1374" s="105"/>
    </row>
    <row r="1375">
      <c r="A1375" s="103" t="s">
        <v>4676</v>
      </c>
      <c r="B1375" s="103">
        <v>1.100116044E9</v>
      </c>
      <c r="C1375" s="105"/>
      <c r="D1375" s="104" t="s">
        <v>8917</v>
      </c>
      <c r="E1375" s="104" t="s">
        <v>8918</v>
      </c>
      <c r="F1375" s="103" t="s">
        <v>4678</v>
      </c>
      <c r="G1375" s="103" t="s">
        <v>4679</v>
      </c>
      <c r="H1375" s="103" t="s">
        <v>8919</v>
      </c>
      <c r="I1375" s="103" t="s">
        <v>8920</v>
      </c>
      <c r="J1375" s="104" t="s">
        <v>8921</v>
      </c>
      <c r="K1375" s="107" t="s">
        <v>8922</v>
      </c>
      <c r="L1375" s="105"/>
    </row>
    <row r="1376">
      <c r="A1376" s="103" t="s">
        <v>4676</v>
      </c>
      <c r="B1376" s="103">
        <v>1.10011604401E11</v>
      </c>
      <c r="C1376" s="105"/>
      <c r="D1376" s="104" t="s">
        <v>8923</v>
      </c>
      <c r="E1376" s="104" t="s">
        <v>8924</v>
      </c>
      <c r="F1376" s="103" t="s">
        <v>4678</v>
      </c>
      <c r="G1376" s="103" t="s">
        <v>4679</v>
      </c>
      <c r="H1376" s="103" t="s">
        <v>8919</v>
      </c>
      <c r="I1376" s="103" t="s">
        <v>8920</v>
      </c>
      <c r="J1376" s="104" t="s">
        <v>8921</v>
      </c>
      <c r="K1376" s="105"/>
      <c r="L1376" s="105"/>
    </row>
    <row r="1377">
      <c r="A1377" s="103" t="s">
        <v>4676</v>
      </c>
      <c r="B1377" s="103">
        <v>1.100116069E9</v>
      </c>
      <c r="C1377" s="105"/>
      <c r="D1377" s="104" t="s">
        <v>8925</v>
      </c>
      <c r="E1377" s="104" t="s">
        <v>8926</v>
      </c>
      <c r="F1377" s="103" t="s">
        <v>4678</v>
      </c>
      <c r="G1377" s="103" t="s">
        <v>4679</v>
      </c>
      <c r="H1377" s="103" t="s">
        <v>8927</v>
      </c>
      <c r="I1377" s="103" t="s">
        <v>8928</v>
      </c>
      <c r="J1377" s="104" t="s">
        <v>8929</v>
      </c>
      <c r="K1377" s="105"/>
      <c r="L1377" s="105"/>
    </row>
    <row r="1378">
      <c r="A1378" s="103" t="s">
        <v>4676</v>
      </c>
      <c r="B1378" s="103">
        <v>1.10011606901E11</v>
      </c>
      <c r="C1378" s="105"/>
      <c r="D1378" s="104" t="s">
        <v>8930</v>
      </c>
      <c r="E1378" s="104" t="s">
        <v>8931</v>
      </c>
      <c r="F1378" s="103" t="s">
        <v>4678</v>
      </c>
      <c r="G1378" s="103" t="s">
        <v>4679</v>
      </c>
      <c r="H1378" s="103" t="s">
        <v>8927</v>
      </c>
      <c r="I1378" s="103" t="s">
        <v>8928</v>
      </c>
      <c r="J1378" s="104" t="s">
        <v>8929</v>
      </c>
      <c r="K1378" s="105"/>
      <c r="L1378" s="105"/>
    </row>
    <row r="1379">
      <c r="A1379" s="103" t="s">
        <v>4676</v>
      </c>
      <c r="B1379" s="103">
        <v>1.100116076E9</v>
      </c>
      <c r="C1379" s="105"/>
      <c r="D1379" s="104" t="s">
        <v>8932</v>
      </c>
      <c r="E1379" s="104" t="s">
        <v>8933</v>
      </c>
      <c r="F1379" s="103" t="s">
        <v>4678</v>
      </c>
      <c r="G1379" s="103" t="s">
        <v>4679</v>
      </c>
      <c r="H1379" s="103" t="s">
        <v>8934</v>
      </c>
      <c r="I1379" s="103" t="s">
        <v>8935</v>
      </c>
      <c r="J1379" s="104" t="s">
        <v>8936</v>
      </c>
      <c r="K1379" s="105"/>
      <c r="L1379" s="105"/>
    </row>
    <row r="1380">
      <c r="A1380" s="103" t="s">
        <v>4676</v>
      </c>
      <c r="B1380" s="103">
        <v>1.10011607601E11</v>
      </c>
      <c r="C1380" s="105"/>
      <c r="D1380" s="104" t="s">
        <v>8937</v>
      </c>
      <c r="E1380" s="104" t="s">
        <v>8933</v>
      </c>
      <c r="F1380" s="103" t="s">
        <v>4678</v>
      </c>
      <c r="G1380" s="103" t="s">
        <v>4679</v>
      </c>
      <c r="H1380" s="103" t="s">
        <v>8938</v>
      </c>
      <c r="I1380" s="103" t="s">
        <v>8939</v>
      </c>
      <c r="J1380" s="104" t="s">
        <v>8936</v>
      </c>
      <c r="K1380" s="105"/>
      <c r="L1380" s="105"/>
    </row>
    <row r="1381">
      <c r="A1381" s="103" t="s">
        <v>4676</v>
      </c>
      <c r="B1381" s="103">
        <v>1.10011607602E11</v>
      </c>
      <c r="C1381" s="105"/>
      <c r="D1381" s="104" t="s">
        <v>8940</v>
      </c>
      <c r="E1381" s="104" t="s">
        <v>8941</v>
      </c>
      <c r="F1381" s="103" t="s">
        <v>4678</v>
      </c>
      <c r="G1381" s="103" t="s">
        <v>4679</v>
      </c>
      <c r="H1381" s="103" t="s">
        <v>8942</v>
      </c>
      <c r="I1381" s="103">
        <v>3.103105333E9</v>
      </c>
      <c r="J1381" s="104" t="s">
        <v>8936</v>
      </c>
      <c r="K1381" s="105"/>
      <c r="L1381" s="105"/>
    </row>
    <row r="1382">
      <c r="A1382" s="103" t="s">
        <v>4676</v>
      </c>
      <c r="B1382" s="103">
        <v>1.100116129E9</v>
      </c>
      <c r="C1382" s="105"/>
      <c r="D1382" s="104" t="s">
        <v>8943</v>
      </c>
      <c r="E1382" s="104" t="s">
        <v>8944</v>
      </c>
      <c r="F1382" s="103" t="s">
        <v>4678</v>
      </c>
      <c r="G1382" s="103" t="s">
        <v>4679</v>
      </c>
      <c r="H1382" s="103" t="s">
        <v>8945</v>
      </c>
      <c r="I1382" s="103" t="s">
        <v>8946</v>
      </c>
      <c r="J1382" s="104" t="s">
        <v>8947</v>
      </c>
      <c r="K1382" s="107" t="s">
        <v>8948</v>
      </c>
      <c r="L1382" s="105"/>
    </row>
    <row r="1383">
      <c r="A1383" s="103" t="s">
        <v>4676</v>
      </c>
      <c r="B1383" s="103">
        <v>1.10011612903E11</v>
      </c>
      <c r="C1383" s="105"/>
      <c r="D1383" s="104" t="s">
        <v>8943</v>
      </c>
      <c r="E1383" s="104" t="s">
        <v>8949</v>
      </c>
      <c r="F1383" s="103" t="s">
        <v>4678</v>
      </c>
      <c r="G1383" s="103" t="s">
        <v>4679</v>
      </c>
      <c r="H1383" s="103" t="s">
        <v>8945</v>
      </c>
      <c r="I1383" s="103" t="s">
        <v>8950</v>
      </c>
      <c r="J1383" s="104" t="s">
        <v>8947</v>
      </c>
      <c r="K1383" s="105"/>
      <c r="L1383" s="105"/>
    </row>
    <row r="1384">
      <c r="A1384" s="103" t="s">
        <v>4676</v>
      </c>
      <c r="B1384" s="103">
        <v>1.100116133E9</v>
      </c>
      <c r="C1384" s="105"/>
      <c r="D1384" s="104" t="s">
        <v>8951</v>
      </c>
      <c r="E1384" s="104" t="s">
        <v>8952</v>
      </c>
      <c r="F1384" s="103" t="s">
        <v>4678</v>
      </c>
      <c r="G1384" s="103" t="s">
        <v>4679</v>
      </c>
      <c r="H1384" s="103" t="s">
        <v>8953</v>
      </c>
      <c r="I1384" s="103">
        <v>4377540.0</v>
      </c>
      <c r="J1384" s="104" t="s">
        <v>8954</v>
      </c>
      <c r="K1384" s="107" t="s">
        <v>8955</v>
      </c>
      <c r="L1384" s="105"/>
    </row>
    <row r="1385">
      <c r="A1385" s="103" t="s">
        <v>4676</v>
      </c>
      <c r="B1385" s="103">
        <v>1.10011613301E11</v>
      </c>
      <c r="C1385" s="105"/>
      <c r="D1385" s="104" t="s">
        <v>8951</v>
      </c>
      <c r="E1385" s="104" t="s">
        <v>8956</v>
      </c>
      <c r="F1385" s="103" t="s">
        <v>4678</v>
      </c>
      <c r="G1385" s="103" t="s">
        <v>4679</v>
      </c>
      <c r="H1385" s="103" t="s">
        <v>8957</v>
      </c>
      <c r="I1385" s="103">
        <v>4377540.0</v>
      </c>
      <c r="J1385" s="104" t="s">
        <v>8954</v>
      </c>
      <c r="K1385" s="105"/>
      <c r="L1385" s="105"/>
    </row>
    <row r="1386">
      <c r="A1386" s="103" t="s">
        <v>4676</v>
      </c>
      <c r="B1386" s="103">
        <v>1.100116145E9</v>
      </c>
      <c r="C1386" s="105"/>
      <c r="D1386" s="104" t="s">
        <v>8958</v>
      </c>
      <c r="E1386" s="106"/>
      <c r="F1386" s="103" t="s">
        <v>4678</v>
      </c>
      <c r="G1386" s="103" t="s">
        <v>4679</v>
      </c>
      <c r="H1386" s="103" t="s">
        <v>8959</v>
      </c>
      <c r="I1386" s="103" t="s">
        <v>8960</v>
      </c>
      <c r="J1386" s="104" t="s">
        <v>8961</v>
      </c>
      <c r="K1386" s="105"/>
      <c r="L1386" s="105"/>
    </row>
    <row r="1387">
      <c r="A1387" s="103" t="s">
        <v>4676</v>
      </c>
      <c r="B1387" s="103">
        <v>1.10011614501E11</v>
      </c>
      <c r="C1387" s="105"/>
      <c r="D1387" s="104" t="s">
        <v>8958</v>
      </c>
      <c r="E1387" s="104" t="s">
        <v>8962</v>
      </c>
      <c r="F1387" s="103" t="s">
        <v>4678</v>
      </c>
      <c r="G1387" s="103" t="s">
        <v>4679</v>
      </c>
      <c r="H1387" s="103" t="s">
        <v>8959</v>
      </c>
      <c r="I1387" s="103" t="s">
        <v>8963</v>
      </c>
      <c r="J1387" s="104" t="s">
        <v>8961</v>
      </c>
      <c r="K1387" s="105"/>
      <c r="L1387" s="105"/>
    </row>
    <row r="1388">
      <c r="A1388" s="103" t="s">
        <v>4676</v>
      </c>
      <c r="B1388" s="103">
        <v>1.100116237E9</v>
      </c>
      <c r="C1388" s="105"/>
      <c r="D1388" s="104" t="s">
        <v>8964</v>
      </c>
      <c r="E1388" s="106"/>
      <c r="F1388" s="103" t="s">
        <v>4678</v>
      </c>
      <c r="G1388" s="103" t="s">
        <v>4679</v>
      </c>
      <c r="H1388" s="103" t="s">
        <v>8965</v>
      </c>
      <c r="I1388" s="103" t="s">
        <v>8966</v>
      </c>
      <c r="J1388" s="104" t="s">
        <v>8967</v>
      </c>
      <c r="K1388" s="105"/>
      <c r="L1388" s="105"/>
    </row>
    <row r="1389">
      <c r="A1389" s="103" t="s">
        <v>4676</v>
      </c>
      <c r="B1389" s="103">
        <v>1.10011623701E11</v>
      </c>
      <c r="C1389" s="105"/>
      <c r="D1389" s="104" t="s">
        <v>8968</v>
      </c>
      <c r="E1389" s="104" t="s">
        <v>8969</v>
      </c>
      <c r="F1389" s="103" t="s">
        <v>4678</v>
      </c>
      <c r="G1389" s="103" t="s">
        <v>4679</v>
      </c>
      <c r="H1389" s="103" t="s">
        <v>8965</v>
      </c>
      <c r="I1389" s="103" t="s">
        <v>8966</v>
      </c>
      <c r="J1389" s="104" t="s">
        <v>8967</v>
      </c>
      <c r="K1389" s="105"/>
      <c r="L1389" s="105"/>
    </row>
    <row r="1390">
      <c r="A1390" s="103" t="s">
        <v>4676</v>
      </c>
      <c r="B1390" s="103">
        <v>1.10011623703E11</v>
      </c>
      <c r="C1390" s="105"/>
      <c r="D1390" s="104" t="s">
        <v>8970</v>
      </c>
      <c r="E1390" s="104" t="s">
        <v>8969</v>
      </c>
      <c r="F1390" s="103" t="s">
        <v>4678</v>
      </c>
      <c r="G1390" s="103" t="s">
        <v>4679</v>
      </c>
      <c r="H1390" s="103" t="s">
        <v>8971</v>
      </c>
      <c r="I1390" s="103" t="s">
        <v>8972</v>
      </c>
      <c r="J1390" s="104" t="s">
        <v>8967</v>
      </c>
      <c r="K1390" s="105"/>
      <c r="L1390" s="105"/>
    </row>
    <row r="1391">
      <c r="A1391" s="103" t="s">
        <v>4676</v>
      </c>
      <c r="B1391" s="103">
        <v>1.10011623704E11</v>
      </c>
      <c r="C1391" s="105"/>
      <c r="D1391" s="104" t="s">
        <v>8973</v>
      </c>
      <c r="E1391" s="104" t="s">
        <v>8969</v>
      </c>
      <c r="F1391" s="103" t="s">
        <v>4678</v>
      </c>
      <c r="G1391" s="103" t="s">
        <v>4679</v>
      </c>
      <c r="H1391" s="103" t="s">
        <v>8974</v>
      </c>
      <c r="I1391" s="103" t="s">
        <v>8975</v>
      </c>
      <c r="J1391" s="104" t="s">
        <v>8967</v>
      </c>
      <c r="K1391" s="105"/>
      <c r="L1391" s="105"/>
    </row>
    <row r="1392">
      <c r="A1392" s="103" t="s">
        <v>4676</v>
      </c>
      <c r="B1392" s="103">
        <v>1.10011623708E11</v>
      </c>
      <c r="C1392" s="105"/>
      <c r="D1392" s="104" t="s">
        <v>8976</v>
      </c>
      <c r="E1392" s="104" t="s">
        <v>8969</v>
      </c>
      <c r="F1392" s="103" t="s">
        <v>4678</v>
      </c>
      <c r="G1392" s="103" t="s">
        <v>4679</v>
      </c>
      <c r="H1392" s="103" t="s">
        <v>8977</v>
      </c>
      <c r="I1392" s="103" t="s">
        <v>8978</v>
      </c>
      <c r="J1392" s="104" t="s">
        <v>8967</v>
      </c>
      <c r="K1392" s="105"/>
      <c r="L1392" s="105"/>
    </row>
    <row r="1393">
      <c r="A1393" s="103" t="s">
        <v>4676</v>
      </c>
      <c r="B1393" s="103">
        <v>1.10011623709E11</v>
      </c>
      <c r="C1393" s="105"/>
      <c r="D1393" s="104" t="s">
        <v>8979</v>
      </c>
      <c r="E1393" s="104" t="s">
        <v>8969</v>
      </c>
      <c r="F1393" s="103" t="s">
        <v>4678</v>
      </c>
      <c r="G1393" s="103" t="s">
        <v>4679</v>
      </c>
      <c r="H1393" s="103" t="s">
        <v>8980</v>
      </c>
      <c r="I1393" s="103" t="s">
        <v>8981</v>
      </c>
      <c r="J1393" s="104" t="s">
        <v>8967</v>
      </c>
      <c r="K1393" s="105"/>
      <c r="L1393" s="105"/>
    </row>
    <row r="1394">
      <c r="A1394" s="103" t="s">
        <v>4676</v>
      </c>
      <c r="B1394" s="103">
        <v>1.10011623714E11</v>
      </c>
      <c r="C1394" s="105"/>
      <c r="D1394" s="104" t="s">
        <v>8982</v>
      </c>
      <c r="E1394" s="104" t="s">
        <v>8969</v>
      </c>
      <c r="F1394" s="103" t="s">
        <v>4678</v>
      </c>
      <c r="G1394" s="103" t="s">
        <v>4679</v>
      </c>
      <c r="H1394" s="103" t="s">
        <v>8983</v>
      </c>
      <c r="I1394" s="103" t="s">
        <v>8984</v>
      </c>
      <c r="J1394" s="104" t="s">
        <v>8967</v>
      </c>
      <c r="K1394" s="105"/>
      <c r="L1394" s="105"/>
    </row>
    <row r="1395">
      <c r="A1395" s="103" t="s">
        <v>4676</v>
      </c>
      <c r="B1395" s="103">
        <v>1.10011623716E11</v>
      </c>
      <c r="C1395" s="105"/>
      <c r="D1395" s="104" t="s">
        <v>8985</v>
      </c>
      <c r="E1395" s="104" t="s">
        <v>8969</v>
      </c>
      <c r="F1395" s="103" t="s">
        <v>4678</v>
      </c>
      <c r="G1395" s="103" t="s">
        <v>4679</v>
      </c>
      <c r="H1395" s="103" t="s">
        <v>8986</v>
      </c>
      <c r="I1395" s="103" t="s">
        <v>8987</v>
      </c>
      <c r="J1395" s="104" t="s">
        <v>8967</v>
      </c>
      <c r="K1395" s="105"/>
      <c r="L1395" s="105"/>
    </row>
    <row r="1396">
      <c r="A1396" s="103" t="s">
        <v>4676</v>
      </c>
      <c r="B1396" s="103">
        <v>1.10011623717E11</v>
      </c>
      <c r="C1396" s="105"/>
      <c r="D1396" s="104" t="s">
        <v>8988</v>
      </c>
      <c r="E1396" s="104" t="s">
        <v>8969</v>
      </c>
      <c r="F1396" s="103" t="s">
        <v>4678</v>
      </c>
      <c r="G1396" s="103" t="s">
        <v>4679</v>
      </c>
      <c r="H1396" s="103" t="s">
        <v>8989</v>
      </c>
      <c r="I1396" s="103" t="s">
        <v>8990</v>
      </c>
      <c r="J1396" s="104" t="s">
        <v>8967</v>
      </c>
      <c r="K1396" s="105"/>
      <c r="L1396" s="105"/>
    </row>
    <row r="1397">
      <c r="A1397" s="103" t="s">
        <v>4676</v>
      </c>
      <c r="B1397" s="103">
        <v>1.10011623718E11</v>
      </c>
      <c r="C1397" s="105"/>
      <c r="D1397" s="104" t="s">
        <v>8991</v>
      </c>
      <c r="E1397" s="104" t="s">
        <v>8992</v>
      </c>
      <c r="F1397" s="103" t="s">
        <v>4678</v>
      </c>
      <c r="G1397" s="103" t="s">
        <v>4679</v>
      </c>
      <c r="H1397" s="103" t="s">
        <v>8993</v>
      </c>
      <c r="I1397" s="103" t="s">
        <v>8994</v>
      </c>
      <c r="J1397" s="104" t="s">
        <v>8967</v>
      </c>
      <c r="K1397" s="105"/>
      <c r="L1397" s="105"/>
    </row>
    <row r="1398">
      <c r="A1398" s="103" t="s">
        <v>4676</v>
      </c>
      <c r="B1398" s="103">
        <v>1.10011623719E11</v>
      </c>
      <c r="C1398" s="105"/>
      <c r="D1398" s="104" t="s">
        <v>8995</v>
      </c>
      <c r="E1398" s="104" t="s">
        <v>8996</v>
      </c>
      <c r="F1398" s="103" t="s">
        <v>4678</v>
      </c>
      <c r="G1398" s="103" t="s">
        <v>4679</v>
      </c>
      <c r="H1398" s="103" t="s">
        <v>8997</v>
      </c>
      <c r="I1398" s="103">
        <v>3.153059897E9</v>
      </c>
      <c r="J1398" s="104" t="s">
        <v>8967</v>
      </c>
      <c r="K1398" s="105"/>
      <c r="L1398" s="105"/>
    </row>
    <row r="1399">
      <c r="A1399" s="103" t="s">
        <v>4676</v>
      </c>
      <c r="B1399" s="103">
        <v>1.1001162372E11</v>
      </c>
      <c r="C1399" s="105"/>
      <c r="D1399" s="104" t="s">
        <v>8998</v>
      </c>
      <c r="E1399" s="104" t="s">
        <v>8996</v>
      </c>
      <c r="F1399" s="103" t="s">
        <v>4678</v>
      </c>
      <c r="G1399" s="103" t="s">
        <v>4679</v>
      </c>
      <c r="H1399" s="103" t="s">
        <v>8999</v>
      </c>
      <c r="I1399" s="103">
        <v>6.01646606E9</v>
      </c>
      <c r="J1399" s="104" t="s">
        <v>8967</v>
      </c>
      <c r="K1399" s="105"/>
      <c r="L1399" s="105"/>
    </row>
    <row r="1400">
      <c r="A1400" s="103" t="s">
        <v>4676</v>
      </c>
      <c r="B1400" s="103">
        <v>1.100116239E9</v>
      </c>
      <c r="C1400" s="105"/>
      <c r="D1400" s="104" t="s">
        <v>9000</v>
      </c>
      <c r="E1400" s="104" t="s">
        <v>9001</v>
      </c>
      <c r="F1400" s="103" t="s">
        <v>4678</v>
      </c>
      <c r="G1400" s="103" t="s">
        <v>4679</v>
      </c>
      <c r="H1400" s="103" t="s">
        <v>9002</v>
      </c>
      <c r="I1400" s="103" t="s">
        <v>9003</v>
      </c>
      <c r="J1400" s="104" t="s">
        <v>9004</v>
      </c>
      <c r="K1400" s="105"/>
      <c r="L1400" s="105"/>
    </row>
    <row r="1401">
      <c r="A1401" s="103" t="s">
        <v>4676</v>
      </c>
      <c r="B1401" s="103">
        <v>1.10011623901E11</v>
      </c>
      <c r="C1401" s="105"/>
      <c r="D1401" s="104" t="s">
        <v>9000</v>
      </c>
      <c r="E1401" s="104" t="s">
        <v>9001</v>
      </c>
      <c r="F1401" s="103" t="s">
        <v>4678</v>
      </c>
      <c r="G1401" s="103" t="s">
        <v>4679</v>
      </c>
      <c r="H1401" s="103" t="s">
        <v>9002</v>
      </c>
      <c r="I1401" s="103" t="s">
        <v>9005</v>
      </c>
      <c r="J1401" s="104" t="s">
        <v>9006</v>
      </c>
      <c r="K1401" s="105"/>
      <c r="L1401" s="105"/>
    </row>
    <row r="1402">
      <c r="A1402" s="103" t="s">
        <v>4676</v>
      </c>
      <c r="B1402" s="103">
        <v>1.100116245E9</v>
      </c>
      <c r="C1402" s="105"/>
      <c r="D1402" s="104" t="s">
        <v>9007</v>
      </c>
      <c r="E1402" s="104" t="s">
        <v>9008</v>
      </c>
      <c r="F1402" s="103" t="s">
        <v>4678</v>
      </c>
      <c r="G1402" s="103" t="s">
        <v>4679</v>
      </c>
      <c r="H1402" s="103" t="s">
        <v>9009</v>
      </c>
      <c r="I1402" s="103">
        <v>6292882.0</v>
      </c>
      <c r="J1402" s="104" t="s">
        <v>9010</v>
      </c>
      <c r="K1402" s="105"/>
      <c r="L1402" s="105"/>
    </row>
    <row r="1403">
      <c r="A1403" s="103" t="s">
        <v>4676</v>
      </c>
      <c r="B1403" s="103">
        <v>1.10011624501E11</v>
      </c>
      <c r="C1403" s="105"/>
      <c r="D1403" s="104" t="s">
        <v>9011</v>
      </c>
      <c r="E1403" s="104" t="s">
        <v>9008</v>
      </c>
      <c r="F1403" s="103" t="s">
        <v>4678</v>
      </c>
      <c r="G1403" s="103" t="s">
        <v>4679</v>
      </c>
      <c r="H1403" s="103" t="s">
        <v>9009</v>
      </c>
      <c r="I1403" s="103">
        <v>6292882.0</v>
      </c>
      <c r="J1403" s="104" t="s">
        <v>9010</v>
      </c>
      <c r="K1403" s="105"/>
      <c r="L1403" s="105"/>
    </row>
    <row r="1404">
      <c r="A1404" s="103" t="s">
        <v>4676</v>
      </c>
      <c r="B1404" s="103">
        <v>1.100116253E9</v>
      </c>
      <c r="C1404" s="105"/>
      <c r="D1404" s="104" t="s">
        <v>9012</v>
      </c>
      <c r="E1404" s="106"/>
      <c r="F1404" s="103" t="s">
        <v>4678</v>
      </c>
      <c r="G1404" s="103" t="s">
        <v>4679</v>
      </c>
      <c r="H1404" s="103" t="s">
        <v>9013</v>
      </c>
      <c r="I1404" s="103">
        <v>3.155997385E9</v>
      </c>
      <c r="J1404" s="104" t="s">
        <v>9014</v>
      </c>
      <c r="K1404" s="105"/>
      <c r="L1404" s="105"/>
    </row>
    <row r="1405">
      <c r="A1405" s="103" t="s">
        <v>4676</v>
      </c>
      <c r="B1405" s="103">
        <v>1.10011625302E11</v>
      </c>
      <c r="C1405" s="105"/>
      <c r="D1405" s="104" t="s">
        <v>9015</v>
      </c>
      <c r="E1405" s="104" t="s">
        <v>9016</v>
      </c>
      <c r="F1405" s="103" t="s">
        <v>4678</v>
      </c>
      <c r="G1405" s="103" t="s">
        <v>4679</v>
      </c>
      <c r="H1405" s="103" t="s">
        <v>9017</v>
      </c>
      <c r="I1405" s="103">
        <v>3.155997385E9</v>
      </c>
      <c r="J1405" s="104" t="s">
        <v>9018</v>
      </c>
      <c r="K1405" s="105"/>
      <c r="L1405" s="105"/>
    </row>
    <row r="1406">
      <c r="A1406" s="103" t="s">
        <v>4676</v>
      </c>
      <c r="B1406" s="103">
        <v>1.10011625304E11</v>
      </c>
      <c r="C1406" s="105"/>
      <c r="D1406" s="104" t="s">
        <v>9019</v>
      </c>
      <c r="E1406" s="104" t="s">
        <v>9020</v>
      </c>
      <c r="F1406" s="103" t="s">
        <v>4678</v>
      </c>
      <c r="G1406" s="103" t="s">
        <v>4679</v>
      </c>
      <c r="H1406" s="103" t="s">
        <v>9021</v>
      </c>
      <c r="I1406" s="103">
        <v>3.155997385E9</v>
      </c>
      <c r="J1406" s="104" t="s">
        <v>9022</v>
      </c>
      <c r="K1406" s="105"/>
      <c r="L1406" s="105"/>
    </row>
    <row r="1407">
      <c r="A1407" s="103" t="s">
        <v>4676</v>
      </c>
      <c r="B1407" s="103">
        <v>1.100116275E9</v>
      </c>
      <c r="C1407" s="105"/>
      <c r="D1407" s="104" t="s">
        <v>9023</v>
      </c>
      <c r="E1407" s="104" t="s">
        <v>9024</v>
      </c>
      <c r="F1407" s="103" t="s">
        <v>4678</v>
      </c>
      <c r="G1407" s="103" t="s">
        <v>4679</v>
      </c>
      <c r="H1407" s="103" t="s">
        <v>9025</v>
      </c>
      <c r="I1407" s="103">
        <v>6160557.0</v>
      </c>
      <c r="J1407" s="104" t="s">
        <v>9026</v>
      </c>
      <c r="K1407" s="105"/>
      <c r="L1407" s="105"/>
    </row>
    <row r="1408">
      <c r="A1408" s="103" t="s">
        <v>4676</v>
      </c>
      <c r="B1408" s="103">
        <v>1.10011627501E11</v>
      </c>
      <c r="C1408" s="105"/>
      <c r="D1408" s="104" t="s">
        <v>9027</v>
      </c>
      <c r="E1408" s="104" t="s">
        <v>9024</v>
      </c>
      <c r="F1408" s="103" t="s">
        <v>4678</v>
      </c>
      <c r="G1408" s="103" t="s">
        <v>4679</v>
      </c>
      <c r="H1408" s="103" t="s">
        <v>9025</v>
      </c>
      <c r="I1408" s="103">
        <v>6160557.0</v>
      </c>
      <c r="J1408" s="104" t="s">
        <v>9026</v>
      </c>
      <c r="K1408" s="105"/>
      <c r="L1408" s="105"/>
    </row>
    <row r="1409">
      <c r="A1409" s="103" t="s">
        <v>4676</v>
      </c>
      <c r="B1409" s="103">
        <v>1.100116366E9</v>
      </c>
      <c r="C1409" s="105"/>
      <c r="D1409" s="104" t="s">
        <v>9028</v>
      </c>
      <c r="E1409" s="106"/>
      <c r="F1409" s="103" t="s">
        <v>4678</v>
      </c>
      <c r="G1409" s="103" t="s">
        <v>4679</v>
      </c>
      <c r="H1409" s="103" t="s">
        <v>9029</v>
      </c>
      <c r="I1409" s="103">
        <v>3400230.0</v>
      </c>
      <c r="J1409" s="104" t="s">
        <v>9030</v>
      </c>
      <c r="K1409" s="105"/>
      <c r="L1409" s="105"/>
    </row>
    <row r="1410">
      <c r="A1410" s="103" t="s">
        <v>4676</v>
      </c>
      <c r="B1410" s="103">
        <v>1.10011636601E11</v>
      </c>
      <c r="C1410" s="105"/>
      <c r="D1410" s="104" t="s">
        <v>9031</v>
      </c>
      <c r="E1410" s="106"/>
      <c r="F1410" s="103" t="s">
        <v>4678</v>
      </c>
      <c r="G1410" s="103" t="s">
        <v>4679</v>
      </c>
      <c r="H1410" s="103" t="s">
        <v>9029</v>
      </c>
      <c r="I1410" s="103">
        <v>3400230.0</v>
      </c>
      <c r="J1410" s="104" t="s">
        <v>9030</v>
      </c>
      <c r="K1410" s="105"/>
      <c r="L1410" s="105"/>
    </row>
    <row r="1411">
      <c r="A1411" s="103" t="s">
        <v>4676</v>
      </c>
      <c r="B1411" s="103">
        <v>1.10011636602E11</v>
      </c>
      <c r="C1411" s="105"/>
      <c r="D1411" s="104" t="s">
        <v>9031</v>
      </c>
      <c r="E1411" s="104" t="s">
        <v>9032</v>
      </c>
      <c r="F1411" s="103" t="s">
        <v>4678</v>
      </c>
      <c r="G1411" s="103" t="s">
        <v>4679</v>
      </c>
      <c r="H1411" s="103" t="s">
        <v>9033</v>
      </c>
      <c r="I1411" s="103">
        <v>7503316.0</v>
      </c>
      <c r="J1411" s="104" t="s">
        <v>9034</v>
      </c>
      <c r="K1411" s="105"/>
      <c r="L1411" s="105"/>
    </row>
    <row r="1412">
      <c r="A1412" s="103" t="s">
        <v>4676</v>
      </c>
      <c r="B1412" s="103">
        <v>1.100116369E9</v>
      </c>
      <c r="C1412" s="105"/>
      <c r="D1412" s="104" t="s">
        <v>9035</v>
      </c>
      <c r="E1412" s="104" t="s">
        <v>9036</v>
      </c>
      <c r="F1412" s="103" t="s">
        <v>4678</v>
      </c>
      <c r="G1412" s="103" t="s">
        <v>4679</v>
      </c>
      <c r="H1412" s="103" t="s">
        <v>9037</v>
      </c>
      <c r="I1412" s="103" t="s">
        <v>9038</v>
      </c>
      <c r="J1412" s="104" t="s">
        <v>9039</v>
      </c>
      <c r="K1412" s="107" t="s">
        <v>9040</v>
      </c>
      <c r="L1412" s="105"/>
    </row>
    <row r="1413">
      <c r="A1413" s="103" t="s">
        <v>4676</v>
      </c>
      <c r="B1413" s="103">
        <v>1.10011636901E11</v>
      </c>
      <c r="C1413" s="105"/>
      <c r="D1413" s="104" t="s">
        <v>9041</v>
      </c>
      <c r="E1413" s="104" t="s">
        <v>9042</v>
      </c>
      <c r="F1413" s="103" t="s">
        <v>4678</v>
      </c>
      <c r="G1413" s="103" t="s">
        <v>4679</v>
      </c>
      <c r="H1413" s="103" t="s">
        <v>9043</v>
      </c>
      <c r="I1413" s="103">
        <v>3.134987433E9</v>
      </c>
      <c r="J1413" s="104" t="s">
        <v>9039</v>
      </c>
      <c r="K1413" s="105"/>
      <c r="L1413" s="105"/>
    </row>
    <row r="1414">
      <c r="A1414" s="103" t="s">
        <v>4676</v>
      </c>
      <c r="B1414" s="103">
        <v>1.10011636902E11</v>
      </c>
      <c r="C1414" s="105"/>
      <c r="D1414" s="104" t="s">
        <v>9041</v>
      </c>
      <c r="E1414" s="104" t="s">
        <v>9042</v>
      </c>
      <c r="F1414" s="103" t="s">
        <v>4678</v>
      </c>
      <c r="G1414" s="103" t="s">
        <v>4679</v>
      </c>
      <c r="H1414" s="103" t="s">
        <v>9044</v>
      </c>
      <c r="I1414" s="103">
        <v>3.134987433E9</v>
      </c>
      <c r="J1414" s="104" t="s">
        <v>9039</v>
      </c>
      <c r="K1414" s="105"/>
      <c r="L1414" s="105"/>
    </row>
    <row r="1415">
      <c r="A1415" s="103" t="s">
        <v>4676</v>
      </c>
      <c r="B1415" s="103">
        <v>1.10011636903E11</v>
      </c>
      <c r="C1415" s="105"/>
      <c r="D1415" s="104" t="s">
        <v>9041</v>
      </c>
      <c r="E1415" s="104" t="s">
        <v>9042</v>
      </c>
      <c r="F1415" s="103" t="s">
        <v>4678</v>
      </c>
      <c r="G1415" s="103" t="s">
        <v>4679</v>
      </c>
      <c r="H1415" s="103" t="s">
        <v>9045</v>
      </c>
      <c r="I1415" s="103">
        <v>3.134987433E9</v>
      </c>
      <c r="J1415" s="104" t="s">
        <v>9039</v>
      </c>
      <c r="K1415" s="105"/>
      <c r="L1415" s="105"/>
    </row>
    <row r="1416">
      <c r="A1416" s="103" t="s">
        <v>4676</v>
      </c>
      <c r="B1416" s="103">
        <v>1.10011636905E11</v>
      </c>
      <c r="C1416" s="105"/>
      <c r="D1416" s="104" t="s">
        <v>9041</v>
      </c>
      <c r="E1416" s="104" t="s">
        <v>9042</v>
      </c>
      <c r="F1416" s="103" t="s">
        <v>4678</v>
      </c>
      <c r="G1416" s="103" t="s">
        <v>4679</v>
      </c>
      <c r="H1416" s="103" t="s">
        <v>9046</v>
      </c>
      <c r="I1416" s="103">
        <v>3.134987433E9</v>
      </c>
      <c r="J1416" s="104" t="s">
        <v>9039</v>
      </c>
      <c r="K1416" s="105"/>
      <c r="L1416" s="105"/>
    </row>
    <row r="1417">
      <c r="A1417" s="103" t="s">
        <v>4676</v>
      </c>
      <c r="B1417" s="103">
        <v>1.10011636908E11</v>
      </c>
      <c r="C1417" s="105"/>
      <c r="D1417" s="104" t="s">
        <v>9041</v>
      </c>
      <c r="E1417" s="104" t="s">
        <v>9047</v>
      </c>
      <c r="F1417" s="103" t="s">
        <v>4678</v>
      </c>
      <c r="G1417" s="103" t="s">
        <v>4679</v>
      </c>
      <c r="H1417" s="103" t="s">
        <v>9048</v>
      </c>
      <c r="I1417" s="103">
        <v>3.134987433E9</v>
      </c>
      <c r="J1417" s="104" t="s">
        <v>9039</v>
      </c>
      <c r="K1417" s="105"/>
      <c r="L1417" s="105"/>
    </row>
    <row r="1418">
      <c r="A1418" s="103" t="s">
        <v>4676</v>
      </c>
      <c r="B1418" s="103">
        <v>1.1001163691E11</v>
      </c>
      <c r="C1418" s="105"/>
      <c r="D1418" s="104" t="s">
        <v>9041</v>
      </c>
      <c r="E1418" s="104" t="s">
        <v>9042</v>
      </c>
      <c r="F1418" s="103" t="s">
        <v>4678</v>
      </c>
      <c r="G1418" s="103" t="s">
        <v>4679</v>
      </c>
      <c r="H1418" s="103" t="s">
        <v>9049</v>
      </c>
      <c r="I1418" s="103">
        <v>3.134987433E9</v>
      </c>
      <c r="J1418" s="104" t="s">
        <v>9039</v>
      </c>
      <c r="K1418" s="105"/>
      <c r="L1418" s="105"/>
    </row>
    <row r="1419">
      <c r="A1419" s="103" t="s">
        <v>4676</v>
      </c>
      <c r="B1419" s="103">
        <v>1.10011636912E11</v>
      </c>
      <c r="C1419" s="105"/>
      <c r="D1419" s="104" t="s">
        <v>9041</v>
      </c>
      <c r="E1419" s="104" t="s">
        <v>9042</v>
      </c>
      <c r="F1419" s="103" t="s">
        <v>4678</v>
      </c>
      <c r="G1419" s="103" t="s">
        <v>4679</v>
      </c>
      <c r="H1419" s="103" t="s">
        <v>9050</v>
      </c>
      <c r="I1419" s="103">
        <v>3.134987433E9</v>
      </c>
      <c r="J1419" s="104" t="s">
        <v>9039</v>
      </c>
      <c r="K1419" s="105"/>
      <c r="L1419" s="105"/>
    </row>
    <row r="1420">
      <c r="A1420" s="103" t="s">
        <v>4676</v>
      </c>
      <c r="B1420" s="103">
        <v>1.10011636914E11</v>
      </c>
      <c r="C1420" s="105"/>
      <c r="D1420" s="104" t="s">
        <v>9041</v>
      </c>
      <c r="E1420" s="104" t="s">
        <v>9042</v>
      </c>
      <c r="F1420" s="103" t="s">
        <v>4678</v>
      </c>
      <c r="G1420" s="103" t="s">
        <v>4679</v>
      </c>
      <c r="H1420" s="103" t="s">
        <v>9051</v>
      </c>
      <c r="I1420" s="103">
        <v>3.134987433E9</v>
      </c>
      <c r="J1420" s="104" t="s">
        <v>9039</v>
      </c>
      <c r="K1420" s="105"/>
      <c r="L1420" s="105"/>
    </row>
    <row r="1421">
      <c r="A1421" s="103" t="s">
        <v>4676</v>
      </c>
      <c r="B1421" s="103">
        <v>1.10011636917E11</v>
      </c>
      <c r="C1421" s="105"/>
      <c r="D1421" s="104" t="s">
        <v>9041</v>
      </c>
      <c r="E1421" s="104" t="s">
        <v>9042</v>
      </c>
      <c r="F1421" s="103" t="s">
        <v>4678</v>
      </c>
      <c r="G1421" s="103" t="s">
        <v>4679</v>
      </c>
      <c r="H1421" s="103" t="s">
        <v>9052</v>
      </c>
      <c r="I1421" s="103">
        <v>3.134987433E9</v>
      </c>
      <c r="J1421" s="104" t="s">
        <v>9039</v>
      </c>
      <c r="K1421" s="105"/>
      <c r="L1421" s="105"/>
    </row>
    <row r="1422">
      <c r="A1422" s="103" t="s">
        <v>4676</v>
      </c>
      <c r="B1422" s="103">
        <v>1.10011636918E11</v>
      </c>
      <c r="C1422" s="105"/>
      <c r="D1422" s="104" t="s">
        <v>9041</v>
      </c>
      <c r="E1422" s="104" t="s">
        <v>9042</v>
      </c>
      <c r="F1422" s="103" t="s">
        <v>4678</v>
      </c>
      <c r="G1422" s="103" t="s">
        <v>4679</v>
      </c>
      <c r="H1422" s="103" t="s">
        <v>9053</v>
      </c>
      <c r="I1422" s="103">
        <v>3.134987433E9</v>
      </c>
      <c r="J1422" s="104" t="s">
        <v>9039</v>
      </c>
      <c r="K1422" s="105"/>
      <c r="L1422" s="105"/>
    </row>
    <row r="1423">
      <c r="A1423" s="103" t="s">
        <v>4676</v>
      </c>
      <c r="B1423" s="103">
        <v>1.10011636919E11</v>
      </c>
      <c r="C1423" s="105"/>
      <c r="D1423" s="104" t="s">
        <v>9041</v>
      </c>
      <c r="E1423" s="104" t="s">
        <v>9042</v>
      </c>
      <c r="F1423" s="103" t="s">
        <v>4678</v>
      </c>
      <c r="G1423" s="103" t="s">
        <v>4679</v>
      </c>
      <c r="H1423" s="103" t="s">
        <v>9054</v>
      </c>
      <c r="I1423" s="103">
        <v>3.134987433E9</v>
      </c>
      <c r="J1423" s="104" t="s">
        <v>9039</v>
      </c>
      <c r="K1423" s="105"/>
      <c r="L1423" s="105"/>
    </row>
    <row r="1424">
      <c r="A1424" s="103" t="s">
        <v>4676</v>
      </c>
      <c r="B1424" s="103">
        <v>1.1001163692E11</v>
      </c>
      <c r="C1424" s="105"/>
      <c r="D1424" s="104" t="s">
        <v>9041</v>
      </c>
      <c r="E1424" s="104" t="s">
        <v>9042</v>
      </c>
      <c r="F1424" s="103" t="s">
        <v>4678</v>
      </c>
      <c r="G1424" s="103" t="s">
        <v>4679</v>
      </c>
      <c r="H1424" s="103" t="s">
        <v>9055</v>
      </c>
      <c r="I1424" s="103">
        <v>3.134987433E9</v>
      </c>
      <c r="J1424" s="104" t="s">
        <v>9039</v>
      </c>
      <c r="K1424" s="105"/>
      <c r="L1424" s="105"/>
    </row>
    <row r="1425">
      <c r="A1425" s="103" t="s">
        <v>4676</v>
      </c>
      <c r="B1425" s="103">
        <v>1.10011636921E11</v>
      </c>
      <c r="C1425" s="105"/>
      <c r="D1425" s="104" t="s">
        <v>9041</v>
      </c>
      <c r="E1425" s="104" t="s">
        <v>9042</v>
      </c>
      <c r="F1425" s="103" t="s">
        <v>4678</v>
      </c>
      <c r="G1425" s="103" t="s">
        <v>4679</v>
      </c>
      <c r="H1425" s="103" t="s">
        <v>9056</v>
      </c>
      <c r="I1425" s="103">
        <v>3.134987433E9</v>
      </c>
      <c r="J1425" s="104" t="s">
        <v>9039</v>
      </c>
      <c r="K1425" s="105"/>
      <c r="L1425" s="105"/>
    </row>
    <row r="1426">
      <c r="A1426" s="103" t="s">
        <v>4676</v>
      </c>
      <c r="B1426" s="103">
        <v>1.10011636922E11</v>
      </c>
      <c r="C1426" s="105"/>
      <c r="D1426" s="104" t="s">
        <v>9041</v>
      </c>
      <c r="E1426" s="104" t="s">
        <v>9042</v>
      </c>
      <c r="F1426" s="103" t="s">
        <v>4678</v>
      </c>
      <c r="G1426" s="103" t="s">
        <v>4679</v>
      </c>
      <c r="H1426" s="103" t="s">
        <v>9057</v>
      </c>
      <c r="I1426" s="103">
        <v>3.134987433E9</v>
      </c>
      <c r="J1426" s="104" t="s">
        <v>9039</v>
      </c>
      <c r="K1426" s="105"/>
      <c r="L1426" s="105"/>
    </row>
    <row r="1427">
      <c r="A1427" s="103" t="s">
        <v>4676</v>
      </c>
      <c r="B1427" s="103">
        <v>1.10011636925E11</v>
      </c>
      <c r="C1427" s="105"/>
      <c r="D1427" s="104" t="s">
        <v>9041</v>
      </c>
      <c r="E1427" s="104" t="s">
        <v>9042</v>
      </c>
      <c r="F1427" s="103" t="s">
        <v>4678</v>
      </c>
      <c r="G1427" s="103" t="s">
        <v>4679</v>
      </c>
      <c r="H1427" s="103" t="s">
        <v>9058</v>
      </c>
      <c r="I1427" s="103">
        <v>3.134987433E9</v>
      </c>
      <c r="J1427" s="104" t="s">
        <v>9039</v>
      </c>
      <c r="K1427" s="105"/>
      <c r="L1427" s="105"/>
    </row>
    <row r="1428">
      <c r="A1428" s="103" t="s">
        <v>4676</v>
      </c>
      <c r="B1428" s="103">
        <v>1.10011636928E11</v>
      </c>
      <c r="C1428" s="105"/>
      <c r="D1428" s="104" t="s">
        <v>9041</v>
      </c>
      <c r="E1428" s="104" t="s">
        <v>9042</v>
      </c>
      <c r="F1428" s="103" t="s">
        <v>4678</v>
      </c>
      <c r="G1428" s="103" t="s">
        <v>4679</v>
      </c>
      <c r="H1428" s="103" t="s">
        <v>9059</v>
      </c>
      <c r="I1428" s="103">
        <v>3.134987433E9</v>
      </c>
      <c r="J1428" s="104" t="s">
        <v>9039</v>
      </c>
      <c r="K1428" s="105"/>
      <c r="L1428" s="105"/>
    </row>
    <row r="1429">
      <c r="A1429" s="103" t="s">
        <v>4676</v>
      </c>
      <c r="B1429" s="103">
        <v>1.1001163693E11</v>
      </c>
      <c r="C1429" s="105"/>
      <c r="D1429" s="104" t="s">
        <v>9060</v>
      </c>
      <c r="E1429" s="104" t="s">
        <v>9042</v>
      </c>
      <c r="F1429" s="103" t="s">
        <v>4678</v>
      </c>
      <c r="G1429" s="103" t="s">
        <v>4679</v>
      </c>
      <c r="H1429" s="103" t="s">
        <v>9061</v>
      </c>
      <c r="I1429" s="103">
        <v>3.134987433E9</v>
      </c>
      <c r="J1429" s="104" t="s">
        <v>9039</v>
      </c>
      <c r="K1429" s="105"/>
      <c r="L1429" s="105"/>
    </row>
    <row r="1430">
      <c r="A1430" s="103" t="s">
        <v>4676</v>
      </c>
      <c r="B1430" s="103">
        <v>1.10011636931E11</v>
      </c>
      <c r="C1430" s="105"/>
      <c r="D1430" s="104" t="s">
        <v>9041</v>
      </c>
      <c r="E1430" s="104" t="s">
        <v>9042</v>
      </c>
      <c r="F1430" s="103" t="s">
        <v>4678</v>
      </c>
      <c r="G1430" s="103" t="s">
        <v>4679</v>
      </c>
      <c r="H1430" s="103" t="s">
        <v>9062</v>
      </c>
      <c r="I1430" s="103">
        <v>3.134987433E9</v>
      </c>
      <c r="J1430" s="104" t="s">
        <v>9039</v>
      </c>
      <c r="K1430" s="105"/>
      <c r="L1430" s="105"/>
    </row>
    <row r="1431">
      <c r="A1431" s="103" t="s">
        <v>4676</v>
      </c>
      <c r="B1431" s="103">
        <v>1.10011636932E11</v>
      </c>
      <c r="C1431" s="105"/>
      <c r="D1431" s="104" t="s">
        <v>9063</v>
      </c>
      <c r="E1431" s="104" t="s">
        <v>9042</v>
      </c>
      <c r="F1431" s="103" t="s">
        <v>4678</v>
      </c>
      <c r="G1431" s="103" t="s">
        <v>4679</v>
      </c>
      <c r="H1431" s="103" t="s">
        <v>9064</v>
      </c>
      <c r="I1431" s="103">
        <v>3.134987433E9</v>
      </c>
      <c r="J1431" s="104" t="s">
        <v>9039</v>
      </c>
      <c r="K1431" s="105"/>
      <c r="L1431" s="105"/>
    </row>
    <row r="1432">
      <c r="A1432" s="103" t="s">
        <v>4676</v>
      </c>
      <c r="B1432" s="103">
        <v>1.10011636933E11</v>
      </c>
      <c r="C1432" s="105"/>
      <c r="D1432" s="104" t="s">
        <v>9065</v>
      </c>
      <c r="E1432" s="104" t="s">
        <v>9066</v>
      </c>
      <c r="F1432" s="103" t="s">
        <v>4678</v>
      </c>
      <c r="G1432" s="103" t="s">
        <v>4679</v>
      </c>
      <c r="H1432" s="103" t="s">
        <v>9067</v>
      </c>
      <c r="I1432" s="103">
        <v>3.134987433E9</v>
      </c>
      <c r="J1432" s="104" t="s">
        <v>9039</v>
      </c>
      <c r="K1432" s="105"/>
      <c r="L1432" s="105"/>
    </row>
    <row r="1433">
      <c r="A1433" s="103" t="s">
        <v>4676</v>
      </c>
      <c r="B1433" s="103">
        <v>1.10011636934E11</v>
      </c>
      <c r="C1433" s="105"/>
      <c r="D1433" s="104" t="s">
        <v>9068</v>
      </c>
      <c r="E1433" s="104" t="s">
        <v>9042</v>
      </c>
      <c r="F1433" s="103" t="s">
        <v>4678</v>
      </c>
      <c r="G1433" s="103" t="s">
        <v>4679</v>
      </c>
      <c r="H1433" s="103" t="s">
        <v>9069</v>
      </c>
      <c r="I1433" s="103">
        <v>3.134987433E9</v>
      </c>
      <c r="J1433" s="104" t="s">
        <v>9039</v>
      </c>
      <c r="K1433" s="105"/>
      <c r="L1433" s="105"/>
    </row>
    <row r="1434">
      <c r="A1434" s="103" t="s">
        <v>4676</v>
      </c>
      <c r="B1434" s="103">
        <v>1.10011636935E11</v>
      </c>
      <c r="C1434" s="105"/>
      <c r="D1434" s="104" t="s">
        <v>9068</v>
      </c>
      <c r="E1434" s="104" t="s">
        <v>9042</v>
      </c>
      <c r="F1434" s="103" t="s">
        <v>4678</v>
      </c>
      <c r="G1434" s="103" t="s">
        <v>4679</v>
      </c>
      <c r="H1434" s="103" t="s">
        <v>9070</v>
      </c>
      <c r="I1434" s="103">
        <v>3.134987433E9</v>
      </c>
      <c r="J1434" s="104" t="s">
        <v>9039</v>
      </c>
      <c r="K1434" s="105"/>
      <c r="L1434" s="105"/>
    </row>
    <row r="1435">
      <c r="A1435" s="103" t="s">
        <v>4676</v>
      </c>
      <c r="B1435" s="103">
        <v>1.10011636936E11</v>
      </c>
      <c r="C1435" s="105"/>
      <c r="D1435" s="104" t="s">
        <v>9068</v>
      </c>
      <c r="E1435" s="104" t="s">
        <v>9042</v>
      </c>
      <c r="F1435" s="103" t="s">
        <v>4678</v>
      </c>
      <c r="G1435" s="103" t="s">
        <v>4679</v>
      </c>
      <c r="H1435" s="103" t="s">
        <v>9071</v>
      </c>
      <c r="I1435" s="103">
        <v>3.134987433E9</v>
      </c>
      <c r="J1435" s="104" t="s">
        <v>9039</v>
      </c>
      <c r="K1435" s="105"/>
      <c r="L1435" s="105"/>
    </row>
    <row r="1436">
      <c r="A1436" s="103" t="s">
        <v>4676</v>
      </c>
      <c r="B1436" s="103">
        <v>1.10011636938E11</v>
      </c>
      <c r="C1436" s="105"/>
      <c r="D1436" s="104" t="s">
        <v>9068</v>
      </c>
      <c r="E1436" s="104" t="s">
        <v>9042</v>
      </c>
      <c r="F1436" s="103" t="s">
        <v>4678</v>
      </c>
      <c r="G1436" s="103" t="s">
        <v>4679</v>
      </c>
      <c r="H1436" s="103" t="s">
        <v>9072</v>
      </c>
      <c r="I1436" s="103">
        <v>3.134987433E9</v>
      </c>
      <c r="J1436" s="104" t="s">
        <v>9039</v>
      </c>
      <c r="K1436" s="105"/>
      <c r="L1436" s="105"/>
    </row>
    <row r="1437">
      <c r="A1437" s="103" t="s">
        <v>4676</v>
      </c>
      <c r="B1437" s="103">
        <v>1.1001163694E11</v>
      </c>
      <c r="C1437" s="105"/>
      <c r="D1437" s="104" t="s">
        <v>9073</v>
      </c>
      <c r="E1437" s="104" t="s">
        <v>9042</v>
      </c>
      <c r="F1437" s="103" t="s">
        <v>4678</v>
      </c>
      <c r="G1437" s="103" t="s">
        <v>4679</v>
      </c>
      <c r="H1437" s="103" t="s">
        <v>9074</v>
      </c>
      <c r="I1437" s="103">
        <v>3.134987433E9</v>
      </c>
      <c r="J1437" s="104" t="s">
        <v>9075</v>
      </c>
      <c r="K1437" s="105"/>
      <c r="L1437" s="105"/>
    </row>
    <row r="1438">
      <c r="A1438" s="103" t="s">
        <v>4676</v>
      </c>
      <c r="B1438" s="103">
        <v>1.100116426E9</v>
      </c>
      <c r="C1438" s="105"/>
      <c r="D1438" s="104" t="s">
        <v>9076</v>
      </c>
      <c r="E1438" s="104" t="s">
        <v>9077</v>
      </c>
      <c r="F1438" s="103" t="s">
        <v>4678</v>
      </c>
      <c r="G1438" s="103" t="s">
        <v>4679</v>
      </c>
      <c r="H1438" s="103" t="s">
        <v>9078</v>
      </c>
      <c r="I1438" s="103" t="s">
        <v>9079</v>
      </c>
      <c r="J1438" s="104" t="s">
        <v>9080</v>
      </c>
      <c r="K1438" s="107" t="s">
        <v>9081</v>
      </c>
      <c r="L1438" s="105"/>
    </row>
    <row r="1439">
      <c r="A1439" s="103" t="s">
        <v>4676</v>
      </c>
      <c r="B1439" s="103">
        <v>1.10011642601E11</v>
      </c>
      <c r="C1439" s="105"/>
      <c r="D1439" s="104" t="s">
        <v>9076</v>
      </c>
      <c r="E1439" s="104" t="s">
        <v>9077</v>
      </c>
      <c r="F1439" s="103" t="s">
        <v>4678</v>
      </c>
      <c r="G1439" s="103" t="s">
        <v>4679</v>
      </c>
      <c r="H1439" s="103" t="s">
        <v>9078</v>
      </c>
      <c r="I1439" s="103" t="s">
        <v>9079</v>
      </c>
      <c r="J1439" s="104" t="s">
        <v>9082</v>
      </c>
      <c r="K1439" s="105"/>
      <c r="L1439" s="105"/>
    </row>
    <row r="1440">
      <c r="A1440" s="103" t="s">
        <v>4676</v>
      </c>
      <c r="B1440" s="103">
        <v>1.10011643E9</v>
      </c>
      <c r="C1440" s="105"/>
      <c r="D1440" s="104" t="s">
        <v>9083</v>
      </c>
      <c r="E1440" s="104" t="s">
        <v>9084</v>
      </c>
      <c r="F1440" s="103" t="s">
        <v>4678</v>
      </c>
      <c r="G1440" s="103" t="s">
        <v>4679</v>
      </c>
      <c r="H1440" s="103" t="s">
        <v>9085</v>
      </c>
      <c r="I1440" s="103">
        <v>7422244.0</v>
      </c>
      <c r="J1440" s="104" t="s">
        <v>9086</v>
      </c>
      <c r="K1440" s="105"/>
      <c r="L1440" s="105"/>
    </row>
    <row r="1441">
      <c r="A1441" s="103" t="s">
        <v>4676</v>
      </c>
      <c r="B1441" s="103">
        <v>1.10011643001E11</v>
      </c>
      <c r="C1441" s="105"/>
      <c r="D1441" s="104" t="s">
        <v>9087</v>
      </c>
      <c r="E1441" s="104" t="s">
        <v>9088</v>
      </c>
      <c r="F1441" s="103" t="s">
        <v>4678</v>
      </c>
      <c r="G1441" s="103" t="s">
        <v>4679</v>
      </c>
      <c r="H1441" s="103" t="s">
        <v>9089</v>
      </c>
      <c r="I1441" s="103">
        <v>7422244.0</v>
      </c>
      <c r="J1441" s="104" t="s">
        <v>9086</v>
      </c>
      <c r="K1441" s="105"/>
      <c r="L1441" s="105"/>
    </row>
    <row r="1442">
      <c r="A1442" s="103" t="s">
        <v>4676</v>
      </c>
      <c r="B1442" s="103">
        <v>1.100116439E9</v>
      </c>
      <c r="C1442" s="105"/>
      <c r="D1442" s="104" t="s">
        <v>9090</v>
      </c>
      <c r="E1442" s="104" t="s">
        <v>9091</v>
      </c>
      <c r="F1442" s="103" t="s">
        <v>4678</v>
      </c>
      <c r="G1442" s="103" t="s">
        <v>4679</v>
      </c>
      <c r="H1442" s="103" t="s">
        <v>9092</v>
      </c>
      <c r="I1442" s="103">
        <v>2878211.0</v>
      </c>
      <c r="J1442" s="104" t="s">
        <v>9093</v>
      </c>
      <c r="K1442" s="105"/>
      <c r="L1442" s="105"/>
    </row>
    <row r="1443">
      <c r="A1443" s="103" t="s">
        <v>4676</v>
      </c>
      <c r="B1443" s="103">
        <v>1.10011643901E11</v>
      </c>
      <c r="C1443" s="105"/>
      <c r="D1443" s="104" t="s">
        <v>9094</v>
      </c>
      <c r="E1443" s="104" t="s">
        <v>9091</v>
      </c>
      <c r="F1443" s="103" t="s">
        <v>4678</v>
      </c>
      <c r="G1443" s="103" t="s">
        <v>4679</v>
      </c>
      <c r="H1443" s="103" t="s">
        <v>9092</v>
      </c>
      <c r="I1443" s="103">
        <v>2878211.0</v>
      </c>
      <c r="J1443" s="104" t="s">
        <v>9093</v>
      </c>
      <c r="K1443" s="105"/>
      <c r="L1443" s="105"/>
    </row>
    <row r="1444">
      <c r="A1444" s="103" t="s">
        <v>4676</v>
      </c>
      <c r="B1444" s="103">
        <v>1.100116446E9</v>
      </c>
      <c r="C1444" s="105"/>
      <c r="D1444" s="104" t="s">
        <v>9095</v>
      </c>
      <c r="E1444" s="104" t="s">
        <v>9096</v>
      </c>
      <c r="F1444" s="103" t="s">
        <v>4678</v>
      </c>
      <c r="G1444" s="103" t="s">
        <v>4679</v>
      </c>
      <c r="H1444" s="103" t="s">
        <v>9097</v>
      </c>
      <c r="I1444" s="103" t="s">
        <v>9098</v>
      </c>
      <c r="J1444" s="104" t="s">
        <v>9099</v>
      </c>
      <c r="K1444" s="105"/>
      <c r="L1444" s="105"/>
    </row>
    <row r="1445">
      <c r="A1445" s="103" t="s">
        <v>4676</v>
      </c>
      <c r="B1445" s="103">
        <v>1.10011644601E11</v>
      </c>
      <c r="C1445" s="105"/>
      <c r="D1445" s="104" t="s">
        <v>9095</v>
      </c>
      <c r="E1445" s="104" t="s">
        <v>9100</v>
      </c>
      <c r="F1445" s="103" t="s">
        <v>4678</v>
      </c>
      <c r="G1445" s="103" t="s">
        <v>4679</v>
      </c>
      <c r="H1445" s="103" t="s">
        <v>9097</v>
      </c>
      <c r="I1445" s="103" t="s">
        <v>9098</v>
      </c>
      <c r="J1445" s="104" t="s">
        <v>9099</v>
      </c>
      <c r="K1445" s="105"/>
      <c r="L1445" s="105"/>
    </row>
    <row r="1446">
      <c r="A1446" s="103" t="s">
        <v>4676</v>
      </c>
      <c r="B1446" s="103">
        <v>1.10011645E9</v>
      </c>
      <c r="C1446" s="105"/>
      <c r="D1446" s="104" t="s">
        <v>9101</v>
      </c>
      <c r="E1446" s="106"/>
      <c r="F1446" s="103" t="s">
        <v>4678</v>
      </c>
      <c r="G1446" s="103" t="s">
        <v>4679</v>
      </c>
      <c r="H1446" s="103" t="s">
        <v>9102</v>
      </c>
      <c r="I1446" s="103">
        <v>7433956.0</v>
      </c>
      <c r="J1446" s="104" t="s">
        <v>9103</v>
      </c>
      <c r="K1446" s="105"/>
      <c r="L1446" s="105"/>
    </row>
    <row r="1447">
      <c r="A1447" s="103" t="s">
        <v>4676</v>
      </c>
      <c r="B1447" s="103">
        <v>1.10011645001E11</v>
      </c>
      <c r="C1447" s="105"/>
      <c r="D1447" s="104" t="s">
        <v>9101</v>
      </c>
      <c r="E1447" s="106"/>
      <c r="F1447" s="103" t="s">
        <v>4678</v>
      </c>
      <c r="G1447" s="103" t="s">
        <v>4679</v>
      </c>
      <c r="H1447" s="103" t="s">
        <v>9102</v>
      </c>
      <c r="I1447" s="103">
        <v>7433956.0</v>
      </c>
      <c r="J1447" s="104" t="s">
        <v>9103</v>
      </c>
      <c r="K1447" s="105"/>
      <c r="L1447" s="105"/>
    </row>
    <row r="1448">
      <c r="A1448" s="103" t="s">
        <v>4676</v>
      </c>
      <c r="B1448" s="103">
        <v>1.100116569E9</v>
      </c>
      <c r="C1448" s="105"/>
      <c r="D1448" s="104" t="s">
        <v>9104</v>
      </c>
      <c r="E1448" s="106"/>
      <c r="F1448" s="103" t="s">
        <v>4678</v>
      </c>
      <c r="G1448" s="103" t="s">
        <v>4679</v>
      </c>
      <c r="H1448" s="103" t="s">
        <v>9105</v>
      </c>
      <c r="I1448" s="103">
        <v>2836728.0</v>
      </c>
      <c r="J1448" s="106"/>
      <c r="K1448" s="105"/>
      <c r="L1448" s="105"/>
    </row>
    <row r="1449">
      <c r="A1449" s="103" t="s">
        <v>4676</v>
      </c>
      <c r="B1449" s="103">
        <v>1.10011656901E11</v>
      </c>
      <c r="C1449" s="105"/>
      <c r="D1449" s="104" t="s">
        <v>9106</v>
      </c>
      <c r="E1449" s="106"/>
      <c r="F1449" s="103" t="s">
        <v>4678</v>
      </c>
      <c r="G1449" s="103" t="s">
        <v>4679</v>
      </c>
      <c r="H1449" s="103" t="s">
        <v>9107</v>
      </c>
      <c r="I1449" s="103">
        <v>2836728.0</v>
      </c>
      <c r="J1449" s="106"/>
      <c r="K1449" s="105"/>
      <c r="L1449" s="105"/>
    </row>
    <row r="1450">
      <c r="A1450" s="103" t="s">
        <v>4676</v>
      </c>
      <c r="B1450" s="103">
        <v>1.100116572E9</v>
      </c>
      <c r="C1450" s="105"/>
      <c r="D1450" s="104" t="s">
        <v>9108</v>
      </c>
      <c r="E1450" s="104" t="s">
        <v>9109</v>
      </c>
      <c r="F1450" s="103" t="s">
        <v>4678</v>
      </c>
      <c r="G1450" s="103" t="s">
        <v>4679</v>
      </c>
      <c r="H1450" s="103" t="s">
        <v>9110</v>
      </c>
      <c r="I1450" s="103" t="s">
        <v>9111</v>
      </c>
      <c r="J1450" s="104" t="s">
        <v>9112</v>
      </c>
      <c r="K1450" s="105"/>
      <c r="L1450" s="105"/>
    </row>
    <row r="1451">
      <c r="A1451" s="103" t="s">
        <v>4676</v>
      </c>
      <c r="B1451" s="103">
        <v>1.10011657201E11</v>
      </c>
      <c r="C1451" s="105"/>
      <c r="D1451" s="104" t="s">
        <v>9108</v>
      </c>
      <c r="E1451" s="104" t="s">
        <v>9113</v>
      </c>
      <c r="F1451" s="103" t="s">
        <v>4678</v>
      </c>
      <c r="G1451" s="103" t="s">
        <v>4679</v>
      </c>
      <c r="H1451" s="103" t="s">
        <v>9110</v>
      </c>
      <c r="I1451" s="103" t="s">
        <v>9111</v>
      </c>
      <c r="J1451" s="104" t="s">
        <v>9112</v>
      </c>
      <c r="K1451" s="105"/>
      <c r="L1451" s="105"/>
    </row>
    <row r="1452">
      <c r="A1452" s="103" t="s">
        <v>4676</v>
      </c>
      <c r="B1452" s="103">
        <v>1.10011657202E11</v>
      </c>
      <c r="C1452" s="105"/>
      <c r="D1452" s="104" t="s">
        <v>9108</v>
      </c>
      <c r="E1452" s="104" t="s">
        <v>9113</v>
      </c>
      <c r="F1452" s="103" t="s">
        <v>4678</v>
      </c>
      <c r="G1452" s="103" t="s">
        <v>4679</v>
      </c>
      <c r="H1452" s="103" t="s">
        <v>9114</v>
      </c>
      <c r="I1452" s="103" t="s">
        <v>9115</v>
      </c>
      <c r="J1452" s="104" t="s">
        <v>9112</v>
      </c>
      <c r="K1452" s="105"/>
      <c r="L1452" s="105"/>
    </row>
    <row r="1453">
      <c r="A1453" s="103" t="s">
        <v>4676</v>
      </c>
      <c r="B1453" s="103">
        <v>1.100116588E9</v>
      </c>
      <c r="C1453" s="105"/>
      <c r="D1453" s="104" t="s">
        <v>9116</v>
      </c>
      <c r="E1453" s="104" t="s">
        <v>9117</v>
      </c>
      <c r="F1453" s="103" t="s">
        <v>4678</v>
      </c>
      <c r="G1453" s="103" t="s">
        <v>4679</v>
      </c>
      <c r="H1453" s="103" t="s">
        <v>9118</v>
      </c>
      <c r="I1453" s="103" t="s">
        <v>9119</v>
      </c>
      <c r="J1453" s="104" t="s">
        <v>9120</v>
      </c>
      <c r="K1453" s="105"/>
      <c r="L1453" s="105"/>
    </row>
    <row r="1454">
      <c r="A1454" s="103" t="s">
        <v>4676</v>
      </c>
      <c r="B1454" s="103">
        <v>1.10011658801E11</v>
      </c>
      <c r="C1454" s="105"/>
      <c r="D1454" s="104" t="s">
        <v>9121</v>
      </c>
      <c r="E1454" s="104" t="s">
        <v>9117</v>
      </c>
      <c r="F1454" s="103" t="s">
        <v>4678</v>
      </c>
      <c r="G1454" s="103" t="s">
        <v>4679</v>
      </c>
      <c r="H1454" s="103" t="s">
        <v>9122</v>
      </c>
      <c r="I1454" s="103" t="s">
        <v>9119</v>
      </c>
      <c r="J1454" s="104" t="s">
        <v>9120</v>
      </c>
      <c r="K1454" s="105"/>
      <c r="L1454" s="105"/>
    </row>
    <row r="1455">
      <c r="A1455" s="103" t="s">
        <v>4676</v>
      </c>
      <c r="B1455" s="103">
        <v>1.10011666E9</v>
      </c>
      <c r="C1455" s="105"/>
      <c r="D1455" s="104" t="s">
        <v>9123</v>
      </c>
      <c r="E1455" s="104" t="s">
        <v>9124</v>
      </c>
      <c r="F1455" s="103" t="s">
        <v>4678</v>
      </c>
      <c r="G1455" s="103" t="s">
        <v>4679</v>
      </c>
      <c r="H1455" s="103" t="s">
        <v>9125</v>
      </c>
      <c r="I1455" s="103">
        <v>3.336025204E9</v>
      </c>
      <c r="J1455" s="104" t="s">
        <v>9126</v>
      </c>
      <c r="K1455" s="107" t="s">
        <v>9127</v>
      </c>
      <c r="L1455" s="105"/>
    </row>
    <row r="1456">
      <c r="A1456" s="103" t="s">
        <v>4676</v>
      </c>
      <c r="B1456" s="103">
        <v>1.10011666001E11</v>
      </c>
      <c r="C1456" s="105"/>
      <c r="D1456" s="104" t="s">
        <v>9123</v>
      </c>
      <c r="E1456" s="104" t="s">
        <v>9124</v>
      </c>
      <c r="F1456" s="103" t="s">
        <v>4678</v>
      </c>
      <c r="G1456" s="103" t="s">
        <v>4679</v>
      </c>
      <c r="H1456" s="103" t="s">
        <v>9125</v>
      </c>
      <c r="I1456" s="103" t="s">
        <v>9128</v>
      </c>
      <c r="J1456" s="104" t="s">
        <v>9129</v>
      </c>
      <c r="K1456" s="105"/>
      <c r="L1456" s="105"/>
    </row>
    <row r="1457">
      <c r="A1457" s="103" t="s">
        <v>4676</v>
      </c>
      <c r="B1457" s="103">
        <v>1.10011666103E11</v>
      </c>
      <c r="C1457" s="105"/>
      <c r="D1457" s="104" t="s">
        <v>9130</v>
      </c>
      <c r="E1457" s="104" t="s">
        <v>9131</v>
      </c>
      <c r="F1457" s="103" t="s">
        <v>4678</v>
      </c>
      <c r="G1457" s="103" t="s">
        <v>4679</v>
      </c>
      <c r="H1457" s="103" t="s">
        <v>9132</v>
      </c>
      <c r="I1457" s="103">
        <v>2094397.0</v>
      </c>
      <c r="J1457" s="104" t="s">
        <v>9133</v>
      </c>
      <c r="K1457" s="105"/>
      <c r="L1457" s="105"/>
    </row>
    <row r="1458">
      <c r="A1458" s="103" t="s">
        <v>4676</v>
      </c>
      <c r="B1458" s="103">
        <v>1.100116684E9</v>
      </c>
      <c r="C1458" s="105"/>
      <c r="D1458" s="104" t="s">
        <v>9134</v>
      </c>
      <c r="E1458" s="104" t="s">
        <v>9135</v>
      </c>
      <c r="F1458" s="103" t="s">
        <v>4678</v>
      </c>
      <c r="G1458" s="103" t="s">
        <v>4679</v>
      </c>
      <c r="H1458" s="103" t="s">
        <v>9136</v>
      </c>
      <c r="I1458" s="103" t="s">
        <v>9137</v>
      </c>
      <c r="J1458" s="104" t="s">
        <v>9138</v>
      </c>
      <c r="K1458" s="105"/>
      <c r="L1458" s="105"/>
    </row>
    <row r="1459">
      <c r="A1459" s="103" t="s">
        <v>4676</v>
      </c>
      <c r="B1459" s="103">
        <v>1.10011668401E11</v>
      </c>
      <c r="C1459" s="105"/>
      <c r="D1459" s="104" t="s">
        <v>9134</v>
      </c>
      <c r="E1459" s="104" t="s">
        <v>9135</v>
      </c>
      <c r="F1459" s="103" t="s">
        <v>4678</v>
      </c>
      <c r="G1459" s="103" t="s">
        <v>4679</v>
      </c>
      <c r="H1459" s="103" t="s">
        <v>9136</v>
      </c>
      <c r="I1459" s="103" t="s">
        <v>9137</v>
      </c>
      <c r="J1459" s="104" t="s">
        <v>9138</v>
      </c>
      <c r="K1459" s="105"/>
      <c r="L1459" s="105"/>
    </row>
    <row r="1460">
      <c r="A1460" s="103" t="s">
        <v>4676</v>
      </c>
      <c r="B1460" s="103">
        <v>1.100116754E9</v>
      </c>
      <c r="C1460" s="105"/>
      <c r="D1460" s="104" t="s">
        <v>9139</v>
      </c>
      <c r="E1460" s="104" t="s">
        <v>9140</v>
      </c>
      <c r="F1460" s="103" t="s">
        <v>4678</v>
      </c>
      <c r="G1460" s="103" t="s">
        <v>4679</v>
      </c>
      <c r="H1460" s="103" t="s">
        <v>9141</v>
      </c>
      <c r="I1460" s="103">
        <v>6176139.0</v>
      </c>
      <c r="J1460" s="104" t="s">
        <v>9142</v>
      </c>
      <c r="K1460" s="105"/>
      <c r="L1460" s="105"/>
    </row>
    <row r="1461">
      <c r="A1461" s="103" t="s">
        <v>4676</v>
      </c>
      <c r="B1461" s="103">
        <v>1.10011675401E11</v>
      </c>
      <c r="C1461" s="105"/>
      <c r="D1461" s="104" t="s">
        <v>9139</v>
      </c>
      <c r="E1461" s="104" t="s">
        <v>9143</v>
      </c>
      <c r="F1461" s="103" t="s">
        <v>4678</v>
      </c>
      <c r="G1461" s="103" t="s">
        <v>4679</v>
      </c>
      <c r="H1461" s="103" t="s">
        <v>9141</v>
      </c>
      <c r="I1461" s="103">
        <v>6176139.0</v>
      </c>
      <c r="J1461" s="104" t="s">
        <v>9142</v>
      </c>
      <c r="K1461" s="105"/>
      <c r="L1461" s="105"/>
    </row>
    <row r="1462">
      <c r="A1462" s="103" t="s">
        <v>4676</v>
      </c>
      <c r="B1462" s="103">
        <v>1.100116765E9</v>
      </c>
      <c r="C1462" s="105"/>
      <c r="D1462" s="104" t="s">
        <v>9144</v>
      </c>
      <c r="E1462" s="104" t="s">
        <v>9145</v>
      </c>
      <c r="F1462" s="103" t="s">
        <v>4678</v>
      </c>
      <c r="G1462" s="103" t="s">
        <v>4679</v>
      </c>
      <c r="H1462" s="103" t="s">
        <v>9146</v>
      </c>
      <c r="I1462" s="103" t="s">
        <v>9147</v>
      </c>
      <c r="J1462" s="104" t="s">
        <v>9148</v>
      </c>
      <c r="K1462" s="105"/>
      <c r="L1462" s="105"/>
    </row>
    <row r="1463">
      <c r="A1463" s="103" t="s">
        <v>4676</v>
      </c>
      <c r="B1463" s="103">
        <v>1.10011676501E11</v>
      </c>
      <c r="C1463" s="105"/>
      <c r="D1463" s="104" t="s">
        <v>9144</v>
      </c>
      <c r="E1463" s="104" t="s">
        <v>9145</v>
      </c>
      <c r="F1463" s="103" t="s">
        <v>4678</v>
      </c>
      <c r="G1463" s="103" t="s">
        <v>4679</v>
      </c>
      <c r="H1463" s="103" t="s">
        <v>9149</v>
      </c>
      <c r="I1463" s="103" t="s">
        <v>9147</v>
      </c>
      <c r="J1463" s="104" t="s">
        <v>9148</v>
      </c>
      <c r="K1463" s="105"/>
      <c r="L1463" s="105"/>
    </row>
    <row r="1464">
      <c r="A1464" s="103" t="s">
        <v>4676</v>
      </c>
      <c r="B1464" s="103">
        <v>1.100116767E9</v>
      </c>
      <c r="C1464" s="105"/>
      <c r="D1464" s="104" t="s">
        <v>9150</v>
      </c>
      <c r="E1464" s="104" t="s">
        <v>9151</v>
      </c>
      <c r="F1464" s="103" t="s">
        <v>4678</v>
      </c>
      <c r="G1464" s="103" t="s">
        <v>4679</v>
      </c>
      <c r="H1464" s="103" t="s">
        <v>9152</v>
      </c>
      <c r="I1464" s="103">
        <v>3.123864505E9</v>
      </c>
      <c r="J1464" s="104" t="s">
        <v>9153</v>
      </c>
      <c r="K1464" s="107" t="s">
        <v>9154</v>
      </c>
      <c r="L1464" s="105"/>
    </row>
    <row r="1465">
      <c r="A1465" s="103" t="s">
        <v>4676</v>
      </c>
      <c r="B1465" s="103">
        <v>1.10011676701E11</v>
      </c>
      <c r="C1465" s="105"/>
      <c r="D1465" s="104" t="s">
        <v>9150</v>
      </c>
      <c r="E1465" s="104" t="s">
        <v>9151</v>
      </c>
      <c r="F1465" s="103" t="s">
        <v>4678</v>
      </c>
      <c r="G1465" s="103" t="s">
        <v>4679</v>
      </c>
      <c r="H1465" s="103" t="s">
        <v>9155</v>
      </c>
      <c r="I1465" s="103">
        <v>3000032.0</v>
      </c>
      <c r="J1465" s="104" t="s">
        <v>9153</v>
      </c>
      <c r="K1465" s="105"/>
      <c r="L1465" s="105"/>
    </row>
    <row r="1466">
      <c r="A1466" s="103" t="s">
        <v>4676</v>
      </c>
      <c r="B1466" s="103">
        <v>1.100116939E9</v>
      </c>
      <c r="C1466" s="105"/>
      <c r="D1466" s="104" t="s">
        <v>9156</v>
      </c>
      <c r="E1466" s="104" t="s">
        <v>9157</v>
      </c>
      <c r="F1466" s="103" t="s">
        <v>4678</v>
      </c>
      <c r="G1466" s="103" t="s">
        <v>4679</v>
      </c>
      <c r="H1466" s="103" t="s">
        <v>9158</v>
      </c>
      <c r="I1466" s="103">
        <v>5895420.0</v>
      </c>
      <c r="J1466" s="104" t="s">
        <v>9159</v>
      </c>
      <c r="K1466" s="107" t="s">
        <v>9160</v>
      </c>
      <c r="L1466" s="105"/>
    </row>
    <row r="1467">
      <c r="A1467" s="103" t="s">
        <v>4676</v>
      </c>
      <c r="B1467" s="103">
        <v>1.10011693903E11</v>
      </c>
      <c r="C1467" s="105"/>
      <c r="D1467" s="104" t="s">
        <v>9161</v>
      </c>
      <c r="E1467" s="104" t="s">
        <v>9162</v>
      </c>
      <c r="F1467" s="103" t="s">
        <v>4678</v>
      </c>
      <c r="G1467" s="103" t="s">
        <v>4679</v>
      </c>
      <c r="H1467" s="103" t="s">
        <v>9163</v>
      </c>
      <c r="I1467" s="103">
        <v>5895420.0</v>
      </c>
      <c r="J1467" s="104" t="s">
        <v>9159</v>
      </c>
      <c r="K1467" s="105"/>
      <c r="L1467" s="105"/>
    </row>
    <row r="1468">
      <c r="A1468" s="103" t="s">
        <v>4676</v>
      </c>
      <c r="B1468" s="103">
        <v>1.100116971E9</v>
      </c>
      <c r="C1468" s="105"/>
      <c r="D1468" s="104" t="s">
        <v>9164</v>
      </c>
      <c r="E1468" s="104" t="s">
        <v>9165</v>
      </c>
      <c r="F1468" s="103" t="s">
        <v>4678</v>
      </c>
      <c r="G1468" s="103" t="s">
        <v>4679</v>
      </c>
      <c r="H1468" s="103" t="s">
        <v>9166</v>
      </c>
      <c r="I1468" s="103">
        <v>6217254.0</v>
      </c>
      <c r="J1468" s="104" t="s">
        <v>9167</v>
      </c>
      <c r="K1468" s="105"/>
      <c r="L1468" s="105"/>
    </row>
    <row r="1469">
      <c r="A1469" s="103" t="s">
        <v>4676</v>
      </c>
      <c r="B1469" s="103">
        <v>1.10011697101E11</v>
      </c>
      <c r="C1469" s="105"/>
      <c r="D1469" s="104" t="s">
        <v>9164</v>
      </c>
      <c r="E1469" s="104" t="s">
        <v>9165</v>
      </c>
      <c r="F1469" s="103" t="s">
        <v>4678</v>
      </c>
      <c r="G1469" s="103" t="s">
        <v>4679</v>
      </c>
      <c r="H1469" s="103" t="s">
        <v>9168</v>
      </c>
      <c r="I1469" s="103">
        <v>6217254.0</v>
      </c>
      <c r="J1469" s="104" t="s">
        <v>9169</v>
      </c>
      <c r="K1469" s="105"/>
      <c r="L1469" s="105"/>
    </row>
    <row r="1470">
      <c r="A1470" s="103" t="s">
        <v>4676</v>
      </c>
      <c r="B1470" s="103">
        <v>1.100116994E9</v>
      </c>
      <c r="C1470" s="105"/>
      <c r="D1470" s="104" t="s">
        <v>9170</v>
      </c>
      <c r="E1470" s="104" t="s">
        <v>9171</v>
      </c>
      <c r="F1470" s="103" t="s">
        <v>4678</v>
      </c>
      <c r="G1470" s="103" t="s">
        <v>4679</v>
      </c>
      <c r="H1470" s="103" t="s">
        <v>9172</v>
      </c>
      <c r="I1470" s="103" t="s">
        <v>9173</v>
      </c>
      <c r="J1470" s="104" t="s">
        <v>9174</v>
      </c>
      <c r="K1470" s="105"/>
      <c r="L1470" s="105"/>
    </row>
    <row r="1471">
      <c r="A1471" s="103" t="s">
        <v>4676</v>
      </c>
      <c r="B1471" s="103">
        <v>1.10011699401E11</v>
      </c>
      <c r="C1471" s="105"/>
      <c r="D1471" s="104" t="s">
        <v>9170</v>
      </c>
      <c r="E1471" s="104" t="s">
        <v>9171</v>
      </c>
      <c r="F1471" s="103" t="s">
        <v>4678</v>
      </c>
      <c r="G1471" s="103" t="s">
        <v>4679</v>
      </c>
      <c r="H1471" s="103" t="s">
        <v>9172</v>
      </c>
      <c r="I1471" s="103" t="s">
        <v>9173</v>
      </c>
      <c r="J1471" s="104" t="s">
        <v>9174</v>
      </c>
      <c r="K1471" s="105"/>
      <c r="L1471" s="105"/>
    </row>
    <row r="1472">
      <c r="A1472" s="103" t="s">
        <v>4676</v>
      </c>
      <c r="B1472" s="103">
        <v>1.100117087E9</v>
      </c>
      <c r="C1472" s="105"/>
      <c r="D1472" s="104" t="s">
        <v>9175</v>
      </c>
      <c r="E1472" s="104" t="s">
        <v>9176</v>
      </c>
      <c r="F1472" s="103" t="s">
        <v>4678</v>
      </c>
      <c r="G1472" s="103" t="s">
        <v>4679</v>
      </c>
      <c r="H1472" s="103" t="s">
        <v>9177</v>
      </c>
      <c r="I1472" s="103">
        <v>2726484.0</v>
      </c>
      <c r="J1472" s="104" t="s">
        <v>9178</v>
      </c>
      <c r="K1472" s="105"/>
      <c r="L1472" s="105"/>
    </row>
    <row r="1473">
      <c r="A1473" s="103" t="s">
        <v>4676</v>
      </c>
      <c r="B1473" s="103">
        <v>1.10011708701E11</v>
      </c>
      <c r="C1473" s="105"/>
      <c r="D1473" s="104" t="s">
        <v>9175</v>
      </c>
      <c r="E1473" s="104" t="s">
        <v>9176</v>
      </c>
      <c r="F1473" s="103" t="s">
        <v>4678</v>
      </c>
      <c r="G1473" s="103" t="s">
        <v>4679</v>
      </c>
      <c r="H1473" s="103" t="s">
        <v>9179</v>
      </c>
      <c r="I1473" s="103">
        <v>2726484.0</v>
      </c>
      <c r="J1473" s="104" t="s">
        <v>9178</v>
      </c>
      <c r="K1473" s="105"/>
      <c r="L1473" s="105"/>
    </row>
    <row r="1474">
      <c r="A1474" s="103" t="s">
        <v>4676</v>
      </c>
      <c r="B1474" s="103">
        <v>1.10011708704E11</v>
      </c>
      <c r="C1474" s="105"/>
      <c r="D1474" s="104" t="s">
        <v>9180</v>
      </c>
      <c r="E1474" s="104" t="s">
        <v>9176</v>
      </c>
      <c r="F1474" s="103" t="s">
        <v>4678</v>
      </c>
      <c r="G1474" s="103" t="s">
        <v>4679</v>
      </c>
      <c r="H1474" s="103" t="s">
        <v>9181</v>
      </c>
      <c r="I1474" s="103">
        <v>2726484.0</v>
      </c>
      <c r="J1474" s="104" t="s">
        <v>9178</v>
      </c>
      <c r="K1474" s="105"/>
      <c r="L1474" s="105"/>
    </row>
    <row r="1475">
      <c r="A1475" s="103" t="s">
        <v>4676</v>
      </c>
      <c r="B1475" s="103">
        <v>1.10011708705E11</v>
      </c>
      <c r="C1475" s="105"/>
      <c r="D1475" s="104" t="s">
        <v>9182</v>
      </c>
      <c r="E1475" s="104" t="s">
        <v>9176</v>
      </c>
      <c r="F1475" s="103" t="s">
        <v>4678</v>
      </c>
      <c r="G1475" s="103" t="s">
        <v>4679</v>
      </c>
      <c r="H1475" s="103" t="s">
        <v>9183</v>
      </c>
      <c r="I1475" s="103" t="s">
        <v>9184</v>
      </c>
      <c r="J1475" s="104" t="s">
        <v>9185</v>
      </c>
      <c r="K1475" s="105"/>
      <c r="L1475" s="105"/>
    </row>
    <row r="1476">
      <c r="A1476" s="103" t="s">
        <v>4676</v>
      </c>
      <c r="B1476" s="103">
        <v>1.10011708706E11</v>
      </c>
      <c r="C1476" s="105"/>
      <c r="D1476" s="104" t="s">
        <v>9186</v>
      </c>
      <c r="E1476" s="104" t="s">
        <v>9176</v>
      </c>
      <c r="F1476" s="103" t="s">
        <v>4678</v>
      </c>
      <c r="G1476" s="103" t="s">
        <v>4679</v>
      </c>
      <c r="H1476" s="103" t="s">
        <v>9187</v>
      </c>
      <c r="I1476" s="103" t="s">
        <v>9188</v>
      </c>
      <c r="J1476" s="104" t="s">
        <v>9185</v>
      </c>
      <c r="K1476" s="105"/>
      <c r="L1476" s="105"/>
    </row>
    <row r="1477">
      <c r="A1477" s="103" t="s">
        <v>4676</v>
      </c>
      <c r="B1477" s="103">
        <v>1.10011708708E11</v>
      </c>
      <c r="C1477" s="105"/>
      <c r="D1477" s="104" t="s">
        <v>9189</v>
      </c>
      <c r="E1477" s="104" t="s">
        <v>9176</v>
      </c>
      <c r="F1477" s="103" t="s">
        <v>4678</v>
      </c>
      <c r="G1477" s="103" t="s">
        <v>4679</v>
      </c>
      <c r="H1477" s="103" t="s">
        <v>9190</v>
      </c>
      <c r="I1477" s="103">
        <v>3.174051184E9</v>
      </c>
      <c r="J1477" s="104" t="s">
        <v>9178</v>
      </c>
      <c r="K1477" s="105"/>
      <c r="L1477" s="105"/>
    </row>
    <row r="1478">
      <c r="A1478" s="103" t="s">
        <v>4676</v>
      </c>
      <c r="B1478" s="103">
        <v>1.100117139E9</v>
      </c>
      <c r="C1478" s="105"/>
      <c r="D1478" s="104" t="s">
        <v>9191</v>
      </c>
      <c r="E1478" s="104" t="s">
        <v>9192</v>
      </c>
      <c r="F1478" s="103" t="s">
        <v>4678</v>
      </c>
      <c r="G1478" s="103" t="s">
        <v>4679</v>
      </c>
      <c r="H1478" s="103" t="s">
        <v>9193</v>
      </c>
      <c r="I1478" s="103">
        <v>2836559.0</v>
      </c>
      <c r="J1478" s="104" t="s">
        <v>9194</v>
      </c>
      <c r="K1478" s="105"/>
      <c r="L1478" s="105"/>
    </row>
    <row r="1479">
      <c r="A1479" s="103" t="s">
        <v>4676</v>
      </c>
      <c r="B1479" s="103">
        <v>1.10011713901E11</v>
      </c>
      <c r="C1479" s="105"/>
      <c r="D1479" s="104" t="s">
        <v>9195</v>
      </c>
      <c r="E1479" s="104" t="s">
        <v>9192</v>
      </c>
      <c r="F1479" s="103" t="s">
        <v>4678</v>
      </c>
      <c r="G1479" s="103" t="s">
        <v>4679</v>
      </c>
      <c r="H1479" s="103" t="s">
        <v>9196</v>
      </c>
      <c r="I1479" s="103">
        <v>2836569.0</v>
      </c>
      <c r="J1479" s="104" t="s">
        <v>9194</v>
      </c>
      <c r="K1479" s="105"/>
      <c r="L1479" s="105"/>
    </row>
    <row r="1480">
      <c r="A1480" s="103" t="s">
        <v>4676</v>
      </c>
      <c r="B1480" s="103">
        <v>1.10011713902E11</v>
      </c>
      <c r="C1480" s="105"/>
      <c r="D1480" s="104" t="s">
        <v>9191</v>
      </c>
      <c r="E1480" s="104" t="s">
        <v>9192</v>
      </c>
      <c r="F1480" s="103" t="s">
        <v>4678</v>
      </c>
      <c r="G1480" s="103" t="s">
        <v>4679</v>
      </c>
      <c r="H1480" s="103" t="s">
        <v>9197</v>
      </c>
      <c r="I1480" s="103">
        <v>2134961.0</v>
      </c>
      <c r="J1480" s="104" t="s">
        <v>9194</v>
      </c>
      <c r="K1480" s="105"/>
      <c r="L1480" s="105"/>
    </row>
    <row r="1481">
      <c r="A1481" s="103" t="s">
        <v>4676</v>
      </c>
      <c r="B1481" s="103">
        <v>1.100117167E9</v>
      </c>
      <c r="C1481" s="105"/>
      <c r="D1481" s="104" t="s">
        <v>9198</v>
      </c>
      <c r="E1481" s="104" t="s">
        <v>9199</v>
      </c>
      <c r="F1481" s="103" t="s">
        <v>4678</v>
      </c>
      <c r="G1481" s="103" t="s">
        <v>4679</v>
      </c>
      <c r="H1481" s="103" t="s">
        <v>9200</v>
      </c>
      <c r="I1481" s="103" t="s">
        <v>9201</v>
      </c>
      <c r="J1481" s="104" t="s">
        <v>9202</v>
      </c>
      <c r="K1481" s="105"/>
      <c r="L1481" s="105"/>
    </row>
    <row r="1482">
      <c r="A1482" s="103" t="s">
        <v>4676</v>
      </c>
      <c r="B1482" s="103">
        <v>1.10011716701E11</v>
      </c>
      <c r="C1482" s="105"/>
      <c r="D1482" s="104" t="s">
        <v>9198</v>
      </c>
      <c r="E1482" s="104" t="s">
        <v>9199</v>
      </c>
      <c r="F1482" s="103" t="s">
        <v>4678</v>
      </c>
      <c r="G1482" s="103" t="s">
        <v>4679</v>
      </c>
      <c r="H1482" s="103" t="s">
        <v>9203</v>
      </c>
      <c r="I1482" s="103" t="s">
        <v>9204</v>
      </c>
      <c r="J1482" s="104" t="s">
        <v>9202</v>
      </c>
      <c r="K1482" s="105"/>
      <c r="L1482" s="105"/>
    </row>
    <row r="1483">
      <c r="A1483" s="103" t="s">
        <v>4676</v>
      </c>
      <c r="B1483" s="103">
        <v>1.100117172E9</v>
      </c>
      <c r="C1483" s="105"/>
      <c r="D1483" s="104" t="s">
        <v>9205</v>
      </c>
      <c r="E1483" s="104" t="s">
        <v>9206</v>
      </c>
      <c r="F1483" s="103" t="s">
        <v>4678</v>
      </c>
      <c r="G1483" s="103" t="s">
        <v>4679</v>
      </c>
      <c r="H1483" s="103" t="s">
        <v>9207</v>
      </c>
      <c r="I1483" s="103" t="s">
        <v>9208</v>
      </c>
      <c r="J1483" s="104" t="s">
        <v>9209</v>
      </c>
      <c r="K1483" s="105"/>
      <c r="L1483" s="105"/>
    </row>
    <row r="1484">
      <c r="A1484" s="103" t="s">
        <v>4676</v>
      </c>
      <c r="B1484" s="103">
        <v>1.10011717201E11</v>
      </c>
      <c r="C1484" s="105"/>
      <c r="D1484" s="104" t="s">
        <v>9210</v>
      </c>
      <c r="E1484" s="104" t="s">
        <v>9206</v>
      </c>
      <c r="F1484" s="103" t="s">
        <v>4678</v>
      </c>
      <c r="G1484" s="103" t="s">
        <v>4679</v>
      </c>
      <c r="H1484" s="103" t="s">
        <v>9207</v>
      </c>
      <c r="I1484" s="103" t="s">
        <v>9208</v>
      </c>
      <c r="J1484" s="104" t="s">
        <v>9209</v>
      </c>
      <c r="K1484" s="105"/>
      <c r="L1484" s="105"/>
    </row>
    <row r="1485">
      <c r="A1485" s="103" t="s">
        <v>4676</v>
      </c>
      <c r="B1485" s="103">
        <v>1.100117197E9</v>
      </c>
      <c r="C1485" s="105"/>
      <c r="D1485" s="104" t="s">
        <v>9211</v>
      </c>
      <c r="E1485" s="104" t="s">
        <v>9212</v>
      </c>
      <c r="F1485" s="103" t="s">
        <v>4678</v>
      </c>
      <c r="G1485" s="103" t="s">
        <v>4679</v>
      </c>
      <c r="H1485" s="103" t="s">
        <v>9213</v>
      </c>
      <c r="I1485" s="103">
        <v>2770977.0</v>
      </c>
      <c r="J1485" s="104" t="s">
        <v>9214</v>
      </c>
      <c r="K1485" s="105"/>
      <c r="L1485" s="105"/>
    </row>
    <row r="1486">
      <c r="A1486" s="103" t="s">
        <v>4676</v>
      </c>
      <c r="B1486" s="103">
        <v>1.10011719701E11</v>
      </c>
      <c r="C1486" s="105"/>
      <c r="D1486" s="104" t="s">
        <v>9211</v>
      </c>
      <c r="E1486" s="104" t="s">
        <v>9212</v>
      </c>
      <c r="F1486" s="103" t="s">
        <v>4678</v>
      </c>
      <c r="G1486" s="103" t="s">
        <v>4679</v>
      </c>
      <c r="H1486" s="103" t="s">
        <v>9213</v>
      </c>
      <c r="I1486" s="103">
        <v>2770977.0</v>
      </c>
      <c r="J1486" s="104" t="s">
        <v>9214</v>
      </c>
      <c r="K1486" s="105"/>
      <c r="L1486" s="105"/>
    </row>
    <row r="1487">
      <c r="A1487" s="103" t="s">
        <v>4676</v>
      </c>
      <c r="B1487" s="103">
        <v>1.100117234E9</v>
      </c>
      <c r="C1487" s="105"/>
      <c r="D1487" s="104" t="s">
        <v>9215</v>
      </c>
      <c r="E1487" s="104" t="s">
        <v>9216</v>
      </c>
      <c r="F1487" s="103" t="s">
        <v>4678</v>
      </c>
      <c r="G1487" s="103" t="s">
        <v>4679</v>
      </c>
      <c r="H1487" s="103" t="s">
        <v>9217</v>
      </c>
      <c r="I1487" s="103">
        <v>3.10777582E9</v>
      </c>
      <c r="J1487" s="104" t="s">
        <v>9218</v>
      </c>
      <c r="K1487" s="107" t="s">
        <v>9219</v>
      </c>
      <c r="L1487" s="105"/>
    </row>
    <row r="1488">
      <c r="A1488" s="103" t="s">
        <v>4676</v>
      </c>
      <c r="B1488" s="103">
        <v>1.10011723401E11</v>
      </c>
      <c r="C1488" s="105"/>
      <c r="D1488" s="104" t="s">
        <v>9220</v>
      </c>
      <c r="E1488" s="104" t="s">
        <v>9221</v>
      </c>
      <c r="F1488" s="103" t="s">
        <v>4678</v>
      </c>
      <c r="G1488" s="103" t="s">
        <v>4679</v>
      </c>
      <c r="H1488" s="103" t="s">
        <v>9222</v>
      </c>
      <c r="I1488" s="103">
        <v>3.10777582E9</v>
      </c>
      <c r="J1488" s="104" t="s">
        <v>9218</v>
      </c>
      <c r="K1488" s="105"/>
      <c r="L1488" s="105"/>
    </row>
    <row r="1489">
      <c r="A1489" s="103" t="s">
        <v>4676</v>
      </c>
      <c r="B1489" s="103">
        <v>1.100117238E9</v>
      </c>
      <c r="C1489" s="105"/>
      <c r="D1489" s="104" t="s">
        <v>9223</v>
      </c>
      <c r="E1489" s="104" t="s">
        <v>9224</v>
      </c>
      <c r="F1489" s="103" t="s">
        <v>4678</v>
      </c>
      <c r="G1489" s="103" t="s">
        <v>4679</v>
      </c>
      <c r="H1489" s="103" t="s">
        <v>9225</v>
      </c>
      <c r="I1489" s="103" t="s">
        <v>9226</v>
      </c>
      <c r="J1489" s="104" t="s">
        <v>9227</v>
      </c>
      <c r="K1489" s="105"/>
      <c r="L1489" s="105"/>
    </row>
    <row r="1490">
      <c r="A1490" s="103" t="s">
        <v>4676</v>
      </c>
      <c r="B1490" s="103">
        <v>1.10011723801E11</v>
      </c>
      <c r="C1490" s="105"/>
      <c r="D1490" s="104" t="s">
        <v>9228</v>
      </c>
      <c r="E1490" s="104" t="s">
        <v>9224</v>
      </c>
      <c r="F1490" s="103" t="s">
        <v>4678</v>
      </c>
      <c r="G1490" s="103" t="s">
        <v>4679</v>
      </c>
      <c r="H1490" s="103" t="s">
        <v>9229</v>
      </c>
      <c r="I1490" s="103" t="s">
        <v>9226</v>
      </c>
      <c r="J1490" s="104" t="s">
        <v>9230</v>
      </c>
      <c r="K1490" s="105"/>
      <c r="L1490" s="105"/>
    </row>
    <row r="1491">
      <c r="A1491" s="103" t="s">
        <v>4676</v>
      </c>
      <c r="B1491" s="103">
        <v>1.100117244E9</v>
      </c>
      <c r="C1491" s="105"/>
      <c r="D1491" s="104" t="s">
        <v>9231</v>
      </c>
      <c r="E1491" s="104" t="s">
        <v>9232</v>
      </c>
      <c r="F1491" s="103" t="s">
        <v>4678</v>
      </c>
      <c r="G1491" s="103" t="s">
        <v>4679</v>
      </c>
      <c r="H1491" s="103" t="s">
        <v>9233</v>
      </c>
      <c r="I1491" s="103" t="s">
        <v>9234</v>
      </c>
      <c r="J1491" s="104" t="s">
        <v>9235</v>
      </c>
      <c r="K1491" s="105"/>
      <c r="L1491" s="105"/>
    </row>
    <row r="1492">
      <c r="A1492" s="103" t="s">
        <v>4676</v>
      </c>
      <c r="B1492" s="103">
        <v>1.10011724401E11</v>
      </c>
      <c r="C1492" s="105"/>
      <c r="D1492" s="104" t="s">
        <v>9231</v>
      </c>
      <c r="E1492" s="104" t="s">
        <v>9232</v>
      </c>
      <c r="F1492" s="103" t="s">
        <v>4678</v>
      </c>
      <c r="G1492" s="103" t="s">
        <v>4679</v>
      </c>
      <c r="H1492" s="103" t="s">
        <v>9236</v>
      </c>
      <c r="I1492" s="103" t="s">
        <v>9234</v>
      </c>
      <c r="J1492" s="104" t="s">
        <v>9235</v>
      </c>
      <c r="K1492" s="105"/>
      <c r="L1492" s="105"/>
    </row>
    <row r="1493">
      <c r="A1493" s="103" t="s">
        <v>4676</v>
      </c>
      <c r="B1493" s="103">
        <v>1.10011725E9</v>
      </c>
      <c r="C1493" s="105"/>
      <c r="D1493" s="104" t="s">
        <v>9237</v>
      </c>
      <c r="E1493" s="104" t="s">
        <v>9238</v>
      </c>
      <c r="F1493" s="103" t="s">
        <v>4678</v>
      </c>
      <c r="G1493" s="103" t="s">
        <v>4679</v>
      </c>
      <c r="H1493" s="103" t="s">
        <v>9239</v>
      </c>
      <c r="I1493" s="103">
        <v>3.225996468E9</v>
      </c>
      <c r="J1493" s="104" t="s">
        <v>9240</v>
      </c>
      <c r="K1493" s="105"/>
      <c r="L1493" s="105"/>
    </row>
    <row r="1494">
      <c r="A1494" s="103" t="s">
        <v>4676</v>
      </c>
      <c r="B1494" s="103">
        <v>1.10011725001E11</v>
      </c>
      <c r="C1494" s="105"/>
      <c r="D1494" s="104" t="s">
        <v>9241</v>
      </c>
      <c r="E1494" s="104" t="s">
        <v>9238</v>
      </c>
      <c r="F1494" s="103" t="s">
        <v>4678</v>
      </c>
      <c r="G1494" s="103" t="s">
        <v>4679</v>
      </c>
      <c r="H1494" s="103" t="s">
        <v>9242</v>
      </c>
      <c r="I1494" s="103">
        <v>3.225996468E9</v>
      </c>
      <c r="J1494" s="104" t="s">
        <v>9240</v>
      </c>
      <c r="K1494" s="105"/>
      <c r="L1494" s="105"/>
    </row>
    <row r="1495">
      <c r="A1495" s="103" t="s">
        <v>4676</v>
      </c>
      <c r="B1495" s="103">
        <v>1.100117255E9</v>
      </c>
      <c r="C1495" s="105"/>
      <c r="D1495" s="104" t="s">
        <v>9243</v>
      </c>
      <c r="E1495" s="104" t="s">
        <v>9244</v>
      </c>
      <c r="F1495" s="103" t="s">
        <v>4678</v>
      </c>
      <c r="G1495" s="103" t="s">
        <v>4679</v>
      </c>
      <c r="H1495" s="103" t="s">
        <v>9245</v>
      </c>
      <c r="I1495" s="103" t="s">
        <v>9246</v>
      </c>
      <c r="J1495" s="104" t="s">
        <v>9247</v>
      </c>
      <c r="K1495" s="107" t="s">
        <v>9248</v>
      </c>
      <c r="L1495" s="105"/>
    </row>
    <row r="1496">
      <c r="A1496" s="103" t="s">
        <v>4676</v>
      </c>
      <c r="B1496" s="103">
        <v>1.10011725501E11</v>
      </c>
      <c r="C1496" s="105"/>
      <c r="D1496" s="104" t="s">
        <v>9249</v>
      </c>
      <c r="E1496" s="104" t="s">
        <v>9250</v>
      </c>
      <c r="F1496" s="103" t="s">
        <v>4678</v>
      </c>
      <c r="G1496" s="103" t="s">
        <v>4679</v>
      </c>
      <c r="H1496" s="103" t="s">
        <v>9251</v>
      </c>
      <c r="I1496" s="103" t="s">
        <v>9252</v>
      </c>
      <c r="J1496" s="104" t="s">
        <v>9247</v>
      </c>
      <c r="K1496" s="105"/>
      <c r="L1496" s="105"/>
    </row>
    <row r="1497">
      <c r="A1497" s="103" t="s">
        <v>4676</v>
      </c>
      <c r="B1497" s="103">
        <v>1.10011725503E11</v>
      </c>
      <c r="C1497" s="105"/>
      <c r="D1497" s="104" t="s">
        <v>9253</v>
      </c>
      <c r="E1497" s="104" t="s">
        <v>9250</v>
      </c>
      <c r="F1497" s="103" t="s">
        <v>4678</v>
      </c>
      <c r="G1497" s="103" t="s">
        <v>4679</v>
      </c>
      <c r="H1497" s="103" t="s">
        <v>9254</v>
      </c>
      <c r="I1497" s="103">
        <v>3.175759331E9</v>
      </c>
      <c r="J1497" s="104" t="s">
        <v>9247</v>
      </c>
      <c r="K1497" s="105"/>
      <c r="L1497" s="105"/>
    </row>
    <row r="1498">
      <c r="A1498" s="103" t="s">
        <v>4676</v>
      </c>
      <c r="B1498" s="103">
        <v>1.100117261E9</v>
      </c>
      <c r="C1498" s="105"/>
      <c r="D1498" s="104" t="s">
        <v>9255</v>
      </c>
      <c r="E1498" s="104" t="s">
        <v>9256</v>
      </c>
      <c r="F1498" s="103" t="s">
        <v>4678</v>
      </c>
      <c r="G1498" s="103" t="s">
        <v>4679</v>
      </c>
      <c r="H1498" s="103" t="s">
        <v>9257</v>
      </c>
      <c r="I1498" s="103" t="s">
        <v>9258</v>
      </c>
      <c r="J1498" s="104" t="s">
        <v>9259</v>
      </c>
      <c r="K1498" s="103" t="s">
        <v>9260</v>
      </c>
      <c r="L1498" s="105"/>
    </row>
    <row r="1499">
      <c r="A1499" s="103" t="s">
        <v>4676</v>
      </c>
      <c r="B1499" s="103">
        <v>1.10011726101E11</v>
      </c>
      <c r="C1499" s="105"/>
      <c r="D1499" s="104" t="s">
        <v>9261</v>
      </c>
      <c r="E1499" s="104" t="s">
        <v>9262</v>
      </c>
      <c r="F1499" s="103" t="s">
        <v>4678</v>
      </c>
      <c r="G1499" s="103" t="s">
        <v>4679</v>
      </c>
      <c r="H1499" s="103" t="s">
        <v>9257</v>
      </c>
      <c r="I1499" s="103" t="s">
        <v>9258</v>
      </c>
      <c r="J1499" s="104" t="s">
        <v>9259</v>
      </c>
      <c r="K1499" s="105"/>
      <c r="L1499" s="105"/>
    </row>
    <row r="1500">
      <c r="A1500" s="103" t="s">
        <v>4676</v>
      </c>
      <c r="B1500" s="103">
        <v>1.100117277E9</v>
      </c>
      <c r="C1500" s="105"/>
      <c r="D1500" s="104" t="s">
        <v>9263</v>
      </c>
      <c r="E1500" s="104" t="s">
        <v>9264</v>
      </c>
      <c r="F1500" s="103" t="s">
        <v>4678</v>
      </c>
      <c r="G1500" s="103" t="s">
        <v>4679</v>
      </c>
      <c r="H1500" s="103" t="s">
        <v>9265</v>
      </c>
      <c r="I1500" s="103">
        <v>6348617.0</v>
      </c>
      <c r="J1500" s="104" t="s">
        <v>9266</v>
      </c>
      <c r="K1500" s="107" t="s">
        <v>9267</v>
      </c>
      <c r="L1500" s="105"/>
    </row>
    <row r="1501">
      <c r="A1501" s="103" t="s">
        <v>4676</v>
      </c>
      <c r="B1501" s="103">
        <v>1.10011727701E11</v>
      </c>
      <c r="C1501" s="105"/>
      <c r="D1501" s="104" t="s">
        <v>9268</v>
      </c>
      <c r="E1501" s="104" t="s">
        <v>9264</v>
      </c>
      <c r="F1501" s="103" t="s">
        <v>4678</v>
      </c>
      <c r="G1501" s="103" t="s">
        <v>4679</v>
      </c>
      <c r="H1501" s="103" t="s">
        <v>9265</v>
      </c>
      <c r="I1501" s="103">
        <v>6348617.0</v>
      </c>
      <c r="J1501" s="104" t="s">
        <v>9266</v>
      </c>
      <c r="K1501" s="105"/>
      <c r="L1501" s="105"/>
    </row>
    <row r="1502">
      <c r="A1502" s="103" t="s">
        <v>4676</v>
      </c>
      <c r="B1502" s="103">
        <v>1.10011727702E11</v>
      </c>
      <c r="C1502" s="105"/>
      <c r="D1502" s="104" t="s">
        <v>9269</v>
      </c>
      <c r="E1502" s="104" t="s">
        <v>9264</v>
      </c>
      <c r="F1502" s="103" t="s">
        <v>4678</v>
      </c>
      <c r="G1502" s="103" t="s">
        <v>4679</v>
      </c>
      <c r="H1502" s="103" t="s">
        <v>9270</v>
      </c>
      <c r="I1502" s="103">
        <v>6348617.0</v>
      </c>
      <c r="J1502" s="104" t="s">
        <v>9271</v>
      </c>
      <c r="K1502" s="105"/>
      <c r="L1502" s="105"/>
    </row>
    <row r="1503">
      <c r="A1503" s="103" t="s">
        <v>4676</v>
      </c>
      <c r="B1503" s="103">
        <v>1.100117294E9</v>
      </c>
      <c r="C1503" s="105"/>
      <c r="D1503" s="104" t="s">
        <v>9272</v>
      </c>
      <c r="E1503" s="104" t="s">
        <v>9273</v>
      </c>
      <c r="F1503" s="103" t="s">
        <v>4678</v>
      </c>
      <c r="G1503" s="103" t="s">
        <v>4679</v>
      </c>
      <c r="H1503" s="103" t="s">
        <v>9274</v>
      </c>
      <c r="I1503" s="103" t="s">
        <v>9275</v>
      </c>
      <c r="J1503" s="104" t="s">
        <v>9276</v>
      </c>
      <c r="K1503" s="107" t="s">
        <v>7627</v>
      </c>
      <c r="L1503" s="105"/>
    </row>
    <row r="1504">
      <c r="A1504" s="103" t="s">
        <v>4676</v>
      </c>
      <c r="B1504" s="103">
        <v>1.10011729401E11</v>
      </c>
      <c r="C1504" s="105"/>
      <c r="D1504" s="104" t="s">
        <v>9277</v>
      </c>
      <c r="E1504" s="104" t="s">
        <v>9278</v>
      </c>
      <c r="F1504" s="103" t="s">
        <v>4678</v>
      </c>
      <c r="G1504" s="103" t="s">
        <v>4679</v>
      </c>
      <c r="H1504" s="103" t="s">
        <v>9279</v>
      </c>
      <c r="I1504" s="103" t="s">
        <v>9280</v>
      </c>
      <c r="J1504" s="104" t="s">
        <v>9276</v>
      </c>
      <c r="K1504" s="105"/>
      <c r="L1504" s="105"/>
    </row>
    <row r="1505">
      <c r="A1505" s="103" t="s">
        <v>4676</v>
      </c>
      <c r="B1505" s="103">
        <v>1.10011729402E11</v>
      </c>
      <c r="C1505" s="105"/>
      <c r="D1505" s="104" t="s">
        <v>9281</v>
      </c>
      <c r="E1505" s="104" t="s">
        <v>9278</v>
      </c>
      <c r="F1505" s="103" t="s">
        <v>4678</v>
      </c>
      <c r="G1505" s="103" t="s">
        <v>4679</v>
      </c>
      <c r="H1505" s="103" t="s">
        <v>9282</v>
      </c>
      <c r="I1505" s="103" t="s">
        <v>9283</v>
      </c>
      <c r="J1505" s="104" t="s">
        <v>9276</v>
      </c>
      <c r="K1505" s="105"/>
      <c r="L1505" s="105"/>
    </row>
    <row r="1506">
      <c r="A1506" s="103" t="s">
        <v>4676</v>
      </c>
      <c r="B1506" s="103">
        <v>1.100117312E9</v>
      </c>
      <c r="C1506" s="105"/>
      <c r="D1506" s="104" t="s">
        <v>9284</v>
      </c>
      <c r="E1506" s="104" t="s">
        <v>9285</v>
      </c>
      <c r="F1506" s="103" t="s">
        <v>4678</v>
      </c>
      <c r="G1506" s="103" t="s">
        <v>4679</v>
      </c>
      <c r="H1506" s="103" t="s">
        <v>9286</v>
      </c>
      <c r="I1506" s="103">
        <v>5447198.0</v>
      </c>
      <c r="J1506" s="104" t="s">
        <v>9287</v>
      </c>
      <c r="K1506" s="105"/>
      <c r="L1506" s="105"/>
    </row>
    <row r="1507">
      <c r="A1507" s="103" t="s">
        <v>4676</v>
      </c>
      <c r="B1507" s="103">
        <v>1.10011731201E11</v>
      </c>
      <c r="C1507" s="105"/>
      <c r="D1507" s="104" t="s">
        <v>9288</v>
      </c>
      <c r="E1507" s="104" t="s">
        <v>9289</v>
      </c>
      <c r="F1507" s="103" t="s">
        <v>4678</v>
      </c>
      <c r="G1507" s="103" t="s">
        <v>4679</v>
      </c>
      <c r="H1507" s="103" t="s">
        <v>9290</v>
      </c>
      <c r="I1507" s="103">
        <v>4344234.0</v>
      </c>
      <c r="J1507" s="104" t="s">
        <v>9291</v>
      </c>
      <c r="K1507" s="105"/>
      <c r="L1507" s="105"/>
    </row>
    <row r="1508">
      <c r="A1508" s="103" t="s">
        <v>4676</v>
      </c>
      <c r="B1508" s="103">
        <v>1.10011731202E11</v>
      </c>
      <c r="C1508" s="105"/>
      <c r="D1508" s="104" t="s">
        <v>9292</v>
      </c>
      <c r="E1508" s="104" t="s">
        <v>9293</v>
      </c>
      <c r="F1508" s="103" t="s">
        <v>4678</v>
      </c>
      <c r="G1508" s="103" t="s">
        <v>4679</v>
      </c>
      <c r="H1508" s="103" t="s">
        <v>9294</v>
      </c>
      <c r="I1508" s="103">
        <v>2332893.0</v>
      </c>
      <c r="J1508" s="104" t="s">
        <v>9291</v>
      </c>
      <c r="K1508" s="105"/>
      <c r="L1508" s="105"/>
    </row>
    <row r="1509">
      <c r="A1509" s="103" t="s">
        <v>4676</v>
      </c>
      <c r="B1509" s="103">
        <v>1.10011731203E11</v>
      </c>
      <c r="C1509" s="105"/>
      <c r="D1509" s="104" t="s">
        <v>9295</v>
      </c>
      <c r="E1509" s="104" t="s">
        <v>9296</v>
      </c>
      <c r="F1509" s="103" t="s">
        <v>4678</v>
      </c>
      <c r="G1509" s="103" t="s">
        <v>4679</v>
      </c>
      <c r="H1509" s="103" t="s">
        <v>9297</v>
      </c>
      <c r="I1509" s="103">
        <v>2801332.0</v>
      </c>
      <c r="J1509" s="104" t="s">
        <v>9291</v>
      </c>
      <c r="K1509" s="105"/>
      <c r="L1509" s="105"/>
    </row>
    <row r="1510">
      <c r="A1510" s="103" t="s">
        <v>4676</v>
      </c>
      <c r="B1510" s="103">
        <v>1.10011731204E11</v>
      </c>
      <c r="C1510" s="105"/>
      <c r="D1510" s="104" t="s">
        <v>9298</v>
      </c>
      <c r="E1510" s="104" t="s">
        <v>9299</v>
      </c>
      <c r="F1510" s="103" t="s">
        <v>4678</v>
      </c>
      <c r="G1510" s="103" t="s">
        <v>4679</v>
      </c>
      <c r="H1510" s="103" t="s">
        <v>9300</v>
      </c>
      <c r="I1510" s="103">
        <v>7808402.0</v>
      </c>
      <c r="J1510" s="104" t="s">
        <v>9291</v>
      </c>
      <c r="K1510" s="105"/>
      <c r="L1510" s="105"/>
    </row>
    <row r="1511">
      <c r="A1511" s="103" t="s">
        <v>4676</v>
      </c>
      <c r="B1511" s="103">
        <v>1.10011731205E11</v>
      </c>
      <c r="C1511" s="105"/>
      <c r="D1511" s="104" t="s">
        <v>9301</v>
      </c>
      <c r="E1511" s="104" t="s">
        <v>9302</v>
      </c>
      <c r="F1511" s="103" t="s">
        <v>4678</v>
      </c>
      <c r="G1511" s="103" t="s">
        <v>4679</v>
      </c>
      <c r="H1511" s="103" t="s">
        <v>9303</v>
      </c>
      <c r="I1511" s="103">
        <v>3110696.0</v>
      </c>
      <c r="J1511" s="104" t="s">
        <v>9291</v>
      </c>
      <c r="K1511" s="105"/>
      <c r="L1511" s="105"/>
    </row>
    <row r="1512">
      <c r="A1512" s="103" t="s">
        <v>4676</v>
      </c>
      <c r="B1512" s="103">
        <v>1.10011731206E11</v>
      </c>
      <c r="C1512" s="105"/>
      <c r="D1512" s="104" t="s">
        <v>9304</v>
      </c>
      <c r="E1512" s="104" t="s">
        <v>9305</v>
      </c>
      <c r="F1512" s="103" t="s">
        <v>4678</v>
      </c>
      <c r="G1512" s="103" t="s">
        <v>4679</v>
      </c>
      <c r="H1512" s="103" t="s">
        <v>9306</v>
      </c>
      <c r="I1512" s="103">
        <v>6301478.0</v>
      </c>
      <c r="J1512" s="104" t="s">
        <v>9291</v>
      </c>
      <c r="K1512" s="105"/>
      <c r="L1512" s="105"/>
    </row>
    <row r="1513">
      <c r="A1513" s="103" t="s">
        <v>4676</v>
      </c>
      <c r="B1513" s="103">
        <v>1.10011731207E11</v>
      </c>
      <c r="C1513" s="105"/>
      <c r="D1513" s="104" t="s">
        <v>9307</v>
      </c>
      <c r="E1513" s="104" t="s">
        <v>9285</v>
      </c>
      <c r="F1513" s="103" t="s">
        <v>4678</v>
      </c>
      <c r="G1513" s="103" t="s">
        <v>4679</v>
      </c>
      <c r="H1513" s="103" t="s">
        <v>9308</v>
      </c>
      <c r="I1513" s="103">
        <v>7808402.0</v>
      </c>
      <c r="J1513" s="104" t="s">
        <v>9291</v>
      </c>
      <c r="K1513" s="105"/>
      <c r="L1513" s="105"/>
    </row>
    <row r="1514">
      <c r="A1514" s="103" t="s">
        <v>4676</v>
      </c>
      <c r="B1514" s="103">
        <v>1.100117313E9</v>
      </c>
      <c r="C1514" s="105"/>
      <c r="D1514" s="104" t="s">
        <v>9309</v>
      </c>
      <c r="E1514" s="104" t="s">
        <v>9310</v>
      </c>
      <c r="F1514" s="103" t="s">
        <v>4678</v>
      </c>
      <c r="G1514" s="103" t="s">
        <v>4679</v>
      </c>
      <c r="H1514" s="103" t="s">
        <v>9311</v>
      </c>
      <c r="I1514" s="103" t="s">
        <v>9312</v>
      </c>
      <c r="J1514" s="104" t="s">
        <v>9313</v>
      </c>
      <c r="K1514" s="105"/>
      <c r="L1514" s="105"/>
    </row>
    <row r="1515">
      <c r="A1515" s="103" t="s">
        <v>4676</v>
      </c>
      <c r="B1515" s="103">
        <v>1.10011731301E11</v>
      </c>
      <c r="C1515" s="105"/>
      <c r="D1515" s="104" t="s">
        <v>9314</v>
      </c>
      <c r="E1515" s="104" t="s">
        <v>9315</v>
      </c>
      <c r="F1515" s="103" t="s">
        <v>4678</v>
      </c>
      <c r="G1515" s="103" t="s">
        <v>4679</v>
      </c>
      <c r="H1515" s="103" t="s">
        <v>9311</v>
      </c>
      <c r="I1515" s="103" t="s">
        <v>9312</v>
      </c>
      <c r="J1515" s="104" t="s">
        <v>9313</v>
      </c>
      <c r="K1515" s="105"/>
      <c r="L1515" s="105"/>
    </row>
    <row r="1516">
      <c r="A1516" s="103" t="s">
        <v>4676</v>
      </c>
      <c r="B1516" s="103">
        <v>1.100117354E9</v>
      </c>
      <c r="C1516" s="105"/>
      <c r="D1516" s="104" t="s">
        <v>9316</v>
      </c>
      <c r="E1516" s="104" t="s">
        <v>9317</v>
      </c>
      <c r="F1516" s="103" t="s">
        <v>4678</v>
      </c>
      <c r="G1516" s="103" t="s">
        <v>4679</v>
      </c>
      <c r="H1516" s="103" t="s">
        <v>9318</v>
      </c>
      <c r="I1516" s="103" t="s">
        <v>9319</v>
      </c>
      <c r="J1516" s="104" t="s">
        <v>9320</v>
      </c>
      <c r="K1516" s="107" t="s">
        <v>9321</v>
      </c>
      <c r="L1516" s="105"/>
    </row>
    <row r="1517">
      <c r="A1517" s="103" t="s">
        <v>4676</v>
      </c>
      <c r="B1517" s="103">
        <v>1.10011735401E11</v>
      </c>
      <c r="C1517" s="105"/>
      <c r="D1517" s="104" t="s">
        <v>9316</v>
      </c>
      <c r="E1517" s="104" t="s">
        <v>9322</v>
      </c>
      <c r="F1517" s="103" t="s">
        <v>4678</v>
      </c>
      <c r="G1517" s="103" t="s">
        <v>4679</v>
      </c>
      <c r="H1517" s="103" t="s">
        <v>9318</v>
      </c>
      <c r="I1517" s="103" t="s">
        <v>9319</v>
      </c>
      <c r="J1517" s="104" t="s">
        <v>9320</v>
      </c>
      <c r="K1517" s="105"/>
      <c r="L1517" s="105"/>
    </row>
    <row r="1518">
      <c r="A1518" s="103" t="s">
        <v>4676</v>
      </c>
      <c r="B1518" s="103">
        <v>1.10011735403E11</v>
      </c>
      <c r="C1518" s="105"/>
      <c r="D1518" s="104" t="s">
        <v>9323</v>
      </c>
      <c r="E1518" s="104" t="s">
        <v>9322</v>
      </c>
      <c r="F1518" s="103" t="s">
        <v>4678</v>
      </c>
      <c r="G1518" s="103" t="s">
        <v>4679</v>
      </c>
      <c r="H1518" s="103" t="s">
        <v>9324</v>
      </c>
      <c r="I1518" s="103">
        <v>3.162417338E9</v>
      </c>
      <c r="J1518" s="104" t="s">
        <v>9320</v>
      </c>
      <c r="K1518" s="105"/>
      <c r="L1518" s="105"/>
    </row>
    <row r="1519">
      <c r="A1519" s="103" t="s">
        <v>4676</v>
      </c>
      <c r="B1519" s="103">
        <v>1.100117377E9</v>
      </c>
      <c r="C1519" s="105"/>
      <c r="D1519" s="104" t="s">
        <v>9325</v>
      </c>
      <c r="E1519" s="104" t="s">
        <v>9326</v>
      </c>
      <c r="F1519" s="103" t="s">
        <v>4678</v>
      </c>
      <c r="G1519" s="103" t="s">
        <v>4679</v>
      </c>
      <c r="H1519" s="103" t="s">
        <v>9327</v>
      </c>
      <c r="I1519" s="103">
        <v>2182002.0</v>
      </c>
      <c r="J1519" s="104" t="s">
        <v>9328</v>
      </c>
      <c r="K1519" s="105"/>
      <c r="L1519" s="105"/>
    </row>
    <row r="1520">
      <c r="A1520" s="103" t="s">
        <v>4676</v>
      </c>
      <c r="B1520" s="103">
        <v>1.10011737701E11</v>
      </c>
      <c r="C1520" s="105"/>
      <c r="D1520" s="104" t="s">
        <v>9329</v>
      </c>
      <c r="E1520" s="104" t="s">
        <v>9330</v>
      </c>
      <c r="F1520" s="103" t="s">
        <v>4678</v>
      </c>
      <c r="G1520" s="103" t="s">
        <v>4679</v>
      </c>
      <c r="H1520" s="103" t="s">
        <v>9327</v>
      </c>
      <c r="I1520" s="103">
        <v>2182002.0</v>
      </c>
      <c r="J1520" s="104" t="s">
        <v>9328</v>
      </c>
      <c r="K1520" s="105"/>
      <c r="L1520" s="105"/>
    </row>
    <row r="1521">
      <c r="A1521" s="103" t="s">
        <v>4676</v>
      </c>
      <c r="B1521" s="103">
        <v>1.10011737702E11</v>
      </c>
      <c r="C1521" s="105"/>
      <c r="D1521" s="104" t="s">
        <v>9331</v>
      </c>
      <c r="E1521" s="104" t="s">
        <v>9330</v>
      </c>
      <c r="F1521" s="103" t="s">
        <v>4678</v>
      </c>
      <c r="G1521" s="103" t="s">
        <v>4679</v>
      </c>
      <c r="H1521" s="103" t="s">
        <v>9332</v>
      </c>
      <c r="I1521" s="103">
        <v>2182002.0</v>
      </c>
      <c r="J1521" s="104" t="s">
        <v>9328</v>
      </c>
      <c r="K1521" s="105"/>
      <c r="L1521" s="105"/>
    </row>
    <row r="1522">
      <c r="A1522" s="103" t="s">
        <v>4676</v>
      </c>
      <c r="B1522" s="103">
        <v>1.10011737704E11</v>
      </c>
      <c r="C1522" s="105"/>
      <c r="D1522" s="104" t="s">
        <v>9333</v>
      </c>
      <c r="E1522" s="104" t="s">
        <v>9334</v>
      </c>
      <c r="F1522" s="103" t="s">
        <v>4678</v>
      </c>
      <c r="G1522" s="103" t="s">
        <v>4679</v>
      </c>
      <c r="H1522" s="103" t="s">
        <v>9335</v>
      </c>
      <c r="I1522" s="103" t="s">
        <v>9336</v>
      </c>
      <c r="J1522" s="104" t="s">
        <v>9328</v>
      </c>
      <c r="K1522" s="105"/>
      <c r="L1522" s="105"/>
    </row>
    <row r="1523">
      <c r="A1523" s="103" t="s">
        <v>4676</v>
      </c>
      <c r="B1523" s="103">
        <v>1.100117384E9</v>
      </c>
      <c r="C1523" s="105"/>
      <c r="D1523" s="104" t="s">
        <v>9337</v>
      </c>
      <c r="E1523" s="106"/>
      <c r="F1523" s="103" t="s">
        <v>4678</v>
      </c>
      <c r="G1523" s="103" t="s">
        <v>4679</v>
      </c>
      <c r="H1523" s="103" t="s">
        <v>9338</v>
      </c>
      <c r="I1523" s="103">
        <v>2828335.0</v>
      </c>
      <c r="J1523" s="104" t="s">
        <v>9339</v>
      </c>
      <c r="K1523" s="105"/>
      <c r="L1523" s="105"/>
    </row>
    <row r="1524">
      <c r="A1524" s="103" t="s">
        <v>4676</v>
      </c>
      <c r="B1524" s="103">
        <v>1.10011738404E11</v>
      </c>
      <c r="C1524" s="105"/>
      <c r="D1524" s="104" t="s">
        <v>9340</v>
      </c>
      <c r="E1524" s="104" t="s">
        <v>9341</v>
      </c>
      <c r="F1524" s="103" t="s">
        <v>4678</v>
      </c>
      <c r="G1524" s="103" t="s">
        <v>4679</v>
      </c>
      <c r="H1524" s="103" t="s">
        <v>9342</v>
      </c>
      <c r="I1524" s="103">
        <v>2828335.0</v>
      </c>
      <c r="J1524" s="104" t="s">
        <v>9339</v>
      </c>
      <c r="K1524" s="105"/>
      <c r="L1524" s="105"/>
    </row>
    <row r="1525">
      <c r="A1525" s="103" t="s">
        <v>4676</v>
      </c>
      <c r="B1525" s="103">
        <v>1.100117389E9</v>
      </c>
      <c r="C1525" s="105"/>
      <c r="D1525" s="104" t="s">
        <v>9343</v>
      </c>
      <c r="E1525" s="104" t="s">
        <v>9344</v>
      </c>
      <c r="F1525" s="103" t="s">
        <v>4678</v>
      </c>
      <c r="G1525" s="103" t="s">
        <v>4679</v>
      </c>
      <c r="H1525" s="103" t="s">
        <v>9345</v>
      </c>
      <c r="I1525" s="103">
        <v>2784705.0</v>
      </c>
      <c r="J1525" s="104" t="s">
        <v>9346</v>
      </c>
      <c r="K1525" s="107" t="s">
        <v>9347</v>
      </c>
      <c r="L1525" s="105"/>
    </row>
    <row r="1526">
      <c r="A1526" s="103" t="s">
        <v>4676</v>
      </c>
      <c r="B1526" s="103">
        <v>1.10011738901E11</v>
      </c>
      <c r="C1526" s="105"/>
      <c r="D1526" s="104" t="s">
        <v>9343</v>
      </c>
      <c r="E1526" s="104" t="s">
        <v>9348</v>
      </c>
      <c r="F1526" s="103" t="s">
        <v>4678</v>
      </c>
      <c r="G1526" s="103" t="s">
        <v>4679</v>
      </c>
      <c r="H1526" s="103" t="s">
        <v>9345</v>
      </c>
      <c r="I1526" s="103">
        <v>2784705.0</v>
      </c>
      <c r="J1526" s="104" t="s">
        <v>9346</v>
      </c>
      <c r="K1526" s="105"/>
      <c r="L1526" s="105"/>
    </row>
    <row r="1527">
      <c r="A1527" s="103" t="s">
        <v>4676</v>
      </c>
      <c r="B1527" s="103">
        <v>1.100117393E9</v>
      </c>
      <c r="C1527" s="105"/>
      <c r="D1527" s="104" t="s">
        <v>9349</v>
      </c>
      <c r="E1527" s="104" t="s">
        <v>9341</v>
      </c>
      <c r="F1527" s="103" t="s">
        <v>4678</v>
      </c>
      <c r="G1527" s="103" t="s">
        <v>4679</v>
      </c>
      <c r="H1527" s="103" t="s">
        <v>9350</v>
      </c>
      <c r="I1527" s="103" t="s">
        <v>9351</v>
      </c>
      <c r="J1527" s="104" t="s">
        <v>9352</v>
      </c>
      <c r="K1527" s="105"/>
      <c r="L1527" s="105"/>
    </row>
    <row r="1528">
      <c r="A1528" s="103" t="s">
        <v>4676</v>
      </c>
      <c r="B1528" s="103">
        <v>1.10011739301E11</v>
      </c>
      <c r="C1528" s="105"/>
      <c r="D1528" s="104" t="s">
        <v>9353</v>
      </c>
      <c r="E1528" s="104" t="s">
        <v>9354</v>
      </c>
      <c r="F1528" s="103" t="s">
        <v>4678</v>
      </c>
      <c r="G1528" s="103" t="s">
        <v>4679</v>
      </c>
      <c r="H1528" s="103" t="s">
        <v>9355</v>
      </c>
      <c r="I1528" s="103">
        <v>2849084.0</v>
      </c>
      <c r="J1528" s="104" t="s">
        <v>9352</v>
      </c>
      <c r="K1528" s="105"/>
      <c r="L1528" s="105"/>
    </row>
    <row r="1529">
      <c r="A1529" s="103" t="s">
        <v>4676</v>
      </c>
      <c r="B1529" s="103">
        <v>1.10011739302E11</v>
      </c>
      <c r="C1529" s="105"/>
      <c r="D1529" s="104" t="s">
        <v>9356</v>
      </c>
      <c r="E1529" s="104" t="s">
        <v>9357</v>
      </c>
      <c r="F1529" s="103" t="s">
        <v>4678</v>
      </c>
      <c r="G1529" s="103" t="s">
        <v>4679</v>
      </c>
      <c r="H1529" s="103" t="s">
        <v>9358</v>
      </c>
      <c r="I1529" s="103" t="s">
        <v>9359</v>
      </c>
      <c r="J1529" s="104" t="s">
        <v>9352</v>
      </c>
      <c r="K1529" s="105"/>
      <c r="L1529" s="105"/>
    </row>
    <row r="1530">
      <c r="A1530" s="103" t="s">
        <v>4676</v>
      </c>
      <c r="B1530" s="103">
        <v>1.10011739303E11</v>
      </c>
      <c r="C1530" s="105"/>
      <c r="D1530" s="104" t="s">
        <v>9360</v>
      </c>
      <c r="E1530" s="104" t="s">
        <v>9341</v>
      </c>
      <c r="F1530" s="103" t="s">
        <v>4678</v>
      </c>
      <c r="G1530" s="103" t="s">
        <v>4679</v>
      </c>
      <c r="H1530" s="103" t="s">
        <v>9361</v>
      </c>
      <c r="I1530" s="103" t="s">
        <v>9351</v>
      </c>
      <c r="J1530" s="104" t="s">
        <v>9352</v>
      </c>
      <c r="K1530" s="105"/>
      <c r="L1530" s="105"/>
    </row>
    <row r="1531">
      <c r="A1531" s="103" t="s">
        <v>4676</v>
      </c>
      <c r="B1531" s="103">
        <v>1.10011739304E11</v>
      </c>
      <c r="C1531" s="105"/>
      <c r="D1531" s="104" t="s">
        <v>9362</v>
      </c>
      <c r="E1531" s="104" t="s">
        <v>9363</v>
      </c>
      <c r="F1531" s="103" t="s">
        <v>4678</v>
      </c>
      <c r="G1531" s="103" t="s">
        <v>4679</v>
      </c>
      <c r="H1531" s="103" t="s">
        <v>9364</v>
      </c>
      <c r="I1531" s="103" t="s">
        <v>9365</v>
      </c>
      <c r="J1531" s="104" t="s">
        <v>9352</v>
      </c>
      <c r="K1531" s="105"/>
      <c r="L1531" s="105"/>
    </row>
    <row r="1532">
      <c r="A1532" s="103" t="s">
        <v>4676</v>
      </c>
      <c r="B1532" s="103">
        <v>1.10011739305E11</v>
      </c>
      <c r="C1532" s="105"/>
      <c r="D1532" s="104" t="s">
        <v>9366</v>
      </c>
      <c r="E1532" s="104" t="s">
        <v>9341</v>
      </c>
      <c r="F1532" s="103" t="s">
        <v>4678</v>
      </c>
      <c r="G1532" s="103" t="s">
        <v>4679</v>
      </c>
      <c r="H1532" s="103" t="s">
        <v>9367</v>
      </c>
      <c r="I1532" s="103" t="s">
        <v>9368</v>
      </c>
      <c r="J1532" s="104" t="s">
        <v>9369</v>
      </c>
      <c r="K1532" s="105"/>
      <c r="L1532" s="105"/>
    </row>
    <row r="1533">
      <c r="A1533" s="103" t="s">
        <v>4676</v>
      </c>
      <c r="B1533" s="103">
        <v>1.10011739306E11</v>
      </c>
      <c r="C1533" s="105"/>
      <c r="D1533" s="104" t="s">
        <v>9370</v>
      </c>
      <c r="E1533" s="104" t="s">
        <v>9354</v>
      </c>
      <c r="F1533" s="103" t="s">
        <v>4678</v>
      </c>
      <c r="G1533" s="103" t="s">
        <v>4679</v>
      </c>
      <c r="H1533" s="103" t="s">
        <v>9371</v>
      </c>
      <c r="I1533" s="103">
        <v>3.153437505E9</v>
      </c>
      <c r="J1533" s="104" t="s">
        <v>9372</v>
      </c>
      <c r="K1533" s="105"/>
      <c r="L1533" s="105"/>
    </row>
    <row r="1534">
      <c r="A1534" s="103" t="s">
        <v>4676</v>
      </c>
      <c r="B1534" s="103">
        <v>1.10011739307E11</v>
      </c>
      <c r="C1534" s="105"/>
      <c r="D1534" s="104" t="s">
        <v>9373</v>
      </c>
      <c r="E1534" s="104" t="s">
        <v>9354</v>
      </c>
      <c r="F1534" s="103" t="s">
        <v>4678</v>
      </c>
      <c r="G1534" s="103" t="s">
        <v>4679</v>
      </c>
      <c r="H1534" s="103" t="s">
        <v>9374</v>
      </c>
      <c r="I1534" s="103" t="s">
        <v>9375</v>
      </c>
      <c r="J1534" s="104" t="s">
        <v>9352</v>
      </c>
      <c r="K1534" s="105"/>
      <c r="L1534" s="105"/>
    </row>
    <row r="1535">
      <c r="A1535" s="103" t="s">
        <v>4676</v>
      </c>
      <c r="B1535" s="103">
        <v>1.10011739308E11</v>
      </c>
      <c r="C1535" s="105"/>
      <c r="D1535" s="104" t="s">
        <v>9376</v>
      </c>
      <c r="E1535" s="104" t="s">
        <v>9377</v>
      </c>
      <c r="F1535" s="103" t="s">
        <v>4678</v>
      </c>
      <c r="G1535" s="103" t="s">
        <v>4679</v>
      </c>
      <c r="H1535" s="103" t="s">
        <v>9378</v>
      </c>
      <c r="I1535" s="103">
        <v>3.153437505E9</v>
      </c>
      <c r="J1535" s="104" t="s">
        <v>9352</v>
      </c>
      <c r="K1535" s="105"/>
      <c r="L1535" s="105"/>
    </row>
    <row r="1536">
      <c r="A1536" s="103" t="s">
        <v>4676</v>
      </c>
      <c r="B1536" s="103">
        <v>1.10011739309E11</v>
      </c>
      <c r="C1536" s="105"/>
      <c r="D1536" s="104" t="s">
        <v>9379</v>
      </c>
      <c r="E1536" s="104" t="s">
        <v>9377</v>
      </c>
      <c r="F1536" s="103" t="s">
        <v>4678</v>
      </c>
      <c r="G1536" s="103" t="s">
        <v>4679</v>
      </c>
      <c r="H1536" s="103" t="s">
        <v>9380</v>
      </c>
      <c r="I1536" s="103">
        <v>6.013001846E9</v>
      </c>
      <c r="J1536" s="104" t="s">
        <v>9381</v>
      </c>
      <c r="K1536" s="105"/>
      <c r="L1536" s="105"/>
    </row>
    <row r="1537">
      <c r="A1537" s="103" t="s">
        <v>4676</v>
      </c>
      <c r="B1537" s="103">
        <v>1.100117432E9</v>
      </c>
      <c r="C1537" s="105"/>
      <c r="D1537" s="104" t="s">
        <v>9382</v>
      </c>
      <c r="E1537" s="104" t="s">
        <v>9383</v>
      </c>
      <c r="F1537" s="103" t="s">
        <v>4678</v>
      </c>
      <c r="G1537" s="103" t="s">
        <v>4679</v>
      </c>
      <c r="H1537" s="103" t="s">
        <v>9384</v>
      </c>
      <c r="I1537" s="103" t="s">
        <v>9385</v>
      </c>
      <c r="J1537" s="104" t="s">
        <v>9386</v>
      </c>
      <c r="K1537" s="105"/>
      <c r="L1537" s="105"/>
    </row>
    <row r="1538">
      <c r="A1538" s="103" t="s">
        <v>4676</v>
      </c>
      <c r="B1538" s="103">
        <v>1.10011743201E11</v>
      </c>
      <c r="C1538" s="105"/>
      <c r="D1538" s="104" t="s">
        <v>9382</v>
      </c>
      <c r="E1538" s="104" t="s">
        <v>9387</v>
      </c>
      <c r="F1538" s="103" t="s">
        <v>4678</v>
      </c>
      <c r="G1538" s="103" t="s">
        <v>4679</v>
      </c>
      <c r="H1538" s="103" t="s">
        <v>9388</v>
      </c>
      <c r="I1538" s="103" t="s">
        <v>9385</v>
      </c>
      <c r="J1538" s="104" t="s">
        <v>9386</v>
      </c>
      <c r="K1538" s="105"/>
      <c r="L1538" s="105"/>
    </row>
    <row r="1539">
      <c r="A1539" s="103" t="s">
        <v>4676</v>
      </c>
      <c r="B1539" s="103">
        <v>1.100117439E9</v>
      </c>
      <c r="C1539" s="105"/>
      <c r="D1539" s="104" t="s">
        <v>9389</v>
      </c>
      <c r="E1539" s="104" t="s">
        <v>9390</v>
      </c>
      <c r="F1539" s="103" t="s">
        <v>4678</v>
      </c>
      <c r="G1539" s="103" t="s">
        <v>4679</v>
      </c>
      <c r="H1539" s="103" t="s">
        <v>9391</v>
      </c>
      <c r="I1539" s="103" t="s">
        <v>9392</v>
      </c>
      <c r="J1539" s="104" t="s">
        <v>9393</v>
      </c>
      <c r="K1539" s="105"/>
      <c r="L1539" s="105"/>
    </row>
    <row r="1540">
      <c r="A1540" s="103" t="s">
        <v>4676</v>
      </c>
      <c r="B1540" s="103">
        <v>1.10011743901E11</v>
      </c>
      <c r="C1540" s="105"/>
      <c r="D1540" s="104" t="s">
        <v>9389</v>
      </c>
      <c r="E1540" s="104" t="s">
        <v>9390</v>
      </c>
      <c r="F1540" s="103" t="s">
        <v>4678</v>
      </c>
      <c r="G1540" s="103" t="s">
        <v>4679</v>
      </c>
      <c r="H1540" s="103" t="s">
        <v>9394</v>
      </c>
      <c r="I1540" s="103" t="s">
        <v>9392</v>
      </c>
      <c r="J1540" s="104" t="s">
        <v>9393</v>
      </c>
      <c r="K1540" s="105"/>
      <c r="L1540" s="105"/>
    </row>
    <row r="1541">
      <c r="A1541" s="103" t="s">
        <v>4676</v>
      </c>
      <c r="B1541" s="103">
        <v>1.100117459E9</v>
      </c>
      <c r="C1541" s="105"/>
      <c r="D1541" s="104" t="s">
        <v>9395</v>
      </c>
      <c r="E1541" s="104" t="s">
        <v>9396</v>
      </c>
      <c r="F1541" s="103" t="s">
        <v>4678</v>
      </c>
      <c r="G1541" s="103" t="s">
        <v>4679</v>
      </c>
      <c r="H1541" s="103" t="s">
        <v>9397</v>
      </c>
      <c r="I1541" s="103" t="s">
        <v>9398</v>
      </c>
      <c r="J1541" s="104" t="s">
        <v>9399</v>
      </c>
      <c r="K1541" s="105"/>
      <c r="L1541" s="105"/>
    </row>
    <row r="1542">
      <c r="A1542" s="103" t="s">
        <v>4676</v>
      </c>
      <c r="B1542" s="103">
        <v>1.10011745901E11</v>
      </c>
      <c r="C1542" s="105"/>
      <c r="D1542" s="104" t="s">
        <v>9400</v>
      </c>
      <c r="E1542" s="104" t="s">
        <v>9396</v>
      </c>
      <c r="F1542" s="103" t="s">
        <v>4678</v>
      </c>
      <c r="G1542" s="103" t="s">
        <v>4679</v>
      </c>
      <c r="H1542" s="103" t="s">
        <v>9401</v>
      </c>
      <c r="I1542" s="103" t="s">
        <v>9398</v>
      </c>
      <c r="J1542" s="104" t="s">
        <v>9402</v>
      </c>
      <c r="K1542" s="105"/>
      <c r="L1542" s="105"/>
    </row>
    <row r="1543">
      <c r="A1543" s="103" t="s">
        <v>4676</v>
      </c>
      <c r="B1543" s="103">
        <v>1.100117475E9</v>
      </c>
      <c r="C1543" s="105"/>
      <c r="D1543" s="104" t="s">
        <v>9403</v>
      </c>
      <c r="E1543" s="104" t="s">
        <v>9404</v>
      </c>
      <c r="F1543" s="103" t="s">
        <v>4678</v>
      </c>
      <c r="G1543" s="103" t="s">
        <v>4679</v>
      </c>
      <c r="H1543" s="103" t="s">
        <v>9405</v>
      </c>
      <c r="I1543" s="103" t="s">
        <v>9406</v>
      </c>
      <c r="J1543" s="104" t="s">
        <v>9407</v>
      </c>
      <c r="K1543" s="107" t="s">
        <v>9408</v>
      </c>
      <c r="L1543" s="105"/>
    </row>
    <row r="1544">
      <c r="A1544" s="103" t="s">
        <v>4676</v>
      </c>
      <c r="B1544" s="103">
        <v>1.10011747501E11</v>
      </c>
      <c r="C1544" s="105"/>
      <c r="D1544" s="104" t="s">
        <v>9403</v>
      </c>
      <c r="E1544" s="104" t="s">
        <v>9409</v>
      </c>
      <c r="F1544" s="103" t="s">
        <v>4678</v>
      </c>
      <c r="G1544" s="103" t="s">
        <v>4679</v>
      </c>
      <c r="H1544" s="103" t="s">
        <v>9410</v>
      </c>
      <c r="I1544" s="103" t="s">
        <v>9406</v>
      </c>
      <c r="J1544" s="104" t="s">
        <v>9407</v>
      </c>
      <c r="K1544" s="105"/>
      <c r="L1544" s="105"/>
    </row>
    <row r="1545">
      <c r="A1545" s="103" t="s">
        <v>4676</v>
      </c>
      <c r="B1545" s="103">
        <v>1.100117479E9</v>
      </c>
      <c r="C1545" s="105"/>
      <c r="D1545" s="104" t="s">
        <v>9411</v>
      </c>
      <c r="E1545" s="104" t="s">
        <v>9412</v>
      </c>
      <c r="F1545" s="103" t="s">
        <v>4678</v>
      </c>
      <c r="G1545" s="103" t="s">
        <v>4679</v>
      </c>
      <c r="H1545" s="103" t="s">
        <v>9413</v>
      </c>
      <c r="I1545" s="103" t="s">
        <v>9414</v>
      </c>
      <c r="J1545" s="104" t="s">
        <v>9415</v>
      </c>
      <c r="K1545" s="105"/>
      <c r="L1545" s="105"/>
    </row>
    <row r="1546">
      <c r="A1546" s="103" t="s">
        <v>4676</v>
      </c>
      <c r="B1546" s="103">
        <v>1.10011747901E11</v>
      </c>
      <c r="C1546" s="105"/>
      <c r="D1546" s="104" t="s">
        <v>9411</v>
      </c>
      <c r="E1546" s="104" t="s">
        <v>9416</v>
      </c>
      <c r="F1546" s="103" t="s">
        <v>4678</v>
      </c>
      <c r="G1546" s="103" t="s">
        <v>4679</v>
      </c>
      <c r="H1546" s="103" t="s">
        <v>9413</v>
      </c>
      <c r="I1546" s="103" t="s">
        <v>9417</v>
      </c>
      <c r="J1546" s="104" t="s">
        <v>9415</v>
      </c>
      <c r="K1546" s="105"/>
      <c r="L1546" s="105"/>
    </row>
    <row r="1547">
      <c r="A1547" s="103" t="s">
        <v>4676</v>
      </c>
      <c r="B1547" s="103">
        <v>1.10011756E9</v>
      </c>
      <c r="C1547" s="105"/>
      <c r="D1547" s="104" t="s">
        <v>9418</v>
      </c>
      <c r="E1547" s="104" t="s">
        <v>9419</v>
      </c>
      <c r="F1547" s="103" t="s">
        <v>4678</v>
      </c>
      <c r="G1547" s="103" t="s">
        <v>4679</v>
      </c>
      <c r="H1547" s="103" t="s">
        <v>9420</v>
      </c>
      <c r="I1547" s="103">
        <v>6967246.0</v>
      </c>
      <c r="J1547" s="104" t="s">
        <v>9421</v>
      </c>
      <c r="K1547" s="105"/>
      <c r="L1547" s="105"/>
    </row>
    <row r="1548">
      <c r="A1548" s="103" t="s">
        <v>4676</v>
      </c>
      <c r="B1548" s="103">
        <v>1.10011756001E11</v>
      </c>
      <c r="C1548" s="105"/>
      <c r="D1548" s="104" t="s">
        <v>9418</v>
      </c>
      <c r="E1548" s="104" t="s">
        <v>9422</v>
      </c>
      <c r="F1548" s="103" t="s">
        <v>4678</v>
      </c>
      <c r="G1548" s="103" t="s">
        <v>4679</v>
      </c>
      <c r="H1548" s="103" t="s">
        <v>9423</v>
      </c>
      <c r="I1548" s="103">
        <v>6967246.0</v>
      </c>
      <c r="J1548" s="104" t="s">
        <v>9421</v>
      </c>
      <c r="K1548" s="105"/>
      <c r="L1548" s="105"/>
    </row>
    <row r="1549">
      <c r="A1549" s="103" t="s">
        <v>4676</v>
      </c>
      <c r="B1549" s="103">
        <v>1.100117563E9</v>
      </c>
      <c r="C1549" s="105"/>
      <c r="D1549" s="104" t="s">
        <v>9424</v>
      </c>
      <c r="E1549" s="104" t="s">
        <v>9425</v>
      </c>
      <c r="F1549" s="103" t="s">
        <v>4678</v>
      </c>
      <c r="G1549" s="103" t="s">
        <v>4679</v>
      </c>
      <c r="H1549" s="103" t="s">
        <v>9426</v>
      </c>
      <c r="I1549" s="103">
        <v>6202081.0</v>
      </c>
      <c r="J1549" s="104" t="s">
        <v>9427</v>
      </c>
      <c r="K1549" s="107" t="s">
        <v>9428</v>
      </c>
      <c r="L1549" s="105"/>
    </row>
    <row r="1550">
      <c r="A1550" s="103" t="s">
        <v>4676</v>
      </c>
      <c r="B1550" s="103">
        <v>1.10011756301E11</v>
      </c>
      <c r="C1550" s="105"/>
      <c r="D1550" s="104" t="s">
        <v>9429</v>
      </c>
      <c r="E1550" s="104" t="s">
        <v>9430</v>
      </c>
      <c r="F1550" s="103" t="s">
        <v>4678</v>
      </c>
      <c r="G1550" s="103" t="s">
        <v>4679</v>
      </c>
      <c r="H1550" s="103" t="s">
        <v>9431</v>
      </c>
      <c r="I1550" s="103" t="s">
        <v>9432</v>
      </c>
      <c r="J1550" s="104" t="s">
        <v>9427</v>
      </c>
      <c r="K1550" s="105"/>
      <c r="L1550" s="105"/>
    </row>
    <row r="1551">
      <c r="A1551" s="103" t="s">
        <v>4676</v>
      </c>
      <c r="B1551" s="103">
        <v>1.100117566E9</v>
      </c>
      <c r="C1551" s="105"/>
      <c r="D1551" s="104" t="s">
        <v>9433</v>
      </c>
      <c r="E1551" s="104" t="s">
        <v>9434</v>
      </c>
      <c r="F1551" s="103" t="s">
        <v>4678</v>
      </c>
      <c r="G1551" s="103" t="s">
        <v>4679</v>
      </c>
      <c r="H1551" s="103" t="s">
        <v>9435</v>
      </c>
      <c r="I1551" s="103" t="s">
        <v>9436</v>
      </c>
      <c r="J1551" s="104" t="s">
        <v>9437</v>
      </c>
      <c r="K1551" s="105"/>
      <c r="L1551" s="105"/>
    </row>
    <row r="1552">
      <c r="A1552" s="103" t="s">
        <v>4676</v>
      </c>
      <c r="B1552" s="103">
        <v>1.10011756601E11</v>
      </c>
      <c r="C1552" s="105"/>
      <c r="D1552" s="104" t="s">
        <v>9438</v>
      </c>
      <c r="E1552" s="104" t="s">
        <v>9434</v>
      </c>
      <c r="F1552" s="103" t="s">
        <v>4678</v>
      </c>
      <c r="G1552" s="103" t="s">
        <v>4679</v>
      </c>
      <c r="H1552" s="103" t="s">
        <v>9435</v>
      </c>
      <c r="I1552" s="103" t="s">
        <v>9439</v>
      </c>
      <c r="J1552" s="104" t="s">
        <v>9437</v>
      </c>
      <c r="K1552" s="105"/>
      <c r="L1552" s="105"/>
    </row>
    <row r="1553">
      <c r="A1553" s="103" t="s">
        <v>4676</v>
      </c>
      <c r="B1553" s="103">
        <v>1.100117578E9</v>
      </c>
      <c r="C1553" s="105"/>
      <c r="D1553" s="104" t="s">
        <v>9440</v>
      </c>
      <c r="E1553" s="104" t="s">
        <v>9441</v>
      </c>
      <c r="F1553" s="103" t="s">
        <v>4678</v>
      </c>
      <c r="G1553" s="103" t="s">
        <v>4679</v>
      </c>
      <c r="H1553" s="103" t="s">
        <v>9442</v>
      </c>
      <c r="I1553" s="103" t="s">
        <v>9443</v>
      </c>
      <c r="J1553" s="104" t="s">
        <v>9444</v>
      </c>
      <c r="K1553" s="107" t="s">
        <v>9445</v>
      </c>
      <c r="L1553" s="105"/>
    </row>
    <row r="1554">
      <c r="A1554" s="103" t="s">
        <v>4676</v>
      </c>
      <c r="B1554" s="103">
        <v>1.10011757801E11</v>
      </c>
      <c r="C1554" s="105"/>
      <c r="D1554" s="104" t="s">
        <v>9440</v>
      </c>
      <c r="E1554" s="104" t="s">
        <v>9446</v>
      </c>
      <c r="F1554" s="103" t="s">
        <v>4678</v>
      </c>
      <c r="G1554" s="103" t="s">
        <v>4679</v>
      </c>
      <c r="H1554" s="103" t="s">
        <v>9442</v>
      </c>
      <c r="I1554" s="103" t="s">
        <v>9443</v>
      </c>
      <c r="J1554" s="104" t="s">
        <v>9444</v>
      </c>
      <c r="K1554" s="105"/>
      <c r="L1554" s="105"/>
    </row>
    <row r="1555">
      <c r="A1555" s="103" t="s">
        <v>4676</v>
      </c>
      <c r="B1555" s="103">
        <v>1.100117606E9</v>
      </c>
      <c r="C1555" s="105"/>
      <c r="D1555" s="104" t="s">
        <v>9447</v>
      </c>
      <c r="E1555" s="104" t="s">
        <v>9448</v>
      </c>
      <c r="F1555" s="103" t="s">
        <v>4678</v>
      </c>
      <c r="G1555" s="103" t="s">
        <v>4679</v>
      </c>
      <c r="H1555" s="103" t="s">
        <v>9449</v>
      </c>
      <c r="I1555" s="103">
        <v>2827375.0</v>
      </c>
      <c r="J1555" s="104" t="s">
        <v>9450</v>
      </c>
      <c r="K1555" s="105"/>
      <c r="L1555" s="105"/>
    </row>
    <row r="1556">
      <c r="A1556" s="103" t="s">
        <v>4676</v>
      </c>
      <c r="B1556" s="103">
        <v>1.10011760601E11</v>
      </c>
      <c r="C1556" s="105"/>
      <c r="D1556" s="104" t="s">
        <v>9451</v>
      </c>
      <c r="E1556" s="104" t="s">
        <v>9448</v>
      </c>
      <c r="F1556" s="103" t="s">
        <v>4678</v>
      </c>
      <c r="G1556" s="103" t="s">
        <v>4679</v>
      </c>
      <c r="H1556" s="103" t="s">
        <v>9452</v>
      </c>
      <c r="I1556" s="103">
        <v>2827375.0</v>
      </c>
      <c r="J1556" s="106"/>
      <c r="K1556" s="105"/>
      <c r="L1556" s="105"/>
    </row>
    <row r="1557">
      <c r="A1557" s="103" t="s">
        <v>4676</v>
      </c>
      <c r="B1557" s="103">
        <v>1.10011760602E11</v>
      </c>
      <c r="C1557" s="105"/>
      <c r="D1557" s="104" t="s">
        <v>9453</v>
      </c>
      <c r="E1557" s="104" t="s">
        <v>9448</v>
      </c>
      <c r="F1557" s="103" t="s">
        <v>4678</v>
      </c>
      <c r="G1557" s="103" t="s">
        <v>4679</v>
      </c>
      <c r="H1557" s="103" t="s">
        <v>9454</v>
      </c>
      <c r="I1557" s="103">
        <v>2555296.0</v>
      </c>
      <c r="J1557" s="106"/>
      <c r="K1557" s="105"/>
      <c r="L1557" s="105"/>
    </row>
    <row r="1558">
      <c r="A1558" s="103" t="s">
        <v>4676</v>
      </c>
      <c r="B1558" s="103">
        <v>1.10011760603E11</v>
      </c>
      <c r="C1558" s="105"/>
      <c r="D1558" s="104" t="s">
        <v>9455</v>
      </c>
      <c r="E1558" s="104" t="s">
        <v>9448</v>
      </c>
      <c r="F1558" s="103" t="s">
        <v>4678</v>
      </c>
      <c r="G1558" s="103" t="s">
        <v>4679</v>
      </c>
      <c r="H1558" s="103" t="s">
        <v>9456</v>
      </c>
      <c r="I1558" s="103">
        <v>2555296.0</v>
      </c>
      <c r="J1558" s="106"/>
      <c r="K1558" s="105"/>
      <c r="L1558" s="105"/>
    </row>
    <row r="1559">
      <c r="A1559" s="103" t="s">
        <v>4676</v>
      </c>
      <c r="B1559" s="103">
        <v>1.100117629E9</v>
      </c>
      <c r="C1559" s="105"/>
      <c r="D1559" s="104" t="s">
        <v>9457</v>
      </c>
      <c r="E1559" s="104" t="s">
        <v>9458</v>
      </c>
      <c r="F1559" s="103" t="s">
        <v>4678</v>
      </c>
      <c r="G1559" s="103" t="s">
        <v>4679</v>
      </c>
      <c r="H1559" s="103" t="s">
        <v>9459</v>
      </c>
      <c r="I1559" s="103">
        <v>3.18339921E9</v>
      </c>
      <c r="J1559" s="104" t="s">
        <v>9460</v>
      </c>
      <c r="K1559" s="105"/>
      <c r="L1559" s="105"/>
    </row>
    <row r="1560">
      <c r="A1560" s="103" t="s">
        <v>4676</v>
      </c>
      <c r="B1560" s="103">
        <v>1.10011762901E11</v>
      </c>
      <c r="C1560" s="105"/>
      <c r="D1560" s="104" t="s">
        <v>9457</v>
      </c>
      <c r="E1560" s="104" t="s">
        <v>9458</v>
      </c>
      <c r="F1560" s="103" t="s">
        <v>4678</v>
      </c>
      <c r="G1560" s="103" t="s">
        <v>4679</v>
      </c>
      <c r="H1560" s="103" t="s">
        <v>9461</v>
      </c>
      <c r="I1560" s="103">
        <v>3.18339921E9</v>
      </c>
      <c r="J1560" s="104" t="s">
        <v>9460</v>
      </c>
      <c r="K1560" s="105"/>
      <c r="L1560" s="105"/>
    </row>
    <row r="1561">
      <c r="A1561" s="103" t="s">
        <v>4676</v>
      </c>
      <c r="B1561" s="103">
        <v>1.100117648E9</v>
      </c>
      <c r="C1561" s="105"/>
      <c r="D1561" s="104" t="s">
        <v>9462</v>
      </c>
      <c r="E1561" s="106"/>
      <c r="F1561" s="103" t="s">
        <v>4678</v>
      </c>
      <c r="G1561" s="103" t="s">
        <v>4679</v>
      </c>
      <c r="H1561" s="103" t="s">
        <v>9463</v>
      </c>
      <c r="I1561" s="103">
        <v>2363787.0</v>
      </c>
      <c r="J1561" s="104" t="s">
        <v>9464</v>
      </c>
      <c r="K1561" s="105"/>
      <c r="L1561" s="105"/>
    </row>
    <row r="1562">
      <c r="A1562" s="103" t="s">
        <v>4676</v>
      </c>
      <c r="B1562" s="103">
        <v>1.10011764801E11</v>
      </c>
      <c r="C1562" s="105"/>
      <c r="D1562" s="104" t="s">
        <v>9462</v>
      </c>
      <c r="E1562" s="104" t="s">
        <v>9465</v>
      </c>
      <c r="F1562" s="103" t="s">
        <v>4678</v>
      </c>
      <c r="G1562" s="103" t="s">
        <v>4679</v>
      </c>
      <c r="H1562" s="103" t="s">
        <v>9466</v>
      </c>
      <c r="I1562" s="103">
        <v>2490854.0</v>
      </c>
      <c r="J1562" s="104" t="s">
        <v>9464</v>
      </c>
      <c r="K1562" s="105"/>
      <c r="L1562" s="105"/>
    </row>
    <row r="1563">
      <c r="A1563" s="103" t="s">
        <v>4676</v>
      </c>
      <c r="B1563" s="103">
        <v>1.100117649E9</v>
      </c>
      <c r="C1563" s="105"/>
      <c r="D1563" s="104" t="s">
        <v>9467</v>
      </c>
      <c r="E1563" s="104" t="s">
        <v>9468</v>
      </c>
      <c r="F1563" s="103" t="s">
        <v>4678</v>
      </c>
      <c r="G1563" s="103" t="s">
        <v>4679</v>
      </c>
      <c r="H1563" s="103" t="s">
        <v>9469</v>
      </c>
      <c r="I1563" s="103">
        <v>2815535.0</v>
      </c>
      <c r="J1563" s="106"/>
      <c r="K1563" s="105"/>
      <c r="L1563" s="105"/>
    </row>
    <row r="1564">
      <c r="A1564" s="103" t="s">
        <v>4676</v>
      </c>
      <c r="B1564" s="103">
        <v>1.10011764901E11</v>
      </c>
      <c r="C1564" s="105"/>
      <c r="D1564" s="104" t="s">
        <v>9470</v>
      </c>
      <c r="E1564" s="104" t="s">
        <v>9468</v>
      </c>
      <c r="F1564" s="103" t="s">
        <v>4678</v>
      </c>
      <c r="G1564" s="103" t="s">
        <v>4679</v>
      </c>
      <c r="H1564" s="103" t="s">
        <v>9471</v>
      </c>
      <c r="I1564" s="103">
        <v>2815535.0</v>
      </c>
      <c r="J1564" s="106"/>
      <c r="K1564" s="105"/>
      <c r="L1564" s="105"/>
    </row>
    <row r="1565">
      <c r="A1565" s="103" t="s">
        <v>4676</v>
      </c>
      <c r="B1565" s="103">
        <v>1.10011764902E11</v>
      </c>
      <c r="C1565" s="105"/>
      <c r="D1565" s="104" t="s">
        <v>9472</v>
      </c>
      <c r="E1565" s="104" t="s">
        <v>9468</v>
      </c>
      <c r="F1565" s="103" t="s">
        <v>4678</v>
      </c>
      <c r="G1565" s="103" t="s">
        <v>4679</v>
      </c>
      <c r="H1565" s="103" t="s">
        <v>9473</v>
      </c>
      <c r="I1565" s="103">
        <v>2810827.0</v>
      </c>
      <c r="J1565" s="104" t="s">
        <v>9474</v>
      </c>
      <c r="K1565" s="105"/>
      <c r="L1565" s="105"/>
    </row>
    <row r="1566">
      <c r="A1566" s="103" t="s">
        <v>4676</v>
      </c>
      <c r="B1566" s="103">
        <v>1.100117658E9</v>
      </c>
      <c r="C1566" s="105"/>
      <c r="D1566" s="104" t="s">
        <v>9475</v>
      </c>
      <c r="E1566" s="104" t="s">
        <v>5503</v>
      </c>
      <c r="F1566" s="103" t="s">
        <v>4678</v>
      </c>
      <c r="G1566" s="103" t="s">
        <v>4679</v>
      </c>
      <c r="H1566" s="103" t="s">
        <v>9476</v>
      </c>
      <c r="I1566" s="103" t="s">
        <v>9477</v>
      </c>
      <c r="J1566" s="104" t="s">
        <v>7456</v>
      </c>
      <c r="K1566" s="105"/>
      <c r="L1566" s="105"/>
    </row>
    <row r="1567">
      <c r="A1567" s="103" t="s">
        <v>4676</v>
      </c>
      <c r="B1567" s="103">
        <v>1.10011765801E11</v>
      </c>
      <c r="C1567" s="105"/>
      <c r="D1567" s="104" t="s">
        <v>9478</v>
      </c>
      <c r="E1567" s="104" t="s">
        <v>5503</v>
      </c>
      <c r="F1567" s="103" t="s">
        <v>4678</v>
      </c>
      <c r="G1567" s="103" t="s">
        <v>4679</v>
      </c>
      <c r="H1567" s="103" t="s">
        <v>9476</v>
      </c>
      <c r="I1567" s="103" t="s">
        <v>9477</v>
      </c>
      <c r="J1567" s="104" t="s">
        <v>7456</v>
      </c>
      <c r="K1567" s="105"/>
      <c r="L1567" s="105"/>
    </row>
    <row r="1568">
      <c r="A1568" s="103" t="s">
        <v>4676</v>
      </c>
      <c r="B1568" s="103">
        <v>1.100117694E9</v>
      </c>
      <c r="C1568" s="105"/>
      <c r="D1568" s="104" t="s">
        <v>9479</v>
      </c>
      <c r="E1568" s="104" t="s">
        <v>9480</v>
      </c>
      <c r="F1568" s="103" t="s">
        <v>4678</v>
      </c>
      <c r="G1568" s="103" t="s">
        <v>4679</v>
      </c>
      <c r="H1568" s="103" t="s">
        <v>9481</v>
      </c>
      <c r="I1568" s="103">
        <v>2533319.0</v>
      </c>
      <c r="J1568" s="104" t="s">
        <v>9482</v>
      </c>
      <c r="K1568" s="105"/>
      <c r="L1568" s="105"/>
    </row>
    <row r="1569">
      <c r="A1569" s="103" t="s">
        <v>4676</v>
      </c>
      <c r="B1569" s="103">
        <v>1.10011769401E11</v>
      </c>
      <c r="C1569" s="105"/>
      <c r="D1569" s="104" t="s">
        <v>9483</v>
      </c>
      <c r="E1569" s="104" t="s">
        <v>9484</v>
      </c>
      <c r="F1569" s="103" t="s">
        <v>4678</v>
      </c>
      <c r="G1569" s="103" t="s">
        <v>4679</v>
      </c>
      <c r="H1569" s="103" t="s">
        <v>9481</v>
      </c>
      <c r="I1569" s="103">
        <v>2533319.0</v>
      </c>
      <c r="J1569" s="104" t="s">
        <v>9482</v>
      </c>
      <c r="K1569" s="105"/>
      <c r="L1569" s="105"/>
    </row>
    <row r="1570">
      <c r="A1570" s="103" t="s">
        <v>4676</v>
      </c>
      <c r="B1570" s="103">
        <v>1.100117696E9</v>
      </c>
      <c r="C1570" s="105"/>
      <c r="D1570" s="104" t="s">
        <v>9485</v>
      </c>
      <c r="E1570" s="104" t="s">
        <v>9486</v>
      </c>
      <c r="F1570" s="103" t="s">
        <v>4678</v>
      </c>
      <c r="G1570" s="103" t="s">
        <v>4679</v>
      </c>
      <c r="H1570" s="103" t="s">
        <v>9487</v>
      </c>
      <c r="I1570" s="103">
        <v>3.104293855E9</v>
      </c>
      <c r="J1570" s="104" t="s">
        <v>9488</v>
      </c>
      <c r="K1570" s="107" t="s">
        <v>9489</v>
      </c>
      <c r="L1570" s="105"/>
    </row>
    <row r="1571">
      <c r="A1571" s="103" t="s">
        <v>4676</v>
      </c>
      <c r="B1571" s="103">
        <v>1.10011769601E11</v>
      </c>
      <c r="C1571" s="105"/>
      <c r="D1571" s="104" t="s">
        <v>9490</v>
      </c>
      <c r="E1571" s="104" t="s">
        <v>9491</v>
      </c>
      <c r="F1571" s="103" t="s">
        <v>4678</v>
      </c>
      <c r="G1571" s="103" t="s">
        <v>4679</v>
      </c>
      <c r="H1571" s="103" t="s">
        <v>9492</v>
      </c>
      <c r="I1571" s="103">
        <v>3.104293855E9</v>
      </c>
      <c r="J1571" s="104" t="s">
        <v>9488</v>
      </c>
      <c r="K1571" s="105"/>
      <c r="L1571" s="105"/>
    </row>
    <row r="1572">
      <c r="A1572" s="103" t="s">
        <v>4676</v>
      </c>
      <c r="B1572" s="103">
        <v>1.10011769604E11</v>
      </c>
      <c r="C1572" s="105"/>
      <c r="D1572" s="104" t="s">
        <v>9493</v>
      </c>
      <c r="E1572" s="104" t="s">
        <v>9494</v>
      </c>
      <c r="F1572" s="103" t="s">
        <v>4678</v>
      </c>
      <c r="G1572" s="103" t="s">
        <v>4679</v>
      </c>
      <c r="H1572" s="103" t="s">
        <v>9495</v>
      </c>
      <c r="I1572" s="103">
        <v>3.113206099E9</v>
      </c>
      <c r="J1572" s="104" t="s">
        <v>9496</v>
      </c>
      <c r="K1572" s="105"/>
      <c r="L1572" s="105"/>
    </row>
    <row r="1573">
      <c r="A1573" s="103" t="s">
        <v>4676</v>
      </c>
      <c r="B1573" s="103">
        <v>1.100117704E9</v>
      </c>
      <c r="C1573" s="105"/>
      <c r="D1573" s="104" t="s">
        <v>9497</v>
      </c>
      <c r="E1573" s="104" t="s">
        <v>9498</v>
      </c>
      <c r="F1573" s="103" t="s">
        <v>4678</v>
      </c>
      <c r="G1573" s="103" t="s">
        <v>4679</v>
      </c>
      <c r="H1573" s="103" t="s">
        <v>9499</v>
      </c>
      <c r="I1573" s="103">
        <v>3202045.0</v>
      </c>
      <c r="J1573" s="104" t="s">
        <v>9500</v>
      </c>
      <c r="K1573" s="105"/>
      <c r="L1573" s="105"/>
    </row>
    <row r="1574">
      <c r="A1574" s="103" t="s">
        <v>4676</v>
      </c>
      <c r="B1574" s="103">
        <v>1.10011770401E11</v>
      </c>
      <c r="C1574" s="105"/>
      <c r="D1574" s="104" t="s">
        <v>9497</v>
      </c>
      <c r="E1574" s="104" t="s">
        <v>9498</v>
      </c>
      <c r="F1574" s="103" t="s">
        <v>4678</v>
      </c>
      <c r="G1574" s="103" t="s">
        <v>4679</v>
      </c>
      <c r="H1574" s="103" t="s">
        <v>9499</v>
      </c>
      <c r="I1574" s="103">
        <v>5.713202045E9</v>
      </c>
      <c r="J1574" s="104" t="s">
        <v>9500</v>
      </c>
      <c r="K1574" s="105"/>
      <c r="L1574" s="105"/>
    </row>
    <row r="1575">
      <c r="A1575" s="103" t="s">
        <v>4676</v>
      </c>
      <c r="B1575" s="103">
        <v>1.100117708E9</v>
      </c>
      <c r="C1575" s="105"/>
      <c r="D1575" s="104" t="s">
        <v>9501</v>
      </c>
      <c r="E1575" s="104" t="s">
        <v>9502</v>
      </c>
      <c r="F1575" s="103" t="s">
        <v>4678</v>
      </c>
      <c r="G1575" s="103" t="s">
        <v>4679</v>
      </c>
      <c r="H1575" s="103" t="s">
        <v>9503</v>
      </c>
      <c r="I1575" s="103">
        <v>3161839.0</v>
      </c>
      <c r="J1575" s="104" t="s">
        <v>9504</v>
      </c>
      <c r="K1575" s="105"/>
      <c r="L1575" s="105"/>
    </row>
    <row r="1576">
      <c r="A1576" s="103" t="s">
        <v>4676</v>
      </c>
      <c r="B1576" s="103">
        <v>1.10011770801E11</v>
      </c>
      <c r="C1576" s="105"/>
      <c r="D1576" s="104" t="s">
        <v>9505</v>
      </c>
      <c r="E1576" s="104" t="s">
        <v>9502</v>
      </c>
      <c r="F1576" s="103" t="s">
        <v>4678</v>
      </c>
      <c r="G1576" s="103" t="s">
        <v>4679</v>
      </c>
      <c r="H1576" s="103" t="s">
        <v>9506</v>
      </c>
      <c r="I1576" s="103">
        <v>3161838.0</v>
      </c>
      <c r="J1576" s="104" t="s">
        <v>9504</v>
      </c>
      <c r="K1576" s="105"/>
      <c r="L1576" s="105"/>
    </row>
    <row r="1577">
      <c r="A1577" s="103" t="s">
        <v>4676</v>
      </c>
      <c r="B1577" s="103">
        <v>1.10011770803E11</v>
      </c>
      <c r="C1577" s="105"/>
      <c r="D1577" s="104" t="s">
        <v>9505</v>
      </c>
      <c r="E1577" s="104" t="s">
        <v>9502</v>
      </c>
      <c r="F1577" s="103" t="s">
        <v>4678</v>
      </c>
      <c r="G1577" s="103" t="s">
        <v>4679</v>
      </c>
      <c r="H1577" s="103" t="s">
        <v>9507</v>
      </c>
      <c r="I1577" s="103">
        <v>3161838.0</v>
      </c>
      <c r="J1577" s="104" t="s">
        <v>9504</v>
      </c>
      <c r="K1577" s="105"/>
      <c r="L1577" s="105"/>
    </row>
    <row r="1578">
      <c r="A1578" s="103" t="s">
        <v>4676</v>
      </c>
      <c r="B1578" s="103">
        <v>1.10011770804E11</v>
      </c>
      <c r="C1578" s="105"/>
      <c r="D1578" s="104" t="s">
        <v>9505</v>
      </c>
      <c r="E1578" s="104" t="s">
        <v>9502</v>
      </c>
      <c r="F1578" s="103" t="s">
        <v>4678</v>
      </c>
      <c r="G1578" s="103" t="s">
        <v>4679</v>
      </c>
      <c r="H1578" s="103" t="s">
        <v>9508</v>
      </c>
      <c r="I1578" s="103">
        <v>3161838.0</v>
      </c>
      <c r="J1578" s="104" t="s">
        <v>9504</v>
      </c>
      <c r="K1578" s="105"/>
      <c r="L1578" s="105"/>
    </row>
    <row r="1579">
      <c r="A1579" s="103" t="s">
        <v>4676</v>
      </c>
      <c r="B1579" s="103">
        <v>1.10011770807E11</v>
      </c>
      <c r="C1579" s="105"/>
      <c r="D1579" s="104" t="s">
        <v>9505</v>
      </c>
      <c r="E1579" s="104" t="s">
        <v>9502</v>
      </c>
      <c r="F1579" s="103" t="s">
        <v>4678</v>
      </c>
      <c r="G1579" s="103" t="s">
        <v>4679</v>
      </c>
      <c r="H1579" s="103" t="s">
        <v>9509</v>
      </c>
      <c r="I1579" s="103">
        <v>3161838.0</v>
      </c>
      <c r="J1579" s="104" t="s">
        <v>9504</v>
      </c>
      <c r="K1579" s="105"/>
      <c r="L1579" s="105"/>
    </row>
    <row r="1580">
      <c r="A1580" s="103" t="s">
        <v>4676</v>
      </c>
      <c r="B1580" s="103">
        <v>1.10011770808E11</v>
      </c>
      <c r="C1580" s="105"/>
      <c r="D1580" s="104" t="s">
        <v>9505</v>
      </c>
      <c r="E1580" s="104" t="s">
        <v>9502</v>
      </c>
      <c r="F1580" s="103" t="s">
        <v>4678</v>
      </c>
      <c r="G1580" s="103" t="s">
        <v>4679</v>
      </c>
      <c r="H1580" s="103" t="s">
        <v>9510</v>
      </c>
      <c r="I1580" s="103">
        <v>3161838.0</v>
      </c>
      <c r="J1580" s="104" t="s">
        <v>9504</v>
      </c>
      <c r="K1580" s="105"/>
      <c r="L1580" s="105"/>
    </row>
    <row r="1581">
      <c r="A1581" s="103" t="s">
        <v>4676</v>
      </c>
      <c r="B1581" s="103">
        <v>1.10011770809E11</v>
      </c>
      <c r="C1581" s="105"/>
      <c r="D1581" s="104" t="s">
        <v>9511</v>
      </c>
      <c r="E1581" s="104" t="s">
        <v>9502</v>
      </c>
      <c r="F1581" s="103" t="s">
        <v>4678</v>
      </c>
      <c r="G1581" s="103" t="s">
        <v>4679</v>
      </c>
      <c r="H1581" s="103" t="s">
        <v>9512</v>
      </c>
      <c r="I1581" s="103">
        <v>3161833.0</v>
      </c>
      <c r="J1581" s="104" t="s">
        <v>9504</v>
      </c>
      <c r="K1581" s="105"/>
      <c r="L1581" s="105"/>
    </row>
    <row r="1582">
      <c r="A1582" s="103" t="s">
        <v>4676</v>
      </c>
      <c r="B1582" s="103">
        <v>1.1001177081E11</v>
      </c>
      <c r="C1582" s="105"/>
      <c r="D1582" s="104" t="s">
        <v>9505</v>
      </c>
      <c r="E1582" s="104" t="s">
        <v>9502</v>
      </c>
      <c r="F1582" s="103" t="s">
        <v>4678</v>
      </c>
      <c r="G1582" s="103" t="s">
        <v>4679</v>
      </c>
      <c r="H1582" s="103" t="s">
        <v>9513</v>
      </c>
      <c r="I1582" s="103">
        <v>3161838.0</v>
      </c>
      <c r="J1582" s="104" t="s">
        <v>9504</v>
      </c>
      <c r="K1582" s="105"/>
      <c r="L1582" s="105"/>
    </row>
    <row r="1583">
      <c r="A1583" s="103" t="s">
        <v>4676</v>
      </c>
      <c r="B1583" s="103">
        <v>1.10011770812E11</v>
      </c>
      <c r="C1583" s="105"/>
      <c r="D1583" s="104" t="s">
        <v>9505</v>
      </c>
      <c r="E1583" s="104" t="s">
        <v>9502</v>
      </c>
      <c r="F1583" s="103" t="s">
        <v>4678</v>
      </c>
      <c r="G1583" s="103" t="s">
        <v>4679</v>
      </c>
      <c r="H1583" s="103" t="s">
        <v>9514</v>
      </c>
      <c r="I1583" s="103">
        <v>3161838.0</v>
      </c>
      <c r="J1583" s="104" t="s">
        <v>9504</v>
      </c>
      <c r="K1583" s="105"/>
      <c r="L1583" s="105"/>
    </row>
    <row r="1584">
      <c r="A1584" s="103" t="s">
        <v>4676</v>
      </c>
      <c r="B1584" s="103">
        <v>1.10011770813E11</v>
      </c>
      <c r="C1584" s="105"/>
      <c r="D1584" s="104" t="s">
        <v>9515</v>
      </c>
      <c r="E1584" s="104" t="s">
        <v>9502</v>
      </c>
      <c r="F1584" s="103" t="s">
        <v>4678</v>
      </c>
      <c r="G1584" s="103" t="s">
        <v>4679</v>
      </c>
      <c r="H1584" s="103" t="s">
        <v>9516</v>
      </c>
      <c r="I1584" s="103">
        <v>3161838.0</v>
      </c>
      <c r="J1584" s="104" t="s">
        <v>9504</v>
      </c>
      <c r="K1584" s="105"/>
      <c r="L1584" s="105"/>
    </row>
    <row r="1585">
      <c r="A1585" s="103" t="s">
        <v>4676</v>
      </c>
      <c r="B1585" s="103">
        <v>1.10011770814E11</v>
      </c>
      <c r="C1585" s="105"/>
      <c r="D1585" s="104" t="s">
        <v>9517</v>
      </c>
      <c r="E1585" s="104" t="s">
        <v>9502</v>
      </c>
      <c r="F1585" s="103" t="s">
        <v>4678</v>
      </c>
      <c r="G1585" s="103" t="s">
        <v>4679</v>
      </c>
      <c r="H1585" s="103" t="s">
        <v>9518</v>
      </c>
      <c r="I1585" s="103">
        <v>3161838.0</v>
      </c>
      <c r="J1585" s="104" t="s">
        <v>9504</v>
      </c>
      <c r="K1585" s="105"/>
      <c r="L1585" s="105"/>
    </row>
    <row r="1586">
      <c r="A1586" s="103" t="s">
        <v>4676</v>
      </c>
      <c r="B1586" s="103">
        <v>1.10011770816E11</v>
      </c>
      <c r="C1586" s="105"/>
      <c r="D1586" s="104" t="s">
        <v>9515</v>
      </c>
      <c r="E1586" s="104" t="s">
        <v>9519</v>
      </c>
      <c r="F1586" s="103" t="s">
        <v>4678</v>
      </c>
      <c r="G1586" s="103" t="s">
        <v>4679</v>
      </c>
      <c r="H1586" s="103" t="s">
        <v>9520</v>
      </c>
      <c r="I1586" s="103">
        <v>3161838.0</v>
      </c>
      <c r="J1586" s="104" t="s">
        <v>9504</v>
      </c>
      <c r="K1586" s="105"/>
      <c r="L1586" s="105"/>
    </row>
    <row r="1587">
      <c r="A1587" s="103" t="s">
        <v>4676</v>
      </c>
      <c r="B1587" s="103">
        <v>1.10011770817E11</v>
      </c>
      <c r="C1587" s="105"/>
      <c r="D1587" s="104" t="s">
        <v>9517</v>
      </c>
      <c r="E1587" s="104" t="s">
        <v>9502</v>
      </c>
      <c r="F1587" s="103" t="s">
        <v>4678</v>
      </c>
      <c r="G1587" s="103" t="s">
        <v>4679</v>
      </c>
      <c r="H1587" s="103" t="s">
        <v>9521</v>
      </c>
      <c r="I1587" s="103">
        <v>3161838.0</v>
      </c>
      <c r="J1587" s="104" t="s">
        <v>9504</v>
      </c>
      <c r="K1587" s="105"/>
      <c r="L1587" s="105"/>
    </row>
    <row r="1588">
      <c r="A1588" s="103" t="s">
        <v>4676</v>
      </c>
      <c r="B1588" s="103">
        <v>1.1001177082E11</v>
      </c>
      <c r="C1588" s="105"/>
      <c r="D1588" s="104" t="s">
        <v>9517</v>
      </c>
      <c r="E1588" s="104" t="s">
        <v>9502</v>
      </c>
      <c r="F1588" s="103" t="s">
        <v>4678</v>
      </c>
      <c r="G1588" s="103" t="s">
        <v>4679</v>
      </c>
      <c r="H1588" s="103" t="s">
        <v>9522</v>
      </c>
      <c r="I1588" s="103">
        <v>3161838.0</v>
      </c>
      <c r="J1588" s="104" t="s">
        <v>9504</v>
      </c>
      <c r="K1588" s="105"/>
      <c r="L1588" s="105"/>
    </row>
    <row r="1589">
      <c r="A1589" s="103" t="s">
        <v>4676</v>
      </c>
      <c r="B1589" s="103">
        <v>1.10011770821E11</v>
      </c>
      <c r="C1589" s="105"/>
      <c r="D1589" s="104" t="s">
        <v>9517</v>
      </c>
      <c r="E1589" s="104" t="s">
        <v>9502</v>
      </c>
      <c r="F1589" s="103" t="s">
        <v>4678</v>
      </c>
      <c r="G1589" s="103" t="s">
        <v>4679</v>
      </c>
      <c r="H1589" s="103" t="s">
        <v>9523</v>
      </c>
      <c r="I1589" s="103">
        <v>3161838.0</v>
      </c>
      <c r="J1589" s="104" t="s">
        <v>9504</v>
      </c>
      <c r="K1589" s="105"/>
      <c r="L1589" s="105"/>
    </row>
    <row r="1590">
      <c r="A1590" s="103" t="s">
        <v>4676</v>
      </c>
      <c r="B1590" s="103">
        <v>1.10011770822E11</v>
      </c>
      <c r="C1590" s="105"/>
      <c r="D1590" s="104" t="s">
        <v>9517</v>
      </c>
      <c r="E1590" s="104" t="s">
        <v>9524</v>
      </c>
      <c r="F1590" s="103" t="s">
        <v>4678</v>
      </c>
      <c r="G1590" s="103" t="s">
        <v>4679</v>
      </c>
      <c r="H1590" s="103" t="s">
        <v>9525</v>
      </c>
      <c r="I1590" s="103">
        <v>3161838.0</v>
      </c>
      <c r="J1590" s="104" t="s">
        <v>9504</v>
      </c>
      <c r="K1590" s="105"/>
      <c r="L1590" s="105"/>
    </row>
    <row r="1591">
      <c r="A1591" s="103" t="s">
        <v>4676</v>
      </c>
      <c r="B1591" s="103">
        <v>1.10011770823E11</v>
      </c>
      <c r="C1591" s="105"/>
      <c r="D1591" s="104" t="s">
        <v>9517</v>
      </c>
      <c r="E1591" s="104" t="s">
        <v>9524</v>
      </c>
      <c r="F1591" s="103" t="s">
        <v>4678</v>
      </c>
      <c r="G1591" s="103" t="s">
        <v>4679</v>
      </c>
      <c r="H1591" s="103" t="s">
        <v>9526</v>
      </c>
      <c r="I1591" s="103">
        <v>3161838.0</v>
      </c>
      <c r="J1591" s="104" t="s">
        <v>9504</v>
      </c>
      <c r="K1591" s="105"/>
      <c r="L1591" s="105"/>
    </row>
    <row r="1592">
      <c r="A1592" s="103" t="s">
        <v>4676</v>
      </c>
      <c r="B1592" s="103">
        <v>1.10011770827E11</v>
      </c>
      <c r="C1592" s="105"/>
      <c r="D1592" s="104" t="s">
        <v>9517</v>
      </c>
      <c r="E1592" s="104" t="s">
        <v>9524</v>
      </c>
      <c r="F1592" s="103" t="s">
        <v>4678</v>
      </c>
      <c r="G1592" s="103" t="s">
        <v>4679</v>
      </c>
      <c r="H1592" s="103" t="s">
        <v>9527</v>
      </c>
      <c r="I1592" s="103">
        <v>3161838.0</v>
      </c>
      <c r="J1592" s="104" t="s">
        <v>9504</v>
      </c>
      <c r="K1592" s="105"/>
      <c r="L1592" s="105"/>
    </row>
    <row r="1593">
      <c r="A1593" s="103" t="s">
        <v>4676</v>
      </c>
      <c r="B1593" s="103">
        <v>1.100117711E9</v>
      </c>
      <c r="C1593" s="105"/>
      <c r="D1593" s="104" t="s">
        <v>9528</v>
      </c>
      <c r="E1593" s="104" t="s">
        <v>9529</v>
      </c>
      <c r="F1593" s="103" t="s">
        <v>4678</v>
      </c>
      <c r="G1593" s="103" t="s">
        <v>4679</v>
      </c>
      <c r="H1593" s="103" t="s">
        <v>9530</v>
      </c>
      <c r="I1593" s="103" t="s">
        <v>9531</v>
      </c>
      <c r="J1593" s="104" t="s">
        <v>9532</v>
      </c>
      <c r="K1593" s="105"/>
      <c r="L1593" s="105"/>
    </row>
    <row r="1594">
      <c r="A1594" s="103" t="s">
        <v>4676</v>
      </c>
      <c r="B1594" s="103">
        <v>1.10011771101E11</v>
      </c>
      <c r="C1594" s="105"/>
      <c r="D1594" s="104" t="s">
        <v>9528</v>
      </c>
      <c r="E1594" s="104" t="s">
        <v>9533</v>
      </c>
      <c r="F1594" s="103" t="s">
        <v>4678</v>
      </c>
      <c r="G1594" s="103" t="s">
        <v>4679</v>
      </c>
      <c r="H1594" s="103" t="s">
        <v>9530</v>
      </c>
      <c r="I1594" s="103" t="s">
        <v>9531</v>
      </c>
      <c r="J1594" s="104" t="s">
        <v>9534</v>
      </c>
      <c r="K1594" s="105"/>
      <c r="L1594" s="105"/>
    </row>
    <row r="1595">
      <c r="A1595" s="103" t="s">
        <v>4676</v>
      </c>
      <c r="B1595" s="103">
        <v>1.100117713E9</v>
      </c>
      <c r="C1595" s="105"/>
      <c r="D1595" s="104" t="s">
        <v>9535</v>
      </c>
      <c r="E1595" s="106"/>
      <c r="F1595" s="103" t="s">
        <v>4678</v>
      </c>
      <c r="G1595" s="103" t="s">
        <v>4679</v>
      </c>
      <c r="H1595" s="103" t="s">
        <v>9536</v>
      </c>
      <c r="I1595" s="103">
        <v>2871234.0</v>
      </c>
      <c r="J1595" s="104" t="s">
        <v>9537</v>
      </c>
      <c r="K1595" s="105"/>
      <c r="L1595" s="105"/>
    </row>
    <row r="1596">
      <c r="A1596" s="103" t="s">
        <v>4676</v>
      </c>
      <c r="B1596" s="103">
        <v>1.10011771301E11</v>
      </c>
      <c r="C1596" s="105"/>
      <c r="D1596" s="104" t="s">
        <v>9535</v>
      </c>
      <c r="E1596" s="104" t="s">
        <v>9538</v>
      </c>
      <c r="F1596" s="103" t="s">
        <v>4678</v>
      </c>
      <c r="G1596" s="103" t="s">
        <v>4679</v>
      </c>
      <c r="H1596" s="103" t="s">
        <v>9536</v>
      </c>
      <c r="I1596" s="103">
        <v>2871234.0</v>
      </c>
      <c r="J1596" s="104" t="s">
        <v>9537</v>
      </c>
      <c r="K1596" s="105"/>
      <c r="L1596" s="105"/>
    </row>
    <row r="1597">
      <c r="A1597" s="103" t="s">
        <v>4676</v>
      </c>
      <c r="B1597" s="103">
        <v>1.10011771302E11</v>
      </c>
      <c r="C1597" s="105"/>
      <c r="D1597" s="104" t="s">
        <v>9535</v>
      </c>
      <c r="E1597" s="104" t="s">
        <v>9538</v>
      </c>
      <c r="F1597" s="103" t="s">
        <v>4678</v>
      </c>
      <c r="G1597" s="103" t="s">
        <v>4679</v>
      </c>
      <c r="H1597" s="103" t="s">
        <v>9539</v>
      </c>
      <c r="I1597" s="103">
        <v>4601489.0</v>
      </c>
      <c r="J1597" s="104" t="s">
        <v>9537</v>
      </c>
      <c r="K1597" s="105"/>
      <c r="L1597" s="105"/>
    </row>
    <row r="1598">
      <c r="A1598" s="103" t="s">
        <v>4676</v>
      </c>
      <c r="B1598" s="103">
        <v>1.100117728E9</v>
      </c>
      <c r="C1598" s="105"/>
      <c r="D1598" s="104" t="s">
        <v>9540</v>
      </c>
      <c r="E1598" s="104" t="s">
        <v>9541</v>
      </c>
      <c r="F1598" s="103" t="s">
        <v>4678</v>
      </c>
      <c r="G1598" s="103" t="s">
        <v>4679</v>
      </c>
      <c r="H1598" s="103" t="s">
        <v>9542</v>
      </c>
      <c r="I1598" s="103">
        <v>7135168.0</v>
      </c>
      <c r="J1598" s="104" t="s">
        <v>9543</v>
      </c>
      <c r="K1598" s="105"/>
      <c r="L1598" s="105"/>
    </row>
    <row r="1599">
      <c r="A1599" s="103" t="s">
        <v>4676</v>
      </c>
      <c r="B1599" s="103">
        <v>1.10011772801E11</v>
      </c>
      <c r="C1599" s="105"/>
      <c r="D1599" s="104" t="s">
        <v>9544</v>
      </c>
      <c r="E1599" s="104" t="s">
        <v>9541</v>
      </c>
      <c r="F1599" s="103" t="s">
        <v>4678</v>
      </c>
      <c r="G1599" s="103" t="s">
        <v>4679</v>
      </c>
      <c r="H1599" s="103" t="s">
        <v>9542</v>
      </c>
      <c r="I1599" s="103">
        <v>7135168.0</v>
      </c>
      <c r="J1599" s="104" t="s">
        <v>9543</v>
      </c>
      <c r="K1599" s="105"/>
      <c r="L1599" s="105"/>
    </row>
    <row r="1600">
      <c r="A1600" s="103" t="s">
        <v>4676</v>
      </c>
      <c r="B1600" s="103">
        <v>1.10011772802E11</v>
      </c>
      <c r="C1600" s="105"/>
      <c r="D1600" s="104" t="s">
        <v>9545</v>
      </c>
      <c r="E1600" s="104" t="s">
        <v>9541</v>
      </c>
      <c r="F1600" s="103" t="s">
        <v>4678</v>
      </c>
      <c r="G1600" s="103" t="s">
        <v>4679</v>
      </c>
      <c r="H1600" s="103" t="s">
        <v>9546</v>
      </c>
      <c r="I1600" s="103">
        <v>2328858.0</v>
      </c>
      <c r="J1600" s="104" t="s">
        <v>9543</v>
      </c>
      <c r="K1600" s="105"/>
      <c r="L1600" s="105"/>
    </row>
    <row r="1601">
      <c r="A1601" s="103" t="s">
        <v>4676</v>
      </c>
      <c r="B1601" s="103">
        <v>1.100117729E9</v>
      </c>
      <c r="C1601" s="105"/>
      <c r="D1601" s="104" t="s">
        <v>9547</v>
      </c>
      <c r="E1601" s="104" t="s">
        <v>9548</v>
      </c>
      <c r="F1601" s="103" t="s">
        <v>4678</v>
      </c>
      <c r="G1601" s="103" t="s">
        <v>4679</v>
      </c>
      <c r="H1601" s="103" t="s">
        <v>9549</v>
      </c>
      <c r="I1601" s="103" t="s">
        <v>9550</v>
      </c>
      <c r="J1601" s="104" t="s">
        <v>9551</v>
      </c>
      <c r="K1601" s="103" t="s">
        <v>9552</v>
      </c>
      <c r="L1601" s="105"/>
    </row>
    <row r="1602">
      <c r="A1602" s="103" t="s">
        <v>4676</v>
      </c>
      <c r="B1602" s="103">
        <v>1.10011772902E11</v>
      </c>
      <c r="C1602" s="105"/>
      <c r="D1602" s="104" t="s">
        <v>9553</v>
      </c>
      <c r="E1602" s="104" t="s">
        <v>9554</v>
      </c>
      <c r="F1602" s="103" t="s">
        <v>4678</v>
      </c>
      <c r="G1602" s="103" t="s">
        <v>4679</v>
      </c>
      <c r="H1602" s="103" t="s">
        <v>9555</v>
      </c>
      <c r="I1602" s="103">
        <v>3.214256063E9</v>
      </c>
      <c r="J1602" s="104" t="s">
        <v>9556</v>
      </c>
      <c r="K1602" s="105"/>
      <c r="L1602" s="105"/>
    </row>
    <row r="1603">
      <c r="A1603" s="103" t="s">
        <v>4676</v>
      </c>
      <c r="B1603" s="103">
        <v>1.10011772903E11</v>
      </c>
      <c r="C1603" s="105"/>
      <c r="D1603" s="104" t="s">
        <v>9557</v>
      </c>
      <c r="E1603" s="104" t="s">
        <v>9548</v>
      </c>
      <c r="F1603" s="103" t="s">
        <v>4678</v>
      </c>
      <c r="G1603" s="103" t="s">
        <v>4679</v>
      </c>
      <c r="H1603" s="103" t="s">
        <v>9558</v>
      </c>
      <c r="I1603" s="103" t="s">
        <v>9559</v>
      </c>
      <c r="J1603" s="104" t="s">
        <v>9551</v>
      </c>
      <c r="K1603" s="105"/>
      <c r="L1603" s="105"/>
    </row>
    <row r="1604">
      <c r="A1604" s="103" t="s">
        <v>4676</v>
      </c>
      <c r="B1604" s="103">
        <v>1.10011772904E11</v>
      </c>
      <c r="C1604" s="105"/>
      <c r="D1604" s="104" t="s">
        <v>9560</v>
      </c>
      <c r="E1604" s="104" t="s">
        <v>9548</v>
      </c>
      <c r="F1604" s="103" t="s">
        <v>4678</v>
      </c>
      <c r="G1604" s="103" t="s">
        <v>4679</v>
      </c>
      <c r="H1604" s="103" t="s">
        <v>9561</v>
      </c>
      <c r="I1604" s="103">
        <v>3.214256063E9</v>
      </c>
      <c r="J1604" s="104" t="s">
        <v>9551</v>
      </c>
      <c r="K1604" s="105"/>
      <c r="L1604" s="105"/>
    </row>
    <row r="1605">
      <c r="A1605" s="103" t="s">
        <v>4676</v>
      </c>
      <c r="B1605" s="103">
        <v>1.10011772905E11</v>
      </c>
      <c r="C1605" s="105"/>
      <c r="D1605" s="104" t="s">
        <v>9562</v>
      </c>
      <c r="E1605" s="104" t="s">
        <v>9548</v>
      </c>
      <c r="F1605" s="103" t="s">
        <v>4678</v>
      </c>
      <c r="G1605" s="103" t="s">
        <v>4679</v>
      </c>
      <c r="H1605" s="103" t="s">
        <v>9563</v>
      </c>
      <c r="I1605" s="103">
        <v>3.214256063E9</v>
      </c>
      <c r="J1605" s="104" t="s">
        <v>9551</v>
      </c>
      <c r="K1605" s="105"/>
      <c r="L1605" s="105"/>
    </row>
    <row r="1606">
      <c r="A1606" s="103" t="s">
        <v>4676</v>
      </c>
      <c r="B1606" s="103">
        <v>1.10011772906E11</v>
      </c>
      <c r="C1606" s="105"/>
      <c r="D1606" s="104" t="s">
        <v>9564</v>
      </c>
      <c r="E1606" s="104" t="s">
        <v>9565</v>
      </c>
      <c r="F1606" s="103" t="s">
        <v>4678</v>
      </c>
      <c r="G1606" s="103" t="s">
        <v>4679</v>
      </c>
      <c r="H1606" s="103" t="s">
        <v>9566</v>
      </c>
      <c r="I1606" s="103">
        <v>3.214256063E9</v>
      </c>
      <c r="J1606" s="104" t="s">
        <v>9551</v>
      </c>
      <c r="K1606" s="105"/>
      <c r="L1606" s="105"/>
    </row>
    <row r="1607">
      <c r="A1607" s="103" t="s">
        <v>4676</v>
      </c>
      <c r="B1607" s="103">
        <v>1.100117731E9</v>
      </c>
      <c r="C1607" s="105"/>
      <c r="D1607" s="104" t="s">
        <v>9567</v>
      </c>
      <c r="E1607" s="104" t="s">
        <v>9568</v>
      </c>
      <c r="F1607" s="103" t="s">
        <v>4678</v>
      </c>
      <c r="G1607" s="103" t="s">
        <v>4679</v>
      </c>
      <c r="H1607" s="103" t="s">
        <v>9569</v>
      </c>
      <c r="I1607" s="103">
        <v>3344928.0</v>
      </c>
      <c r="J1607" s="106"/>
      <c r="K1607" s="105"/>
      <c r="L1607" s="105"/>
    </row>
    <row r="1608">
      <c r="A1608" s="103" t="s">
        <v>4676</v>
      </c>
      <c r="B1608" s="103">
        <v>1.10011773101E11</v>
      </c>
      <c r="C1608" s="105"/>
      <c r="D1608" s="104" t="s">
        <v>9570</v>
      </c>
      <c r="E1608" s="104" t="s">
        <v>9568</v>
      </c>
      <c r="F1608" s="103" t="s">
        <v>4678</v>
      </c>
      <c r="G1608" s="103" t="s">
        <v>4679</v>
      </c>
      <c r="H1608" s="103" t="s">
        <v>9569</v>
      </c>
      <c r="I1608" s="103">
        <v>3344928.0</v>
      </c>
      <c r="J1608" s="106"/>
      <c r="K1608" s="105"/>
      <c r="L1608" s="105"/>
    </row>
    <row r="1609">
      <c r="A1609" s="103" t="s">
        <v>4676</v>
      </c>
      <c r="B1609" s="103">
        <v>1.10011773102E11</v>
      </c>
      <c r="C1609" s="105"/>
      <c r="D1609" s="104" t="s">
        <v>9571</v>
      </c>
      <c r="E1609" s="104" t="s">
        <v>9568</v>
      </c>
      <c r="F1609" s="103" t="s">
        <v>4678</v>
      </c>
      <c r="G1609" s="103" t="s">
        <v>4679</v>
      </c>
      <c r="H1609" s="103" t="s">
        <v>9572</v>
      </c>
      <c r="I1609" s="103">
        <v>3410009.0</v>
      </c>
      <c r="J1609" s="106"/>
      <c r="K1609" s="105"/>
      <c r="L1609" s="105"/>
    </row>
    <row r="1610">
      <c r="A1610" s="103" t="s">
        <v>4676</v>
      </c>
      <c r="B1610" s="103">
        <v>1.10011773103E11</v>
      </c>
      <c r="C1610" s="105"/>
      <c r="D1610" s="104" t="s">
        <v>9573</v>
      </c>
      <c r="E1610" s="104" t="s">
        <v>9568</v>
      </c>
      <c r="F1610" s="103" t="s">
        <v>4678</v>
      </c>
      <c r="G1610" s="103" t="s">
        <v>4679</v>
      </c>
      <c r="H1610" s="103" t="s">
        <v>9574</v>
      </c>
      <c r="I1610" s="103">
        <v>2095440.0</v>
      </c>
      <c r="J1610" s="106"/>
      <c r="K1610" s="105"/>
      <c r="L1610" s="105"/>
    </row>
    <row r="1611">
      <c r="A1611" s="103" t="s">
        <v>4676</v>
      </c>
      <c r="B1611" s="103">
        <v>1.10011773104E11</v>
      </c>
      <c r="C1611" s="105"/>
      <c r="D1611" s="104" t="s">
        <v>9570</v>
      </c>
      <c r="E1611" s="104" t="s">
        <v>9568</v>
      </c>
      <c r="F1611" s="103" t="s">
        <v>4678</v>
      </c>
      <c r="G1611" s="103" t="s">
        <v>4679</v>
      </c>
      <c r="H1611" s="103" t="s">
        <v>9575</v>
      </c>
      <c r="I1611" s="103">
        <v>2095440.0</v>
      </c>
      <c r="J1611" s="106"/>
      <c r="K1611" s="105"/>
      <c r="L1611" s="105"/>
    </row>
    <row r="1612">
      <c r="A1612" s="103" t="s">
        <v>4676</v>
      </c>
      <c r="B1612" s="103">
        <v>1.10011773105E11</v>
      </c>
      <c r="C1612" s="105"/>
      <c r="D1612" s="104" t="s">
        <v>9570</v>
      </c>
      <c r="E1612" s="104" t="s">
        <v>9568</v>
      </c>
      <c r="F1612" s="103" t="s">
        <v>4678</v>
      </c>
      <c r="G1612" s="103" t="s">
        <v>4679</v>
      </c>
      <c r="H1612" s="103" t="s">
        <v>9576</v>
      </c>
      <c r="I1612" s="103">
        <v>3614463.0</v>
      </c>
      <c r="J1612" s="106"/>
      <c r="K1612" s="105"/>
      <c r="L1612" s="105"/>
    </row>
    <row r="1613">
      <c r="A1613" s="103" t="s">
        <v>4676</v>
      </c>
      <c r="B1613" s="103">
        <v>1.100117732E9</v>
      </c>
      <c r="C1613" s="105"/>
      <c r="D1613" s="104" t="s">
        <v>9577</v>
      </c>
      <c r="E1613" s="104" t="s">
        <v>9578</v>
      </c>
      <c r="F1613" s="103" t="s">
        <v>4678</v>
      </c>
      <c r="G1613" s="103" t="s">
        <v>4679</v>
      </c>
      <c r="H1613" s="103" t="s">
        <v>9579</v>
      </c>
      <c r="I1613" s="103">
        <v>3616639.0</v>
      </c>
      <c r="J1613" s="104" t="s">
        <v>9580</v>
      </c>
      <c r="K1613" s="105"/>
      <c r="L1613" s="105"/>
    </row>
    <row r="1614">
      <c r="A1614" s="103" t="s">
        <v>4676</v>
      </c>
      <c r="B1614" s="103">
        <v>1.10011773201E11</v>
      </c>
      <c r="C1614" s="105"/>
      <c r="D1614" s="104" t="s">
        <v>9581</v>
      </c>
      <c r="E1614" s="104" t="s">
        <v>9582</v>
      </c>
      <c r="F1614" s="103" t="s">
        <v>4678</v>
      </c>
      <c r="G1614" s="103" t="s">
        <v>4679</v>
      </c>
      <c r="H1614" s="103" t="s">
        <v>9583</v>
      </c>
      <c r="I1614" s="103">
        <v>3616639.0</v>
      </c>
      <c r="J1614" s="104" t="s">
        <v>9580</v>
      </c>
      <c r="K1614" s="105"/>
      <c r="L1614" s="105"/>
    </row>
    <row r="1615">
      <c r="A1615" s="103" t="s">
        <v>4676</v>
      </c>
      <c r="B1615" s="103">
        <v>1.100117738E9</v>
      </c>
      <c r="C1615" s="105"/>
      <c r="D1615" s="104" t="s">
        <v>9584</v>
      </c>
      <c r="E1615" s="104" t="s">
        <v>9585</v>
      </c>
      <c r="F1615" s="103" t="s">
        <v>4678</v>
      </c>
      <c r="G1615" s="103" t="s">
        <v>4679</v>
      </c>
      <c r="H1615" s="103" t="s">
        <v>9586</v>
      </c>
      <c r="I1615" s="103" t="s">
        <v>9587</v>
      </c>
      <c r="J1615" s="104" t="s">
        <v>9588</v>
      </c>
      <c r="K1615" s="105"/>
      <c r="L1615" s="105"/>
    </row>
    <row r="1616">
      <c r="A1616" s="103" t="s">
        <v>4676</v>
      </c>
      <c r="B1616" s="103">
        <v>1.10011773801E11</v>
      </c>
      <c r="C1616" s="105"/>
      <c r="D1616" s="104" t="s">
        <v>9589</v>
      </c>
      <c r="E1616" s="104" t="s">
        <v>9590</v>
      </c>
      <c r="F1616" s="103" t="s">
        <v>4678</v>
      </c>
      <c r="G1616" s="103" t="s">
        <v>4679</v>
      </c>
      <c r="H1616" s="103" t="s">
        <v>9591</v>
      </c>
      <c r="I1616" s="103">
        <v>3.016062749E9</v>
      </c>
      <c r="J1616" s="104" t="s">
        <v>9588</v>
      </c>
      <c r="K1616" s="105"/>
      <c r="L1616" s="105"/>
    </row>
    <row r="1617">
      <c r="A1617" s="103" t="s">
        <v>4676</v>
      </c>
      <c r="B1617" s="103">
        <v>1.10011773802E11</v>
      </c>
      <c r="C1617" s="105"/>
      <c r="D1617" s="104" t="s">
        <v>9592</v>
      </c>
      <c r="E1617" s="104" t="s">
        <v>9593</v>
      </c>
      <c r="F1617" s="103" t="s">
        <v>4678</v>
      </c>
      <c r="G1617" s="103" t="s">
        <v>4679</v>
      </c>
      <c r="H1617" s="103" t="s">
        <v>9594</v>
      </c>
      <c r="I1617" s="103">
        <v>6293029.0</v>
      </c>
      <c r="J1617" s="104" t="s">
        <v>9588</v>
      </c>
      <c r="K1617" s="105"/>
      <c r="L1617" s="105"/>
    </row>
    <row r="1618">
      <c r="A1618" s="103" t="s">
        <v>4676</v>
      </c>
      <c r="B1618" s="103">
        <v>1.100117744E9</v>
      </c>
      <c r="C1618" s="105"/>
      <c r="D1618" s="104" t="s">
        <v>9595</v>
      </c>
      <c r="E1618" s="104" t="s">
        <v>9596</v>
      </c>
      <c r="F1618" s="103" t="s">
        <v>4678</v>
      </c>
      <c r="G1618" s="103" t="s">
        <v>4679</v>
      </c>
      <c r="H1618" s="103" t="s">
        <v>9597</v>
      </c>
      <c r="I1618" s="103">
        <v>6782077.0</v>
      </c>
      <c r="J1618" s="104" t="s">
        <v>9598</v>
      </c>
      <c r="K1618" s="105"/>
      <c r="L1618" s="105"/>
    </row>
    <row r="1619">
      <c r="A1619" s="103" t="s">
        <v>4676</v>
      </c>
      <c r="B1619" s="103">
        <v>1.10011774401E11</v>
      </c>
      <c r="C1619" s="105"/>
      <c r="D1619" s="104" t="s">
        <v>9599</v>
      </c>
      <c r="E1619" s="104" t="s">
        <v>9596</v>
      </c>
      <c r="F1619" s="103" t="s">
        <v>4678</v>
      </c>
      <c r="G1619" s="103" t="s">
        <v>4679</v>
      </c>
      <c r="H1619" s="103" t="s">
        <v>9600</v>
      </c>
      <c r="I1619" s="103">
        <v>6782077.0</v>
      </c>
      <c r="J1619" s="104" t="s">
        <v>9598</v>
      </c>
      <c r="K1619" s="105"/>
      <c r="L1619" s="105"/>
    </row>
    <row r="1620">
      <c r="A1620" s="103" t="s">
        <v>4676</v>
      </c>
      <c r="B1620" s="103">
        <v>1.10011774402E11</v>
      </c>
      <c r="C1620" s="105"/>
      <c r="D1620" s="104" t="s">
        <v>9601</v>
      </c>
      <c r="E1620" s="104" t="s">
        <v>9596</v>
      </c>
      <c r="F1620" s="103" t="s">
        <v>4678</v>
      </c>
      <c r="G1620" s="103" t="s">
        <v>4679</v>
      </c>
      <c r="H1620" s="103" t="s">
        <v>9602</v>
      </c>
      <c r="I1620" s="103">
        <v>2126480.0</v>
      </c>
      <c r="J1620" s="104" t="s">
        <v>9598</v>
      </c>
      <c r="K1620" s="105"/>
      <c r="L1620" s="105"/>
    </row>
    <row r="1621">
      <c r="A1621" s="103" t="s">
        <v>4676</v>
      </c>
      <c r="B1621" s="103">
        <v>1.10011774404E11</v>
      </c>
      <c r="C1621" s="105"/>
      <c r="D1621" s="104" t="s">
        <v>9601</v>
      </c>
      <c r="E1621" s="104" t="s">
        <v>9596</v>
      </c>
      <c r="F1621" s="103" t="s">
        <v>4678</v>
      </c>
      <c r="G1621" s="103" t="s">
        <v>4679</v>
      </c>
      <c r="H1621" s="103" t="s">
        <v>9603</v>
      </c>
      <c r="I1621" s="103">
        <v>6270897.0</v>
      </c>
      <c r="J1621" s="104" t="s">
        <v>9598</v>
      </c>
      <c r="K1621" s="105"/>
      <c r="L1621" s="105"/>
    </row>
    <row r="1622">
      <c r="A1622" s="103" t="s">
        <v>4676</v>
      </c>
      <c r="B1622" s="103">
        <v>1.10011774405E11</v>
      </c>
      <c r="C1622" s="105"/>
      <c r="D1622" s="104" t="s">
        <v>9601</v>
      </c>
      <c r="E1622" s="104" t="s">
        <v>9596</v>
      </c>
      <c r="F1622" s="103" t="s">
        <v>4678</v>
      </c>
      <c r="G1622" s="103" t="s">
        <v>4679</v>
      </c>
      <c r="H1622" s="103" t="s">
        <v>9604</v>
      </c>
      <c r="I1622" s="103">
        <v>2306814.0</v>
      </c>
      <c r="J1622" s="104" t="s">
        <v>9598</v>
      </c>
      <c r="K1622" s="105"/>
      <c r="L1622" s="105"/>
    </row>
    <row r="1623">
      <c r="A1623" s="103" t="s">
        <v>4676</v>
      </c>
      <c r="B1623" s="103">
        <v>1.10011774407E11</v>
      </c>
      <c r="C1623" s="105"/>
      <c r="D1623" s="104" t="s">
        <v>9601</v>
      </c>
      <c r="E1623" s="104" t="s">
        <v>9596</v>
      </c>
      <c r="F1623" s="103" t="s">
        <v>4678</v>
      </c>
      <c r="G1623" s="103" t="s">
        <v>4679</v>
      </c>
      <c r="H1623" s="103" t="s">
        <v>9605</v>
      </c>
      <c r="I1623" s="103">
        <v>6200585.0</v>
      </c>
      <c r="J1623" s="104" t="s">
        <v>9598</v>
      </c>
      <c r="K1623" s="105"/>
      <c r="L1623" s="105"/>
    </row>
    <row r="1624">
      <c r="A1624" s="103" t="s">
        <v>4676</v>
      </c>
      <c r="B1624" s="103">
        <v>1.10011774408E11</v>
      </c>
      <c r="C1624" s="105"/>
      <c r="D1624" s="104" t="s">
        <v>9599</v>
      </c>
      <c r="E1624" s="104" t="s">
        <v>9596</v>
      </c>
      <c r="F1624" s="103" t="s">
        <v>4678</v>
      </c>
      <c r="G1624" s="103" t="s">
        <v>4679</v>
      </c>
      <c r="H1624" s="103" t="s">
        <v>9606</v>
      </c>
      <c r="I1624" s="103">
        <v>7609470.0</v>
      </c>
      <c r="J1624" s="104" t="s">
        <v>9598</v>
      </c>
      <c r="K1624" s="105"/>
      <c r="L1624" s="105"/>
    </row>
    <row r="1625">
      <c r="A1625" s="103" t="s">
        <v>4676</v>
      </c>
      <c r="B1625" s="103">
        <v>1.10011774416E11</v>
      </c>
      <c r="C1625" s="105"/>
      <c r="D1625" s="104" t="s">
        <v>9601</v>
      </c>
      <c r="E1625" s="104" t="s">
        <v>9596</v>
      </c>
      <c r="F1625" s="103" t="s">
        <v>4678</v>
      </c>
      <c r="G1625" s="103" t="s">
        <v>4679</v>
      </c>
      <c r="H1625" s="103" t="s">
        <v>9607</v>
      </c>
      <c r="I1625" s="103">
        <v>4500630.0</v>
      </c>
      <c r="J1625" s="104" t="s">
        <v>9598</v>
      </c>
      <c r="K1625" s="105"/>
      <c r="L1625" s="105"/>
    </row>
    <row r="1626">
      <c r="A1626" s="103" t="s">
        <v>4676</v>
      </c>
      <c r="B1626" s="103">
        <v>1.10011774421E11</v>
      </c>
      <c r="C1626" s="105"/>
      <c r="D1626" s="104" t="s">
        <v>9601</v>
      </c>
      <c r="E1626" s="104" t="s">
        <v>9608</v>
      </c>
      <c r="F1626" s="103" t="s">
        <v>4678</v>
      </c>
      <c r="G1626" s="103" t="s">
        <v>4679</v>
      </c>
      <c r="H1626" s="103" t="s">
        <v>9609</v>
      </c>
      <c r="I1626" s="103">
        <v>7045152.0</v>
      </c>
      <c r="J1626" s="104" t="s">
        <v>9598</v>
      </c>
      <c r="K1626" s="105"/>
      <c r="L1626" s="105"/>
    </row>
    <row r="1627">
      <c r="A1627" s="103" t="s">
        <v>4676</v>
      </c>
      <c r="B1627" s="103">
        <v>1.10011774423E11</v>
      </c>
      <c r="C1627" s="105"/>
      <c r="D1627" s="104" t="s">
        <v>9601</v>
      </c>
      <c r="E1627" s="104" t="s">
        <v>9596</v>
      </c>
      <c r="F1627" s="103" t="s">
        <v>4678</v>
      </c>
      <c r="G1627" s="103" t="s">
        <v>4679</v>
      </c>
      <c r="H1627" s="103" t="s">
        <v>9610</v>
      </c>
      <c r="I1627" s="103">
        <v>7691581.0</v>
      </c>
      <c r="J1627" s="104" t="s">
        <v>9598</v>
      </c>
      <c r="K1627" s="105"/>
      <c r="L1627" s="105"/>
    </row>
    <row r="1628">
      <c r="A1628" s="103" t="s">
        <v>4676</v>
      </c>
      <c r="B1628" s="103">
        <v>1.10011774424E11</v>
      </c>
      <c r="C1628" s="105"/>
      <c r="D1628" s="104" t="s">
        <v>9601</v>
      </c>
      <c r="E1628" s="104" t="s">
        <v>9596</v>
      </c>
      <c r="F1628" s="103" t="s">
        <v>4678</v>
      </c>
      <c r="G1628" s="103" t="s">
        <v>4679</v>
      </c>
      <c r="H1628" s="103" t="s">
        <v>9611</v>
      </c>
      <c r="I1628" s="103">
        <v>7495619.0</v>
      </c>
      <c r="J1628" s="104" t="s">
        <v>9598</v>
      </c>
      <c r="K1628" s="105"/>
      <c r="L1628" s="105"/>
    </row>
    <row r="1629">
      <c r="A1629" s="103" t="s">
        <v>4676</v>
      </c>
      <c r="B1629" s="103">
        <v>1.100117745E9</v>
      </c>
      <c r="C1629" s="105"/>
      <c r="D1629" s="104" t="s">
        <v>9612</v>
      </c>
      <c r="E1629" s="104" t="s">
        <v>9613</v>
      </c>
      <c r="F1629" s="103" t="s">
        <v>4678</v>
      </c>
      <c r="G1629" s="103" t="s">
        <v>4679</v>
      </c>
      <c r="H1629" s="103" t="s">
        <v>9614</v>
      </c>
      <c r="I1629" s="103" t="s">
        <v>9615</v>
      </c>
      <c r="J1629" s="104" t="s">
        <v>9616</v>
      </c>
      <c r="K1629" s="105"/>
      <c r="L1629" s="105"/>
    </row>
    <row r="1630">
      <c r="A1630" s="103" t="s">
        <v>4676</v>
      </c>
      <c r="B1630" s="103">
        <v>1.10011774501E11</v>
      </c>
      <c r="C1630" s="105"/>
      <c r="D1630" s="104" t="s">
        <v>9612</v>
      </c>
      <c r="E1630" s="104" t="s">
        <v>9613</v>
      </c>
      <c r="F1630" s="103" t="s">
        <v>4678</v>
      </c>
      <c r="G1630" s="103" t="s">
        <v>4679</v>
      </c>
      <c r="H1630" s="103" t="s">
        <v>9617</v>
      </c>
      <c r="I1630" s="103" t="s">
        <v>9615</v>
      </c>
      <c r="J1630" s="104" t="s">
        <v>9616</v>
      </c>
      <c r="K1630" s="105"/>
      <c r="L1630" s="105"/>
    </row>
    <row r="1631">
      <c r="A1631" s="103" t="s">
        <v>4676</v>
      </c>
      <c r="B1631" s="103">
        <v>1.100117751E9</v>
      </c>
      <c r="C1631" s="105"/>
      <c r="D1631" s="104" t="s">
        <v>9618</v>
      </c>
      <c r="E1631" s="104" t="s">
        <v>9619</v>
      </c>
      <c r="F1631" s="103" t="s">
        <v>4678</v>
      </c>
      <c r="G1631" s="103" t="s">
        <v>4679</v>
      </c>
      <c r="H1631" s="103" t="s">
        <v>9620</v>
      </c>
      <c r="I1631" s="103" t="s">
        <v>9621</v>
      </c>
      <c r="J1631" s="104" t="s">
        <v>9622</v>
      </c>
      <c r="K1631" s="105"/>
      <c r="L1631" s="105"/>
    </row>
    <row r="1632">
      <c r="A1632" s="103" t="s">
        <v>4676</v>
      </c>
      <c r="B1632" s="103">
        <v>1.10011775101E11</v>
      </c>
      <c r="C1632" s="105"/>
      <c r="D1632" s="104" t="s">
        <v>9623</v>
      </c>
      <c r="E1632" s="104" t="s">
        <v>9619</v>
      </c>
      <c r="F1632" s="103" t="s">
        <v>4678</v>
      </c>
      <c r="G1632" s="103" t="s">
        <v>4679</v>
      </c>
      <c r="H1632" s="103" t="s">
        <v>9624</v>
      </c>
      <c r="I1632" s="103" t="s">
        <v>9625</v>
      </c>
      <c r="J1632" s="104" t="s">
        <v>9622</v>
      </c>
      <c r="K1632" s="105"/>
      <c r="L1632" s="105"/>
    </row>
    <row r="1633">
      <c r="A1633" s="103" t="s">
        <v>4676</v>
      </c>
      <c r="B1633" s="103">
        <v>1.10011775102E11</v>
      </c>
      <c r="C1633" s="105"/>
      <c r="D1633" s="104" t="s">
        <v>9623</v>
      </c>
      <c r="E1633" s="104" t="s">
        <v>9619</v>
      </c>
      <c r="F1633" s="103" t="s">
        <v>4678</v>
      </c>
      <c r="G1633" s="103" t="s">
        <v>4679</v>
      </c>
      <c r="H1633" s="103" t="s">
        <v>9626</v>
      </c>
      <c r="I1633" s="103" t="s">
        <v>9621</v>
      </c>
      <c r="J1633" s="104" t="s">
        <v>9622</v>
      </c>
      <c r="K1633" s="105"/>
      <c r="L1633" s="105"/>
    </row>
    <row r="1634">
      <c r="A1634" s="103" t="s">
        <v>4676</v>
      </c>
      <c r="B1634" s="103">
        <v>1.10011776E9</v>
      </c>
      <c r="C1634" s="105"/>
      <c r="D1634" s="104" t="s">
        <v>9627</v>
      </c>
      <c r="E1634" s="104" t="s">
        <v>6733</v>
      </c>
      <c r="F1634" s="103" t="s">
        <v>4678</v>
      </c>
      <c r="G1634" s="103" t="s">
        <v>4679</v>
      </c>
      <c r="H1634" s="103" t="s">
        <v>9628</v>
      </c>
      <c r="I1634" s="103">
        <v>7561822.0</v>
      </c>
      <c r="J1634" s="104" t="s">
        <v>9629</v>
      </c>
      <c r="K1634" s="107" t="s">
        <v>9630</v>
      </c>
      <c r="L1634" s="105"/>
    </row>
    <row r="1635">
      <c r="A1635" s="103" t="s">
        <v>4676</v>
      </c>
      <c r="B1635" s="103">
        <v>1.10011776001E11</v>
      </c>
      <c r="C1635" s="105"/>
      <c r="D1635" s="104" t="s">
        <v>9631</v>
      </c>
      <c r="E1635" s="104" t="s">
        <v>9632</v>
      </c>
      <c r="F1635" s="103" t="s">
        <v>4678</v>
      </c>
      <c r="G1635" s="103" t="s">
        <v>4679</v>
      </c>
      <c r="H1635" s="103" t="s">
        <v>9628</v>
      </c>
      <c r="I1635" s="103">
        <v>7561822.0</v>
      </c>
      <c r="J1635" s="104" t="s">
        <v>9629</v>
      </c>
      <c r="K1635" s="105"/>
      <c r="L1635" s="105"/>
    </row>
    <row r="1636">
      <c r="A1636" s="103" t="s">
        <v>4676</v>
      </c>
      <c r="B1636" s="103">
        <v>1.100117761E9</v>
      </c>
      <c r="C1636" s="105"/>
      <c r="D1636" s="104" t="s">
        <v>9633</v>
      </c>
      <c r="E1636" s="104" t="s">
        <v>9634</v>
      </c>
      <c r="F1636" s="103" t="s">
        <v>4678</v>
      </c>
      <c r="G1636" s="103" t="s">
        <v>4679</v>
      </c>
      <c r="H1636" s="103" t="s">
        <v>9635</v>
      </c>
      <c r="I1636" s="103" t="s">
        <v>9636</v>
      </c>
      <c r="J1636" s="104" t="s">
        <v>9637</v>
      </c>
      <c r="K1636" s="105"/>
      <c r="L1636" s="105"/>
    </row>
    <row r="1637">
      <c r="A1637" s="103" t="s">
        <v>4676</v>
      </c>
      <c r="B1637" s="103">
        <v>1.10011776101E11</v>
      </c>
      <c r="C1637" s="105"/>
      <c r="D1637" s="104" t="s">
        <v>9638</v>
      </c>
      <c r="E1637" s="104" t="s">
        <v>9634</v>
      </c>
      <c r="F1637" s="103" t="s">
        <v>4678</v>
      </c>
      <c r="G1637" s="103" t="s">
        <v>4679</v>
      </c>
      <c r="H1637" s="103" t="s">
        <v>9635</v>
      </c>
      <c r="I1637" s="103" t="s">
        <v>9636</v>
      </c>
      <c r="J1637" s="104" t="s">
        <v>9637</v>
      </c>
      <c r="K1637" s="105"/>
      <c r="L1637" s="105"/>
    </row>
    <row r="1638">
      <c r="A1638" s="103" t="s">
        <v>4676</v>
      </c>
      <c r="B1638" s="103">
        <v>1.100117766E9</v>
      </c>
      <c r="C1638" s="105"/>
      <c r="D1638" s="104" t="s">
        <v>9639</v>
      </c>
      <c r="E1638" s="106"/>
      <c r="F1638" s="103" t="s">
        <v>4678</v>
      </c>
      <c r="G1638" s="103" t="s">
        <v>4679</v>
      </c>
      <c r="H1638" s="103" t="s">
        <v>9640</v>
      </c>
      <c r="I1638" s="103" t="s">
        <v>9641</v>
      </c>
      <c r="J1638" s="104" t="s">
        <v>9642</v>
      </c>
      <c r="K1638" s="105"/>
      <c r="L1638" s="105"/>
    </row>
    <row r="1639">
      <c r="A1639" s="103" t="s">
        <v>4676</v>
      </c>
      <c r="B1639" s="103">
        <v>1.10011776601E11</v>
      </c>
      <c r="C1639" s="105"/>
      <c r="D1639" s="104" t="s">
        <v>9643</v>
      </c>
      <c r="E1639" s="104" t="s">
        <v>9644</v>
      </c>
      <c r="F1639" s="103" t="s">
        <v>4678</v>
      </c>
      <c r="G1639" s="103" t="s">
        <v>4679</v>
      </c>
      <c r="H1639" s="103" t="s">
        <v>9640</v>
      </c>
      <c r="I1639" s="103" t="s">
        <v>9641</v>
      </c>
      <c r="J1639" s="104" t="s">
        <v>9642</v>
      </c>
      <c r="K1639" s="105"/>
      <c r="L1639" s="105"/>
    </row>
    <row r="1640">
      <c r="A1640" s="103" t="s">
        <v>4676</v>
      </c>
      <c r="B1640" s="103">
        <v>1.100117778E9</v>
      </c>
      <c r="C1640" s="105"/>
      <c r="D1640" s="104" t="s">
        <v>9645</v>
      </c>
      <c r="E1640" s="104" t="s">
        <v>9646</v>
      </c>
      <c r="F1640" s="103" t="s">
        <v>4678</v>
      </c>
      <c r="G1640" s="103" t="s">
        <v>4679</v>
      </c>
      <c r="H1640" s="103" t="s">
        <v>9647</v>
      </c>
      <c r="I1640" s="103">
        <v>2454340.0</v>
      </c>
      <c r="J1640" s="104" t="s">
        <v>9648</v>
      </c>
      <c r="K1640" s="105"/>
      <c r="L1640" s="105"/>
    </row>
    <row r="1641">
      <c r="A1641" s="103" t="s">
        <v>4676</v>
      </c>
      <c r="B1641" s="103">
        <v>1.10011777801E11</v>
      </c>
      <c r="C1641" s="105"/>
      <c r="D1641" s="104" t="s">
        <v>9649</v>
      </c>
      <c r="E1641" s="104" t="s">
        <v>9650</v>
      </c>
      <c r="F1641" s="103" t="s">
        <v>4678</v>
      </c>
      <c r="G1641" s="103" t="s">
        <v>4679</v>
      </c>
      <c r="H1641" s="103" t="s">
        <v>9647</v>
      </c>
      <c r="I1641" s="103">
        <v>2454340.0</v>
      </c>
      <c r="J1641" s="104" t="s">
        <v>9648</v>
      </c>
      <c r="K1641" s="105"/>
      <c r="L1641" s="105"/>
    </row>
    <row r="1642">
      <c r="A1642" s="103" t="s">
        <v>4676</v>
      </c>
      <c r="B1642" s="103">
        <v>1.100117786E9</v>
      </c>
      <c r="C1642" s="105"/>
      <c r="D1642" s="104" t="s">
        <v>9651</v>
      </c>
      <c r="E1642" s="104" t="s">
        <v>9652</v>
      </c>
      <c r="F1642" s="103" t="s">
        <v>4678</v>
      </c>
      <c r="G1642" s="103" t="s">
        <v>4679</v>
      </c>
      <c r="H1642" s="103" t="s">
        <v>9653</v>
      </c>
      <c r="I1642" s="103">
        <v>3099878.0</v>
      </c>
      <c r="J1642" s="104" t="s">
        <v>9654</v>
      </c>
      <c r="K1642" s="105"/>
      <c r="L1642" s="105"/>
    </row>
    <row r="1643">
      <c r="A1643" s="103" t="s">
        <v>4676</v>
      </c>
      <c r="B1643" s="103">
        <v>1.10011778601E11</v>
      </c>
      <c r="C1643" s="105"/>
      <c r="D1643" s="104" t="s">
        <v>9655</v>
      </c>
      <c r="E1643" s="104" t="s">
        <v>9652</v>
      </c>
      <c r="F1643" s="103" t="s">
        <v>4678</v>
      </c>
      <c r="G1643" s="103" t="s">
        <v>4679</v>
      </c>
      <c r="H1643" s="103" t="s">
        <v>9656</v>
      </c>
      <c r="I1643" s="103">
        <v>3099878.0</v>
      </c>
      <c r="J1643" s="104" t="s">
        <v>9654</v>
      </c>
      <c r="K1643" s="105"/>
      <c r="L1643" s="105"/>
    </row>
    <row r="1644">
      <c r="A1644" s="103" t="s">
        <v>4676</v>
      </c>
      <c r="B1644" s="103">
        <v>1.100117792E9</v>
      </c>
      <c r="C1644" s="105"/>
      <c r="D1644" s="104" t="s">
        <v>9657</v>
      </c>
      <c r="E1644" s="104" t="s">
        <v>9658</v>
      </c>
      <c r="F1644" s="103" t="s">
        <v>4678</v>
      </c>
      <c r="G1644" s="103" t="s">
        <v>4679</v>
      </c>
      <c r="H1644" s="103" t="s">
        <v>9659</v>
      </c>
      <c r="I1644" s="103">
        <v>3.187996751E9</v>
      </c>
      <c r="J1644" s="104" t="s">
        <v>9660</v>
      </c>
      <c r="K1644" s="105"/>
      <c r="L1644" s="105"/>
    </row>
    <row r="1645">
      <c r="A1645" s="103" t="s">
        <v>4676</v>
      </c>
      <c r="B1645" s="103">
        <v>1.10011779201E11</v>
      </c>
      <c r="C1645" s="105"/>
      <c r="D1645" s="104" t="s">
        <v>9661</v>
      </c>
      <c r="E1645" s="104" t="s">
        <v>9662</v>
      </c>
      <c r="F1645" s="103" t="s">
        <v>4678</v>
      </c>
      <c r="G1645" s="103" t="s">
        <v>4679</v>
      </c>
      <c r="H1645" s="103" t="s">
        <v>9659</v>
      </c>
      <c r="I1645" s="103">
        <v>3.187996751E9</v>
      </c>
      <c r="J1645" s="104" t="s">
        <v>9660</v>
      </c>
      <c r="K1645" s="105"/>
      <c r="L1645" s="105"/>
    </row>
    <row r="1646">
      <c r="A1646" s="103" t="s">
        <v>4676</v>
      </c>
      <c r="B1646" s="103">
        <v>1.100117837E9</v>
      </c>
      <c r="C1646" s="105"/>
      <c r="D1646" s="104" t="s">
        <v>9663</v>
      </c>
      <c r="E1646" s="104" t="s">
        <v>9664</v>
      </c>
      <c r="F1646" s="103" t="s">
        <v>4678</v>
      </c>
      <c r="G1646" s="103" t="s">
        <v>4679</v>
      </c>
      <c r="H1646" s="103" t="s">
        <v>9665</v>
      </c>
      <c r="I1646" s="103">
        <v>3.138449775E9</v>
      </c>
      <c r="J1646" s="104" t="s">
        <v>9666</v>
      </c>
      <c r="K1646" s="105"/>
      <c r="L1646" s="105"/>
    </row>
    <row r="1647">
      <c r="A1647" s="103" t="s">
        <v>4676</v>
      </c>
      <c r="B1647" s="103">
        <v>1.10011783701E11</v>
      </c>
      <c r="C1647" s="105"/>
      <c r="D1647" s="104" t="s">
        <v>9667</v>
      </c>
      <c r="E1647" s="104" t="s">
        <v>9668</v>
      </c>
      <c r="F1647" s="103" t="s">
        <v>4678</v>
      </c>
      <c r="G1647" s="103" t="s">
        <v>4679</v>
      </c>
      <c r="H1647" s="103" t="s">
        <v>9665</v>
      </c>
      <c r="I1647" s="103">
        <v>3.138449775E9</v>
      </c>
      <c r="J1647" s="104" t="s">
        <v>9666</v>
      </c>
      <c r="K1647" s="105"/>
      <c r="L1647" s="105"/>
    </row>
    <row r="1648">
      <c r="A1648" s="103" t="s">
        <v>4676</v>
      </c>
      <c r="B1648" s="103">
        <v>1.100117845E9</v>
      </c>
      <c r="C1648" s="105"/>
      <c r="D1648" s="104" t="s">
        <v>9669</v>
      </c>
      <c r="E1648" s="104" t="s">
        <v>9670</v>
      </c>
      <c r="F1648" s="103" t="s">
        <v>4678</v>
      </c>
      <c r="G1648" s="103" t="s">
        <v>4679</v>
      </c>
      <c r="H1648" s="103" t="s">
        <v>9671</v>
      </c>
      <c r="I1648" s="103">
        <v>6819849.0</v>
      </c>
      <c r="J1648" s="104" t="s">
        <v>9672</v>
      </c>
      <c r="K1648" s="105"/>
      <c r="L1648" s="105"/>
    </row>
    <row r="1649">
      <c r="A1649" s="103" t="s">
        <v>4676</v>
      </c>
      <c r="B1649" s="103">
        <v>1.10011784501E11</v>
      </c>
      <c r="C1649" s="105"/>
      <c r="D1649" s="104" t="s">
        <v>9669</v>
      </c>
      <c r="E1649" s="104" t="s">
        <v>9670</v>
      </c>
      <c r="F1649" s="103" t="s">
        <v>4678</v>
      </c>
      <c r="G1649" s="103" t="s">
        <v>4679</v>
      </c>
      <c r="H1649" s="103" t="s">
        <v>9671</v>
      </c>
      <c r="I1649" s="103">
        <v>6819849.0</v>
      </c>
      <c r="J1649" s="104" t="s">
        <v>9672</v>
      </c>
      <c r="K1649" s="105"/>
      <c r="L1649" s="105"/>
    </row>
    <row r="1650">
      <c r="A1650" s="103" t="s">
        <v>4676</v>
      </c>
      <c r="B1650" s="103">
        <v>1.10011784502E11</v>
      </c>
      <c r="C1650" s="105"/>
      <c r="D1650" s="104" t="s">
        <v>9669</v>
      </c>
      <c r="E1650" s="104" t="s">
        <v>9670</v>
      </c>
      <c r="F1650" s="103" t="s">
        <v>4678</v>
      </c>
      <c r="G1650" s="103" t="s">
        <v>4679</v>
      </c>
      <c r="H1650" s="103" t="s">
        <v>9673</v>
      </c>
      <c r="I1650" s="103">
        <v>6819849.0</v>
      </c>
      <c r="J1650" s="104" t="s">
        <v>9672</v>
      </c>
      <c r="K1650" s="105"/>
      <c r="L1650" s="105"/>
    </row>
    <row r="1651">
      <c r="A1651" s="103" t="s">
        <v>4676</v>
      </c>
      <c r="B1651" s="103">
        <v>1.100117849E9</v>
      </c>
      <c r="C1651" s="105"/>
      <c r="D1651" s="104" t="s">
        <v>9674</v>
      </c>
      <c r="E1651" s="104" t="s">
        <v>9675</v>
      </c>
      <c r="F1651" s="103" t="s">
        <v>4678</v>
      </c>
      <c r="G1651" s="103" t="s">
        <v>4679</v>
      </c>
      <c r="H1651" s="103" t="s">
        <v>9676</v>
      </c>
      <c r="I1651" s="103">
        <v>3.158937528E9</v>
      </c>
      <c r="J1651" s="104" t="s">
        <v>9677</v>
      </c>
      <c r="K1651" s="105"/>
      <c r="L1651" s="105"/>
    </row>
    <row r="1652">
      <c r="A1652" s="103" t="s">
        <v>4676</v>
      </c>
      <c r="B1652" s="103">
        <v>1.10011784901E11</v>
      </c>
      <c r="C1652" s="105"/>
      <c r="D1652" s="104" t="s">
        <v>9674</v>
      </c>
      <c r="E1652" s="104" t="s">
        <v>9678</v>
      </c>
      <c r="F1652" s="103" t="s">
        <v>4678</v>
      </c>
      <c r="G1652" s="103" t="s">
        <v>4679</v>
      </c>
      <c r="H1652" s="103" t="s">
        <v>9676</v>
      </c>
      <c r="I1652" s="103">
        <v>6347499.0</v>
      </c>
      <c r="J1652" s="104" t="s">
        <v>9677</v>
      </c>
      <c r="K1652" s="105"/>
      <c r="L1652" s="105"/>
    </row>
    <row r="1653">
      <c r="A1653" s="103" t="s">
        <v>4676</v>
      </c>
      <c r="B1653" s="103">
        <v>1.100117852E9</v>
      </c>
      <c r="C1653" s="105"/>
      <c r="D1653" s="104" t="s">
        <v>9679</v>
      </c>
      <c r="E1653" s="104" t="s">
        <v>9680</v>
      </c>
      <c r="F1653" s="103" t="s">
        <v>4678</v>
      </c>
      <c r="G1653" s="103" t="s">
        <v>4679</v>
      </c>
      <c r="H1653" s="103" t="s">
        <v>9681</v>
      </c>
      <c r="I1653" s="103">
        <v>2556167.0</v>
      </c>
      <c r="J1653" s="104" t="s">
        <v>9682</v>
      </c>
      <c r="K1653" s="107" t="s">
        <v>9683</v>
      </c>
      <c r="L1653" s="105"/>
    </row>
    <row r="1654">
      <c r="A1654" s="103" t="s">
        <v>4676</v>
      </c>
      <c r="B1654" s="103">
        <v>1.10011785201E11</v>
      </c>
      <c r="C1654" s="105"/>
      <c r="D1654" s="104" t="s">
        <v>9679</v>
      </c>
      <c r="E1654" s="104" t="s">
        <v>9680</v>
      </c>
      <c r="F1654" s="103" t="s">
        <v>4678</v>
      </c>
      <c r="G1654" s="103" t="s">
        <v>4679</v>
      </c>
      <c r="H1654" s="103" t="s">
        <v>9681</v>
      </c>
      <c r="I1654" s="103">
        <v>2556167.0</v>
      </c>
      <c r="J1654" s="104" t="s">
        <v>9682</v>
      </c>
      <c r="K1654" s="105"/>
      <c r="L1654" s="105"/>
    </row>
    <row r="1655">
      <c r="A1655" s="103" t="s">
        <v>4676</v>
      </c>
      <c r="B1655" s="103">
        <v>1.100117858E9</v>
      </c>
      <c r="C1655" s="105"/>
      <c r="D1655" s="104" t="s">
        <v>9684</v>
      </c>
      <c r="E1655" s="106"/>
      <c r="F1655" s="103" t="s">
        <v>4678</v>
      </c>
      <c r="G1655" s="103" t="s">
        <v>4679</v>
      </c>
      <c r="H1655" s="103" t="s">
        <v>9685</v>
      </c>
      <c r="I1655" s="103" t="s">
        <v>9686</v>
      </c>
      <c r="J1655" s="104" t="s">
        <v>9687</v>
      </c>
      <c r="K1655" s="107" t="s">
        <v>9688</v>
      </c>
      <c r="L1655" s="105"/>
    </row>
    <row r="1656">
      <c r="A1656" s="103" t="s">
        <v>4676</v>
      </c>
      <c r="B1656" s="103">
        <v>1.10011785801E11</v>
      </c>
      <c r="C1656" s="105"/>
      <c r="D1656" s="104" t="s">
        <v>9689</v>
      </c>
      <c r="E1656" s="104" t="s">
        <v>4683</v>
      </c>
      <c r="F1656" s="103" t="s">
        <v>4678</v>
      </c>
      <c r="G1656" s="103" t="s">
        <v>4679</v>
      </c>
      <c r="H1656" s="103" t="s">
        <v>9685</v>
      </c>
      <c r="I1656" s="103" t="s">
        <v>9686</v>
      </c>
      <c r="J1656" s="104" t="s">
        <v>9687</v>
      </c>
      <c r="K1656" s="107" t="s">
        <v>9688</v>
      </c>
      <c r="L1656" s="105"/>
    </row>
    <row r="1657">
      <c r="A1657" s="103" t="s">
        <v>4676</v>
      </c>
      <c r="B1657" s="103">
        <v>1.10011787E9</v>
      </c>
      <c r="C1657" s="105"/>
      <c r="D1657" s="104" t="s">
        <v>9690</v>
      </c>
      <c r="E1657" s="104" t="s">
        <v>9691</v>
      </c>
      <c r="F1657" s="103" t="s">
        <v>4678</v>
      </c>
      <c r="G1657" s="103" t="s">
        <v>4679</v>
      </c>
      <c r="H1657" s="103" t="s">
        <v>9692</v>
      </c>
      <c r="I1657" s="103">
        <v>3.102842445E9</v>
      </c>
      <c r="J1657" s="104" t="s">
        <v>9693</v>
      </c>
      <c r="K1657" s="107" t="s">
        <v>9694</v>
      </c>
      <c r="L1657" s="105"/>
    </row>
    <row r="1658">
      <c r="A1658" s="103" t="s">
        <v>4676</v>
      </c>
      <c r="B1658" s="103">
        <v>1.10011787001E11</v>
      </c>
      <c r="C1658" s="105"/>
      <c r="D1658" s="104" t="s">
        <v>9690</v>
      </c>
      <c r="E1658" s="104" t="s">
        <v>9691</v>
      </c>
      <c r="F1658" s="103" t="s">
        <v>4678</v>
      </c>
      <c r="G1658" s="103" t="s">
        <v>4679</v>
      </c>
      <c r="H1658" s="103" t="s">
        <v>9695</v>
      </c>
      <c r="I1658" s="103">
        <v>3.102842445E9</v>
      </c>
      <c r="J1658" s="104" t="s">
        <v>9693</v>
      </c>
      <c r="K1658" s="105"/>
      <c r="L1658" s="105"/>
    </row>
    <row r="1659">
      <c r="A1659" s="103" t="s">
        <v>4676</v>
      </c>
      <c r="B1659" s="103">
        <v>1.100117887E9</v>
      </c>
      <c r="C1659" s="105"/>
      <c r="D1659" s="104" t="s">
        <v>9696</v>
      </c>
      <c r="E1659" s="104" t="s">
        <v>9697</v>
      </c>
      <c r="F1659" s="103" t="s">
        <v>4678</v>
      </c>
      <c r="G1659" s="103" t="s">
        <v>4679</v>
      </c>
      <c r="H1659" s="103" t="s">
        <v>9698</v>
      </c>
      <c r="I1659" s="103">
        <v>2816190.0</v>
      </c>
      <c r="J1659" s="104" t="s">
        <v>9699</v>
      </c>
      <c r="K1659" s="105"/>
      <c r="L1659" s="105"/>
    </row>
    <row r="1660">
      <c r="A1660" s="103" t="s">
        <v>4676</v>
      </c>
      <c r="B1660" s="103">
        <v>1.10011788701E11</v>
      </c>
      <c r="C1660" s="105"/>
      <c r="D1660" s="104" t="s">
        <v>9700</v>
      </c>
      <c r="E1660" s="104" t="s">
        <v>9697</v>
      </c>
      <c r="F1660" s="103" t="s">
        <v>4678</v>
      </c>
      <c r="G1660" s="103" t="s">
        <v>4679</v>
      </c>
      <c r="H1660" s="103" t="s">
        <v>9701</v>
      </c>
      <c r="I1660" s="103">
        <v>2813579.0</v>
      </c>
      <c r="J1660" s="104" t="s">
        <v>9699</v>
      </c>
      <c r="K1660" s="105"/>
      <c r="L1660" s="105"/>
    </row>
    <row r="1661">
      <c r="A1661" s="103" t="s">
        <v>4676</v>
      </c>
      <c r="B1661" s="103">
        <v>1.10011788702E11</v>
      </c>
      <c r="C1661" s="105"/>
      <c r="D1661" s="104" t="s">
        <v>9702</v>
      </c>
      <c r="E1661" s="104" t="s">
        <v>9697</v>
      </c>
      <c r="F1661" s="103" t="s">
        <v>4678</v>
      </c>
      <c r="G1661" s="103" t="s">
        <v>4679</v>
      </c>
      <c r="H1661" s="103" t="s">
        <v>9703</v>
      </c>
      <c r="I1661" s="103">
        <v>2445052.0</v>
      </c>
      <c r="J1661" s="104" t="s">
        <v>9699</v>
      </c>
      <c r="K1661" s="105"/>
      <c r="L1661" s="105"/>
    </row>
    <row r="1662">
      <c r="A1662" s="103" t="s">
        <v>4676</v>
      </c>
      <c r="B1662" s="103">
        <v>1.100117894E9</v>
      </c>
      <c r="C1662" s="105"/>
      <c r="D1662" s="104" t="s">
        <v>9704</v>
      </c>
      <c r="E1662" s="104" t="s">
        <v>9705</v>
      </c>
      <c r="F1662" s="103" t="s">
        <v>4678</v>
      </c>
      <c r="G1662" s="103" t="s">
        <v>4679</v>
      </c>
      <c r="H1662" s="103" t="s">
        <v>9706</v>
      </c>
      <c r="I1662" s="103">
        <v>2140230.0</v>
      </c>
      <c r="J1662" s="104" t="s">
        <v>9707</v>
      </c>
      <c r="K1662" s="105"/>
      <c r="L1662" s="105"/>
    </row>
    <row r="1663">
      <c r="A1663" s="103" t="s">
        <v>4676</v>
      </c>
      <c r="B1663" s="103">
        <v>1.10011789401E11</v>
      </c>
      <c r="C1663" s="105"/>
      <c r="D1663" s="104" t="s">
        <v>9704</v>
      </c>
      <c r="E1663" s="104" t="s">
        <v>9708</v>
      </c>
      <c r="F1663" s="103" t="s">
        <v>4678</v>
      </c>
      <c r="G1663" s="103" t="s">
        <v>4679</v>
      </c>
      <c r="H1663" s="103" t="s">
        <v>9709</v>
      </c>
      <c r="I1663" s="103">
        <v>2140230.0</v>
      </c>
      <c r="J1663" s="104" t="s">
        <v>9707</v>
      </c>
      <c r="K1663" s="105"/>
      <c r="L1663" s="105"/>
    </row>
    <row r="1664">
      <c r="A1664" s="103" t="s">
        <v>4676</v>
      </c>
      <c r="B1664" s="103">
        <v>1.10011791E9</v>
      </c>
      <c r="C1664" s="105"/>
      <c r="D1664" s="104" t="s">
        <v>9710</v>
      </c>
      <c r="E1664" s="104" t="s">
        <v>9711</v>
      </c>
      <c r="F1664" s="103" t="s">
        <v>4678</v>
      </c>
      <c r="G1664" s="103" t="s">
        <v>4679</v>
      </c>
      <c r="H1664" s="103" t="s">
        <v>9712</v>
      </c>
      <c r="I1664" s="103" t="s">
        <v>9713</v>
      </c>
      <c r="J1664" s="104" t="s">
        <v>9714</v>
      </c>
      <c r="K1664" s="105"/>
      <c r="L1664" s="105"/>
    </row>
    <row r="1665">
      <c r="A1665" s="103" t="s">
        <v>4676</v>
      </c>
      <c r="B1665" s="103">
        <v>1.10011791001E11</v>
      </c>
      <c r="C1665" s="105"/>
      <c r="D1665" s="104" t="s">
        <v>9710</v>
      </c>
      <c r="E1665" s="104" t="s">
        <v>9715</v>
      </c>
      <c r="F1665" s="103" t="s">
        <v>4678</v>
      </c>
      <c r="G1665" s="103" t="s">
        <v>4679</v>
      </c>
      <c r="H1665" s="103" t="s">
        <v>9712</v>
      </c>
      <c r="I1665" s="103" t="s">
        <v>9716</v>
      </c>
      <c r="J1665" s="104" t="s">
        <v>9717</v>
      </c>
      <c r="K1665" s="105"/>
      <c r="L1665" s="105"/>
    </row>
    <row r="1666">
      <c r="A1666" s="103" t="s">
        <v>4676</v>
      </c>
      <c r="B1666" s="103">
        <v>1.100117922E9</v>
      </c>
      <c r="C1666" s="105"/>
      <c r="D1666" s="104" t="s">
        <v>9718</v>
      </c>
      <c r="E1666" s="106"/>
      <c r="F1666" s="103" t="s">
        <v>4678</v>
      </c>
      <c r="G1666" s="103" t="s">
        <v>4679</v>
      </c>
      <c r="H1666" s="103" t="s">
        <v>9719</v>
      </c>
      <c r="I1666" s="103">
        <v>3837677.0</v>
      </c>
      <c r="J1666" s="104" t="s">
        <v>9720</v>
      </c>
      <c r="K1666" s="105"/>
      <c r="L1666" s="105"/>
    </row>
    <row r="1667">
      <c r="A1667" s="103" t="s">
        <v>4676</v>
      </c>
      <c r="B1667" s="103">
        <v>1.10011792201E11</v>
      </c>
      <c r="C1667" s="105"/>
      <c r="D1667" s="104" t="s">
        <v>9721</v>
      </c>
      <c r="E1667" s="104" t="s">
        <v>9722</v>
      </c>
      <c r="F1667" s="103" t="s">
        <v>4678</v>
      </c>
      <c r="G1667" s="103" t="s">
        <v>4679</v>
      </c>
      <c r="H1667" s="103" t="s">
        <v>9719</v>
      </c>
      <c r="I1667" s="103">
        <v>2119214.0</v>
      </c>
      <c r="J1667" s="104" t="s">
        <v>9720</v>
      </c>
      <c r="K1667" s="105"/>
      <c r="L1667" s="105"/>
    </row>
    <row r="1668">
      <c r="A1668" s="103" t="s">
        <v>4676</v>
      </c>
      <c r="B1668" s="103">
        <v>1.100117929E9</v>
      </c>
      <c r="C1668" s="105"/>
      <c r="D1668" s="104" t="s">
        <v>9723</v>
      </c>
      <c r="E1668" s="104" t="s">
        <v>9724</v>
      </c>
      <c r="F1668" s="103" t="s">
        <v>4678</v>
      </c>
      <c r="G1668" s="103" t="s">
        <v>4679</v>
      </c>
      <c r="H1668" s="103" t="s">
        <v>9725</v>
      </c>
      <c r="I1668" s="103">
        <v>3.103220823E9</v>
      </c>
      <c r="J1668" s="104" t="s">
        <v>9726</v>
      </c>
      <c r="K1668" s="105"/>
      <c r="L1668" s="105"/>
    </row>
    <row r="1669">
      <c r="A1669" s="103" t="s">
        <v>4676</v>
      </c>
      <c r="B1669" s="103">
        <v>1.10011792901E11</v>
      </c>
      <c r="C1669" s="105"/>
      <c r="D1669" s="104" t="s">
        <v>9727</v>
      </c>
      <c r="E1669" s="104" t="s">
        <v>9728</v>
      </c>
      <c r="F1669" s="103" t="s">
        <v>4678</v>
      </c>
      <c r="G1669" s="103" t="s">
        <v>4679</v>
      </c>
      <c r="H1669" s="103" t="s">
        <v>9725</v>
      </c>
      <c r="I1669" s="103">
        <v>3.103220823E9</v>
      </c>
      <c r="J1669" s="104" t="s">
        <v>9726</v>
      </c>
      <c r="K1669" s="105"/>
      <c r="L1669" s="105"/>
    </row>
    <row r="1670">
      <c r="A1670" s="103" t="s">
        <v>4676</v>
      </c>
      <c r="B1670" s="103">
        <v>1.10011792908E11</v>
      </c>
      <c r="C1670" s="105"/>
      <c r="D1670" s="104" t="s">
        <v>9729</v>
      </c>
      <c r="E1670" s="104" t="s">
        <v>9730</v>
      </c>
      <c r="F1670" s="103" t="s">
        <v>4678</v>
      </c>
      <c r="G1670" s="103" t="s">
        <v>4679</v>
      </c>
      <c r="H1670" s="103" t="s">
        <v>9731</v>
      </c>
      <c r="I1670" s="103">
        <v>3.103220823E9</v>
      </c>
      <c r="J1670" s="104" t="s">
        <v>9726</v>
      </c>
      <c r="K1670" s="105"/>
      <c r="L1670" s="105"/>
    </row>
    <row r="1671">
      <c r="A1671" s="103" t="s">
        <v>4676</v>
      </c>
      <c r="B1671" s="103">
        <v>1.10011793E9</v>
      </c>
      <c r="C1671" s="105"/>
      <c r="D1671" s="104" t="s">
        <v>9732</v>
      </c>
      <c r="E1671" s="106"/>
      <c r="F1671" s="103" t="s">
        <v>4678</v>
      </c>
      <c r="G1671" s="103" t="s">
        <v>4679</v>
      </c>
      <c r="H1671" s="103" t="s">
        <v>9733</v>
      </c>
      <c r="I1671" s="103" t="s">
        <v>9734</v>
      </c>
      <c r="J1671" s="104" t="s">
        <v>9735</v>
      </c>
      <c r="K1671" s="105"/>
      <c r="L1671" s="105"/>
    </row>
    <row r="1672">
      <c r="A1672" s="103" t="s">
        <v>4676</v>
      </c>
      <c r="B1672" s="103">
        <v>1.10011793002E11</v>
      </c>
      <c r="C1672" s="105"/>
      <c r="D1672" s="104" t="s">
        <v>9736</v>
      </c>
      <c r="E1672" s="104" t="s">
        <v>9737</v>
      </c>
      <c r="F1672" s="103" t="s">
        <v>4678</v>
      </c>
      <c r="G1672" s="103" t="s">
        <v>4679</v>
      </c>
      <c r="H1672" s="103" t="s">
        <v>9738</v>
      </c>
      <c r="I1672" s="103" t="s">
        <v>9739</v>
      </c>
      <c r="J1672" s="104" t="s">
        <v>9735</v>
      </c>
      <c r="K1672" s="105"/>
      <c r="L1672" s="105"/>
    </row>
    <row r="1673">
      <c r="A1673" s="103" t="s">
        <v>4676</v>
      </c>
      <c r="B1673" s="103">
        <v>1.100117946E9</v>
      </c>
      <c r="C1673" s="105"/>
      <c r="D1673" s="104" t="s">
        <v>9740</v>
      </c>
      <c r="E1673" s="106"/>
      <c r="F1673" s="103" t="s">
        <v>4678</v>
      </c>
      <c r="G1673" s="103" t="s">
        <v>4679</v>
      </c>
      <c r="H1673" s="103" t="s">
        <v>9741</v>
      </c>
      <c r="I1673" s="103" t="s">
        <v>9742</v>
      </c>
      <c r="J1673" s="104" t="s">
        <v>9743</v>
      </c>
      <c r="K1673" s="105"/>
      <c r="L1673" s="105"/>
    </row>
    <row r="1674">
      <c r="A1674" s="103" t="s">
        <v>4676</v>
      </c>
      <c r="B1674" s="103">
        <v>1.10011794601E11</v>
      </c>
      <c r="C1674" s="105"/>
      <c r="D1674" s="104" t="s">
        <v>9740</v>
      </c>
      <c r="E1674" s="104" t="s">
        <v>9744</v>
      </c>
      <c r="F1674" s="103" t="s">
        <v>4678</v>
      </c>
      <c r="G1674" s="103" t="s">
        <v>4679</v>
      </c>
      <c r="H1674" s="103" t="s">
        <v>9745</v>
      </c>
      <c r="I1674" s="103" t="s">
        <v>9746</v>
      </c>
      <c r="J1674" s="104" t="s">
        <v>9743</v>
      </c>
      <c r="K1674" s="105"/>
      <c r="L1674" s="105"/>
    </row>
    <row r="1675">
      <c r="A1675" s="103" t="s">
        <v>4676</v>
      </c>
      <c r="B1675" s="103">
        <v>1.100117952E9</v>
      </c>
      <c r="C1675" s="105"/>
      <c r="D1675" s="104" t="s">
        <v>9747</v>
      </c>
      <c r="E1675" s="106"/>
      <c r="F1675" s="103" t="s">
        <v>4678</v>
      </c>
      <c r="G1675" s="103" t="s">
        <v>4679</v>
      </c>
      <c r="H1675" s="103" t="s">
        <v>9748</v>
      </c>
      <c r="I1675" s="103">
        <v>7597442.0</v>
      </c>
      <c r="J1675" s="104" t="s">
        <v>9749</v>
      </c>
      <c r="K1675" s="105"/>
      <c r="L1675" s="105"/>
    </row>
    <row r="1676">
      <c r="A1676" s="103" t="s">
        <v>4676</v>
      </c>
      <c r="B1676" s="103">
        <v>1.10011795201E11</v>
      </c>
      <c r="C1676" s="105"/>
      <c r="D1676" s="104" t="s">
        <v>9750</v>
      </c>
      <c r="E1676" s="104" t="s">
        <v>9751</v>
      </c>
      <c r="F1676" s="103" t="s">
        <v>4678</v>
      </c>
      <c r="G1676" s="103" t="s">
        <v>4679</v>
      </c>
      <c r="H1676" s="103" t="s">
        <v>9748</v>
      </c>
      <c r="I1676" s="103">
        <v>7597442.0</v>
      </c>
      <c r="J1676" s="104" t="s">
        <v>9749</v>
      </c>
      <c r="K1676" s="105"/>
      <c r="L1676" s="105"/>
    </row>
    <row r="1677">
      <c r="A1677" s="103" t="s">
        <v>4676</v>
      </c>
      <c r="B1677" s="103">
        <v>1.100117967E9</v>
      </c>
      <c r="C1677" s="105"/>
      <c r="D1677" s="104" t="s">
        <v>9752</v>
      </c>
      <c r="E1677" s="106"/>
      <c r="F1677" s="103" t="s">
        <v>4678</v>
      </c>
      <c r="G1677" s="103" t="s">
        <v>4679</v>
      </c>
      <c r="H1677" s="103" t="s">
        <v>9753</v>
      </c>
      <c r="I1677" s="103" t="s">
        <v>9754</v>
      </c>
      <c r="J1677" s="104" t="s">
        <v>9755</v>
      </c>
      <c r="K1677" s="107" t="s">
        <v>9756</v>
      </c>
      <c r="L1677" s="105"/>
    </row>
    <row r="1678">
      <c r="A1678" s="103" t="s">
        <v>4676</v>
      </c>
      <c r="B1678" s="103">
        <v>1.10011796701E11</v>
      </c>
      <c r="C1678" s="105"/>
      <c r="D1678" s="104" t="s">
        <v>9752</v>
      </c>
      <c r="E1678" s="104" t="s">
        <v>9757</v>
      </c>
      <c r="F1678" s="103" t="s">
        <v>4678</v>
      </c>
      <c r="G1678" s="103" t="s">
        <v>4679</v>
      </c>
      <c r="H1678" s="103" t="s">
        <v>9753</v>
      </c>
      <c r="I1678" s="103" t="s">
        <v>9754</v>
      </c>
      <c r="J1678" s="104" t="s">
        <v>9755</v>
      </c>
      <c r="K1678" s="105"/>
      <c r="L1678" s="105"/>
    </row>
    <row r="1679">
      <c r="A1679" s="103" t="s">
        <v>4676</v>
      </c>
      <c r="B1679" s="103">
        <v>1.100117974E9</v>
      </c>
      <c r="C1679" s="105"/>
      <c r="D1679" s="104" t="s">
        <v>9758</v>
      </c>
      <c r="E1679" s="106"/>
      <c r="F1679" s="103" t="s">
        <v>4678</v>
      </c>
      <c r="G1679" s="103" t="s">
        <v>4679</v>
      </c>
      <c r="H1679" s="103" t="s">
        <v>9759</v>
      </c>
      <c r="I1679" s="103" t="s">
        <v>9760</v>
      </c>
      <c r="J1679" s="104" t="s">
        <v>9761</v>
      </c>
      <c r="K1679" s="107" t="s">
        <v>9762</v>
      </c>
      <c r="L1679" s="105"/>
    </row>
    <row r="1680">
      <c r="A1680" s="103" t="s">
        <v>4676</v>
      </c>
      <c r="B1680" s="103">
        <v>1.10011797401E11</v>
      </c>
      <c r="C1680" s="105"/>
      <c r="D1680" s="104" t="s">
        <v>9758</v>
      </c>
      <c r="E1680" s="104" t="s">
        <v>9763</v>
      </c>
      <c r="F1680" s="103" t="s">
        <v>4678</v>
      </c>
      <c r="G1680" s="103" t="s">
        <v>4679</v>
      </c>
      <c r="H1680" s="103" t="s">
        <v>9759</v>
      </c>
      <c r="I1680" s="103" t="s">
        <v>9760</v>
      </c>
      <c r="J1680" s="104" t="s">
        <v>9764</v>
      </c>
      <c r="K1680" s="105"/>
      <c r="L1680" s="105"/>
    </row>
    <row r="1681">
      <c r="A1681" s="103" t="s">
        <v>4676</v>
      </c>
      <c r="B1681" s="103">
        <v>1.100117983E9</v>
      </c>
      <c r="C1681" s="105"/>
      <c r="D1681" s="104" t="s">
        <v>9765</v>
      </c>
      <c r="E1681" s="104" t="s">
        <v>9766</v>
      </c>
      <c r="F1681" s="103" t="s">
        <v>4678</v>
      </c>
      <c r="G1681" s="103" t="s">
        <v>4679</v>
      </c>
      <c r="H1681" s="103" t="s">
        <v>9767</v>
      </c>
      <c r="I1681" s="109" t="str">
        <f>+573102220323. +573106263521</f>
        <v>#ERROR!</v>
      </c>
      <c r="J1681" s="104" t="s">
        <v>9768</v>
      </c>
      <c r="K1681" s="105"/>
      <c r="L1681" s="105"/>
    </row>
    <row r="1682">
      <c r="A1682" s="103" t="s">
        <v>4676</v>
      </c>
      <c r="B1682" s="103">
        <v>1.10011798301E11</v>
      </c>
      <c r="C1682" s="105"/>
      <c r="D1682" s="104" t="s">
        <v>9765</v>
      </c>
      <c r="E1682" s="104" t="s">
        <v>9766</v>
      </c>
      <c r="F1682" s="103" t="s">
        <v>4678</v>
      </c>
      <c r="G1682" s="103" t="s">
        <v>4679</v>
      </c>
      <c r="H1682" s="103" t="s">
        <v>9767</v>
      </c>
      <c r="I1682" s="103">
        <v>2492673.0</v>
      </c>
      <c r="J1682" s="104" t="s">
        <v>9769</v>
      </c>
      <c r="K1682" s="105"/>
      <c r="L1682" s="105"/>
    </row>
    <row r="1683">
      <c r="A1683" s="103" t="s">
        <v>4676</v>
      </c>
      <c r="B1683" s="103">
        <v>1.100117988E9</v>
      </c>
      <c r="C1683" s="105"/>
      <c r="D1683" s="104" t="s">
        <v>9770</v>
      </c>
      <c r="E1683" s="104" t="s">
        <v>9771</v>
      </c>
      <c r="F1683" s="103" t="s">
        <v>4678</v>
      </c>
      <c r="G1683" s="103" t="s">
        <v>4679</v>
      </c>
      <c r="H1683" s="103" t="s">
        <v>9772</v>
      </c>
      <c r="I1683" s="103">
        <v>6378325.0</v>
      </c>
      <c r="J1683" s="104" t="s">
        <v>9773</v>
      </c>
      <c r="K1683" s="105"/>
      <c r="L1683" s="105"/>
    </row>
    <row r="1684">
      <c r="A1684" s="103" t="s">
        <v>4676</v>
      </c>
      <c r="B1684" s="103">
        <v>1.10011798801E11</v>
      </c>
      <c r="C1684" s="105"/>
      <c r="D1684" s="104" t="s">
        <v>9770</v>
      </c>
      <c r="E1684" s="104" t="s">
        <v>9771</v>
      </c>
      <c r="F1684" s="103" t="s">
        <v>4678</v>
      </c>
      <c r="G1684" s="103" t="s">
        <v>4679</v>
      </c>
      <c r="H1684" s="103" t="s">
        <v>9772</v>
      </c>
      <c r="I1684" s="103">
        <v>6378325.0</v>
      </c>
      <c r="J1684" s="104" t="s">
        <v>9773</v>
      </c>
      <c r="K1684" s="105"/>
      <c r="L1684" s="105"/>
    </row>
    <row r="1685">
      <c r="A1685" s="103" t="s">
        <v>4676</v>
      </c>
      <c r="B1685" s="103">
        <v>1.100118006E9</v>
      </c>
      <c r="C1685" s="105"/>
      <c r="D1685" s="104" t="s">
        <v>9774</v>
      </c>
      <c r="E1685" s="104" t="s">
        <v>9775</v>
      </c>
      <c r="F1685" s="103" t="s">
        <v>4678</v>
      </c>
      <c r="G1685" s="103" t="s">
        <v>4679</v>
      </c>
      <c r="H1685" s="103" t="s">
        <v>9776</v>
      </c>
      <c r="I1685" s="103" t="s">
        <v>9777</v>
      </c>
      <c r="J1685" s="104" t="s">
        <v>9778</v>
      </c>
      <c r="K1685" s="107" t="s">
        <v>9779</v>
      </c>
      <c r="L1685" s="105"/>
    </row>
    <row r="1686">
      <c r="A1686" s="103" t="s">
        <v>4676</v>
      </c>
      <c r="B1686" s="103">
        <v>1.10011800601E11</v>
      </c>
      <c r="C1686" s="105"/>
      <c r="D1686" s="104" t="s">
        <v>9774</v>
      </c>
      <c r="E1686" s="104" t="s">
        <v>9775</v>
      </c>
      <c r="F1686" s="103" t="s">
        <v>4678</v>
      </c>
      <c r="G1686" s="103" t="s">
        <v>4679</v>
      </c>
      <c r="H1686" s="103" t="s">
        <v>9780</v>
      </c>
      <c r="I1686" s="103">
        <v>3290047.0</v>
      </c>
      <c r="J1686" s="104" t="s">
        <v>9781</v>
      </c>
      <c r="K1686" s="105"/>
      <c r="L1686" s="105"/>
    </row>
    <row r="1687">
      <c r="A1687" s="103" t="s">
        <v>4676</v>
      </c>
      <c r="B1687" s="103">
        <v>1.10011800604E11</v>
      </c>
      <c r="C1687" s="105"/>
      <c r="D1687" s="104" t="s">
        <v>9774</v>
      </c>
      <c r="E1687" s="104" t="s">
        <v>9782</v>
      </c>
      <c r="F1687" s="103" t="s">
        <v>4678</v>
      </c>
      <c r="G1687" s="103" t="s">
        <v>4679</v>
      </c>
      <c r="H1687" s="103" t="s">
        <v>9783</v>
      </c>
      <c r="I1687" s="103" t="s">
        <v>9777</v>
      </c>
      <c r="J1687" s="104" t="s">
        <v>9778</v>
      </c>
      <c r="K1687" s="105"/>
      <c r="L1687" s="105"/>
    </row>
    <row r="1688">
      <c r="A1688" s="103" t="s">
        <v>4676</v>
      </c>
      <c r="B1688" s="103">
        <v>1.10011809E9</v>
      </c>
      <c r="C1688" s="105"/>
      <c r="D1688" s="104" t="s">
        <v>9784</v>
      </c>
      <c r="E1688" s="104" t="s">
        <v>9785</v>
      </c>
      <c r="F1688" s="103" t="s">
        <v>4678</v>
      </c>
      <c r="G1688" s="103" t="s">
        <v>4679</v>
      </c>
      <c r="H1688" s="103" t="s">
        <v>9786</v>
      </c>
      <c r="I1688" s="103">
        <v>5895396.0</v>
      </c>
      <c r="J1688" s="104" t="s">
        <v>6768</v>
      </c>
      <c r="K1688" s="105"/>
      <c r="L1688" s="105"/>
    </row>
    <row r="1689">
      <c r="A1689" s="103" t="s">
        <v>4676</v>
      </c>
      <c r="B1689" s="103">
        <v>1.10011809001E11</v>
      </c>
      <c r="C1689" s="105"/>
      <c r="D1689" s="104" t="s">
        <v>9787</v>
      </c>
      <c r="E1689" s="104" t="s">
        <v>9785</v>
      </c>
      <c r="F1689" s="103" t="s">
        <v>4678</v>
      </c>
      <c r="G1689" s="103" t="s">
        <v>4679</v>
      </c>
      <c r="H1689" s="103" t="s">
        <v>9786</v>
      </c>
      <c r="I1689" s="103">
        <v>5895396.0</v>
      </c>
      <c r="J1689" s="104" t="s">
        <v>6768</v>
      </c>
      <c r="K1689" s="105"/>
      <c r="L1689" s="105"/>
    </row>
    <row r="1690">
      <c r="A1690" s="103" t="s">
        <v>4676</v>
      </c>
      <c r="B1690" s="103">
        <v>1.10011809002E11</v>
      </c>
      <c r="C1690" s="105"/>
      <c r="D1690" s="104" t="s">
        <v>9788</v>
      </c>
      <c r="E1690" s="104" t="s">
        <v>9789</v>
      </c>
      <c r="F1690" s="103" t="s">
        <v>4678</v>
      </c>
      <c r="G1690" s="103" t="s">
        <v>4679</v>
      </c>
      <c r="H1690" s="103" t="s">
        <v>9790</v>
      </c>
      <c r="I1690" s="103">
        <v>6.01646606E9</v>
      </c>
      <c r="J1690" s="104" t="s">
        <v>6768</v>
      </c>
      <c r="K1690" s="105"/>
      <c r="L1690" s="105"/>
    </row>
    <row r="1691">
      <c r="A1691" s="103" t="s">
        <v>4676</v>
      </c>
      <c r="B1691" s="103">
        <v>1.100118131E9</v>
      </c>
      <c r="C1691" s="105"/>
      <c r="D1691" s="104" t="s">
        <v>9791</v>
      </c>
      <c r="E1691" s="106"/>
      <c r="F1691" s="103" t="s">
        <v>4678</v>
      </c>
      <c r="G1691" s="103" t="s">
        <v>4679</v>
      </c>
      <c r="H1691" s="103" t="s">
        <v>9792</v>
      </c>
      <c r="I1691" s="103">
        <v>2953154.0</v>
      </c>
      <c r="J1691" s="104" t="s">
        <v>9793</v>
      </c>
      <c r="K1691" s="105"/>
      <c r="L1691" s="105"/>
    </row>
    <row r="1692">
      <c r="A1692" s="103" t="s">
        <v>4676</v>
      </c>
      <c r="B1692" s="103">
        <v>1.10011813101E11</v>
      </c>
      <c r="C1692" s="105"/>
      <c r="D1692" s="104" t="s">
        <v>9791</v>
      </c>
      <c r="E1692" s="104" t="s">
        <v>9794</v>
      </c>
      <c r="F1692" s="103" t="s">
        <v>4678</v>
      </c>
      <c r="G1692" s="103" t="s">
        <v>4679</v>
      </c>
      <c r="H1692" s="103" t="s">
        <v>9792</v>
      </c>
      <c r="I1692" s="103">
        <v>2953154.0</v>
      </c>
      <c r="J1692" s="104" t="s">
        <v>9793</v>
      </c>
      <c r="K1692" s="105"/>
      <c r="L1692" s="105"/>
    </row>
    <row r="1693">
      <c r="A1693" s="103" t="s">
        <v>4676</v>
      </c>
      <c r="B1693" s="103">
        <v>1.100118139E9</v>
      </c>
      <c r="C1693" s="105"/>
      <c r="D1693" s="104" t="s">
        <v>9795</v>
      </c>
      <c r="E1693" s="104" t="s">
        <v>9796</v>
      </c>
      <c r="F1693" s="103" t="s">
        <v>4678</v>
      </c>
      <c r="G1693" s="103" t="s">
        <v>4679</v>
      </c>
      <c r="H1693" s="103" t="s">
        <v>9797</v>
      </c>
      <c r="I1693" s="103">
        <v>3.143956599E9</v>
      </c>
      <c r="J1693" s="104" t="s">
        <v>9798</v>
      </c>
      <c r="K1693" s="107" t="s">
        <v>9799</v>
      </c>
      <c r="L1693" s="105"/>
    </row>
    <row r="1694">
      <c r="A1694" s="103" t="s">
        <v>4676</v>
      </c>
      <c r="B1694" s="103">
        <v>1.10011813901E11</v>
      </c>
      <c r="C1694" s="105"/>
      <c r="D1694" s="104" t="s">
        <v>9800</v>
      </c>
      <c r="E1694" s="104" t="s">
        <v>9796</v>
      </c>
      <c r="F1694" s="103" t="s">
        <v>4678</v>
      </c>
      <c r="G1694" s="103" t="s">
        <v>4679</v>
      </c>
      <c r="H1694" s="103" t="s">
        <v>9801</v>
      </c>
      <c r="I1694" s="103">
        <v>3.143956599E9</v>
      </c>
      <c r="J1694" s="104" t="s">
        <v>9798</v>
      </c>
      <c r="K1694" s="105"/>
      <c r="L1694" s="105"/>
    </row>
    <row r="1695">
      <c r="A1695" s="103" t="s">
        <v>4676</v>
      </c>
      <c r="B1695" s="103">
        <v>1.100118163E9</v>
      </c>
      <c r="C1695" s="105"/>
      <c r="D1695" s="104" t="s">
        <v>9802</v>
      </c>
      <c r="E1695" s="104" t="s">
        <v>9803</v>
      </c>
      <c r="F1695" s="103" t="s">
        <v>4678</v>
      </c>
      <c r="G1695" s="103" t="s">
        <v>4679</v>
      </c>
      <c r="H1695" s="103" t="s">
        <v>9804</v>
      </c>
      <c r="I1695" s="103">
        <v>7677441.0</v>
      </c>
      <c r="J1695" s="104" t="s">
        <v>9805</v>
      </c>
      <c r="K1695" s="105"/>
      <c r="L1695" s="105"/>
    </row>
    <row r="1696">
      <c r="A1696" s="103" t="s">
        <v>4676</v>
      </c>
      <c r="B1696" s="103">
        <v>1.10011816301E11</v>
      </c>
      <c r="C1696" s="105"/>
      <c r="D1696" s="104" t="s">
        <v>9802</v>
      </c>
      <c r="E1696" s="104" t="s">
        <v>9803</v>
      </c>
      <c r="F1696" s="103" t="s">
        <v>4678</v>
      </c>
      <c r="G1696" s="103" t="s">
        <v>4679</v>
      </c>
      <c r="H1696" s="103" t="s">
        <v>9804</v>
      </c>
      <c r="I1696" s="103">
        <v>7677441.0</v>
      </c>
      <c r="J1696" s="104" t="s">
        <v>9806</v>
      </c>
      <c r="K1696" s="105"/>
      <c r="L1696" s="105"/>
    </row>
    <row r="1697">
      <c r="A1697" s="103" t="s">
        <v>4676</v>
      </c>
      <c r="B1697" s="103">
        <v>1.100118221E9</v>
      </c>
      <c r="C1697" s="105"/>
      <c r="D1697" s="104" t="s">
        <v>9807</v>
      </c>
      <c r="E1697" s="104" t="s">
        <v>9808</v>
      </c>
      <c r="F1697" s="103" t="s">
        <v>4678</v>
      </c>
      <c r="G1697" s="103" t="s">
        <v>4679</v>
      </c>
      <c r="H1697" s="103" t="s">
        <v>9809</v>
      </c>
      <c r="I1697" s="103" t="s">
        <v>9810</v>
      </c>
      <c r="J1697" s="104" t="s">
        <v>9811</v>
      </c>
      <c r="K1697" s="107" t="s">
        <v>9812</v>
      </c>
      <c r="L1697" s="105"/>
    </row>
    <row r="1698">
      <c r="A1698" s="103" t="s">
        <v>4676</v>
      </c>
      <c r="B1698" s="103">
        <v>1.10011822102E11</v>
      </c>
      <c r="C1698" s="105"/>
      <c r="D1698" s="104" t="s">
        <v>9813</v>
      </c>
      <c r="E1698" s="104" t="s">
        <v>9808</v>
      </c>
      <c r="F1698" s="103" t="s">
        <v>4678</v>
      </c>
      <c r="G1698" s="103" t="s">
        <v>4679</v>
      </c>
      <c r="H1698" s="103" t="s">
        <v>9814</v>
      </c>
      <c r="I1698" s="103" t="s">
        <v>9810</v>
      </c>
      <c r="J1698" s="104" t="s">
        <v>9815</v>
      </c>
      <c r="K1698" s="105"/>
      <c r="L1698" s="105"/>
    </row>
    <row r="1699">
      <c r="A1699" s="103" t="s">
        <v>4676</v>
      </c>
      <c r="B1699" s="103">
        <v>1.100118233E9</v>
      </c>
      <c r="C1699" s="105"/>
      <c r="D1699" s="104" t="s">
        <v>9816</v>
      </c>
      <c r="E1699" s="104" t="s">
        <v>9817</v>
      </c>
      <c r="F1699" s="103" t="s">
        <v>4678</v>
      </c>
      <c r="G1699" s="103" t="s">
        <v>4679</v>
      </c>
      <c r="H1699" s="103" t="s">
        <v>9818</v>
      </c>
      <c r="I1699" s="103" t="s">
        <v>9819</v>
      </c>
      <c r="J1699" s="104" t="s">
        <v>9820</v>
      </c>
      <c r="K1699" s="107" t="s">
        <v>9821</v>
      </c>
      <c r="L1699" s="105"/>
    </row>
    <row r="1700">
      <c r="A1700" s="103" t="s">
        <v>4676</v>
      </c>
      <c r="B1700" s="103">
        <v>1.10011823301E11</v>
      </c>
      <c r="C1700" s="105"/>
      <c r="D1700" s="104" t="s">
        <v>9822</v>
      </c>
      <c r="E1700" s="104" t="s">
        <v>9823</v>
      </c>
      <c r="F1700" s="103" t="s">
        <v>4678</v>
      </c>
      <c r="G1700" s="103" t="s">
        <v>4679</v>
      </c>
      <c r="H1700" s="103" t="s">
        <v>9824</v>
      </c>
      <c r="I1700" s="103" t="s">
        <v>9825</v>
      </c>
      <c r="J1700" s="104" t="s">
        <v>9820</v>
      </c>
      <c r="K1700" s="105"/>
      <c r="L1700" s="105"/>
    </row>
    <row r="1701">
      <c r="A1701" s="103" t="s">
        <v>4676</v>
      </c>
      <c r="B1701" s="103">
        <v>1.100118234E9</v>
      </c>
      <c r="C1701" s="105"/>
      <c r="D1701" s="104" t="s">
        <v>9826</v>
      </c>
      <c r="E1701" s="104" t="s">
        <v>9827</v>
      </c>
      <c r="F1701" s="103" t="s">
        <v>4678</v>
      </c>
      <c r="G1701" s="103" t="s">
        <v>4679</v>
      </c>
      <c r="H1701" s="103" t="s">
        <v>9828</v>
      </c>
      <c r="I1701" s="103">
        <v>7458182.0</v>
      </c>
      <c r="J1701" s="104" t="s">
        <v>9829</v>
      </c>
      <c r="K1701" s="103" t="s">
        <v>9829</v>
      </c>
      <c r="L1701" s="105"/>
    </row>
    <row r="1702">
      <c r="A1702" s="103" t="s">
        <v>4676</v>
      </c>
      <c r="B1702" s="103">
        <v>1.10011823401E11</v>
      </c>
      <c r="C1702" s="105"/>
      <c r="D1702" s="104" t="s">
        <v>9830</v>
      </c>
      <c r="E1702" s="104" t="s">
        <v>9831</v>
      </c>
      <c r="F1702" s="103" t="s">
        <v>4678</v>
      </c>
      <c r="G1702" s="103" t="s">
        <v>4679</v>
      </c>
      <c r="H1702" s="103" t="s">
        <v>9832</v>
      </c>
      <c r="I1702" s="103">
        <v>2874690.0</v>
      </c>
      <c r="J1702" s="104" t="s">
        <v>9833</v>
      </c>
      <c r="K1702" s="105"/>
      <c r="L1702" s="105"/>
    </row>
    <row r="1703">
      <c r="A1703" s="103" t="s">
        <v>4676</v>
      </c>
      <c r="B1703" s="103">
        <v>1.10011823402E11</v>
      </c>
      <c r="C1703" s="105"/>
      <c r="D1703" s="104" t="s">
        <v>9834</v>
      </c>
      <c r="E1703" s="104" t="s">
        <v>9831</v>
      </c>
      <c r="F1703" s="103" t="s">
        <v>4678</v>
      </c>
      <c r="G1703" s="103" t="s">
        <v>4679</v>
      </c>
      <c r="H1703" s="103" t="s">
        <v>9835</v>
      </c>
      <c r="I1703" s="103">
        <v>3112965.0</v>
      </c>
      <c r="J1703" s="104" t="s">
        <v>9833</v>
      </c>
      <c r="K1703" s="105"/>
      <c r="L1703" s="105"/>
    </row>
    <row r="1704">
      <c r="A1704" s="103" t="s">
        <v>4676</v>
      </c>
      <c r="B1704" s="103">
        <v>1.100118285E9</v>
      </c>
      <c r="C1704" s="105"/>
      <c r="D1704" s="104" t="s">
        <v>9836</v>
      </c>
      <c r="E1704" s="106"/>
      <c r="F1704" s="103" t="s">
        <v>4678</v>
      </c>
      <c r="G1704" s="103" t="s">
        <v>4679</v>
      </c>
      <c r="H1704" s="103" t="s">
        <v>9837</v>
      </c>
      <c r="I1704" s="103">
        <v>3.108170233E9</v>
      </c>
      <c r="J1704" s="104" t="s">
        <v>9838</v>
      </c>
      <c r="K1704" s="105"/>
      <c r="L1704" s="105"/>
    </row>
    <row r="1705">
      <c r="A1705" s="103" t="s">
        <v>4676</v>
      </c>
      <c r="B1705" s="103">
        <v>1.10011828501E11</v>
      </c>
      <c r="C1705" s="105"/>
      <c r="D1705" s="104" t="s">
        <v>9836</v>
      </c>
      <c r="E1705" s="104" t="s">
        <v>9839</v>
      </c>
      <c r="F1705" s="103" t="s">
        <v>4678</v>
      </c>
      <c r="G1705" s="103" t="s">
        <v>4679</v>
      </c>
      <c r="H1705" s="103" t="s">
        <v>9840</v>
      </c>
      <c r="I1705" s="103">
        <v>3.108170233E9</v>
      </c>
      <c r="J1705" s="104" t="s">
        <v>9838</v>
      </c>
      <c r="K1705" s="105"/>
      <c r="L1705" s="105"/>
    </row>
    <row r="1706">
      <c r="A1706" s="103" t="s">
        <v>4676</v>
      </c>
      <c r="B1706" s="103">
        <v>1.100118296E9</v>
      </c>
      <c r="C1706" s="105"/>
      <c r="D1706" s="104" t="s">
        <v>9841</v>
      </c>
      <c r="E1706" s="104" t="s">
        <v>9842</v>
      </c>
      <c r="F1706" s="103" t="s">
        <v>4678</v>
      </c>
      <c r="G1706" s="103" t="s">
        <v>4679</v>
      </c>
      <c r="H1706" s="103" t="s">
        <v>9843</v>
      </c>
      <c r="I1706" s="103">
        <v>2171200.0</v>
      </c>
      <c r="J1706" s="104" t="s">
        <v>9844</v>
      </c>
      <c r="K1706" s="105"/>
      <c r="L1706" s="105"/>
    </row>
    <row r="1707">
      <c r="A1707" s="103" t="s">
        <v>4676</v>
      </c>
      <c r="B1707" s="103">
        <v>1.10011829601E11</v>
      </c>
      <c r="C1707" s="105"/>
      <c r="D1707" s="104" t="s">
        <v>9845</v>
      </c>
      <c r="E1707" s="104" t="s">
        <v>9846</v>
      </c>
      <c r="F1707" s="103" t="s">
        <v>4678</v>
      </c>
      <c r="G1707" s="103" t="s">
        <v>4679</v>
      </c>
      <c r="H1707" s="103" t="s">
        <v>9847</v>
      </c>
      <c r="I1707" s="103">
        <v>2171200.0</v>
      </c>
      <c r="J1707" s="104" t="s">
        <v>9848</v>
      </c>
      <c r="K1707" s="105"/>
      <c r="L1707" s="105"/>
    </row>
    <row r="1708">
      <c r="A1708" s="103" t="s">
        <v>4676</v>
      </c>
      <c r="B1708" s="103">
        <v>1.100118318E9</v>
      </c>
      <c r="C1708" s="105"/>
      <c r="D1708" s="104" t="s">
        <v>9849</v>
      </c>
      <c r="E1708" s="104" t="s">
        <v>9850</v>
      </c>
      <c r="F1708" s="103" t="s">
        <v>4678</v>
      </c>
      <c r="G1708" s="103" t="s">
        <v>4679</v>
      </c>
      <c r="H1708" s="103" t="s">
        <v>9851</v>
      </c>
      <c r="I1708" s="103">
        <v>6168477.0</v>
      </c>
      <c r="J1708" s="104" t="s">
        <v>9852</v>
      </c>
      <c r="K1708" s="105"/>
      <c r="L1708" s="105"/>
    </row>
    <row r="1709">
      <c r="A1709" s="103" t="s">
        <v>4676</v>
      </c>
      <c r="B1709" s="103">
        <v>1.10011831801E11</v>
      </c>
      <c r="C1709" s="105"/>
      <c r="D1709" s="104" t="s">
        <v>9849</v>
      </c>
      <c r="E1709" s="104" t="s">
        <v>9850</v>
      </c>
      <c r="F1709" s="103" t="s">
        <v>4678</v>
      </c>
      <c r="G1709" s="103" t="s">
        <v>4679</v>
      </c>
      <c r="H1709" s="103" t="s">
        <v>9851</v>
      </c>
      <c r="I1709" s="103">
        <v>6168477.0</v>
      </c>
      <c r="J1709" s="104" t="s">
        <v>9852</v>
      </c>
      <c r="K1709" s="105"/>
      <c r="L1709" s="105"/>
    </row>
    <row r="1710">
      <c r="A1710" s="103" t="s">
        <v>4676</v>
      </c>
      <c r="B1710" s="103">
        <v>1.10011831802E11</v>
      </c>
      <c r="C1710" s="105"/>
      <c r="D1710" s="104" t="s">
        <v>9853</v>
      </c>
      <c r="E1710" s="104" t="s">
        <v>9854</v>
      </c>
      <c r="F1710" s="103" t="s">
        <v>4678</v>
      </c>
      <c r="G1710" s="103" t="s">
        <v>4679</v>
      </c>
      <c r="H1710" s="103" t="s">
        <v>9855</v>
      </c>
      <c r="I1710" s="103">
        <v>6201877.0</v>
      </c>
      <c r="J1710" s="104" t="s">
        <v>9852</v>
      </c>
      <c r="K1710" s="105"/>
      <c r="L1710" s="105"/>
    </row>
    <row r="1711">
      <c r="A1711" s="103" t="s">
        <v>4676</v>
      </c>
      <c r="B1711" s="103">
        <v>1.10011831803E11</v>
      </c>
      <c r="C1711" s="105"/>
      <c r="D1711" s="104" t="s">
        <v>9856</v>
      </c>
      <c r="E1711" s="104" t="s">
        <v>9854</v>
      </c>
      <c r="F1711" s="103" t="s">
        <v>4678</v>
      </c>
      <c r="G1711" s="103" t="s">
        <v>4679</v>
      </c>
      <c r="H1711" s="103" t="s">
        <v>9857</v>
      </c>
      <c r="I1711" s="103">
        <v>7465533.0</v>
      </c>
      <c r="J1711" s="104" t="s">
        <v>9852</v>
      </c>
      <c r="K1711" s="105"/>
      <c r="L1711" s="105"/>
    </row>
    <row r="1712">
      <c r="A1712" s="103" t="s">
        <v>4676</v>
      </c>
      <c r="B1712" s="103">
        <v>1.100118365E9</v>
      </c>
      <c r="C1712" s="105"/>
      <c r="D1712" s="104" t="s">
        <v>9858</v>
      </c>
      <c r="E1712" s="104" t="s">
        <v>9859</v>
      </c>
      <c r="F1712" s="103" t="s">
        <v>4678</v>
      </c>
      <c r="G1712" s="103" t="s">
        <v>4679</v>
      </c>
      <c r="H1712" s="103" t="s">
        <v>9860</v>
      </c>
      <c r="I1712" s="103" t="s">
        <v>9861</v>
      </c>
      <c r="J1712" s="104" t="s">
        <v>9862</v>
      </c>
      <c r="K1712" s="107" t="s">
        <v>9863</v>
      </c>
      <c r="L1712" s="105"/>
    </row>
    <row r="1713">
      <c r="A1713" s="103" t="s">
        <v>4676</v>
      </c>
      <c r="B1713" s="103">
        <v>1.10011836501E11</v>
      </c>
      <c r="C1713" s="105"/>
      <c r="D1713" s="104" t="s">
        <v>9858</v>
      </c>
      <c r="E1713" s="104" t="s">
        <v>9864</v>
      </c>
      <c r="F1713" s="103" t="s">
        <v>4678</v>
      </c>
      <c r="G1713" s="103" t="s">
        <v>4679</v>
      </c>
      <c r="H1713" s="103" t="s">
        <v>9860</v>
      </c>
      <c r="I1713" s="103" t="s">
        <v>9861</v>
      </c>
      <c r="J1713" s="104" t="s">
        <v>9862</v>
      </c>
      <c r="K1713" s="105"/>
      <c r="L1713" s="105"/>
    </row>
    <row r="1714">
      <c r="A1714" s="103" t="s">
        <v>4676</v>
      </c>
      <c r="B1714" s="103">
        <v>1.100118369E9</v>
      </c>
      <c r="C1714" s="105"/>
      <c r="D1714" s="104" t="s">
        <v>9865</v>
      </c>
      <c r="E1714" s="104" t="s">
        <v>9866</v>
      </c>
      <c r="F1714" s="103" t="s">
        <v>4678</v>
      </c>
      <c r="G1714" s="103" t="s">
        <v>4679</v>
      </c>
      <c r="H1714" s="103" t="s">
        <v>9867</v>
      </c>
      <c r="I1714" s="103">
        <v>2153091.0</v>
      </c>
      <c r="J1714" s="104" t="s">
        <v>9868</v>
      </c>
      <c r="K1714" s="107" t="s">
        <v>9869</v>
      </c>
      <c r="L1714" s="105"/>
    </row>
    <row r="1715">
      <c r="A1715" s="103" t="s">
        <v>4676</v>
      </c>
      <c r="B1715" s="103">
        <v>1.10011836901E11</v>
      </c>
      <c r="C1715" s="105"/>
      <c r="D1715" s="104" t="s">
        <v>9865</v>
      </c>
      <c r="E1715" s="104" t="s">
        <v>9870</v>
      </c>
      <c r="F1715" s="103" t="s">
        <v>4678</v>
      </c>
      <c r="G1715" s="103" t="s">
        <v>4679</v>
      </c>
      <c r="H1715" s="103" t="s">
        <v>9871</v>
      </c>
      <c r="I1715" s="103">
        <v>2153091.0</v>
      </c>
      <c r="J1715" s="104" t="s">
        <v>9868</v>
      </c>
      <c r="K1715" s="105"/>
      <c r="L1715" s="105"/>
    </row>
    <row r="1716">
      <c r="A1716" s="103" t="s">
        <v>4676</v>
      </c>
      <c r="B1716" s="103">
        <v>1.100118397E9</v>
      </c>
      <c r="C1716" s="105"/>
      <c r="D1716" s="104" t="s">
        <v>9872</v>
      </c>
      <c r="E1716" s="104" t="s">
        <v>9873</v>
      </c>
      <c r="F1716" s="103" t="s">
        <v>4678</v>
      </c>
      <c r="G1716" s="103" t="s">
        <v>4679</v>
      </c>
      <c r="H1716" s="103" t="s">
        <v>9874</v>
      </c>
      <c r="I1716" s="103" t="s">
        <v>9875</v>
      </c>
      <c r="J1716" s="104" t="s">
        <v>9876</v>
      </c>
      <c r="K1716" s="105"/>
      <c r="L1716" s="105"/>
    </row>
    <row r="1717">
      <c r="A1717" s="103" t="s">
        <v>4676</v>
      </c>
      <c r="B1717" s="103">
        <v>1.10011839701E11</v>
      </c>
      <c r="C1717" s="105"/>
      <c r="D1717" s="104" t="s">
        <v>9872</v>
      </c>
      <c r="E1717" s="104" t="s">
        <v>9873</v>
      </c>
      <c r="F1717" s="103" t="s">
        <v>4678</v>
      </c>
      <c r="G1717" s="103" t="s">
        <v>4679</v>
      </c>
      <c r="H1717" s="103" t="s">
        <v>9874</v>
      </c>
      <c r="I1717" s="103" t="s">
        <v>9875</v>
      </c>
      <c r="J1717" s="104" t="s">
        <v>9876</v>
      </c>
      <c r="K1717" s="105"/>
      <c r="L1717" s="105"/>
    </row>
    <row r="1718">
      <c r="A1718" s="103" t="s">
        <v>4676</v>
      </c>
      <c r="B1718" s="103">
        <v>1.100118402E9</v>
      </c>
      <c r="C1718" s="105"/>
      <c r="D1718" s="104" t="s">
        <v>9877</v>
      </c>
      <c r="E1718" s="104" t="s">
        <v>9878</v>
      </c>
      <c r="F1718" s="103" t="s">
        <v>4678</v>
      </c>
      <c r="G1718" s="103" t="s">
        <v>4679</v>
      </c>
      <c r="H1718" s="103" t="s">
        <v>9879</v>
      </c>
      <c r="I1718" s="103" t="s">
        <v>9880</v>
      </c>
      <c r="J1718" s="104" t="s">
        <v>9881</v>
      </c>
      <c r="K1718" s="105"/>
      <c r="L1718" s="105"/>
    </row>
    <row r="1719">
      <c r="A1719" s="103" t="s">
        <v>4676</v>
      </c>
      <c r="B1719" s="103">
        <v>1.10011840201E11</v>
      </c>
      <c r="C1719" s="105"/>
      <c r="D1719" s="104" t="s">
        <v>9882</v>
      </c>
      <c r="E1719" s="104" t="s">
        <v>9878</v>
      </c>
      <c r="F1719" s="103" t="s">
        <v>4678</v>
      </c>
      <c r="G1719" s="103" t="s">
        <v>4679</v>
      </c>
      <c r="H1719" s="103" t="s">
        <v>9883</v>
      </c>
      <c r="I1719" s="103" t="s">
        <v>9880</v>
      </c>
      <c r="J1719" s="104" t="s">
        <v>9881</v>
      </c>
      <c r="K1719" s="105"/>
      <c r="L1719" s="105"/>
    </row>
    <row r="1720">
      <c r="A1720" s="103" t="s">
        <v>4676</v>
      </c>
      <c r="B1720" s="103">
        <v>1.100118448E9</v>
      </c>
      <c r="C1720" s="105"/>
      <c r="D1720" s="104" t="s">
        <v>9884</v>
      </c>
      <c r="E1720" s="104" t="s">
        <v>9885</v>
      </c>
      <c r="F1720" s="103" t="s">
        <v>4678</v>
      </c>
      <c r="G1720" s="103" t="s">
        <v>4679</v>
      </c>
      <c r="H1720" s="103" t="s">
        <v>9886</v>
      </c>
      <c r="I1720" s="103" t="s">
        <v>9887</v>
      </c>
      <c r="J1720" s="104" t="s">
        <v>9888</v>
      </c>
      <c r="K1720" s="105"/>
      <c r="L1720" s="105"/>
    </row>
    <row r="1721">
      <c r="A1721" s="103" t="s">
        <v>4676</v>
      </c>
      <c r="B1721" s="103">
        <v>1.10011844801E11</v>
      </c>
      <c r="C1721" s="105"/>
      <c r="D1721" s="104" t="s">
        <v>9884</v>
      </c>
      <c r="E1721" s="104" t="s">
        <v>9889</v>
      </c>
      <c r="F1721" s="103" t="s">
        <v>4678</v>
      </c>
      <c r="G1721" s="103" t="s">
        <v>4679</v>
      </c>
      <c r="H1721" s="103" t="s">
        <v>9886</v>
      </c>
      <c r="I1721" s="103" t="s">
        <v>9890</v>
      </c>
      <c r="J1721" s="104" t="s">
        <v>9891</v>
      </c>
      <c r="K1721" s="105"/>
      <c r="L1721" s="105"/>
    </row>
    <row r="1722">
      <c r="A1722" s="103" t="s">
        <v>4676</v>
      </c>
      <c r="B1722" s="103">
        <v>1.100118476E9</v>
      </c>
      <c r="C1722" s="105"/>
      <c r="D1722" s="104" t="s">
        <v>9892</v>
      </c>
      <c r="E1722" s="104" t="s">
        <v>9893</v>
      </c>
      <c r="F1722" s="103" t="s">
        <v>4678</v>
      </c>
      <c r="G1722" s="103" t="s">
        <v>4679</v>
      </c>
      <c r="H1722" s="103" t="s">
        <v>9894</v>
      </c>
      <c r="I1722" s="103">
        <v>4144050.0</v>
      </c>
      <c r="J1722" s="104" t="s">
        <v>9895</v>
      </c>
      <c r="K1722" s="105"/>
      <c r="L1722" s="105"/>
    </row>
    <row r="1723">
      <c r="A1723" s="103" t="s">
        <v>4676</v>
      </c>
      <c r="B1723" s="103">
        <v>1.10011847601E11</v>
      </c>
      <c r="C1723" s="105"/>
      <c r="D1723" s="104" t="s">
        <v>9896</v>
      </c>
      <c r="E1723" s="104" t="s">
        <v>9893</v>
      </c>
      <c r="F1723" s="103" t="s">
        <v>4678</v>
      </c>
      <c r="G1723" s="103" t="s">
        <v>4679</v>
      </c>
      <c r="H1723" s="103" t="s">
        <v>9897</v>
      </c>
      <c r="I1723" s="103">
        <v>4144050.0</v>
      </c>
      <c r="J1723" s="104" t="s">
        <v>9895</v>
      </c>
      <c r="K1723" s="105"/>
      <c r="L1723" s="105"/>
    </row>
    <row r="1724">
      <c r="A1724" s="103" t="s">
        <v>4676</v>
      </c>
      <c r="B1724" s="103">
        <v>1.100118477E9</v>
      </c>
      <c r="C1724" s="105"/>
      <c r="D1724" s="104" t="s">
        <v>9898</v>
      </c>
      <c r="E1724" s="104" t="s">
        <v>9899</v>
      </c>
      <c r="F1724" s="103" t="s">
        <v>4678</v>
      </c>
      <c r="G1724" s="103" t="s">
        <v>4679</v>
      </c>
      <c r="H1724" s="103" t="s">
        <v>9900</v>
      </c>
      <c r="I1724" s="103" t="s">
        <v>9901</v>
      </c>
      <c r="J1724" s="104" t="s">
        <v>9902</v>
      </c>
      <c r="K1724" s="103">
        <v>0.0</v>
      </c>
      <c r="L1724" s="105"/>
    </row>
    <row r="1725">
      <c r="A1725" s="103" t="s">
        <v>4676</v>
      </c>
      <c r="B1725" s="103">
        <v>1.10011847701E11</v>
      </c>
      <c r="C1725" s="105"/>
      <c r="D1725" s="104" t="s">
        <v>9898</v>
      </c>
      <c r="E1725" s="104" t="s">
        <v>9484</v>
      </c>
      <c r="F1725" s="103" t="s">
        <v>4678</v>
      </c>
      <c r="G1725" s="103" t="s">
        <v>4679</v>
      </c>
      <c r="H1725" s="103" t="s">
        <v>9903</v>
      </c>
      <c r="I1725" s="103" t="s">
        <v>9901</v>
      </c>
      <c r="J1725" s="104" t="s">
        <v>9902</v>
      </c>
      <c r="K1725" s="105"/>
      <c r="L1725" s="105"/>
    </row>
    <row r="1726">
      <c r="A1726" s="103" t="s">
        <v>4676</v>
      </c>
      <c r="B1726" s="103">
        <v>1.10011847702E11</v>
      </c>
      <c r="C1726" s="105"/>
      <c r="D1726" s="104" t="s">
        <v>9904</v>
      </c>
      <c r="E1726" s="104" t="s">
        <v>9484</v>
      </c>
      <c r="F1726" s="103" t="s">
        <v>4678</v>
      </c>
      <c r="G1726" s="103" t="s">
        <v>4679</v>
      </c>
      <c r="H1726" s="103" t="s">
        <v>9905</v>
      </c>
      <c r="I1726" s="103" t="s">
        <v>9901</v>
      </c>
      <c r="J1726" s="104" t="s">
        <v>9902</v>
      </c>
      <c r="K1726" s="105"/>
      <c r="L1726" s="105"/>
    </row>
    <row r="1727">
      <c r="A1727" s="103" t="s">
        <v>4676</v>
      </c>
      <c r="B1727" s="103">
        <v>1.100118528E9</v>
      </c>
      <c r="C1727" s="105"/>
      <c r="D1727" s="104" t="s">
        <v>9906</v>
      </c>
      <c r="E1727" s="104" t="s">
        <v>9907</v>
      </c>
      <c r="F1727" s="103" t="s">
        <v>4678</v>
      </c>
      <c r="G1727" s="103" t="s">
        <v>4679</v>
      </c>
      <c r="H1727" s="103" t="s">
        <v>9908</v>
      </c>
      <c r="I1727" s="103" t="s">
        <v>9909</v>
      </c>
      <c r="J1727" s="104" t="s">
        <v>9910</v>
      </c>
      <c r="K1727" s="105"/>
      <c r="L1727" s="105"/>
    </row>
    <row r="1728">
      <c r="A1728" s="103" t="s">
        <v>4676</v>
      </c>
      <c r="B1728" s="103">
        <v>1.10011852801E11</v>
      </c>
      <c r="C1728" s="105"/>
      <c r="D1728" s="104" t="s">
        <v>9911</v>
      </c>
      <c r="E1728" s="104" t="s">
        <v>9912</v>
      </c>
      <c r="F1728" s="103" t="s">
        <v>4678</v>
      </c>
      <c r="G1728" s="103" t="s">
        <v>4679</v>
      </c>
      <c r="H1728" s="103" t="s">
        <v>9913</v>
      </c>
      <c r="I1728" s="103" t="s">
        <v>9914</v>
      </c>
      <c r="J1728" s="104" t="s">
        <v>9910</v>
      </c>
      <c r="K1728" s="105"/>
      <c r="L1728" s="105"/>
    </row>
    <row r="1729">
      <c r="A1729" s="103" t="s">
        <v>4676</v>
      </c>
      <c r="B1729" s="103">
        <v>1.100118538E9</v>
      </c>
      <c r="C1729" s="105"/>
      <c r="D1729" s="104" t="s">
        <v>9915</v>
      </c>
      <c r="E1729" s="104" t="s">
        <v>9916</v>
      </c>
      <c r="F1729" s="103" t="s">
        <v>4678</v>
      </c>
      <c r="G1729" s="103" t="s">
        <v>4679</v>
      </c>
      <c r="H1729" s="103" t="s">
        <v>9917</v>
      </c>
      <c r="I1729" s="103" t="s">
        <v>9918</v>
      </c>
      <c r="J1729" s="104" t="s">
        <v>9919</v>
      </c>
      <c r="K1729" s="105"/>
      <c r="L1729" s="105"/>
    </row>
    <row r="1730">
      <c r="A1730" s="103" t="s">
        <v>4676</v>
      </c>
      <c r="B1730" s="103">
        <v>1.10011853801E11</v>
      </c>
      <c r="C1730" s="105"/>
      <c r="D1730" s="104" t="s">
        <v>9915</v>
      </c>
      <c r="E1730" s="104" t="s">
        <v>9916</v>
      </c>
      <c r="F1730" s="103" t="s">
        <v>4678</v>
      </c>
      <c r="G1730" s="103" t="s">
        <v>4679</v>
      </c>
      <c r="H1730" s="103" t="s">
        <v>9917</v>
      </c>
      <c r="I1730" s="103" t="s">
        <v>9918</v>
      </c>
      <c r="J1730" s="104" t="s">
        <v>9919</v>
      </c>
      <c r="K1730" s="105"/>
      <c r="L1730" s="105"/>
    </row>
    <row r="1731">
      <c r="A1731" s="103" t="s">
        <v>4676</v>
      </c>
      <c r="B1731" s="103">
        <v>1.100118588E9</v>
      </c>
      <c r="C1731" s="105"/>
      <c r="D1731" s="104" t="s">
        <v>9920</v>
      </c>
      <c r="E1731" s="104" t="s">
        <v>9921</v>
      </c>
      <c r="F1731" s="103" t="s">
        <v>4678</v>
      </c>
      <c r="G1731" s="103" t="s">
        <v>4679</v>
      </c>
      <c r="H1731" s="103" t="s">
        <v>9922</v>
      </c>
      <c r="I1731" s="103" t="s">
        <v>9923</v>
      </c>
      <c r="J1731" s="104" t="s">
        <v>9924</v>
      </c>
      <c r="K1731" s="105"/>
      <c r="L1731" s="105"/>
    </row>
    <row r="1732">
      <c r="A1732" s="103" t="s">
        <v>4676</v>
      </c>
      <c r="B1732" s="103">
        <v>1.10011858801E11</v>
      </c>
      <c r="C1732" s="105"/>
      <c r="D1732" s="104" t="s">
        <v>9925</v>
      </c>
      <c r="E1732" s="104" t="s">
        <v>9926</v>
      </c>
      <c r="F1732" s="103" t="s">
        <v>4678</v>
      </c>
      <c r="G1732" s="103" t="s">
        <v>4679</v>
      </c>
      <c r="H1732" s="103" t="s">
        <v>9927</v>
      </c>
      <c r="I1732" s="103">
        <v>3479334.0</v>
      </c>
      <c r="J1732" s="104" t="s">
        <v>9924</v>
      </c>
      <c r="K1732" s="105"/>
      <c r="L1732" s="105"/>
    </row>
    <row r="1733">
      <c r="A1733" s="103" t="s">
        <v>4676</v>
      </c>
      <c r="B1733" s="103">
        <v>1.10011858803E11</v>
      </c>
      <c r="C1733" s="105"/>
      <c r="D1733" s="104" t="s">
        <v>9928</v>
      </c>
      <c r="E1733" s="104" t="s">
        <v>9926</v>
      </c>
      <c r="F1733" s="103" t="s">
        <v>4678</v>
      </c>
      <c r="G1733" s="103" t="s">
        <v>4679</v>
      </c>
      <c r="H1733" s="103" t="s">
        <v>9929</v>
      </c>
      <c r="I1733" s="103">
        <v>3.106099878E9</v>
      </c>
      <c r="J1733" s="104" t="s">
        <v>9924</v>
      </c>
      <c r="K1733" s="105"/>
      <c r="L1733" s="105"/>
    </row>
    <row r="1734">
      <c r="A1734" s="103" t="s">
        <v>4676</v>
      </c>
      <c r="B1734" s="103">
        <v>1.100118635E9</v>
      </c>
      <c r="C1734" s="105"/>
      <c r="D1734" s="104" t="s">
        <v>9930</v>
      </c>
      <c r="E1734" s="104" t="s">
        <v>9931</v>
      </c>
      <c r="F1734" s="103" t="s">
        <v>4678</v>
      </c>
      <c r="G1734" s="103" t="s">
        <v>4679</v>
      </c>
      <c r="H1734" s="103" t="s">
        <v>9932</v>
      </c>
      <c r="I1734" s="103" t="s">
        <v>9933</v>
      </c>
      <c r="J1734" s="104" t="s">
        <v>9934</v>
      </c>
      <c r="K1734" s="105"/>
      <c r="L1734" s="105"/>
    </row>
    <row r="1735">
      <c r="A1735" s="103" t="s">
        <v>4676</v>
      </c>
      <c r="B1735" s="103">
        <v>1.10011863501E11</v>
      </c>
      <c r="C1735" s="105"/>
      <c r="D1735" s="104" t="s">
        <v>9930</v>
      </c>
      <c r="E1735" s="104" t="s">
        <v>9931</v>
      </c>
      <c r="F1735" s="103" t="s">
        <v>4678</v>
      </c>
      <c r="G1735" s="103" t="s">
        <v>4679</v>
      </c>
      <c r="H1735" s="103" t="s">
        <v>9935</v>
      </c>
      <c r="I1735" s="103" t="s">
        <v>9936</v>
      </c>
      <c r="J1735" s="104" t="s">
        <v>9934</v>
      </c>
      <c r="K1735" s="105"/>
      <c r="L1735" s="105"/>
    </row>
    <row r="1736">
      <c r="A1736" s="103" t="s">
        <v>4676</v>
      </c>
      <c r="B1736" s="103">
        <v>1.100118641E9</v>
      </c>
      <c r="C1736" s="105"/>
      <c r="D1736" s="104" t="s">
        <v>9937</v>
      </c>
      <c r="E1736" s="104" t="s">
        <v>9938</v>
      </c>
      <c r="F1736" s="103" t="s">
        <v>4678</v>
      </c>
      <c r="G1736" s="103" t="s">
        <v>4679</v>
      </c>
      <c r="H1736" s="103" t="s">
        <v>9939</v>
      </c>
      <c r="I1736" s="103" t="s">
        <v>9940</v>
      </c>
      <c r="J1736" s="104" t="s">
        <v>9941</v>
      </c>
      <c r="K1736" s="107" t="s">
        <v>9942</v>
      </c>
      <c r="L1736" s="105"/>
    </row>
    <row r="1737">
      <c r="A1737" s="103" t="s">
        <v>4676</v>
      </c>
      <c r="B1737" s="103">
        <v>1.10011864101E11</v>
      </c>
      <c r="C1737" s="105"/>
      <c r="D1737" s="104" t="s">
        <v>9943</v>
      </c>
      <c r="E1737" s="104" t="s">
        <v>9944</v>
      </c>
      <c r="F1737" s="103" t="s">
        <v>4678</v>
      </c>
      <c r="G1737" s="103" t="s">
        <v>4679</v>
      </c>
      <c r="H1737" s="103" t="s">
        <v>9939</v>
      </c>
      <c r="I1737" s="103">
        <v>3.168321309E9</v>
      </c>
      <c r="J1737" s="104" t="s">
        <v>9941</v>
      </c>
      <c r="K1737" s="105"/>
      <c r="L1737" s="105"/>
    </row>
    <row r="1738">
      <c r="A1738" s="103" t="s">
        <v>4676</v>
      </c>
      <c r="B1738" s="103">
        <v>1.100118642E9</v>
      </c>
      <c r="C1738" s="105"/>
      <c r="D1738" s="104" t="s">
        <v>9945</v>
      </c>
      <c r="E1738" s="104" t="s">
        <v>9946</v>
      </c>
      <c r="F1738" s="103" t="s">
        <v>4678</v>
      </c>
      <c r="G1738" s="103" t="s">
        <v>4679</v>
      </c>
      <c r="H1738" s="103" t="s">
        <v>9947</v>
      </c>
      <c r="I1738" s="103">
        <v>7055999.0</v>
      </c>
      <c r="J1738" s="104" t="s">
        <v>9948</v>
      </c>
      <c r="K1738" s="105"/>
      <c r="L1738" s="105"/>
    </row>
    <row r="1739">
      <c r="A1739" s="103" t="s">
        <v>4676</v>
      </c>
      <c r="B1739" s="103">
        <v>1.10011864201E11</v>
      </c>
      <c r="C1739" s="105"/>
      <c r="D1739" s="104" t="s">
        <v>9949</v>
      </c>
      <c r="E1739" s="104" t="s">
        <v>9950</v>
      </c>
      <c r="F1739" s="103" t="s">
        <v>4678</v>
      </c>
      <c r="G1739" s="103" t="s">
        <v>4679</v>
      </c>
      <c r="H1739" s="103" t="s">
        <v>9947</v>
      </c>
      <c r="I1739" s="103" t="s">
        <v>9951</v>
      </c>
      <c r="J1739" s="104" t="s">
        <v>9948</v>
      </c>
      <c r="K1739" s="105"/>
      <c r="L1739" s="105"/>
    </row>
    <row r="1740">
      <c r="A1740" s="103" t="s">
        <v>4676</v>
      </c>
      <c r="B1740" s="103">
        <v>1.10011864202E11</v>
      </c>
      <c r="C1740" s="105"/>
      <c r="D1740" s="104" t="s">
        <v>9952</v>
      </c>
      <c r="E1740" s="104" t="s">
        <v>9950</v>
      </c>
      <c r="F1740" s="103" t="s">
        <v>4678</v>
      </c>
      <c r="G1740" s="103" t="s">
        <v>4679</v>
      </c>
      <c r="H1740" s="103" t="s">
        <v>9953</v>
      </c>
      <c r="I1740" s="103" t="s">
        <v>9954</v>
      </c>
      <c r="J1740" s="104" t="s">
        <v>9948</v>
      </c>
      <c r="K1740" s="105"/>
      <c r="L1740" s="105"/>
    </row>
    <row r="1741">
      <c r="A1741" s="103" t="s">
        <v>4676</v>
      </c>
      <c r="B1741" s="103">
        <v>1.100118761E9</v>
      </c>
      <c r="C1741" s="105"/>
      <c r="D1741" s="104" t="s">
        <v>9955</v>
      </c>
      <c r="E1741" s="104" t="s">
        <v>9956</v>
      </c>
      <c r="F1741" s="103" t="s">
        <v>4678</v>
      </c>
      <c r="G1741" s="103" t="s">
        <v>4679</v>
      </c>
      <c r="H1741" s="103" t="s">
        <v>9957</v>
      </c>
      <c r="I1741" s="103">
        <v>3.175106156E9</v>
      </c>
      <c r="J1741" s="104" t="s">
        <v>9958</v>
      </c>
      <c r="K1741" s="107" t="s">
        <v>9959</v>
      </c>
      <c r="L1741" s="105"/>
    </row>
    <row r="1742">
      <c r="A1742" s="103" t="s">
        <v>4676</v>
      </c>
      <c r="B1742" s="103">
        <v>1.10011876101E11</v>
      </c>
      <c r="C1742" s="105"/>
      <c r="D1742" s="104" t="s">
        <v>9960</v>
      </c>
      <c r="E1742" s="104" t="s">
        <v>9961</v>
      </c>
      <c r="F1742" s="103" t="s">
        <v>4678</v>
      </c>
      <c r="G1742" s="103" t="s">
        <v>4679</v>
      </c>
      <c r="H1742" s="103" t="s">
        <v>9962</v>
      </c>
      <c r="I1742" s="103">
        <v>3.175106156E9</v>
      </c>
      <c r="J1742" s="104" t="s">
        <v>9958</v>
      </c>
      <c r="K1742" s="105"/>
      <c r="L1742" s="105"/>
    </row>
    <row r="1743">
      <c r="A1743" s="103" t="s">
        <v>4676</v>
      </c>
      <c r="B1743" s="103">
        <v>1.100118768E9</v>
      </c>
      <c r="C1743" s="105"/>
      <c r="D1743" s="104" t="s">
        <v>9963</v>
      </c>
      <c r="E1743" s="104" t="s">
        <v>9964</v>
      </c>
      <c r="F1743" s="103" t="s">
        <v>4678</v>
      </c>
      <c r="G1743" s="103" t="s">
        <v>4679</v>
      </c>
      <c r="H1743" s="103" t="s">
        <v>9965</v>
      </c>
      <c r="I1743" s="103">
        <v>3.203976595E9</v>
      </c>
      <c r="J1743" s="104" t="s">
        <v>9966</v>
      </c>
      <c r="K1743" s="105"/>
      <c r="L1743" s="105"/>
    </row>
    <row r="1744">
      <c r="A1744" s="103" t="s">
        <v>4676</v>
      </c>
      <c r="B1744" s="103">
        <v>1.10011876801E11</v>
      </c>
      <c r="C1744" s="105"/>
      <c r="D1744" s="104" t="s">
        <v>9963</v>
      </c>
      <c r="E1744" s="104" t="s">
        <v>9967</v>
      </c>
      <c r="F1744" s="103" t="s">
        <v>4678</v>
      </c>
      <c r="G1744" s="103" t="s">
        <v>4679</v>
      </c>
      <c r="H1744" s="103" t="s">
        <v>9968</v>
      </c>
      <c r="I1744" s="103" t="s">
        <v>9969</v>
      </c>
      <c r="J1744" s="104" t="s">
        <v>9966</v>
      </c>
      <c r="K1744" s="105"/>
      <c r="L1744" s="105"/>
    </row>
    <row r="1745">
      <c r="A1745" s="103" t="s">
        <v>4676</v>
      </c>
      <c r="B1745" s="103">
        <v>1.10011882E9</v>
      </c>
      <c r="C1745" s="105"/>
      <c r="D1745" s="104" t="s">
        <v>9970</v>
      </c>
      <c r="E1745" s="104" t="s">
        <v>9971</v>
      </c>
      <c r="F1745" s="103" t="s">
        <v>4678</v>
      </c>
      <c r="G1745" s="103" t="s">
        <v>4679</v>
      </c>
      <c r="H1745" s="103" t="s">
        <v>9972</v>
      </c>
      <c r="I1745" s="103">
        <v>6037355.0</v>
      </c>
      <c r="J1745" s="104" t="s">
        <v>9973</v>
      </c>
      <c r="K1745" s="105"/>
      <c r="L1745" s="105"/>
    </row>
    <row r="1746">
      <c r="A1746" s="103" t="s">
        <v>4676</v>
      </c>
      <c r="B1746" s="103">
        <v>1.10011882001E11</v>
      </c>
      <c r="C1746" s="105"/>
      <c r="D1746" s="104" t="s">
        <v>9970</v>
      </c>
      <c r="E1746" s="104" t="s">
        <v>9971</v>
      </c>
      <c r="F1746" s="103" t="s">
        <v>4678</v>
      </c>
      <c r="G1746" s="103" t="s">
        <v>4679</v>
      </c>
      <c r="H1746" s="103" t="s">
        <v>9972</v>
      </c>
      <c r="I1746" s="103">
        <v>6037355.0</v>
      </c>
      <c r="J1746" s="104" t="s">
        <v>9973</v>
      </c>
      <c r="K1746" s="105"/>
      <c r="L1746" s="105"/>
    </row>
    <row r="1747">
      <c r="A1747" s="103" t="s">
        <v>4676</v>
      </c>
      <c r="B1747" s="103">
        <v>1.100118836E9</v>
      </c>
      <c r="C1747" s="105"/>
      <c r="D1747" s="104" t="s">
        <v>9974</v>
      </c>
      <c r="E1747" s="104" t="s">
        <v>9975</v>
      </c>
      <c r="F1747" s="103" t="s">
        <v>4678</v>
      </c>
      <c r="G1747" s="103" t="s">
        <v>4679</v>
      </c>
      <c r="H1747" s="103" t="s">
        <v>9976</v>
      </c>
      <c r="I1747" s="103" t="s">
        <v>9977</v>
      </c>
      <c r="J1747" s="104" t="s">
        <v>9978</v>
      </c>
      <c r="K1747" s="107" t="s">
        <v>9979</v>
      </c>
      <c r="L1747" s="105"/>
    </row>
    <row r="1748">
      <c r="A1748" s="103" t="s">
        <v>4676</v>
      </c>
      <c r="B1748" s="103">
        <v>1.10011883601E11</v>
      </c>
      <c r="C1748" s="105"/>
      <c r="D1748" s="104" t="s">
        <v>9980</v>
      </c>
      <c r="E1748" s="104" t="s">
        <v>9975</v>
      </c>
      <c r="F1748" s="103" t="s">
        <v>4678</v>
      </c>
      <c r="G1748" s="103" t="s">
        <v>4679</v>
      </c>
      <c r="H1748" s="103" t="s">
        <v>9976</v>
      </c>
      <c r="I1748" s="103" t="s">
        <v>9977</v>
      </c>
      <c r="J1748" s="104" t="s">
        <v>9978</v>
      </c>
      <c r="K1748" s="105"/>
      <c r="L1748" s="105"/>
    </row>
    <row r="1749">
      <c r="A1749" s="103" t="s">
        <v>4676</v>
      </c>
      <c r="B1749" s="103">
        <v>1.100118861E9</v>
      </c>
      <c r="C1749" s="105"/>
      <c r="D1749" s="104" t="s">
        <v>9981</v>
      </c>
      <c r="E1749" s="104" t="s">
        <v>9982</v>
      </c>
      <c r="F1749" s="103" t="s">
        <v>4678</v>
      </c>
      <c r="G1749" s="103" t="s">
        <v>4679</v>
      </c>
      <c r="H1749" s="103" t="s">
        <v>9983</v>
      </c>
      <c r="I1749" s="103">
        <v>2145091.0</v>
      </c>
      <c r="J1749" s="104" t="s">
        <v>9984</v>
      </c>
      <c r="K1749" s="105"/>
      <c r="L1749" s="105"/>
    </row>
    <row r="1750">
      <c r="A1750" s="103" t="s">
        <v>4676</v>
      </c>
      <c r="B1750" s="103">
        <v>1.10011886101E11</v>
      </c>
      <c r="C1750" s="105"/>
      <c r="D1750" s="104" t="s">
        <v>9985</v>
      </c>
      <c r="E1750" s="104" t="s">
        <v>9986</v>
      </c>
      <c r="F1750" s="103" t="s">
        <v>4678</v>
      </c>
      <c r="G1750" s="103" t="s">
        <v>4679</v>
      </c>
      <c r="H1750" s="103" t="s">
        <v>9983</v>
      </c>
      <c r="I1750" s="103">
        <v>2145091.0</v>
      </c>
      <c r="J1750" s="104" t="s">
        <v>9987</v>
      </c>
      <c r="K1750" s="105"/>
      <c r="L1750" s="105"/>
    </row>
    <row r="1751">
      <c r="A1751" s="103" t="s">
        <v>4676</v>
      </c>
      <c r="B1751" s="103">
        <v>1.100118862E9</v>
      </c>
      <c r="C1751" s="105"/>
      <c r="D1751" s="104" t="s">
        <v>9988</v>
      </c>
      <c r="E1751" s="104" t="s">
        <v>9989</v>
      </c>
      <c r="F1751" s="103" t="s">
        <v>4678</v>
      </c>
      <c r="G1751" s="103" t="s">
        <v>4679</v>
      </c>
      <c r="H1751" s="103" t="s">
        <v>9990</v>
      </c>
      <c r="I1751" s="103">
        <v>2154560.0</v>
      </c>
      <c r="J1751" s="104" t="s">
        <v>9991</v>
      </c>
      <c r="K1751" s="105"/>
      <c r="L1751" s="105"/>
    </row>
    <row r="1752">
      <c r="A1752" s="103" t="s">
        <v>4676</v>
      </c>
      <c r="B1752" s="103">
        <v>1.10011886201E11</v>
      </c>
      <c r="C1752" s="105"/>
      <c r="D1752" s="104" t="s">
        <v>9992</v>
      </c>
      <c r="E1752" s="104" t="s">
        <v>9989</v>
      </c>
      <c r="F1752" s="103" t="s">
        <v>4678</v>
      </c>
      <c r="G1752" s="103" t="s">
        <v>4679</v>
      </c>
      <c r="H1752" s="103" t="s">
        <v>9990</v>
      </c>
      <c r="I1752" s="103">
        <v>2154560.0</v>
      </c>
      <c r="J1752" s="104" t="s">
        <v>9991</v>
      </c>
      <c r="K1752" s="105"/>
      <c r="L1752" s="105"/>
    </row>
    <row r="1753">
      <c r="A1753" s="103" t="s">
        <v>4676</v>
      </c>
      <c r="B1753" s="103">
        <v>1.100118895E9</v>
      </c>
      <c r="C1753" s="105"/>
      <c r="D1753" s="104" t="s">
        <v>9993</v>
      </c>
      <c r="E1753" s="104" t="s">
        <v>9994</v>
      </c>
      <c r="F1753" s="103" t="s">
        <v>4678</v>
      </c>
      <c r="G1753" s="103" t="s">
        <v>4679</v>
      </c>
      <c r="H1753" s="103" t="s">
        <v>9995</v>
      </c>
      <c r="I1753" s="103">
        <v>8052468.0</v>
      </c>
      <c r="J1753" s="104" t="s">
        <v>9996</v>
      </c>
      <c r="K1753" s="107" t="s">
        <v>9997</v>
      </c>
      <c r="L1753" s="105"/>
    </row>
    <row r="1754">
      <c r="A1754" s="103" t="s">
        <v>4676</v>
      </c>
      <c r="B1754" s="103">
        <v>1.10011889501E11</v>
      </c>
      <c r="C1754" s="105"/>
      <c r="D1754" s="104" t="s">
        <v>9998</v>
      </c>
      <c r="E1754" s="104" t="s">
        <v>9999</v>
      </c>
      <c r="F1754" s="103" t="s">
        <v>4678</v>
      </c>
      <c r="G1754" s="103" t="s">
        <v>4679</v>
      </c>
      <c r="H1754" s="103" t="s">
        <v>9995</v>
      </c>
      <c r="I1754" s="103">
        <v>8052468.0</v>
      </c>
      <c r="J1754" s="104" t="s">
        <v>9996</v>
      </c>
      <c r="K1754" s="105"/>
      <c r="L1754" s="105"/>
    </row>
    <row r="1755">
      <c r="A1755" s="103" t="s">
        <v>4676</v>
      </c>
      <c r="B1755" s="103">
        <v>1.100118933E9</v>
      </c>
      <c r="C1755" s="105"/>
      <c r="D1755" s="104" t="s">
        <v>10000</v>
      </c>
      <c r="E1755" s="104" t="s">
        <v>9982</v>
      </c>
      <c r="F1755" s="103" t="s">
        <v>4678</v>
      </c>
      <c r="G1755" s="103" t="s">
        <v>4679</v>
      </c>
      <c r="H1755" s="103" t="s">
        <v>10001</v>
      </c>
      <c r="I1755" s="103">
        <v>2094996.0</v>
      </c>
      <c r="J1755" s="104" t="s">
        <v>10002</v>
      </c>
      <c r="K1755" s="105"/>
      <c r="L1755" s="105"/>
    </row>
    <row r="1756">
      <c r="A1756" s="103" t="s">
        <v>4676</v>
      </c>
      <c r="B1756" s="103">
        <v>1.10011893301E11</v>
      </c>
      <c r="C1756" s="105"/>
      <c r="D1756" s="104" t="s">
        <v>10003</v>
      </c>
      <c r="E1756" s="104" t="s">
        <v>10004</v>
      </c>
      <c r="F1756" s="103" t="s">
        <v>4678</v>
      </c>
      <c r="G1756" s="103" t="s">
        <v>4679</v>
      </c>
      <c r="H1756" s="103" t="s">
        <v>10001</v>
      </c>
      <c r="I1756" s="103">
        <v>2094996.0</v>
      </c>
      <c r="J1756" s="104" t="s">
        <v>10005</v>
      </c>
      <c r="K1756" s="105"/>
      <c r="L1756" s="105"/>
    </row>
    <row r="1757">
      <c r="A1757" s="103" t="s">
        <v>4676</v>
      </c>
      <c r="B1757" s="103">
        <v>1.100118936E9</v>
      </c>
      <c r="C1757" s="105"/>
      <c r="D1757" s="104" t="s">
        <v>10006</v>
      </c>
      <c r="E1757" s="104" t="s">
        <v>10007</v>
      </c>
      <c r="F1757" s="103" t="s">
        <v>4678</v>
      </c>
      <c r="G1757" s="103" t="s">
        <v>4679</v>
      </c>
      <c r="H1757" s="103" t="s">
        <v>10008</v>
      </c>
      <c r="I1757" s="103">
        <v>4783999.0</v>
      </c>
      <c r="J1757" s="104" t="s">
        <v>10009</v>
      </c>
      <c r="K1757" s="105"/>
      <c r="L1757" s="105"/>
    </row>
    <row r="1758">
      <c r="A1758" s="103" t="s">
        <v>4676</v>
      </c>
      <c r="B1758" s="103">
        <v>1.10011893601E11</v>
      </c>
      <c r="C1758" s="105"/>
      <c r="D1758" s="104" t="s">
        <v>10006</v>
      </c>
      <c r="E1758" s="104" t="s">
        <v>10007</v>
      </c>
      <c r="F1758" s="103" t="s">
        <v>4678</v>
      </c>
      <c r="G1758" s="103" t="s">
        <v>4679</v>
      </c>
      <c r="H1758" s="103" t="s">
        <v>10008</v>
      </c>
      <c r="I1758" s="103" t="s">
        <v>10010</v>
      </c>
      <c r="J1758" s="104" t="s">
        <v>10009</v>
      </c>
      <c r="K1758" s="105"/>
      <c r="L1758" s="105"/>
    </row>
    <row r="1759">
      <c r="A1759" s="103" t="s">
        <v>4676</v>
      </c>
      <c r="B1759" s="103">
        <v>1.100118958E9</v>
      </c>
      <c r="C1759" s="105"/>
      <c r="D1759" s="104" t="s">
        <v>10011</v>
      </c>
      <c r="E1759" s="106"/>
      <c r="F1759" s="103" t="s">
        <v>4678</v>
      </c>
      <c r="G1759" s="103" t="s">
        <v>4679</v>
      </c>
      <c r="H1759" s="103" t="s">
        <v>10012</v>
      </c>
      <c r="I1759" s="103">
        <v>3.164665887E9</v>
      </c>
      <c r="J1759" s="104" t="s">
        <v>10013</v>
      </c>
      <c r="K1759" s="105"/>
      <c r="L1759" s="105"/>
    </row>
    <row r="1760">
      <c r="A1760" s="103" t="s">
        <v>4676</v>
      </c>
      <c r="B1760" s="103">
        <v>1.10011895801E11</v>
      </c>
      <c r="C1760" s="105"/>
      <c r="D1760" s="104" t="s">
        <v>10011</v>
      </c>
      <c r="E1760" s="104" t="s">
        <v>10014</v>
      </c>
      <c r="F1760" s="103" t="s">
        <v>4678</v>
      </c>
      <c r="G1760" s="103" t="s">
        <v>4679</v>
      </c>
      <c r="H1760" s="103" t="s">
        <v>10012</v>
      </c>
      <c r="I1760" s="103">
        <v>3.164665887E9</v>
      </c>
      <c r="J1760" s="104" t="s">
        <v>10013</v>
      </c>
      <c r="K1760" s="105"/>
      <c r="L1760" s="105"/>
    </row>
    <row r="1761">
      <c r="A1761" s="103" t="s">
        <v>4676</v>
      </c>
      <c r="B1761" s="103">
        <v>1.100118971E9</v>
      </c>
      <c r="C1761" s="105"/>
      <c r="D1761" s="104" t="s">
        <v>10015</v>
      </c>
      <c r="E1761" s="104" t="s">
        <v>10016</v>
      </c>
      <c r="F1761" s="103" t="s">
        <v>4678</v>
      </c>
      <c r="G1761" s="103" t="s">
        <v>4679</v>
      </c>
      <c r="H1761" s="103" t="s">
        <v>10017</v>
      </c>
      <c r="I1761" s="103">
        <v>2457209.0</v>
      </c>
      <c r="J1761" s="104" t="s">
        <v>10018</v>
      </c>
      <c r="K1761" s="105"/>
      <c r="L1761" s="105"/>
    </row>
    <row r="1762">
      <c r="A1762" s="103" t="s">
        <v>4676</v>
      </c>
      <c r="B1762" s="103">
        <v>1.10011897101E11</v>
      </c>
      <c r="C1762" s="105"/>
      <c r="D1762" s="104" t="s">
        <v>10015</v>
      </c>
      <c r="E1762" s="106"/>
      <c r="F1762" s="103" t="s">
        <v>4678</v>
      </c>
      <c r="G1762" s="103" t="s">
        <v>4679</v>
      </c>
      <c r="H1762" s="103" t="s">
        <v>10019</v>
      </c>
      <c r="I1762" s="103">
        <v>2457209.0</v>
      </c>
      <c r="J1762" s="104" t="s">
        <v>10018</v>
      </c>
      <c r="K1762" s="105"/>
      <c r="L1762" s="105"/>
    </row>
    <row r="1763">
      <c r="A1763" s="103" t="s">
        <v>4676</v>
      </c>
      <c r="B1763" s="103">
        <v>1.100118984E9</v>
      </c>
      <c r="C1763" s="105"/>
      <c r="D1763" s="104" t="s">
        <v>10020</v>
      </c>
      <c r="E1763" s="106"/>
      <c r="F1763" s="103" t="s">
        <v>4678</v>
      </c>
      <c r="G1763" s="103" t="s">
        <v>4679</v>
      </c>
      <c r="H1763" s="103" t="s">
        <v>10021</v>
      </c>
      <c r="I1763" s="103">
        <v>5603118.0</v>
      </c>
      <c r="J1763" s="104" t="s">
        <v>10022</v>
      </c>
      <c r="K1763" s="105"/>
      <c r="L1763" s="105"/>
    </row>
    <row r="1764">
      <c r="A1764" s="103" t="s">
        <v>4676</v>
      </c>
      <c r="B1764" s="103">
        <v>1.10011898401E11</v>
      </c>
      <c r="C1764" s="105"/>
      <c r="D1764" s="104" t="s">
        <v>10023</v>
      </c>
      <c r="E1764" s="104" t="s">
        <v>10024</v>
      </c>
      <c r="F1764" s="103" t="s">
        <v>4678</v>
      </c>
      <c r="G1764" s="103" t="s">
        <v>4679</v>
      </c>
      <c r="H1764" s="103" t="s">
        <v>10025</v>
      </c>
      <c r="I1764" s="103">
        <v>2261085.0</v>
      </c>
      <c r="J1764" s="104" t="s">
        <v>10022</v>
      </c>
      <c r="K1764" s="105"/>
      <c r="L1764" s="105"/>
    </row>
    <row r="1765">
      <c r="A1765" s="103" t="s">
        <v>4676</v>
      </c>
      <c r="B1765" s="103">
        <v>1.10011898403E11</v>
      </c>
      <c r="C1765" s="105"/>
      <c r="D1765" s="104" t="s">
        <v>10026</v>
      </c>
      <c r="E1765" s="104" t="s">
        <v>10027</v>
      </c>
      <c r="F1765" s="103" t="s">
        <v>4678</v>
      </c>
      <c r="G1765" s="103" t="s">
        <v>4679</v>
      </c>
      <c r="H1765" s="103" t="s">
        <v>10028</v>
      </c>
      <c r="I1765" s="103">
        <v>7409334.0</v>
      </c>
      <c r="J1765" s="104" t="s">
        <v>10022</v>
      </c>
      <c r="K1765" s="105"/>
      <c r="L1765" s="105"/>
    </row>
    <row r="1766">
      <c r="A1766" s="103" t="s">
        <v>4676</v>
      </c>
      <c r="B1766" s="103">
        <v>1.100119023E9</v>
      </c>
      <c r="C1766" s="105"/>
      <c r="D1766" s="104" t="s">
        <v>10029</v>
      </c>
      <c r="E1766" s="106"/>
      <c r="F1766" s="103" t="s">
        <v>4678</v>
      </c>
      <c r="G1766" s="103" t="s">
        <v>4679</v>
      </c>
      <c r="H1766" s="103" t="s">
        <v>10030</v>
      </c>
      <c r="I1766" s="103" t="s">
        <v>10031</v>
      </c>
      <c r="J1766" s="104" t="s">
        <v>10032</v>
      </c>
      <c r="K1766" s="105"/>
      <c r="L1766" s="105"/>
    </row>
    <row r="1767">
      <c r="A1767" s="103" t="s">
        <v>4676</v>
      </c>
      <c r="B1767" s="103">
        <v>1.10011902301E11</v>
      </c>
      <c r="C1767" s="105"/>
      <c r="D1767" s="104" t="s">
        <v>10033</v>
      </c>
      <c r="E1767" s="104" t="s">
        <v>10034</v>
      </c>
      <c r="F1767" s="103" t="s">
        <v>4678</v>
      </c>
      <c r="G1767" s="103" t="s">
        <v>4679</v>
      </c>
      <c r="H1767" s="103" t="s">
        <v>10030</v>
      </c>
      <c r="I1767" s="103" t="s">
        <v>10031</v>
      </c>
      <c r="J1767" s="104" t="s">
        <v>10032</v>
      </c>
      <c r="K1767" s="105"/>
      <c r="L1767" s="105"/>
    </row>
    <row r="1768">
      <c r="A1768" s="103" t="s">
        <v>4676</v>
      </c>
      <c r="B1768" s="103">
        <v>1.100119061E9</v>
      </c>
      <c r="C1768" s="105"/>
      <c r="D1768" s="104" t="s">
        <v>10035</v>
      </c>
      <c r="E1768" s="104" t="s">
        <v>10036</v>
      </c>
      <c r="F1768" s="103" t="s">
        <v>4678</v>
      </c>
      <c r="G1768" s="103" t="s">
        <v>4679</v>
      </c>
      <c r="H1768" s="103" t="s">
        <v>10037</v>
      </c>
      <c r="I1768" s="103">
        <v>6.017910849E9</v>
      </c>
      <c r="J1768" s="104" t="s">
        <v>10038</v>
      </c>
      <c r="K1768" s="105"/>
      <c r="L1768" s="105"/>
    </row>
    <row r="1769">
      <c r="A1769" s="103" t="s">
        <v>4676</v>
      </c>
      <c r="B1769" s="103">
        <v>1.10011906101E11</v>
      </c>
      <c r="C1769" s="105"/>
      <c r="D1769" s="104" t="s">
        <v>10035</v>
      </c>
      <c r="E1769" s="104" t="s">
        <v>10036</v>
      </c>
      <c r="F1769" s="103" t="s">
        <v>4678</v>
      </c>
      <c r="G1769" s="103" t="s">
        <v>4679</v>
      </c>
      <c r="H1769" s="103" t="s">
        <v>10037</v>
      </c>
      <c r="I1769" s="103">
        <v>6018911.0</v>
      </c>
      <c r="J1769" s="104" t="s">
        <v>10039</v>
      </c>
      <c r="K1769" s="105"/>
      <c r="L1769" s="105"/>
    </row>
    <row r="1770">
      <c r="A1770" s="103" t="s">
        <v>4676</v>
      </c>
      <c r="B1770" s="103">
        <v>1.100119086E9</v>
      </c>
      <c r="C1770" s="105"/>
      <c r="D1770" s="104" t="s">
        <v>10040</v>
      </c>
      <c r="E1770" s="104" t="s">
        <v>10041</v>
      </c>
      <c r="F1770" s="103" t="s">
        <v>4678</v>
      </c>
      <c r="G1770" s="103" t="s">
        <v>4679</v>
      </c>
      <c r="H1770" s="103" t="s">
        <v>10042</v>
      </c>
      <c r="I1770" s="103">
        <v>6843508.0</v>
      </c>
      <c r="J1770" s="104" t="s">
        <v>10043</v>
      </c>
      <c r="K1770" s="107" t="s">
        <v>10044</v>
      </c>
      <c r="L1770" s="105"/>
    </row>
    <row r="1771">
      <c r="A1771" s="103" t="s">
        <v>4676</v>
      </c>
      <c r="B1771" s="103">
        <v>1.10011908601E11</v>
      </c>
      <c r="C1771" s="105"/>
      <c r="D1771" s="104" t="s">
        <v>10045</v>
      </c>
      <c r="E1771" s="104" t="s">
        <v>10046</v>
      </c>
      <c r="F1771" s="103" t="s">
        <v>4678</v>
      </c>
      <c r="G1771" s="103" t="s">
        <v>4679</v>
      </c>
      <c r="H1771" s="103" t="s">
        <v>10047</v>
      </c>
      <c r="I1771" s="103">
        <v>3.176194018E9</v>
      </c>
      <c r="J1771" s="104" t="s">
        <v>10048</v>
      </c>
      <c r="K1771" s="105"/>
      <c r="L1771" s="105"/>
    </row>
    <row r="1772">
      <c r="A1772" s="103" t="s">
        <v>4676</v>
      </c>
      <c r="B1772" s="103">
        <v>1.10011908604E11</v>
      </c>
      <c r="C1772" s="105"/>
      <c r="D1772" s="104" t="s">
        <v>10049</v>
      </c>
      <c r="E1772" s="104" t="s">
        <v>10046</v>
      </c>
      <c r="F1772" s="103" t="s">
        <v>4678</v>
      </c>
      <c r="G1772" s="103" t="s">
        <v>4679</v>
      </c>
      <c r="H1772" s="103" t="s">
        <v>10050</v>
      </c>
      <c r="I1772" s="103">
        <v>3.175030766E9</v>
      </c>
      <c r="J1772" s="104" t="s">
        <v>10048</v>
      </c>
      <c r="K1772" s="105"/>
      <c r="L1772" s="105"/>
    </row>
    <row r="1773">
      <c r="A1773" s="103" t="s">
        <v>4676</v>
      </c>
      <c r="B1773" s="103">
        <v>1.10011908606E11</v>
      </c>
      <c r="C1773" s="105"/>
      <c r="D1773" s="104" t="s">
        <v>10051</v>
      </c>
      <c r="E1773" s="104" t="s">
        <v>10046</v>
      </c>
      <c r="F1773" s="103" t="s">
        <v>4678</v>
      </c>
      <c r="G1773" s="103" t="s">
        <v>4679</v>
      </c>
      <c r="H1773" s="103" t="s">
        <v>10052</v>
      </c>
      <c r="I1773" s="103">
        <v>3.155783006E9</v>
      </c>
      <c r="J1773" s="104" t="s">
        <v>10048</v>
      </c>
      <c r="K1773" s="105"/>
      <c r="L1773" s="105"/>
    </row>
    <row r="1774">
      <c r="A1774" s="103" t="s">
        <v>4676</v>
      </c>
      <c r="B1774" s="103">
        <v>1.10011908607E11</v>
      </c>
      <c r="C1774" s="105"/>
      <c r="D1774" s="104" t="s">
        <v>10053</v>
      </c>
      <c r="E1774" s="104" t="s">
        <v>10046</v>
      </c>
      <c r="F1774" s="103" t="s">
        <v>4678</v>
      </c>
      <c r="G1774" s="103" t="s">
        <v>4679</v>
      </c>
      <c r="H1774" s="103" t="s">
        <v>10054</v>
      </c>
      <c r="I1774" s="103">
        <v>3.185481177E9</v>
      </c>
      <c r="J1774" s="104" t="s">
        <v>10048</v>
      </c>
      <c r="K1774" s="105"/>
      <c r="L1774" s="105"/>
    </row>
    <row r="1775">
      <c r="A1775" s="103" t="s">
        <v>4676</v>
      </c>
      <c r="B1775" s="103">
        <v>1.1001190861E11</v>
      </c>
      <c r="C1775" s="105"/>
      <c r="D1775" s="104" t="s">
        <v>10055</v>
      </c>
      <c r="E1775" s="104" t="s">
        <v>10056</v>
      </c>
      <c r="F1775" s="103" t="s">
        <v>4678</v>
      </c>
      <c r="G1775" s="103" t="s">
        <v>4679</v>
      </c>
      <c r="H1775" s="103" t="s">
        <v>10057</v>
      </c>
      <c r="I1775" s="103">
        <v>3.173005813E9</v>
      </c>
      <c r="J1775" s="104" t="s">
        <v>10058</v>
      </c>
      <c r="K1775" s="105"/>
      <c r="L1775" s="105"/>
    </row>
    <row r="1776">
      <c r="A1776" s="103" t="s">
        <v>4676</v>
      </c>
      <c r="B1776" s="103">
        <v>1.10011908611E11</v>
      </c>
      <c r="C1776" s="105"/>
      <c r="D1776" s="104" t="s">
        <v>10059</v>
      </c>
      <c r="E1776" s="104" t="s">
        <v>10060</v>
      </c>
      <c r="F1776" s="103" t="s">
        <v>4678</v>
      </c>
      <c r="G1776" s="103" t="s">
        <v>4679</v>
      </c>
      <c r="H1776" s="103" t="s">
        <v>10061</v>
      </c>
      <c r="I1776" s="103">
        <v>3.154449708E9</v>
      </c>
      <c r="J1776" s="104" t="s">
        <v>10062</v>
      </c>
      <c r="K1776" s="105"/>
      <c r="L1776" s="105"/>
    </row>
    <row r="1777">
      <c r="A1777" s="103" t="s">
        <v>4676</v>
      </c>
      <c r="B1777" s="103">
        <v>1.10011908612E11</v>
      </c>
      <c r="C1777" s="105"/>
      <c r="D1777" s="104" t="s">
        <v>10063</v>
      </c>
      <c r="E1777" s="104" t="s">
        <v>10060</v>
      </c>
      <c r="F1777" s="103" t="s">
        <v>4678</v>
      </c>
      <c r="G1777" s="103" t="s">
        <v>4679</v>
      </c>
      <c r="H1777" s="103" t="s">
        <v>10064</v>
      </c>
      <c r="I1777" s="103">
        <v>3.166921163E9</v>
      </c>
      <c r="J1777" s="104" t="s">
        <v>10065</v>
      </c>
      <c r="K1777" s="105"/>
      <c r="L1777" s="105"/>
    </row>
    <row r="1778">
      <c r="A1778" s="103" t="s">
        <v>4676</v>
      </c>
      <c r="B1778" s="103">
        <v>1.10011908614E11</v>
      </c>
      <c r="C1778" s="105"/>
      <c r="D1778" s="104" t="s">
        <v>10066</v>
      </c>
      <c r="E1778" s="104" t="s">
        <v>10046</v>
      </c>
      <c r="F1778" s="103" t="s">
        <v>4678</v>
      </c>
      <c r="G1778" s="103" t="s">
        <v>4679</v>
      </c>
      <c r="H1778" s="103" t="s">
        <v>10067</v>
      </c>
      <c r="I1778" s="103">
        <v>3.152035783E9</v>
      </c>
      <c r="J1778" s="104" t="s">
        <v>10048</v>
      </c>
      <c r="K1778" s="105"/>
      <c r="L1778" s="105"/>
    </row>
    <row r="1779">
      <c r="A1779" s="103" t="s">
        <v>4676</v>
      </c>
      <c r="B1779" s="103">
        <v>1.10011908615E11</v>
      </c>
      <c r="C1779" s="105"/>
      <c r="D1779" s="104" t="s">
        <v>10068</v>
      </c>
      <c r="E1779" s="104" t="s">
        <v>10046</v>
      </c>
      <c r="F1779" s="103" t="s">
        <v>4678</v>
      </c>
      <c r="G1779" s="103" t="s">
        <v>4679</v>
      </c>
      <c r="H1779" s="103" t="s">
        <v>10069</v>
      </c>
      <c r="I1779" s="103">
        <v>3.174410722E9</v>
      </c>
      <c r="J1779" s="104" t="s">
        <v>10048</v>
      </c>
      <c r="K1779" s="105"/>
      <c r="L1779" s="105"/>
    </row>
    <row r="1780">
      <c r="A1780" s="103" t="s">
        <v>4676</v>
      </c>
      <c r="B1780" s="103">
        <v>1.10011908616E11</v>
      </c>
      <c r="C1780" s="105"/>
      <c r="D1780" s="104" t="s">
        <v>10070</v>
      </c>
      <c r="E1780" s="104" t="s">
        <v>10046</v>
      </c>
      <c r="F1780" s="103" t="s">
        <v>4678</v>
      </c>
      <c r="G1780" s="103" t="s">
        <v>4679</v>
      </c>
      <c r="H1780" s="103" t="s">
        <v>10071</v>
      </c>
      <c r="I1780" s="103">
        <v>3.183532831E9</v>
      </c>
      <c r="J1780" s="104" t="s">
        <v>10048</v>
      </c>
      <c r="K1780" s="105"/>
      <c r="L1780" s="105"/>
    </row>
    <row r="1781">
      <c r="A1781" s="103" t="s">
        <v>4676</v>
      </c>
      <c r="B1781" s="103">
        <v>1.10011908617E11</v>
      </c>
      <c r="C1781" s="105"/>
      <c r="D1781" s="104" t="s">
        <v>10072</v>
      </c>
      <c r="E1781" s="104" t="s">
        <v>10046</v>
      </c>
      <c r="F1781" s="103" t="s">
        <v>4678</v>
      </c>
      <c r="G1781" s="103" t="s">
        <v>4679</v>
      </c>
      <c r="H1781" s="103" t="s">
        <v>10073</v>
      </c>
      <c r="I1781" s="103">
        <v>3.178940713E9</v>
      </c>
      <c r="J1781" s="104" t="s">
        <v>10048</v>
      </c>
      <c r="K1781" s="105"/>
      <c r="L1781" s="105"/>
    </row>
    <row r="1782">
      <c r="A1782" s="103" t="s">
        <v>4676</v>
      </c>
      <c r="B1782" s="103">
        <v>1.10011908618E11</v>
      </c>
      <c r="C1782" s="105"/>
      <c r="D1782" s="104" t="s">
        <v>10074</v>
      </c>
      <c r="E1782" s="104" t="s">
        <v>10046</v>
      </c>
      <c r="F1782" s="103" t="s">
        <v>4678</v>
      </c>
      <c r="G1782" s="103" t="s">
        <v>4679</v>
      </c>
      <c r="H1782" s="103" t="s">
        <v>10075</v>
      </c>
      <c r="I1782" s="103">
        <v>3.183364555E9</v>
      </c>
      <c r="J1782" s="104" t="s">
        <v>10048</v>
      </c>
      <c r="K1782" s="105"/>
      <c r="L1782" s="105"/>
    </row>
    <row r="1783">
      <c r="A1783" s="103" t="s">
        <v>4676</v>
      </c>
      <c r="B1783" s="103">
        <v>1.10011908619E11</v>
      </c>
      <c r="C1783" s="105"/>
      <c r="D1783" s="104" t="s">
        <v>10076</v>
      </c>
      <c r="E1783" s="104" t="s">
        <v>10046</v>
      </c>
      <c r="F1783" s="103" t="s">
        <v>4678</v>
      </c>
      <c r="G1783" s="103" t="s">
        <v>4679</v>
      </c>
      <c r="H1783" s="103" t="s">
        <v>10077</v>
      </c>
      <c r="I1783" s="103">
        <v>3.183301769E9</v>
      </c>
      <c r="J1783" s="104" t="s">
        <v>10048</v>
      </c>
      <c r="K1783" s="105"/>
      <c r="L1783" s="105"/>
    </row>
    <row r="1784">
      <c r="A1784" s="103" t="s">
        <v>4676</v>
      </c>
      <c r="B1784" s="103">
        <v>1.10011908621E11</v>
      </c>
      <c r="C1784" s="105"/>
      <c r="D1784" s="104" t="s">
        <v>10078</v>
      </c>
      <c r="E1784" s="104" t="s">
        <v>10060</v>
      </c>
      <c r="F1784" s="103" t="s">
        <v>4678</v>
      </c>
      <c r="G1784" s="103" t="s">
        <v>4679</v>
      </c>
      <c r="H1784" s="103" t="s">
        <v>10079</v>
      </c>
      <c r="I1784" s="103">
        <v>3.166921163E9</v>
      </c>
      <c r="J1784" s="104" t="s">
        <v>10065</v>
      </c>
      <c r="K1784" s="105"/>
      <c r="L1784" s="105"/>
    </row>
    <row r="1785">
      <c r="A1785" s="103" t="s">
        <v>4676</v>
      </c>
      <c r="B1785" s="103">
        <v>1.10011908622E11</v>
      </c>
      <c r="C1785" s="105"/>
      <c r="D1785" s="104" t="s">
        <v>10080</v>
      </c>
      <c r="E1785" s="104" t="s">
        <v>10060</v>
      </c>
      <c r="F1785" s="103" t="s">
        <v>4678</v>
      </c>
      <c r="G1785" s="103" t="s">
        <v>4679</v>
      </c>
      <c r="H1785" s="103" t="s">
        <v>10081</v>
      </c>
      <c r="I1785" s="103">
        <v>3.166921163E9</v>
      </c>
      <c r="J1785" s="104" t="s">
        <v>10065</v>
      </c>
      <c r="K1785" s="105"/>
      <c r="L1785" s="105"/>
    </row>
    <row r="1786">
      <c r="A1786" s="103" t="s">
        <v>4676</v>
      </c>
      <c r="B1786" s="103">
        <v>1.10011908623E11</v>
      </c>
      <c r="C1786" s="105"/>
      <c r="D1786" s="104" t="s">
        <v>10082</v>
      </c>
      <c r="E1786" s="104" t="s">
        <v>10060</v>
      </c>
      <c r="F1786" s="103" t="s">
        <v>4678</v>
      </c>
      <c r="G1786" s="103" t="s">
        <v>4679</v>
      </c>
      <c r="H1786" s="103" t="s">
        <v>10083</v>
      </c>
      <c r="I1786" s="103">
        <v>3.166921163E9</v>
      </c>
      <c r="J1786" s="104" t="s">
        <v>10065</v>
      </c>
      <c r="K1786" s="105"/>
      <c r="L1786" s="105"/>
    </row>
    <row r="1787">
      <c r="A1787" s="103" t="s">
        <v>4676</v>
      </c>
      <c r="B1787" s="103">
        <v>1.10011908624E11</v>
      </c>
      <c r="C1787" s="105"/>
      <c r="D1787" s="104" t="s">
        <v>10084</v>
      </c>
      <c r="E1787" s="104" t="s">
        <v>10046</v>
      </c>
      <c r="F1787" s="103" t="s">
        <v>4678</v>
      </c>
      <c r="G1787" s="103" t="s">
        <v>4679</v>
      </c>
      <c r="H1787" s="103" t="s">
        <v>10085</v>
      </c>
      <c r="I1787" s="103">
        <v>3.186744085E9</v>
      </c>
      <c r="J1787" s="104" t="s">
        <v>10048</v>
      </c>
      <c r="K1787" s="105"/>
      <c r="L1787" s="105"/>
    </row>
    <row r="1788">
      <c r="A1788" s="103" t="s">
        <v>4676</v>
      </c>
      <c r="B1788" s="103">
        <v>1.10011908625E11</v>
      </c>
      <c r="C1788" s="105"/>
      <c r="D1788" s="104" t="s">
        <v>10086</v>
      </c>
      <c r="E1788" s="104" t="s">
        <v>10060</v>
      </c>
      <c r="F1788" s="103" t="s">
        <v>4678</v>
      </c>
      <c r="G1788" s="103" t="s">
        <v>4679</v>
      </c>
      <c r="H1788" s="103" t="s">
        <v>10087</v>
      </c>
      <c r="I1788" s="103">
        <v>3.154449708E9</v>
      </c>
      <c r="J1788" s="104" t="s">
        <v>10062</v>
      </c>
      <c r="K1788" s="105"/>
      <c r="L1788" s="105"/>
    </row>
    <row r="1789">
      <c r="A1789" s="103" t="s">
        <v>4676</v>
      </c>
      <c r="B1789" s="103">
        <v>1.10011908626E11</v>
      </c>
      <c r="C1789" s="105"/>
      <c r="D1789" s="104" t="s">
        <v>10088</v>
      </c>
      <c r="E1789" s="104" t="s">
        <v>10089</v>
      </c>
      <c r="F1789" s="103" t="s">
        <v>4678</v>
      </c>
      <c r="G1789" s="103" t="s">
        <v>4679</v>
      </c>
      <c r="H1789" s="103" t="s">
        <v>10090</v>
      </c>
      <c r="I1789" s="103">
        <v>3.166921163E9</v>
      </c>
      <c r="J1789" s="104" t="s">
        <v>10065</v>
      </c>
      <c r="K1789" s="105"/>
      <c r="L1789" s="105"/>
    </row>
    <row r="1790">
      <c r="A1790" s="103" t="s">
        <v>4676</v>
      </c>
      <c r="B1790" s="103">
        <v>1.100119087E9</v>
      </c>
      <c r="C1790" s="105"/>
      <c r="D1790" s="104" t="s">
        <v>10091</v>
      </c>
      <c r="E1790" s="104" t="s">
        <v>10092</v>
      </c>
      <c r="F1790" s="103" t="s">
        <v>4678</v>
      </c>
      <c r="G1790" s="103" t="s">
        <v>4679</v>
      </c>
      <c r="H1790" s="103" t="s">
        <v>10093</v>
      </c>
      <c r="I1790" s="103" t="s">
        <v>10094</v>
      </c>
      <c r="J1790" s="104" t="s">
        <v>10095</v>
      </c>
      <c r="K1790" s="107" t="s">
        <v>10096</v>
      </c>
      <c r="L1790" s="105"/>
    </row>
    <row r="1791">
      <c r="A1791" s="103" t="s">
        <v>4676</v>
      </c>
      <c r="B1791" s="103">
        <v>1.10011908706E11</v>
      </c>
      <c r="C1791" s="105"/>
      <c r="D1791" s="104" t="s">
        <v>10097</v>
      </c>
      <c r="E1791" s="104" t="s">
        <v>10098</v>
      </c>
      <c r="F1791" s="103" t="s">
        <v>4678</v>
      </c>
      <c r="G1791" s="103" t="s">
        <v>4679</v>
      </c>
      <c r="H1791" s="103" t="s">
        <v>10099</v>
      </c>
      <c r="I1791" s="103">
        <v>6.017944011E9</v>
      </c>
      <c r="J1791" s="104" t="s">
        <v>10095</v>
      </c>
      <c r="K1791" s="105"/>
      <c r="L1791" s="105"/>
    </row>
    <row r="1792">
      <c r="A1792" s="103" t="s">
        <v>4676</v>
      </c>
      <c r="B1792" s="103">
        <v>1.10011908708E11</v>
      </c>
      <c r="C1792" s="105"/>
      <c r="D1792" s="104" t="s">
        <v>10100</v>
      </c>
      <c r="E1792" s="104" t="s">
        <v>10101</v>
      </c>
      <c r="F1792" s="103" t="s">
        <v>4678</v>
      </c>
      <c r="G1792" s="103" t="s">
        <v>4679</v>
      </c>
      <c r="H1792" s="103" t="s">
        <v>10102</v>
      </c>
      <c r="I1792" s="103">
        <v>6.017944011E9</v>
      </c>
      <c r="J1792" s="104" t="s">
        <v>10095</v>
      </c>
      <c r="K1792" s="105"/>
      <c r="L1792" s="105"/>
    </row>
    <row r="1793">
      <c r="A1793" s="103" t="s">
        <v>4676</v>
      </c>
      <c r="B1793" s="103">
        <v>1.100119095E9</v>
      </c>
      <c r="C1793" s="105"/>
      <c r="D1793" s="104" t="s">
        <v>10103</v>
      </c>
      <c r="E1793" s="106"/>
      <c r="F1793" s="103" t="s">
        <v>4678</v>
      </c>
      <c r="G1793" s="103" t="s">
        <v>4679</v>
      </c>
      <c r="H1793" s="103" t="s">
        <v>10104</v>
      </c>
      <c r="I1793" s="103" t="s">
        <v>10105</v>
      </c>
      <c r="J1793" s="104" t="s">
        <v>10106</v>
      </c>
      <c r="K1793" s="105"/>
      <c r="L1793" s="105"/>
    </row>
    <row r="1794">
      <c r="A1794" s="103" t="s">
        <v>4676</v>
      </c>
      <c r="B1794" s="103">
        <v>1.10011909501E11</v>
      </c>
      <c r="C1794" s="105"/>
      <c r="D1794" s="104" t="s">
        <v>10103</v>
      </c>
      <c r="E1794" s="104" t="s">
        <v>10107</v>
      </c>
      <c r="F1794" s="103" t="s">
        <v>4678</v>
      </c>
      <c r="G1794" s="103" t="s">
        <v>4679</v>
      </c>
      <c r="H1794" s="103" t="s">
        <v>10108</v>
      </c>
      <c r="I1794" s="103" t="s">
        <v>10109</v>
      </c>
      <c r="J1794" s="104" t="s">
        <v>10110</v>
      </c>
      <c r="K1794" s="105"/>
      <c r="L1794" s="105"/>
    </row>
    <row r="1795">
      <c r="A1795" s="103" t="s">
        <v>4676</v>
      </c>
      <c r="B1795" s="103">
        <v>1.10011909502E11</v>
      </c>
      <c r="C1795" s="105"/>
      <c r="D1795" s="104" t="s">
        <v>5805</v>
      </c>
      <c r="E1795" s="104" t="s">
        <v>10107</v>
      </c>
      <c r="F1795" s="103" t="s">
        <v>4678</v>
      </c>
      <c r="G1795" s="103" t="s">
        <v>4679</v>
      </c>
      <c r="H1795" s="103" t="s">
        <v>10111</v>
      </c>
      <c r="I1795" s="103" t="s">
        <v>10105</v>
      </c>
      <c r="J1795" s="104" t="s">
        <v>10112</v>
      </c>
      <c r="K1795" s="105"/>
      <c r="L1795" s="105"/>
    </row>
    <row r="1796">
      <c r="A1796" s="103" t="s">
        <v>4676</v>
      </c>
      <c r="B1796" s="103">
        <v>1.10011909503E11</v>
      </c>
      <c r="C1796" s="105"/>
      <c r="D1796" s="104" t="s">
        <v>10113</v>
      </c>
      <c r="E1796" s="104" t="s">
        <v>10107</v>
      </c>
      <c r="F1796" s="103" t="s">
        <v>4678</v>
      </c>
      <c r="G1796" s="103" t="s">
        <v>4679</v>
      </c>
      <c r="H1796" s="103" t="s">
        <v>10114</v>
      </c>
      <c r="I1796" s="103" t="s">
        <v>10109</v>
      </c>
      <c r="J1796" s="104" t="s">
        <v>10112</v>
      </c>
      <c r="K1796" s="105"/>
      <c r="L1796" s="105"/>
    </row>
    <row r="1797">
      <c r="A1797" s="103" t="s">
        <v>4676</v>
      </c>
      <c r="B1797" s="103">
        <v>1.10011909504E11</v>
      </c>
      <c r="C1797" s="105"/>
      <c r="D1797" s="104" t="s">
        <v>10115</v>
      </c>
      <c r="E1797" s="104" t="s">
        <v>10107</v>
      </c>
      <c r="F1797" s="103" t="s">
        <v>4678</v>
      </c>
      <c r="G1797" s="103" t="s">
        <v>4679</v>
      </c>
      <c r="H1797" s="103" t="s">
        <v>10116</v>
      </c>
      <c r="I1797" s="103" t="s">
        <v>10105</v>
      </c>
      <c r="J1797" s="104" t="s">
        <v>10112</v>
      </c>
      <c r="K1797" s="105"/>
      <c r="L1797" s="105"/>
    </row>
    <row r="1798">
      <c r="A1798" s="103" t="s">
        <v>4676</v>
      </c>
      <c r="B1798" s="103">
        <v>1.10011909505E11</v>
      </c>
      <c r="C1798" s="105"/>
      <c r="D1798" s="104" t="s">
        <v>10117</v>
      </c>
      <c r="E1798" s="104" t="s">
        <v>10107</v>
      </c>
      <c r="F1798" s="103" t="s">
        <v>4678</v>
      </c>
      <c r="G1798" s="103" t="s">
        <v>4679</v>
      </c>
      <c r="H1798" s="103" t="s">
        <v>10118</v>
      </c>
      <c r="I1798" s="103">
        <v>3.508063029E9</v>
      </c>
      <c r="J1798" s="104" t="s">
        <v>10112</v>
      </c>
      <c r="K1798" s="105"/>
      <c r="L1798" s="105"/>
    </row>
    <row r="1799">
      <c r="A1799" s="103" t="s">
        <v>4676</v>
      </c>
      <c r="B1799" s="103">
        <v>1.10011909506E11</v>
      </c>
      <c r="C1799" s="105"/>
      <c r="D1799" s="104" t="s">
        <v>10119</v>
      </c>
      <c r="E1799" s="104" t="s">
        <v>10120</v>
      </c>
      <c r="F1799" s="103" t="s">
        <v>4678</v>
      </c>
      <c r="G1799" s="103" t="s">
        <v>4679</v>
      </c>
      <c r="H1799" s="103" t="s">
        <v>10121</v>
      </c>
      <c r="I1799" s="103" t="s">
        <v>10122</v>
      </c>
      <c r="J1799" s="104" t="s">
        <v>10123</v>
      </c>
      <c r="K1799" s="105"/>
      <c r="L1799" s="105"/>
    </row>
    <row r="1800">
      <c r="A1800" s="103" t="s">
        <v>4676</v>
      </c>
      <c r="B1800" s="103">
        <v>1.100119125E9</v>
      </c>
      <c r="C1800" s="105"/>
      <c r="D1800" s="104" t="s">
        <v>10124</v>
      </c>
      <c r="E1800" s="104" t="s">
        <v>10125</v>
      </c>
      <c r="F1800" s="103" t="s">
        <v>4678</v>
      </c>
      <c r="G1800" s="103" t="s">
        <v>4679</v>
      </c>
      <c r="H1800" s="103" t="s">
        <v>10126</v>
      </c>
      <c r="I1800" s="103">
        <v>3404777.0</v>
      </c>
      <c r="J1800" s="104" t="s">
        <v>10127</v>
      </c>
      <c r="K1800" s="107" t="s">
        <v>10128</v>
      </c>
      <c r="L1800" s="105"/>
    </row>
    <row r="1801">
      <c r="A1801" s="103" t="s">
        <v>4676</v>
      </c>
      <c r="B1801" s="103">
        <v>1.10011912501E11</v>
      </c>
      <c r="C1801" s="105"/>
      <c r="D1801" s="104" t="s">
        <v>10124</v>
      </c>
      <c r="E1801" s="104" t="s">
        <v>10125</v>
      </c>
      <c r="F1801" s="103" t="s">
        <v>4678</v>
      </c>
      <c r="G1801" s="103" t="s">
        <v>4679</v>
      </c>
      <c r="H1801" s="103" t="s">
        <v>10129</v>
      </c>
      <c r="I1801" s="103" t="s">
        <v>10130</v>
      </c>
      <c r="J1801" s="104" t="s">
        <v>10131</v>
      </c>
      <c r="K1801" s="105"/>
      <c r="L1801" s="105"/>
    </row>
    <row r="1802">
      <c r="A1802" s="103" t="s">
        <v>4676</v>
      </c>
      <c r="B1802" s="103">
        <v>1.10011912502E11</v>
      </c>
      <c r="C1802" s="105"/>
      <c r="D1802" s="104" t="s">
        <v>10124</v>
      </c>
      <c r="E1802" s="104" t="s">
        <v>10125</v>
      </c>
      <c r="F1802" s="103" t="s">
        <v>4678</v>
      </c>
      <c r="G1802" s="103" t="s">
        <v>4679</v>
      </c>
      <c r="H1802" s="103" t="s">
        <v>10132</v>
      </c>
      <c r="I1802" s="103">
        <v>8051450.0</v>
      </c>
      <c r="J1802" s="104" t="s">
        <v>10131</v>
      </c>
      <c r="K1802" s="105"/>
      <c r="L1802" s="105"/>
    </row>
    <row r="1803">
      <c r="A1803" s="103" t="s">
        <v>4676</v>
      </c>
      <c r="B1803" s="103">
        <v>1.10011912506E11</v>
      </c>
      <c r="C1803" s="105"/>
      <c r="D1803" s="104" t="s">
        <v>10124</v>
      </c>
      <c r="E1803" s="104" t="s">
        <v>10133</v>
      </c>
      <c r="F1803" s="103" t="s">
        <v>4678</v>
      </c>
      <c r="G1803" s="103" t="s">
        <v>4679</v>
      </c>
      <c r="H1803" s="103" t="s">
        <v>10134</v>
      </c>
      <c r="I1803" s="103" t="s">
        <v>10135</v>
      </c>
      <c r="J1803" s="104" t="s">
        <v>10136</v>
      </c>
      <c r="K1803" s="105"/>
      <c r="L1803" s="105"/>
    </row>
    <row r="1804">
      <c r="A1804" s="103" t="s">
        <v>4676</v>
      </c>
      <c r="B1804" s="103">
        <v>1.100119128E9</v>
      </c>
      <c r="C1804" s="105"/>
      <c r="D1804" s="104" t="s">
        <v>10137</v>
      </c>
      <c r="E1804" s="104" t="s">
        <v>10138</v>
      </c>
      <c r="F1804" s="103" t="s">
        <v>4678</v>
      </c>
      <c r="G1804" s="103" t="s">
        <v>4679</v>
      </c>
      <c r="H1804" s="103" t="s">
        <v>10139</v>
      </c>
      <c r="I1804" s="103" t="s">
        <v>10140</v>
      </c>
      <c r="J1804" s="104" t="s">
        <v>10141</v>
      </c>
      <c r="K1804" s="105"/>
      <c r="L1804" s="105"/>
    </row>
    <row r="1805">
      <c r="A1805" s="103" t="s">
        <v>4676</v>
      </c>
      <c r="B1805" s="103">
        <v>1.10011912801E11</v>
      </c>
      <c r="C1805" s="105"/>
      <c r="D1805" s="104" t="s">
        <v>10137</v>
      </c>
      <c r="E1805" s="104" t="s">
        <v>10138</v>
      </c>
      <c r="F1805" s="103" t="s">
        <v>4678</v>
      </c>
      <c r="G1805" s="103" t="s">
        <v>4679</v>
      </c>
      <c r="H1805" s="103" t="s">
        <v>10139</v>
      </c>
      <c r="I1805" s="103" t="s">
        <v>10142</v>
      </c>
      <c r="J1805" s="104" t="s">
        <v>10143</v>
      </c>
      <c r="K1805" s="105"/>
      <c r="L1805" s="105"/>
    </row>
    <row r="1806">
      <c r="A1806" s="103" t="s">
        <v>4676</v>
      </c>
      <c r="B1806" s="103">
        <v>1.100119137E9</v>
      </c>
      <c r="C1806" s="105"/>
      <c r="D1806" s="104" t="s">
        <v>10144</v>
      </c>
      <c r="E1806" s="104" t="s">
        <v>10145</v>
      </c>
      <c r="F1806" s="103" t="s">
        <v>4678</v>
      </c>
      <c r="G1806" s="103" t="s">
        <v>4679</v>
      </c>
      <c r="H1806" s="103" t="s">
        <v>10146</v>
      </c>
      <c r="I1806" s="103">
        <v>2213066.0</v>
      </c>
      <c r="J1806" s="104" t="s">
        <v>10147</v>
      </c>
      <c r="K1806" s="105"/>
      <c r="L1806" s="105"/>
    </row>
    <row r="1807">
      <c r="A1807" s="103" t="s">
        <v>4676</v>
      </c>
      <c r="B1807" s="103">
        <v>1.10011913701E11</v>
      </c>
      <c r="C1807" s="105"/>
      <c r="D1807" s="104" t="s">
        <v>10144</v>
      </c>
      <c r="E1807" s="104" t="s">
        <v>10148</v>
      </c>
      <c r="F1807" s="103" t="s">
        <v>4678</v>
      </c>
      <c r="G1807" s="103" t="s">
        <v>4679</v>
      </c>
      <c r="H1807" s="103" t="s">
        <v>10149</v>
      </c>
      <c r="I1807" s="103">
        <v>2213066.0</v>
      </c>
      <c r="J1807" s="104" t="s">
        <v>10147</v>
      </c>
      <c r="K1807" s="105"/>
      <c r="L1807" s="105"/>
    </row>
    <row r="1808">
      <c r="A1808" s="103" t="s">
        <v>4676</v>
      </c>
      <c r="B1808" s="103">
        <v>1.100119179E9</v>
      </c>
      <c r="C1808" s="105"/>
      <c r="D1808" s="104" t="s">
        <v>10150</v>
      </c>
      <c r="E1808" s="104" t="s">
        <v>10151</v>
      </c>
      <c r="F1808" s="103" t="s">
        <v>4678</v>
      </c>
      <c r="G1808" s="103" t="s">
        <v>4679</v>
      </c>
      <c r="H1808" s="103" t="s">
        <v>10152</v>
      </c>
      <c r="I1808" s="103" t="s">
        <v>10153</v>
      </c>
      <c r="J1808" s="104" t="s">
        <v>10154</v>
      </c>
      <c r="K1808" s="105"/>
      <c r="L1808" s="105"/>
    </row>
    <row r="1809">
      <c r="A1809" s="103" t="s">
        <v>4676</v>
      </c>
      <c r="B1809" s="103">
        <v>1.10011917901E11</v>
      </c>
      <c r="C1809" s="105"/>
      <c r="D1809" s="104" t="s">
        <v>10150</v>
      </c>
      <c r="E1809" s="104" t="s">
        <v>10155</v>
      </c>
      <c r="F1809" s="103" t="s">
        <v>4678</v>
      </c>
      <c r="G1809" s="103" t="s">
        <v>4679</v>
      </c>
      <c r="H1809" s="103" t="s">
        <v>10156</v>
      </c>
      <c r="I1809" s="103" t="s">
        <v>10153</v>
      </c>
      <c r="J1809" s="104" t="s">
        <v>10154</v>
      </c>
      <c r="K1809" s="105"/>
      <c r="L1809" s="105"/>
    </row>
    <row r="1810">
      <c r="A1810" s="103" t="s">
        <v>4676</v>
      </c>
      <c r="B1810" s="103">
        <v>1.100119213E9</v>
      </c>
      <c r="C1810" s="105"/>
      <c r="D1810" s="104" t="s">
        <v>10157</v>
      </c>
      <c r="E1810" s="104" t="s">
        <v>10158</v>
      </c>
      <c r="F1810" s="103" t="s">
        <v>4678</v>
      </c>
      <c r="G1810" s="103" t="s">
        <v>4679</v>
      </c>
      <c r="H1810" s="103" t="s">
        <v>10159</v>
      </c>
      <c r="I1810" s="103" t="s">
        <v>10160</v>
      </c>
      <c r="J1810" s="104" t="s">
        <v>10161</v>
      </c>
      <c r="K1810" s="105"/>
      <c r="L1810" s="105"/>
    </row>
    <row r="1811">
      <c r="A1811" s="103" t="s">
        <v>4676</v>
      </c>
      <c r="B1811" s="103">
        <v>1.10011921301E11</v>
      </c>
      <c r="C1811" s="105"/>
      <c r="D1811" s="104" t="s">
        <v>10162</v>
      </c>
      <c r="E1811" s="104" t="s">
        <v>10158</v>
      </c>
      <c r="F1811" s="103" t="s">
        <v>4678</v>
      </c>
      <c r="G1811" s="103" t="s">
        <v>4679</v>
      </c>
      <c r="H1811" s="103" t="s">
        <v>10159</v>
      </c>
      <c r="I1811" s="103" t="s">
        <v>10160</v>
      </c>
      <c r="J1811" s="104" t="s">
        <v>10161</v>
      </c>
      <c r="K1811" s="105"/>
      <c r="L1811" s="105"/>
    </row>
    <row r="1812">
      <c r="A1812" s="103" t="s">
        <v>4676</v>
      </c>
      <c r="B1812" s="103">
        <v>1.100119216E9</v>
      </c>
      <c r="C1812" s="105"/>
      <c r="D1812" s="104" t="s">
        <v>10163</v>
      </c>
      <c r="E1812" s="104" t="s">
        <v>10164</v>
      </c>
      <c r="F1812" s="103" t="s">
        <v>4678</v>
      </c>
      <c r="G1812" s="103" t="s">
        <v>4679</v>
      </c>
      <c r="H1812" s="103" t="s">
        <v>10165</v>
      </c>
      <c r="I1812" s="103" t="s">
        <v>10166</v>
      </c>
      <c r="J1812" s="104" t="s">
        <v>10167</v>
      </c>
      <c r="K1812" s="107" t="s">
        <v>10168</v>
      </c>
      <c r="L1812" s="105"/>
    </row>
    <row r="1813">
      <c r="A1813" s="103" t="s">
        <v>4676</v>
      </c>
      <c r="B1813" s="103">
        <v>1.10011921601E11</v>
      </c>
      <c r="C1813" s="105"/>
      <c r="D1813" s="104" t="s">
        <v>10169</v>
      </c>
      <c r="E1813" s="104" t="s">
        <v>10170</v>
      </c>
      <c r="F1813" s="103" t="s">
        <v>4678</v>
      </c>
      <c r="G1813" s="103" t="s">
        <v>4679</v>
      </c>
      <c r="H1813" s="103" t="s">
        <v>10171</v>
      </c>
      <c r="I1813" s="103" t="s">
        <v>10166</v>
      </c>
      <c r="J1813" s="104" t="s">
        <v>10167</v>
      </c>
      <c r="K1813" s="105"/>
      <c r="L1813" s="105"/>
    </row>
    <row r="1814">
      <c r="A1814" s="103" t="s">
        <v>4676</v>
      </c>
      <c r="B1814" s="103">
        <v>1.100119231E9</v>
      </c>
      <c r="C1814" s="105"/>
      <c r="D1814" s="104" t="s">
        <v>10172</v>
      </c>
      <c r="E1814" s="104" t="s">
        <v>10173</v>
      </c>
      <c r="F1814" s="103" t="s">
        <v>4678</v>
      </c>
      <c r="G1814" s="103" t="s">
        <v>4679</v>
      </c>
      <c r="H1814" s="103" t="s">
        <v>10174</v>
      </c>
      <c r="I1814" s="103" t="s">
        <v>10175</v>
      </c>
      <c r="J1814" s="104" t="s">
        <v>10176</v>
      </c>
      <c r="K1814" s="105"/>
      <c r="L1814" s="105"/>
    </row>
    <row r="1815">
      <c r="A1815" s="103" t="s">
        <v>4676</v>
      </c>
      <c r="B1815" s="103">
        <v>1.10011923101E11</v>
      </c>
      <c r="C1815" s="105"/>
      <c r="D1815" s="104" t="s">
        <v>10177</v>
      </c>
      <c r="E1815" s="104" t="s">
        <v>10178</v>
      </c>
      <c r="F1815" s="103" t="s">
        <v>4678</v>
      </c>
      <c r="G1815" s="103" t="s">
        <v>4679</v>
      </c>
      <c r="H1815" s="103" t="s">
        <v>10174</v>
      </c>
      <c r="I1815" s="103" t="s">
        <v>10175</v>
      </c>
      <c r="J1815" s="104" t="s">
        <v>10176</v>
      </c>
      <c r="K1815" s="105"/>
      <c r="L1815" s="105"/>
    </row>
    <row r="1816">
      <c r="A1816" s="103" t="s">
        <v>4676</v>
      </c>
      <c r="B1816" s="103">
        <v>1.100119239E9</v>
      </c>
      <c r="C1816" s="105"/>
      <c r="D1816" s="104" t="s">
        <v>10179</v>
      </c>
      <c r="E1816" s="104" t="s">
        <v>10180</v>
      </c>
      <c r="F1816" s="103" t="s">
        <v>4678</v>
      </c>
      <c r="G1816" s="103" t="s">
        <v>4679</v>
      </c>
      <c r="H1816" s="103" t="s">
        <v>10181</v>
      </c>
      <c r="I1816" s="103">
        <v>2715769.0</v>
      </c>
      <c r="J1816" s="104" t="s">
        <v>10182</v>
      </c>
      <c r="K1816" s="105"/>
      <c r="L1816" s="105"/>
    </row>
    <row r="1817">
      <c r="A1817" s="103" t="s">
        <v>4676</v>
      </c>
      <c r="B1817" s="103">
        <v>1.1001192391E11</v>
      </c>
      <c r="C1817" s="105"/>
      <c r="D1817" s="104" t="s">
        <v>10183</v>
      </c>
      <c r="E1817" s="104" t="s">
        <v>10180</v>
      </c>
      <c r="F1817" s="103" t="s">
        <v>4678</v>
      </c>
      <c r="G1817" s="103" t="s">
        <v>4679</v>
      </c>
      <c r="H1817" s="103" t="s">
        <v>10184</v>
      </c>
      <c r="I1817" s="103">
        <v>8051336.0</v>
      </c>
      <c r="J1817" s="104" t="s">
        <v>10182</v>
      </c>
      <c r="K1817" s="105"/>
      <c r="L1817" s="105"/>
    </row>
    <row r="1818">
      <c r="A1818" s="103" t="s">
        <v>4676</v>
      </c>
      <c r="B1818" s="103">
        <v>1.10011923913E11</v>
      </c>
      <c r="C1818" s="105"/>
      <c r="D1818" s="104" t="s">
        <v>10185</v>
      </c>
      <c r="E1818" s="104" t="s">
        <v>10180</v>
      </c>
      <c r="F1818" s="103" t="s">
        <v>4678</v>
      </c>
      <c r="G1818" s="103" t="s">
        <v>4679</v>
      </c>
      <c r="H1818" s="103" t="s">
        <v>10186</v>
      </c>
      <c r="I1818" s="103">
        <v>8051336.0</v>
      </c>
      <c r="J1818" s="104" t="s">
        <v>10182</v>
      </c>
      <c r="K1818" s="105"/>
      <c r="L1818" s="105"/>
    </row>
    <row r="1819">
      <c r="A1819" s="103" t="s">
        <v>4676</v>
      </c>
      <c r="B1819" s="103">
        <v>1.10011923914E11</v>
      </c>
      <c r="C1819" s="105"/>
      <c r="D1819" s="104" t="s">
        <v>10187</v>
      </c>
      <c r="E1819" s="104" t="s">
        <v>10180</v>
      </c>
      <c r="F1819" s="103" t="s">
        <v>4678</v>
      </c>
      <c r="G1819" s="103" t="s">
        <v>4679</v>
      </c>
      <c r="H1819" s="103" t="s">
        <v>10188</v>
      </c>
      <c r="I1819" s="103">
        <v>8051336.0</v>
      </c>
      <c r="J1819" s="104" t="s">
        <v>10182</v>
      </c>
      <c r="K1819" s="105"/>
      <c r="L1819" s="105"/>
    </row>
    <row r="1820">
      <c r="A1820" s="103" t="s">
        <v>4676</v>
      </c>
      <c r="B1820" s="103">
        <v>1.100119254E9</v>
      </c>
      <c r="C1820" s="105"/>
      <c r="D1820" s="104" t="s">
        <v>10189</v>
      </c>
      <c r="E1820" s="106"/>
      <c r="F1820" s="103" t="s">
        <v>4678</v>
      </c>
      <c r="G1820" s="103" t="s">
        <v>4679</v>
      </c>
      <c r="H1820" s="103" t="s">
        <v>10190</v>
      </c>
      <c r="I1820" s="103">
        <v>2326496.0</v>
      </c>
      <c r="J1820" s="104" t="s">
        <v>10191</v>
      </c>
      <c r="K1820" s="105"/>
      <c r="L1820" s="105"/>
    </row>
    <row r="1821">
      <c r="A1821" s="103" t="s">
        <v>4676</v>
      </c>
      <c r="B1821" s="103">
        <v>1.10011925401E11</v>
      </c>
      <c r="C1821" s="105"/>
      <c r="D1821" s="104" t="s">
        <v>10189</v>
      </c>
      <c r="E1821" s="106"/>
      <c r="F1821" s="103" t="s">
        <v>4678</v>
      </c>
      <c r="G1821" s="103" t="s">
        <v>4679</v>
      </c>
      <c r="H1821" s="103" t="s">
        <v>10190</v>
      </c>
      <c r="I1821" s="103">
        <v>2326496.0</v>
      </c>
      <c r="J1821" s="104" t="s">
        <v>10191</v>
      </c>
      <c r="K1821" s="105"/>
      <c r="L1821" s="105"/>
    </row>
    <row r="1822">
      <c r="A1822" s="103" t="s">
        <v>4676</v>
      </c>
      <c r="B1822" s="103">
        <v>1.100119267E9</v>
      </c>
      <c r="C1822" s="105"/>
      <c r="D1822" s="104" t="s">
        <v>10192</v>
      </c>
      <c r="E1822" s="106"/>
      <c r="F1822" s="103" t="s">
        <v>4678</v>
      </c>
      <c r="G1822" s="103" t="s">
        <v>4679</v>
      </c>
      <c r="H1822" s="103" t="s">
        <v>10193</v>
      </c>
      <c r="I1822" s="103">
        <v>3.15784689E9</v>
      </c>
      <c r="J1822" s="104" t="s">
        <v>10194</v>
      </c>
      <c r="K1822" s="105"/>
      <c r="L1822" s="105"/>
    </row>
    <row r="1823">
      <c r="A1823" s="103" t="s">
        <v>4676</v>
      </c>
      <c r="B1823" s="103">
        <v>1.10011926701E11</v>
      </c>
      <c r="C1823" s="105"/>
      <c r="D1823" s="104" t="s">
        <v>10192</v>
      </c>
      <c r="E1823" s="104" t="s">
        <v>10195</v>
      </c>
      <c r="F1823" s="103" t="s">
        <v>4678</v>
      </c>
      <c r="G1823" s="103" t="s">
        <v>4679</v>
      </c>
      <c r="H1823" s="103" t="s">
        <v>10193</v>
      </c>
      <c r="I1823" s="103">
        <v>3.15784689E9</v>
      </c>
      <c r="J1823" s="104" t="s">
        <v>10194</v>
      </c>
      <c r="K1823" s="105"/>
      <c r="L1823" s="105"/>
    </row>
    <row r="1824">
      <c r="A1824" s="103" t="s">
        <v>4676</v>
      </c>
      <c r="B1824" s="103">
        <v>1.100119291E9</v>
      </c>
      <c r="C1824" s="105"/>
      <c r="D1824" s="104" t="s">
        <v>10196</v>
      </c>
      <c r="E1824" s="104" t="s">
        <v>10197</v>
      </c>
      <c r="F1824" s="103" t="s">
        <v>4678</v>
      </c>
      <c r="G1824" s="103" t="s">
        <v>4679</v>
      </c>
      <c r="H1824" s="103" t="s">
        <v>10198</v>
      </c>
      <c r="I1824" s="103">
        <v>3.10817015E9</v>
      </c>
      <c r="J1824" s="104" t="s">
        <v>10199</v>
      </c>
      <c r="K1824" s="107" t="s">
        <v>10200</v>
      </c>
      <c r="L1824" s="105"/>
    </row>
    <row r="1825">
      <c r="A1825" s="103" t="s">
        <v>4676</v>
      </c>
      <c r="B1825" s="103">
        <v>1.10011929101E11</v>
      </c>
      <c r="C1825" s="105"/>
      <c r="D1825" s="104" t="s">
        <v>10196</v>
      </c>
      <c r="E1825" s="104" t="s">
        <v>10201</v>
      </c>
      <c r="F1825" s="103" t="s">
        <v>4678</v>
      </c>
      <c r="G1825" s="103" t="s">
        <v>4679</v>
      </c>
      <c r="H1825" s="103" t="s">
        <v>10198</v>
      </c>
      <c r="I1825" s="103">
        <v>3.10817015E9</v>
      </c>
      <c r="J1825" s="104" t="s">
        <v>10199</v>
      </c>
      <c r="K1825" s="105"/>
      <c r="L1825" s="105"/>
    </row>
    <row r="1826">
      <c r="A1826" s="103" t="s">
        <v>4676</v>
      </c>
      <c r="B1826" s="103">
        <v>1.100119306E9</v>
      </c>
      <c r="C1826" s="105"/>
      <c r="D1826" s="104" t="s">
        <v>10202</v>
      </c>
      <c r="E1826" s="104" t="s">
        <v>10203</v>
      </c>
      <c r="F1826" s="103" t="s">
        <v>4678</v>
      </c>
      <c r="G1826" s="103" t="s">
        <v>4679</v>
      </c>
      <c r="H1826" s="103" t="s">
        <v>10204</v>
      </c>
      <c r="I1826" s="103" t="s">
        <v>10205</v>
      </c>
      <c r="J1826" s="104" t="s">
        <v>10206</v>
      </c>
      <c r="K1826" s="107" t="s">
        <v>10207</v>
      </c>
      <c r="L1826" s="105"/>
    </row>
    <row r="1827">
      <c r="A1827" s="103" t="s">
        <v>4676</v>
      </c>
      <c r="B1827" s="103">
        <v>1.10011930601E11</v>
      </c>
      <c r="C1827" s="105"/>
      <c r="D1827" s="104" t="s">
        <v>10202</v>
      </c>
      <c r="E1827" s="104" t="s">
        <v>10203</v>
      </c>
      <c r="F1827" s="103" t="s">
        <v>4678</v>
      </c>
      <c r="G1827" s="103" t="s">
        <v>4679</v>
      </c>
      <c r="H1827" s="103" t="s">
        <v>10204</v>
      </c>
      <c r="I1827" s="103" t="s">
        <v>10208</v>
      </c>
      <c r="J1827" s="104" t="s">
        <v>10206</v>
      </c>
      <c r="K1827" s="105"/>
      <c r="L1827" s="105"/>
    </row>
    <row r="1828">
      <c r="A1828" s="103" t="s">
        <v>4676</v>
      </c>
      <c r="B1828" s="103">
        <v>1.100119311E9</v>
      </c>
      <c r="C1828" s="105"/>
      <c r="D1828" s="104" t="s">
        <v>10209</v>
      </c>
      <c r="E1828" s="104" t="s">
        <v>10210</v>
      </c>
      <c r="F1828" s="103" t="s">
        <v>4678</v>
      </c>
      <c r="G1828" s="103" t="s">
        <v>4679</v>
      </c>
      <c r="H1828" s="103" t="s">
        <v>10211</v>
      </c>
      <c r="I1828" s="103" t="s">
        <v>10212</v>
      </c>
      <c r="J1828" s="104" t="s">
        <v>10213</v>
      </c>
      <c r="K1828" s="105"/>
      <c r="L1828" s="105"/>
    </row>
    <row r="1829">
      <c r="A1829" s="103" t="s">
        <v>4676</v>
      </c>
      <c r="B1829" s="103">
        <v>1.10011931101E11</v>
      </c>
      <c r="C1829" s="105"/>
      <c r="D1829" s="104" t="s">
        <v>10214</v>
      </c>
      <c r="E1829" s="104" t="s">
        <v>10215</v>
      </c>
      <c r="F1829" s="103" t="s">
        <v>4678</v>
      </c>
      <c r="G1829" s="103" t="s">
        <v>4679</v>
      </c>
      <c r="H1829" s="103" t="s">
        <v>10211</v>
      </c>
      <c r="I1829" s="103" t="s">
        <v>10216</v>
      </c>
      <c r="J1829" s="104" t="s">
        <v>10213</v>
      </c>
      <c r="K1829" s="105"/>
      <c r="L1829" s="105"/>
    </row>
    <row r="1830">
      <c r="A1830" s="103" t="s">
        <v>4676</v>
      </c>
      <c r="B1830" s="103">
        <v>1.10011931102E11</v>
      </c>
      <c r="C1830" s="105"/>
      <c r="D1830" s="104" t="s">
        <v>10217</v>
      </c>
      <c r="E1830" s="104" t="s">
        <v>10215</v>
      </c>
      <c r="F1830" s="103" t="s">
        <v>4678</v>
      </c>
      <c r="G1830" s="103" t="s">
        <v>4679</v>
      </c>
      <c r="H1830" s="103" t="s">
        <v>10218</v>
      </c>
      <c r="I1830" s="103">
        <v>3.013057933E9</v>
      </c>
      <c r="J1830" s="104" t="s">
        <v>10213</v>
      </c>
      <c r="K1830" s="105"/>
      <c r="L1830" s="105"/>
    </row>
    <row r="1831">
      <c r="A1831" s="103" t="s">
        <v>4676</v>
      </c>
      <c r="B1831" s="103">
        <v>1.100119317E9</v>
      </c>
      <c r="C1831" s="105"/>
      <c r="D1831" s="104" t="s">
        <v>10219</v>
      </c>
      <c r="E1831" s="104" t="s">
        <v>10220</v>
      </c>
      <c r="F1831" s="103" t="s">
        <v>4678</v>
      </c>
      <c r="G1831" s="103" t="s">
        <v>4679</v>
      </c>
      <c r="H1831" s="103" t="s">
        <v>10221</v>
      </c>
      <c r="I1831" s="103">
        <v>3.152582777E9</v>
      </c>
      <c r="J1831" s="104" t="s">
        <v>10222</v>
      </c>
      <c r="K1831" s="105"/>
      <c r="L1831" s="105"/>
    </row>
    <row r="1832">
      <c r="A1832" s="103" t="s">
        <v>4676</v>
      </c>
      <c r="B1832" s="103">
        <v>1.10011931701E11</v>
      </c>
      <c r="C1832" s="105"/>
      <c r="D1832" s="104" t="s">
        <v>10223</v>
      </c>
      <c r="E1832" s="104" t="s">
        <v>10224</v>
      </c>
      <c r="F1832" s="103" t="s">
        <v>4678</v>
      </c>
      <c r="G1832" s="103" t="s">
        <v>4679</v>
      </c>
      <c r="H1832" s="103" t="s">
        <v>10221</v>
      </c>
      <c r="I1832" s="103">
        <v>3.152582777E9</v>
      </c>
      <c r="J1832" s="104" t="s">
        <v>10222</v>
      </c>
      <c r="K1832" s="105"/>
      <c r="L1832" s="105"/>
    </row>
    <row r="1833">
      <c r="A1833" s="103" t="s">
        <v>4676</v>
      </c>
      <c r="B1833" s="103">
        <v>1.10011931703E11</v>
      </c>
      <c r="C1833" s="105"/>
      <c r="D1833" s="104" t="s">
        <v>10225</v>
      </c>
      <c r="E1833" s="104" t="s">
        <v>10224</v>
      </c>
      <c r="F1833" s="103" t="s">
        <v>4678</v>
      </c>
      <c r="G1833" s="103" t="s">
        <v>4679</v>
      </c>
      <c r="H1833" s="103" t="s">
        <v>10226</v>
      </c>
      <c r="I1833" s="103">
        <v>3.152582777E9</v>
      </c>
      <c r="J1833" s="104" t="s">
        <v>10222</v>
      </c>
      <c r="K1833" s="105"/>
      <c r="L1833" s="105"/>
    </row>
    <row r="1834">
      <c r="A1834" s="103" t="s">
        <v>4676</v>
      </c>
      <c r="B1834" s="103">
        <v>1.100119341E9</v>
      </c>
      <c r="C1834" s="105"/>
      <c r="D1834" s="104" t="s">
        <v>10227</v>
      </c>
      <c r="E1834" s="104" t="s">
        <v>10228</v>
      </c>
      <c r="F1834" s="103" t="s">
        <v>4678</v>
      </c>
      <c r="G1834" s="103" t="s">
        <v>4679</v>
      </c>
      <c r="H1834" s="103" t="s">
        <v>10229</v>
      </c>
      <c r="I1834" s="103">
        <v>3.117720477E9</v>
      </c>
      <c r="J1834" s="104" t="s">
        <v>10230</v>
      </c>
      <c r="K1834" s="105"/>
      <c r="L1834" s="105"/>
    </row>
    <row r="1835">
      <c r="A1835" s="103" t="s">
        <v>4676</v>
      </c>
      <c r="B1835" s="103">
        <v>1.10011934101E11</v>
      </c>
      <c r="C1835" s="105"/>
      <c r="D1835" s="104" t="s">
        <v>10231</v>
      </c>
      <c r="E1835" s="104" t="s">
        <v>10232</v>
      </c>
      <c r="F1835" s="103" t="s">
        <v>4678</v>
      </c>
      <c r="G1835" s="103" t="s">
        <v>4679</v>
      </c>
      <c r="H1835" s="103" t="s">
        <v>10229</v>
      </c>
      <c r="I1835" s="103" t="s">
        <v>10233</v>
      </c>
      <c r="J1835" s="104" t="s">
        <v>10230</v>
      </c>
      <c r="K1835" s="105"/>
      <c r="L1835" s="105"/>
    </row>
    <row r="1836">
      <c r="A1836" s="103" t="s">
        <v>4676</v>
      </c>
      <c r="B1836" s="103">
        <v>1.100119374E9</v>
      </c>
      <c r="C1836" s="105"/>
      <c r="D1836" s="104" t="s">
        <v>10234</v>
      </c>
      <c r="E1836" s="106"/>
      <c r="F1836" s="103" t="s">
        <v>4678</v>
      </c>
      <c r="G1836" s="103" t="s">
        <v>4679</v>
      </c>
      <c r="H1836" s="103" t="s">
        <v>10235</v>
      </c>
      <c r="I1836" s="103" t="s">
        <v>10236</v>
      </c>
      <c r="J1836" s="104" t="s">
        <v>10237</v>
      </c>
      <c r="K1836" s="107" t="s">
        <v>10238</v>
      </c>
      <c r="L1836" s="105"/>
    </row>
    <row r="1837">
      <c r="A1837" s="103" t="s">
        <v>4676</v>
      </c>
      <c r="B1837" s="103">
        <v>1.10011937401E11</v>
      </c>
      <c r="C1837" s="105"/>
      <c r="D1837" s="104" t="s">
        <v>10239</v>
      </c>
      <c r="E1837" s="104" t="s">
        <v>10240</v>
      </c>
      <c r="F1837" s="103" t="s">
        <v>4678</v>
      </c>
      <c r="G1837" s="103" t="s">
        <v>4679</v>
      </c>
      <c r="H1837" s="103" t="s">
        <v>10241</v>
      </c>
      <c r="I1837" s="103" t="s">
        <v>10236</v>
      </c>
      <c r="J1837" s="104" t="s">
        <v>10237</v>
      </c>
      <c r="K1837" s="105"/>
      <c r="L1837" s="105"/>
    </row>
    <row r="1838">
      <c r="A1838" s="103" t="s">
        <v>4676</v>
      </c>
      <c r="B1838" s="103">
        <v>1.100119381E9</v>
      </c>
      <c r="C1838" s="105"/>
      <c r="D1838" s="104" t="s">
        <v>10242</v>
      </c>
      <c r="E1838" s="104" t="s">
        <v>10243</v>
      </c>
      <c r="F1838" s="103" t="s">
        <v>4678</v>
      </c>
      <c r="G1838" s="103" t="s">
        <v>4679</v>
      </c>
      <c r="H1838" s="103" t="s">
        <v>10244</v>
      </c>
      <c r="I1838" s="103" t="s">
        <v>10245</v>
      </c>
      <c r="J1838" s="104" t="s">
        <v>10246</v>
      </c>
      <c r="K1838" s="105"/>
      <c r="L1838" s="105"/>
    </row>
    <row r="1839">
      <c r="A1839" s="103" t="s">
        <v>4676</v>
      </c>
      <c r="B1839" s="103">
        <v>1.10011938101E11</v>
      </c>
      <c r="C1839" s="105"/>
      <c r="D1839" s="104" t="s">
        <v>10242</v>
      </c>
      <c r="E1839" s="104" t="s">
        <v>10243</v>
      </c>
      <c r="F1839" s="103" t="s">
        <v>4678</v>
      </c>
      <c r="G1839" s="103" t="s">
        <v>4679</v>
      </c>
      <c r="H1839" s="103" t="s">
        <v>10244</v>
      </c>
      <c r="I1839" s="103" t="s">
        <v>10245</v>
      </c>
      <c r="J1839" s="104" t="s">
        <v>10246</v>
      </c>
      <c r="K1839" s="105"/>
      <c r="L1839" s="105"/>
    </row>
    <row r="1840">
      <c r="A1840" s="103" t="s">
        <v>4676</v>
      </c>
      <c r="B1840" s="103">
        <v>1.100119397E9</v>
      </c>
      <c r="C1840" s="105"/>
      <c r="D1840" s="104" t="s">
        <v>10247</v>
      </c>
      <c r="E1840" s="106"/>
      <c r="F1840" s="103" t="s">
        <v>4678</v>
      </c>
      <c r="G1840" s="103" t="s">
        <v>4679</v>
      </c>
      <c r="H1840" s="103" t="s">
        <v>10248</v>
      </c>
      <c r="I1840" s="103">
        <v>3.176409979E9</v>
      </c>
      <c r="J1840" s="104" t="s">
        <v>10249</v>
      </c>
      <c r="K1840" s="107" t="s">
        <v>10250</v>
      </c>
      <c r="L1840" s="105"/>
    </row>
    <row r="1841">
      <c r="A1841" s="103" t="s">
        <v>4676</v>
      </c>
      <c r="B1841" s="103">
        <v>1.10011939701E11</v>
      </c>
      <c r="C1841" s="105"/>
      <c r="D1841" s="104" t="s">
        <v>10247</v>
      </c>
      <c r="E1841" s="104" t="s">
        <v>10251</v>
      </c>
      <c r="F1841" s="103" t="s">
        <v>4678</v>
      </c>
      <c r="G1841" s="103" t="s">
        <v>4679</v>
      </c>
      <c r="H1841" s="103" t="s">
        <v>10248</v>
      </c>
      <c r="I1841" s="103">
        <v>3.176409979E9</v>
      </c>
      <c r="J1841" s="104" t="s">
        <v>10249</v>
      </c>
      <c r="K1841" s="105"/>
      <c r="L1841" s="105"/>
    </row>
    <row r="1842">
      <c r="A1842" s="103" t="s">
        <v>4676</v>
      </c>
      <c r="B1842" s="103">
        <v>1.10011944E9</v>
      </c>
      <c r="C1842" s="105"/>
      <c r="D1842" s="104" t="s">
        <v>10252</v>
      </c>
      <c r="E1842" s="104" t="s">
        <v>10253</v>
      </c>
      <c r="F1842" s="103" t="s">
        <v>4678</v>
      </c>
      <c r="G1842" s="103" t="s">
        <v>4679</v>
      </c>
      <c r="H1842" s="103" t="s">
        <v>10254</v>
      </c>
      <c r="I1842" s="103" t="s">
        <v>10255</v>
      </c>
      <c r="J1842" s="104" t="s">
        <v>10256</v>
      </c>
      <c r="K1842" s="105"/>
      <c r="L1842" s="105"/>
    </row>
    <row r="1843">
      <c r="A1843" s="103" t="s">
        <v>4676</v>
      </c>
      <c r="B1843" s="103">
        <v>1.10011944002E11</v>
      </c>
      <c r="C1843" s="105"/>
      <c r="D1843" s="104" t="s">
        <v>10257</v>
      </c>
      <c r="E1843" s="104" t="s">
        <v>10258</v>
      </c>
      <c r="F1843" s="103" t="s">
        <v>4678</v>
      </c>
      <c r="G1843" s="103" t="s">
        <v>4679</v>
      </c>
      <c r="H1843" s="103" t="s">
        <v>10259</v>
      </c>
      <c r="I1843" s="103" t="s">
        <v>10255</v>
      </c>
      <c r="J1843" s="104" t="s">
        <v>10256</v>
      </c>
      <c r="K1843" s="105"/>
      <c r="L1843" s="105"/>
    </row>
    <row r="1844">
      <c r="A1844" s="103" t="s">
        <v>4676</v>
      </c>
      <c r="B1844" s="103">
        <v>1.100119451E9</v>
      </c>
      <c r="C1844" s="105"/>
      <c r="D1844" s="104" t="s">
        <v>10260</v>
      </c>
      <c r="E1844" s="104" t="s">
        <v>10261</v>
      </c>
      <c r="F1844" s="103" t="s">
        <v>4678</v>
      </c>
      <c r="G1844" s="103" t="s">
        <v>4679</v>
      </c>
      <c r="H1844" s="103" t="s">
        <v>10262</v>
      </c>
      <c r="I1844" s="103" t="s">
        <v>10263</v>
      </c>
      <c r="J1844" s="104" t="s">
        <v>10264</v>
      </c>
      <c r="K1844" s="107" t="s">
        <v>10265</v>
      </c>
      <c r="L1844" s="105"/>
    </row>
    <row r="1845">
      <c r="A1845" s="103" t="s">
        <v>4676</v>
      </c>
      <c r="B1845" s="103">
        <v>1.10011945101E11</v>
      </c>
      <c r="C1845" s="105"/>
      <c r="D1845" s="104" t="s">
        <v>10266</v>
      </c>
      <c r="E1845" s="104" t="s">
        <v>10261</v>
      </c>
      <c r="F1845" s="103" t="s">
        <v>4678</v>
      </c>
      <c r="G1845" s="103" t="s">
        <v>4679</v>
      </c>
      <c r="H1845" s="103" t="s">
        <v>10262</v>
      </c>
      <c r="I1845" s="103">
        <v>7462085.0</v>
      </c>
      <c r="J1845" s="104" t="s">
        <v>10267</v>
      </c>
      <c r="K1845" s="105"/>
      <c r="L1845" s="105"/>
    </row>
    <row r="1846">
      <c r="A1846" s="103" t="s">
        <v>4676</v>
      </c>
      <c r="B1846" s="103">
        <v>1.10011945102E11</v>
      </c>
      <c r="C1846" s="105"/>
      <c r="D1846" s="104" t="s">
        <v>10268</v>
      </c>
      <c r="E1846" s="104" t="s">
        <v>10269</v>
      </c>
      <c r="F1846" s="103" t="s">
        <v>4678</v>
      </c>
      <c r="G1846" s="103" t="s">
        <v>4679</v>
      </c>
      <c r="H1846" s="103" t="s">
        <v>10270</v>
      </c>
      <c r="I1846" s="103">
        <v>7557206.0</v>
      </c>
      <c r="J1846" s="104" t="s">
        <v>10267</v>
      </c>
      <c r="K1846" s="105"/>
      <c r="L1846" s="105"/>
    </row>
    <row r="1847">
      <c r="A1847" s="103" t="s">
        <v>4676</v>
      </c>
      <c r="B1847" s="103">
        <v>1.10011945104E11</v>
      </c>
      <c r="C1847" s="105"/>
      <c r="D1847" s="104" t="s">
        <v>10271</v>
      </c>
      <c r="E1847" s="104" t="s">
        <v>10272</v>
      </c>
      <c r="F1847" s="103" t="s">
        <v>4678</v>
      </c>
      <c r="G1847" s="103" t="s">
        <v>4679</v>
      </c>
      <c r="H1847" s="103" t="s">
        <v>10273</v>
      </c>
      <c r="I1847" s="103">
        <v>3.174407919E9</v>
      </c>
      <c r="J1847" s="104" t="s">
        <v>10267</v>
      </c>
      <c r="K1847" s="105"/>
      <c r="L1847" s="105"/>
    </row>
    <row r="1848">
      <c r="A1848" s="103" t="s">
        <v>4676</v>
      </c>
      <c r="B1848" s="103">
        <v>1.100119479E9</v>
      </c>
      <c r="C1848" s="105"/>
      <c r="D1848" s="104" t="s">
        <v>10274</v>
      </c>
      <c r="E1848" s="104" t="s">
        <v>10275</v>
      </c>
      <c r="F1848" s="103" t="s">
        <v>4678</v>
      </c>
      <c r="G1848" s="103" t="s">
        <v>4679</v>
      </c>
      <c r="H1848" s="103" t="s">
        <v>10276</v>
      </c>
      <c r="I1848" s="103" t="s">
        <v>10277</v>
      </c>
      <c r="J1848" s="104" t="s">
        <v>10278</v>
      </c>
      <c r="K1848" s="103" t="s">
        <v>10278</v>
      </c>
      <c r="L1848" s="105"/>
    </row>
    <row r="1849">
      <c r="A1849" s="103" t="s">
        <v>4676</v>
      </c>
      <c r="B1849" s="103">
        <v>1.10011947901E11</v>
      </c>
      <c r="C1849" s="105"/>
      <c r="D1849" s="104" t="s">
        <v>10279</v>
      </c>
      <c r="E1849" s="104" t="s">
        <v>10275</v>
      </c>
      <c r="F1849" s="103" t="s">
        <v>4678</v>
      </c>
      <c r="G1849" s="103" t="s">
        <v>4679</v>
      </c>
      <c r="H1849" s="103" t="s">
        <v>10280</v>
      </c>
      <c r="I1849" s="103" t="s">
        <v>10277</v>
      </c>
      <c r="J1849" s="104" t="s">
        <v>10281</v>
      </c>
      <c r="K1849" s="105"/>
      <c r="L1849" s="105"/>
    </row>
    <row r="1850">
      <c r="A1850" s="103" t="s">
        <v>4676</v>
      </c>
      <c r="B1850" s="103">
        <v>1.100119508E9</v>
      </c>
      <c r="C1850" s="105"/>
      <c r="D1850" s="104" t="s">
        <v>10282</v>
      </c>
      <c r="E1850" s="104" t="s">
        <v>10283</v>
      </c>
      <c r="F1850" s="103" t="s">
        <v>4678</v>
      </c>
      <c r="G1850" s="103" t="s">
        <v>4679</v>
      </c>
      <c r="H1850" s="103" t="s">
        <v>10284</v>
      </c>
      <c r="I1850" s="103">
        <v>3460502.0</v>
      </c>
      <c r="J1850" s="104" t="s">
        <v>10285</v>
      </c>
      <c r="K1850" s="105"/>
      <c r="L1850" s="105"/>
    </row>
    <row r="1851">
      <c r="A1851" s="103" t="s">
        <v>4676</v>
      </c>
      <c r="B1851" s="103">
        <v>1.10011950801E11</v>
      </c>
      <c r="C1851" s="105"/>
      <c r="D1851" s="104" t="s">
        <v>10286</v>
      </c>
      <c r="E1851" s="104" t="s">
        <v>10283</v>
      </c>
      <c r="F1851" s="103" t="s">
        <v>4678</v>
      </c>
      <c r="G1851" s="103" t="s">
        <v>4679</v>
      </c>
      <c r="H1851" s="103" t="s">
        <v>10284</v>
      </c>
      <c r="I1851" s="103">
        <v>3460502.0</v>
      </c>
      <c r="J1851" s="104" t="s">
        <v>10285</v>
      </c>
      <c r="K1851" s="105"/>
      <c r="L1851" s="105"/>
    </row>
    <row r="1852">
      <c r="A1852" s="103" t="s">
        <v>4676</v>
      </c>
      <c r="B1852" s="103">
        <v>1.100119532E9</v>
      </c>
      <c r="C1852" s="105"/>
      <c r="D1852" s="104" t="s">
        <v>10287</v>
      </c>
      <c r="E1852" s="106"/>
      <c r="F1852" s="103" t="s">
        <v>4678</v>
      </c>
      <c r="G1852" s="103" t="s">
        <v>4679</v>
      </c>
      <c r="H1852" s="103" t="s">
        <v>10288</v>
      </c>
      <c r="I1852" s="103">
        <v>7026848.0</v>
      </c>
      <c r="J1852" s="104" t="s">
        <v>10289</v>
      </c>
      <c r="K1852" s="107" t="s">
        <v>10290</v>
      </c>
      <c r="L1852" s="105"/>
    </row>
    <row r="1853">
      <c r="A1853" s="103" t="s">
        <v>4676</v>
      </c>
      <c r="B1853" s="103">
        <v>1.10011953201E11</v>
      </c>
      <c r="C1853" s="105"/>
      <c r="D1853" s="104" t="s">
        <v>10291</v>
      </c>
      <c r="E1853" s="104" t="s">
        <v>10292</v>
      </c>
      <c r="F1853" s="103" t="s">
        <v>4678</v>
      </c>
      <c r="G1853" s="103" t="s">
        <v>4679</v>
      </c>
      <c r="H1853" s="103" t="s">
        <v>10293</v>
      </c>
      <c r="I1853" s="103">
        <v>7026848.0</v>
      </c>
      <c r="J1853" s="104" t="s">
        <v>10294</v>
      </c>
      <c r="K1853" s="105"/>
      <c r="L1853" s="105"/>
    </row>
    <row r="1854">
      <c r="A1854" s="103" t="s">
        <v>4676</v>
      </c>
      <c r="B1854" s="103">
        <v>1.100119549E9</v>
      </c>
      <c r="C1854" s="105"/>
      <c r="D1854" s="104" t="s">
        <v>10295</v>
      </c>
      <c r="E1854" s="104" t="s">
        <v>10296</v>
      </c>
      <c r="F1854" s="103" t="s">
        <v>4678</v>
      </c>
      <c r="G1854" s="103" t="s">
        <v>4679</v>
      </c>
      <c r="H1854" s="103" t="s">
        <v>10297</v>
      </c>
      <c r="I1854" s="103" t="s">
        <v>10298</v>
      </c>
      <c r="J1854" s="104" t="s">
        <v>10299</v>
      </c>
      <c r="K1854" s="107" t="s">
        <v>10300</v>
      </c>
      <c r="L1854" s="105"/>
    </row>
    <row r="1855">
      <c r="A1855" s="103" t="s">
        <v>4676</v>
      </c>
      <c r="B1855" s="103">
        <v>1.10011954901E11</v>
      </c>
      <c r="C1855" s="105"/>
      <c r="D1855" s="104" t="s">
        <v>10295</v>
      </c>
      <c r="E1855" s="104" t="s">
        <v>10296</v>
      </c>
      <c r="F1855" s="103" t="s">
        <v>4678</v>
      </c>
      <c r="G1855" s="103" t="s">
        <v>4679</v>
      </c>
      <c r="H1855" s="103" t="s">
        <v>10297</v>
      </c>
      <c r="I1855" s="103" t="s">
        <v>10301</v>
      </c>
      <c r="J1855" s="104" t="s">
        <v>10302</v>
      </c>
      <c r="K1855" s="105"/>
      <c r="L1855" s="105"/>
    </row>
    <row r="1856">
      <c r="A1856" s="103" t="s">
        <v>4676</v>
      </c>
      <c r="B1856" s="103">
        <v>1.100119576E9</v>
      </c>
      <c r="C1856" s="105"/>
      <c r="D1856" s="104" t="s">
        <v>10303</v>
      </c>
      <c r="E1856" s="104" t="s">
        <v>10304</v>
      </c>
      <c r="F1856" s="103" t="s">
        <v>4678</v>
      </c>
      <c r="G1856" s="103" t="s">
        <v>4679</v>
      </c>
      <c r="H1856" s="103" t="s">
        <v>10305</v>
      </c>
      <c r="I1856" s="103" t="s">
        <v>10306</v>
      </c>
      <c r="J1856" s="104" t="s">
        <v>10307</v>
      </c>
      <c r="K1856" s="105"/>
      <c r="L1856" s="105"/>
    </row>
    <row r="1857">
      <c r="A1857" s="103" t="s">
        <v>4676</v>
      </c>
      <c r="B1857" s="103">
        <v>1.10011957601E11</v>
      </c>
      <c r="C1857" s="105"/>
      <c r="D1857" s="104" t="s">
        <v>10308</v>
      </c>
      <c r="E1857" s="104" t="s">
        <v>10304</v>
      </c>
      <c r="F1857" s="103" t="s">
        <v>4678</v>
      </c>
      <c r="G1857" s="103" t="s">
        <v>4679</v>
      </c>
      <c r="H1857" s="103" t="s">
        <v>10309</v>
      </c>
      <c r="I1857" s="103" t="s">
        <v>10310</v>
      </c>
      <c r="J1857" s="104" t="s">
        <v>10311</v>
      </c>
      <c r="K1857" s="105"/>
      <c r="L1857" s="105"/>
    </row>
    <row r="1858">
      <c r="A1858" s="103" t="s">
        <v>4676</v>
      </c>
      <c r="B1858" s="103">
        <v>1.10011957602E11</v>
      </c>
      <c r="C1858" s="105"/>
      <c r="D1858" s="104" t="s">
        <v>10312</v>
      </c>
      <c r="E1858" s="104" t="s">
        <v>10304</v>
      </c>
      <c r="F1858" s="103" t="s">
        <v>4678</v>
      </c>
      <c r="G1858" s="103" t="s">
        <v>4679</v>
      </c>
      <c r="H1858" s="103" t="s">
        <v>10313</v>
      </c>
      <c r="I1858" s="103" t="s">
        <v>10314</v>
      </c>
      <c r="J1858" s="104" t="s">
        <v>10307</v>
      </c>
      <c r="K1858" s="105"/>
      <c r="L1858" s="105"/>
    </row>
    <row r="1859">
      <c r="A1859" s="103" t="s">
        <v>4676</v>
      </c>
      <c r="B1859" s="103">
        <v>1.100119581E9</v>
      </c>
      <c r="C1859" s="105"/>
      <c r="D1859" s="104" t="s">
        <v>10315</v>
      </c>
      <c r="E1859" s="104" t="s">
        <v>10316</v>
      </c>
      <c r="F1859" s="103" t="s">
        <v>4678</v>
      </c>
      <c r="G1859" s="103" t="s">
        <v>4679</v>
      </c>
      <c r="H1859" s="103" t="s">
        <v>10317</v>
      </c>
      <c r="I1859" s="103">
        <v>4884640.0</v>
      </c>
      <c r="J1859" s="104" t="s">
        <v>10318</v>
      </c>
      <c r="K1859" s="105"/>
      <c r="L1859" s="105"/>
    </row>
    <row r="1860">
      <c r="A1860" s="103" t="s">
        <v>4676</v>
      </c>
      <c r="B1860" s="103">
        <v>1.10011958101E11</v>
      </c>
      <c r="C1860" s="105"/>
      <c r="D1860" s="104" t="s">
        <v>10315</v>
      </c>
      <c r="E1860" s="104" t="s">
        <v>10316</v>
      </c>
      <c r="F1860" s="103" t="s">
        <v>4678</v>
      </c>
      <c r="G1860" s="103" t="s">
        <v>4679</v>
      </c>
      <c r="H1860" s="103" t="s">
        <v>10317</v>
      </c>
      <c r="I1860" s="103">
        <v>2960529.0</v>
      </c>
      <c r="J1860" s="104" t="s">
        <v>10318</v>
      </c>
      <c r="K1860" s="105"/>
      <c r="L1860" s="105"/>
    </row>
    <row r="1861">
      <c r="A1861" s="103" t="s">
        <v>4676</v>
      </c>
      <c r="B1861" s="103">
        <v>1.100119603E9</v>
      </c>
      <c r="C1861" s="105"/>
      <c r="D1861" s="104" t="s">
        <v>10319</v>
      </c>
      <c r="E1861" s="104" t="s">
        <v>10320</v>
      </c>
      <c r="F1861" s="103" t="s">
        <v>4678</v>
      </c>
      <c r="G1861" s="103" t="s">
        <v>4679</v>
      </c>
      <c r="H1861" s="103" t="s">
        <v>10321</v>
      </c>
      <c r="I1861" s="103">
        <v>3.235089962E9</v>
      </c>
      <c r="J1861" s="104" t="s">
        <v>10322</v>
      </c>
      <c r="K1861" s="107" t="s">
        <v>10323</v>
      </c>
      <c r="L1861" s="105"/>
    </row>
    <row r="1862">
      <c r="A1862" s="103" t="s">
        <v>4676</v>
      </c>
      <c r="B1862" s="103">
        <v>1.10011960301E11</v>
      </c>
      <c r="C1862" s="105"/>
      <c r="D1862" s="104" t="s">
        <v>10319</v>
      </c>
      <c r="E1862" s="104" t="s">
        <v>10324</v>
      </c>
      <c r="F1862" s="103" t="s">
        <v>4678</v>
      </c>
      <c r="G1862" s="103" t="s">
        <v>4679</v>
      </c>
      <c r="H1862" s="103" t="s">
        <v>10325</v>
      </c>
      <c r="I1862" s="103">
        <v>3.235089962E9</v>
      </c>
      <c r="J1862" s="104" t="s">
        <v>10322</v>
      </c>
      <c r="K1862" s="105"/>
      <c r="L1862" s="105"/>
    </row>
    <row r="1863">
      <c r="A1863" s="103" t="s">
        <v>4676</v>
      </c>
      <c r="B1863" s="103">
        <v>1.100119629E9</v>
      </c>
      <c r="C1863" s="105"/>
      <c r="D1863" s="104" t="s">
        <v>10326</v>
      </c>
      <c r="E1863" s="104" t="s">
        <v>10327</v>
      </c>
      <c r="F1863" s="103" t="s">
        <v>4678</v>
      </c>
      <c r="G1863" s="103" t="s">
        <v>4679</v>
      </c>
      <c r="H1863" s="103" t="s">
        <v>10328</v>
      </c>
      <c r="I1863" s="103" t="s">
        <v>10329</v>
      </c>
      <c r="J1863" s="104" t="s">
        <v>10330</v>
      </c>
      <c r="K1863" s="107" t="s">
        <v>10331</v>
      </c>
      <c r="L1863" s="105"/>
    </row>
    <row r="1864">
      <c r="A1864" s="103" t="s">
        <v>4676</v>
      </c>
      <c r="B1864" s="103">
        <v>1.10011962901E11</v>
      </c>
      <c r="C1864" s="105"/>
      <c r="D1864" s="104" t="s">
        <v>10332</v>
      </c>
      <c r="E1864" s="104" t="s">
        <v>10333</v>
      </c>
      <c r="F1864" s="103" t="s">
        <v>4678</v>
      </c>
      <c r="G1864" s="103" t="s">
        <v>4679</v>
      </c>
      <c r="H1864" s="103" t="s">
        <v>10328</v>
      </c>
      <c r="I1864" s="103" t="s">
        <v>10334</v>
      </c>
      <c r="J1864" s="104" t="s">
        <v>10330</v>
      </c>
      <c r="K1864" s="105"/>
      <c r="L1864" s="105"/>
    </row>
    <row r="1865">
      <c r="A1865" s="103" t="s">
        <v>4676</v>
      </c>
      <c r="B1865" s="103">
        <v>1.10011962902E11</v>
      </c>
      <c r="C1865" s="105"/>
      <c r="D1865" s="104" t="s">
        <v>10335</v>
      </c>
      <c r="E1865" s="104" t="s">
        <v>10333</v>
      </c>
      <c r="F1865" s="103" t="s">
        <v>4678</v>
      </c>
      <c r="G1865" s="103" t="s">
        <v>4679</v>
      </c>
      <c r="H1865" s="103" t="s">
        <v>10336</v>
      </c>
      <c r="I1865" s="103" t="s">
        <v>10334</v>
      </c>
      <c r="J1865" s="104" t="s">
        <v>10330</v>
      </c>
      <c r="K1865" s="105"/>
      <c r="L1865" s="105"/>
    </row>
    <row r="1866">
      <c r="A1866" s="103" t="s">
        <v>4676</v>
      </c>
      <c r="B1866" s="103">
        <v>1.100119643E9</v>
      </c>
      <c r="C1866" s="105"/>
      <c r="D1866" s="104" t="s">
        <v>10337</v>
      </c>
      <c r="E1866" s="104" t="s">
        <v>10338</v>
      </c>
      <c r="F1866" s="103" t="s">
        <v>4678</v>
      </c>
      <c r="G1866" s="103" t="s">
        <v>4679</v>
      </c>
      <c r="H1866" s="103" t="s">
        <v>10339</v>
      </c>
      <c r="I1866" s="103" t="s">
        <v>10340</v>
      </c>
      <c r="J1866" s="104" t="s">
        <v>10341</v>
      </c>
      <c r="K1866" s="105"/>
      <c r="L1866" s="105"/>
    </row>
    <row r="1867">
      <c r="A1867" s="103" t="s">
        <v>4676</v>
      </c>
      <c r="B1867" s="103">
        <v>1.10011964303E11</v>
      </c>
      <c r="C1867" s="105"/>
      <c r="D1867" s="104" t="s">
        <v>10342</v>
      </c>
      <c r="E1867" s="104" t="s">
        <v>10343</v>
      </c>
      <c r="F1867" s="103" t="s">
        <v>4678</v>
      </c>
      <c r="G1867" s="103" t="s">
        <v>4679</v>
      </c>
      <c r="H1867" s="103" t="s">
        <v>10344</v>
      </c>
      <c r="I1867" s="103" t="s">
        <v>10340</v>
      </c>
      <c r="J1867" s="104" t="s">
        <v>10341</v>
      </c>
      <c r="K1867" s="105"/>
      <c r="L1867" s="105"/>
    </row>
    <row r="1868">
      <c r="A1868" s="103" t="s">
        <v>4676</v>
      </c>
      <c r="B1868" s="103">
        <v>1.100119644E9</v>
      </c>
      <c r="C1868" s="105"/>
      <c r="D1868" s="104" t="s">
        <v>10345</v>
      </c>
      <c r="E1868" s="104" t="s">
        <v>10346</v>
      </c>
      <c r="F1868" s="103" t="s">
        <v>4678</v>
      </c>
      <c r="G1868" s="103" t="s">
        <v>4679</v>
      </c>
      <c r="H1868" s="103" t="s">
        <v>10347</v>
      </c>
      <c r="I1868" s="103" t="s">
        <v>10348</v>
      </c>
      <c r="J1868" s="104" t="s">
        <v>10349</v>
      </c>
      <c r="K1868" s="105"/>
      <c r="L1868" s="105"/>
    </row>
    <row r="1869">
      <c r="A1869" s="103" t="s">
        <v>4676</v>
      </c>
      <c r="B1869" s="103">
        <v>1.10011964401E11</v>
      </c>
      <c r="C1869" s="105"/>
      <c r="D1869" s="104" t="s">
        <v>10345</v>
      </c>
      <c r="E1869" s="104" t="s">
        <v>10350</v>
      </c>
      <c r="F1869" s="103" t="s">
        <v>4678</v>
      </c>
      <c r="G1869" s="103" t="s">
        <v>4679</v>
      </c>
      <c r="H1869" s="103" t="s">
        <v>10347</v>
      </c>
      <c r="I1869" s="103" t="s">
        <v>10348</v>
      </c>
      <c r="J1869" s="104" t="s">
        <v>10349</v>
      </c>
      <c r="K1869" s="105"/>
      <c r="L1869" s="105"/>
    </row>
    <row r="1870">
      <c r="A1870" s="103" t="s">
        <v>4676</v>
      </c>
      <c r="B1870" s="103">
        <v>1.100119646E9</v>
      </c>
      <c r="C1870" s="105"/>
      <c r="D1870" s="104" t="s">
        <v>10351</v>
      </c>
      <c r="E1870" s="104" t="s">
        <v>10352</v>
      </c>
      <c r="F1870" s="103" t="s">
        <v>4678</v>
      </c>
      <c r="G1870" s="103" t="s">
        <v>4679</v>
      </c>
      <c r="H1870" s="103" t="s">
        <v>10353</v>
      </c>
      <c r="I1870" s="103" t="s">
        <v>10354</v>
      </c>
      <c r="J1870" s="104" t="s">
        <v>10355</v>
      </c>
      <c r="K1870" s="105"/>
      <c r="L1870" s="105"/>
    </row>
    <row r="1871">
      <c r="A1871" s="103" t="s">
        <v>4676</v>
      </c>
      <c r="B1871" s="103">
        <v>1.10011964601E11</v>
      </c>
      <c r="C1871" s="105"/>
      <c r="D1871" s="104" t="s">
        <v>10356</v>
      </c>
      <c r="E1871" s="104" t="s">
        <v>10357</v>
      </c>
      <c r="F1871" s="103" t="s">
        <v>4678</v>
      </c>
      <c r="G1871" s="103" t="s">
        <v>4679</v>
      </c>
      <c r="H1871" s="103" t="s">
        <v>10358</v>
      </c>
      <c r="I1871" s="103" t="s">
        <v>10354</v>
      </c>
      <c r="J1871" s="104" t="s">
        <v>10355</v>
      </c>
      <c r="K1871" s="105"/>
      <c r="L1871" s="105"/>
    </row>
    <row r="1872">
      <c r="A1872" s="103" t="s">
        <v>4676</v>
      </c>
      <c r="B1872" s="103">
        <v>1.10011964602E11</v>
      </c>
      <c r="C1872" s="105"/>
      <c r="D1872" s="104" t="s">
        <v>10359</v>
      </c>
      <c r="E1872" s="104" t="s">
        <v>10357</v>
      </c>
      <c r="F1872" s="103" t="s">
        <v>4678</v>
      </c>
      <c r="G1872" s="103" t="s">
        <v>4679</v>
      </c>
      <c r="H1872" s="103" t="s">
        <v>10360</v>
      </c>
      <c r="I1872" s="103" t="s">
        <v>10361</v>
      </c>
      <c r="J1872" s="104" t="s">
        <v>10362</v>
      </c>
      <c r="K1872" s="105"/>
      <c r="L1872" s="105"/>
    </row>
    <row r="1873">
      <c r="A1873" s="103" t="s">
        <v>4676</v>
      </c>
      <c r="B1873" s="103">
        <v>1.10011964603E11</v>
      </c>
      <c r="C1873" s="105"/>
      <c r="D1873" s="104" t="s">
        <v>10363</v>
      </c>
      <c r="E1873" s="104" t="s">
        <v>10357</v>
      </c>
      <c r="F1873" s="103" t="s">
        <v>4678</v>
      </c>
      <c r="G1873" s="103" t="s">
        <v>4679</v>
      </c>
      <c r="H1873" s="103" t="s">
        <v>10364</v>
      </c>
      <c r="I1873" s="103" t="s">
        <v>10361</v>
      </c>
      <c r="J1873" s="104" t="s">
        <v>10355</v>
      </c>
      <c r="K1873" s="105"/>
      <c r="L1873" s="105"/>
    </row>
    <row r="1874">
      <c r="A1874" s="103" t="s">
        <v>4676</v>
      </c>
      <c r="B1874" s="103">
        <v>1.10011964605E11</v>
      </c>
      <c r="C1874" s="105"/>
      <c r="D1874" s="104" t="s">
        <v>10365</v>
      </c>
      <c r="E1874" s="104" t="s">
        <v>10357</v>
      </c>
      <c r="F1874" s="103" t="s">
        <v>4678</v>
      </c>
      <c r="G1874" s="103" t="s">
        <v>4679</v>
      </c>
      <c r="H1874" s="103" t="s">
        <v>10366</v>
      </c>
      <c r="I1874" s="103">
        <v>3415151.0</v>
      </c>
      <c r="J1874" s="104" t="s">
        <v>10355</v>
      </c>
      <c r="K1874" s="105"/>
      <c r="L1874" s="105"/>
    </row>
    <row r="1875">
      <c r="A1875" s="103" t="s">
        <v>4676</v>
      </c>
      <c r="B1875" s="103">
        <v>1.10011964606E11</v>
      </c>
      <c r="C1875" s="105"/>
      <c r="D1875" s="104" t="s">
        <v>10367</v>
      </c>
      <c r="E1875" s="104" t="s">
        <v>10357</v>
      </c>
      <c r="F1875" s="103" t="s">
        <v>4678</v>
      </c>
      <c r="G1875" s="103" t="s">
        <v>4679</v>
      </c>
      <c r="H1875" s="103" t="s">
        <v>10368</v>
      </c>
      <c r="I1875" s="103">
        <v>2836889.0</v>
      </c>
      <c r="J1875" s="104" t="s">
        <v>10355</v>
      </c>
      <c r="K1875" s="105"/>
      <c r="L1875" s="105"/>
    </row>
    <row r="1876">
      <c r="A1876" s="103" t="s">
        <v>4676</v>
      </c>
      <c r="B1876" s="103">
        <v>1.100119668E9</v>
      </c>
      <c r="C1876" s="105"/>
      <c r="D1876" s="104" t="s">
        <v>10369</v>
      </c>
      <c r="E1876" s="104" t="s">
        <v>10370</v>
      </c>
      <c r="F1876" s="103" t="s">
        <v>4678</v>
      </c>
      <c r="G1876" s="103" t="s">
        <v>4679</v>
      </c>
      <c r="H1876" s="103" t="s">
        <v>10371</v>
      </c>
      <c r="I1876" s="103">
        <v>3.175161902E9</v>
      </c>
      <c r="J1876" s="104" t="s">
        <v>10372</v>
      </c>
      <c r="K1876" s="105"/>
      <c r="L1876" s="105"/>
    </row>
    <row r="1877">
      <c r="A1877" s="103" t="s">
        <v>4676</v>
      </c>
      <c r="B1877" s="103">
        <v>1.10011966801E11</v>
      </c>
      <c r="C1877" s="105"/>
      <c r="D1877" s="104" t="s">
        <v>10369</v>
      </c>
      <c r="E1877" s="104" t="s">
        <v>10373</v>
      </c>
      <c r="F1877" s="103" t="s">
        <v>4678</v>
      </c>
      <c r="G1877" s="103" t="s">
        <v>4679</v>
      </c>
      <c r="H1877" s="103" t="s">
        <v>10374</v>
      </c>
      <c r="I1877" s="103">
        <v>3.175161902E9</v>
      </c>
      <c r="J1877" s="104" t="s">
        <v>10375</v>
      </c>
      <c r="K1877" s="105"/>
      <c r="L1877" s="105"/>
    </row>
    <row r="1878">
      <c r="A1878" s="103" t="s">
        <v>4676</v>
      </c>
      <c r="B1878" s="103">
        <v>1.100119694E9</v>
      </c>
      <c r="C1878" s="105"/>
      <c r="D1878" s="104" t="s">
        <v>10376</v>
      </c>
      <c r="E1878" s="104" t="s">
        <v>10377</v>
      </c>
      <c r="F1878" s="103" t="s">
        <v>4678</v>
      </c>
      <c r="G1878" s="103" t="s">
        <v>4679</v>
      </c>
      <c r="H1878" s="103" t="s">
        <v>10378</v>
      </c>
      <c r="I1878" s="103">
        <v>6108877.0</v>
      </c>
      <c r="J1878" s="104" t="s">
        <v>10379</v>
      </c>
      <c r="K1878" s="105"/>
      <c r="L1878" s="105"/>
    </row>
    <row r="1879">
      <c r="A1879" s="103" t="s">
        <v>4676</v>
      </c>
      <c r="B1879" s="103">
        <v>1.10011969401E11</v>
      </c>
      <c r="C1879" s="105"/>
      <c r="D1879" s="104" t="s">
        <v>10380</v>
      </c>
      <c r="E1879" s="104" t="s">
        <v>10381</v>
      </c>
      <c r="F1879" s="103" t="s">
        <v>4678</v>
      </c>
      <c r="G1879" s="103" t="s">
        <v>4679</v>
      </c>
      <c r="H1879" s="103" t="s">
        <v>10378</v>
      </c>
      <c r="I1879" s="103">
        <v>6108877.0</v>
      </c>
      <c r="J1879" s="104" t="s">
        <v>10379</v>
      </c>
      <c r="K1879" s="105"/>
      <c r="L1879" s="105"/>
    </row>
    <row r="1880">
      <c r="A1880" s="103" t="s">
        <v>4676</v>
      </c>
      <c r="B1880" s="103">
        <v>1.100119699E9</v>
      </c>
      <c r="C1880" s="105"/>
      <c r="D1880" s="104" t="s">
        <v>10382</v>
      </c>
      <c r="E1880" s="104" t="s">
        <v>10383</v>
      </c>
      <c r="F1880" s="103" t="s">
        <v>4678</v>
      </c>
      <c r="G1880" s="103" t="s">
        <v>4679</v>
      </c>
      <c r="H1880" s="103" t="s">
        <v>10384</v>
      </c>
      <c r="I1880" s="103">
        <v>7282258.0</v>
      </c>
      <c r="J1880" s="104" t="s">
        <v>10385</v>
      </c>
      <c r="K1880" s="105"/>
      <c r="L1880" s="105"/>
    </row>
    <row r="1881">
      <c r="A1881" s="103" t="s">
        <v>4676</v>
      </c>
      <c r="B1881" s="103">
        <v>1.10011969901E11</v>
      </c>
      <c r="C1881" s="105"/>
      <c r="D1881" s="104" t="s">
        <v>10386</v>
      </c>
      <c r="E1881" s="104" t="s">
        <v>10383</v>
      </c>
      <c r="F1881" s="103" t="s">
        <v>4678</v>
      </c>
      <c r="G1881" s="103" t="s">
        <v>4679</v>
      </c>
      <c r="H1881" s="103" t="s">
        <v>10387</v>
      </c>
      <c r="I1881" s="103">
        <v>7282258.0</v>
      </c>
      <c r="J1881" s="104" t="s">
        <v>10385</v>
      </c>
      <c r="K1881" s="105"/>
      <c r="L1881" s="105"/>
    </row>
    <row r="1882">
      <c r="A1882" s="103" t="s">
        <v>4676</v>
      </c>
      <c r="B1882" s="103">
        <v>1.10011969902E11</v>
      </c>
      <c r="C1882" s="105"/>
      <c r="D1882" s="104" t="s">
        <v>10386</v>
      </c>
      <c r="E1882" s="104" t="s">
        <v>10383</v>
      </c>
      <c r="F1882" s="103" t="s">
        <v>4678</v>
      </c>
      <c r="G1882" s="103" t="s">
        <v>4679</v>
      </c>
      <c r="H1882" s="103" t="s">
        <v>10388</v>
      </c>
      <c r="I1882" s="103">
        <v>6222390.0</v>
      </c>
      <c r="J1882" s="104" t="s">
        <v>10385</v>
      </c>
      <c r="K1882" s="105"/>
      <c r="L1882" s="105"/>
    </row>
    <row r="1883">
      <c r="A1883" s="103" t="s">
        <v>4676</v>
      </c>
      <c r="B1883" s="103">
        <v>1.100119703E9</v>
      </c>
      <c r="C1883" s="105"/>
      <c r="D1883" s="104" t="s">
        <v>10389</v>
      </c>
      <c r="E1883" s="104" t="s">
        <v>10390</v>
      </c>
      <c r="F1883" s="103" t="s">
        <v>4678</v>
      </c>
      <c r="G1883" s="103" t="s">
        <v>4679</v>
      </c>
      <c r="H1883" s="103" t="s">
        <v>10391</v>
      </c>
      <c r="I1883" s="103">
        <v>7014938.0</v>
      </c>
      <c r="J1883" s="104" t="s">
        <v>10392</v>
      </c>
      <c r="K1883" s="105"/>
      <c r="L1883" s="105"/>
    </row>
    <row r="1884">
      <c r="A1884" s="103" t="s">
        <v>4676</v>
      </c>
      <c r="B1884" s="103">
        <v>1.10011970301E11</v>
      </c>
      <c r="C1884" s="105"/>
      <c r="D1884" s="104" t="s">
        <v>10389</v>
      </c>
      <c r="E1884" s="104" t="s">
        <v>10390</v>
      </c>
      <c r="F1884" s="103" t="s">
        <v>4678</v>
      </c>
      <c r="G1884" s="103" t="s">
        <v>4679</v>
      </c>
      <c r="H1884" s="103" t="s">
        <v>10391</v>
      </c>
      <c r="I1884" s="103" t="s">
        <v>10393</v>
      </c>
      <c r="J1884" s="104" t="s">
        <v>10392</v>
      </c>
      <c r="K1884" s="105"/>
      <c r="L1884" s="105"/>
    </row>
    <row r="1885">
      <c r="A1885" s="103" t="s">
        <v>4676</v>
      </c>
      <c r="B1885" s="103">
        <v>1.100119731E9</v>
      </c>
      <c r="C1885" s="105"/>
      <c r="D1885" s="104" t="s">
        <v>10394</v>
      </c>
      <c r="E1885" s="104" t="s">
        <v>10395</v>
      </c>
      <c r="F1885" s="103" t="s">
        <v>4678</v>
      </c>
      <c r="G1885" s="103" t="s">
        <v>4679</v>
      </c>
      <c r="H1885" s="103" t="s">
        <v>10396</v>
      </c>
      <c r="I1885" s="103" t="s">
        <v>10397</v>
      </c>
      <c r="J1885" s="104" t="s">
        <v>10398</v>
      </c>
      <c r="K1885" s="107" t="s">
        <v>10399</v>
      </c>
      <c r="L1885" s="105"/>
    </row>
    <row r="1886">
      <c r="A1886" s="103" t="s">
        <v>4676</v>
      </c>
      <c r="B1886" s="103">
        <v>1.10011973101E11</v>
      </c>
      <c r="C1886" s="105"/>
      <c r="D1886" s="104" t="s">
        <v>10394</v>
      </c>
      <c r="E1886" s="104" t="s">
        <v>10400</v>
      </c>
      <c r="F1886" s="103" t="s">
        <v>4678</v>
      </c>
      <c r="G1886" s="103" t="s">
        <v>4679</v>
      </c>
      <c r="H1886" s="103" t="s">
        <v>10401</v>
      </c>
      <c r="I1886" s="103" t="s">
        <v>10402</v>
      </c>
      <c r="J1886" s="104" t="s">
        <v>10398</v>
      </c>
      <c r="K1886" s="105"/>
      <c r="L1886" s="105"/>
    </row>
    <row r="1887">
      <c r="A1887" s="103" t="s">
        <v>4676</v>
      </c>
      <c r="B1887" s="103">
        <v>1.100119765E9</v>
      </c>
      <c r="C1887" s="105"/>
      <c r="D1887" s="104" t="s">
        <v>10403</v>
      </c>
      <c r="E1887" s="104" t="s">
        <v>10404</v>
      </c>
      <c r="F1887" s="103" t="s">
        <v>4678</v>
      </c>
      <c r="G1887" s="103" t="s">
        <v>4679</v>
      </c>
      <c r="H1887" s="103" t="s">
        <v>10405</v>
      </c>
      <c r="I1887" s="103" t="s">
        <v>10406</v>
      </c>
      <c r="J1887" s="104" t="s">
        <v>10407</v>
      </c>
      <c r="K1887" s="105"/>
      <c r="L1887" s="105"/>
    </row>
    <row r="1888">
      <c r="A1888" s="103" t="s">
        <v>4676</v>
      </c>
      <c r="B1888" s="103">
        <v>1.10011976501E11</v>
      </c>
      <c r="C1888" s="105"/>
      <c r="D1888" s="104" t="s">
        <v>10403</v>
      </c>
      <c r="E1888" s="104" t="s">
        <v>10404</v>
      </c>
      <c r="F1888" s="103" t="s">
        <v>4678</v>
      </c>
      <c r="G1888" s="103" t="s">
        <v>4679</v>
      </c>
      <c r="H1888" s="103" t="s">
        <v>10405</v>
      </c>
      <c r="I1888" s="103" t="s">
        <v>10406</v>
      </c>
      <c r="J1888" s="104" t="s">
        <v>10407</v>
      </c>
      <c r="K1888" s="105"/>
      <c r="L1888" s="105"/>
    </row>
    <row r="1889">
      <c r="A1889" s="103" t="s">
        <v>4676</v>
      </c>
      <c r="B1889" s="103">
        <v>1.100119776E9</v>
      </c>
      <c r="C1889" s="105"/>
      <c r="D1889" s="104" t="s">
        <v>10408</v>
      </c>
      <c r="E1889" s="104" t="s">
        <v>10409</v>
      </c>
      <c r="F1889" s="103" t="s">
        <v>4678</v>
      </c>
      <c r="G1889" s="103" t="s">
        <v>4679</v>
      </c>
      <c r="H1889" s="103" t="s">
        <v>10410</v>
      </c>
      <c r="I1889" s="103" t="s">
        <v>10411</v>
      </c>
      <c r="J1889" s="104" t="s">
        <v>10412</v>
      </c>
      <c r="K1889" s="107" t="s">
        <v>10413</v>
      </c>
      <c r="L1889" s="105"/>
    </row>
    <row r="1890">
      <c r="A1890" s="103" t="s">
        <v>4676</v>
      </c>
      <c r="B1890" s="103">
        <v>1.10011977601E11</v>
      </c>
      <c r="C1890" s="105"/>
      <c r="D1890" s="104" t="s">
        <v>10408</v>
      </c>
      <c r="E1890" s="104" t="s">
        <v>10409</v>
      </c>
      <c r="F1890" s="103" t="s">
        <v>4678</v>
      </c>
      <c r="G1890" s="103" t="s">
        <v>4679</v>
      </c>
      <c r="H1890" s="103" t="s">
        <v>10414</v>
      </c>
      <c r="I1890" s="103" t="s">
        <v>10415</v>
      </c>
      <c r="J1890" s="104" t="s">
        <v>10412</v>
      </c>
      <c r="K1890" s="105"/>
      <c r="L1890" s="105"/>
    </row>
    <row r="1891">
      <c r="A1891" s="103" t="s">
        <v>4676</v>
      </c>
      <c r="B1891" s="103">
        <v>1.10011977605E11</v>
      </c>
      <c r="C1891" s="105"/>
      <c r="D1891" s="104" t="s">
        <v>10416</v>
      </c>
      <c r="E1891" s="104" t="s">
        <v>10409</v>
      </c>
      <c r="F1891" s="103" t="s">
        <v>4678</v>
      </c>
      <c r="G1891" s="103" t="s">
        <v>4679</v>
      </c>
      <c r="H1891" s="103" t="s">
        <v>10417</v>
      </c>
      <c r="I1891" s="103" t="s">
        <v>10415</v>
      </c>
      <c r="J1891" s="104" t="s">
        <v>10412</v>
      </c>
      <c r="K1891" s="105"/>
      <c r="L1891" s="105"/>
    </row>
    <row r="1892">
      <c r="A1892" s="103" t="s">
        <v>4676</v>
      </c>
      <c r="B1892" s="103">
        <v>1.10011977606E11</v>
      </c>
      <c r="C1892" s="105"/>
      <c r="D1892" s="104" t="s">
        <v>10408</v>
      </c>
      <c r="E1892" s="104" t="s">
        <v>10418</v>
      </c>
      <c r="F1892" s="103" t="s">
        <v>4678</v>
      </c>
      <c r="G1892" s="103" t="s">
        <v>4679</v>
      </c>
      <c r="H1892" s="103" t="s">
        <v>10419</v>
      </c>
      <c r="I1892" s="103" t="s">
        <v>10415</v>
      </c>
      <c r="J1892" s="104" t="s">
        <v>10412</v>
      </c>
      <c r="K1892" s="105"/>
      <c r="L1892" s="105"/>
    </row>
    <row r="1893">
      <c r="A1893" s="103" t="s">
        <v>4676</v>
      </c>
      <c r="B1893" s="103">
        <v>1.10011977607E11</v>
      </c>
      <c r="C1893" s="105"/>
      <c r="D1893" s="104" t="s">
        <v>10408</v>
      </c>
      <c r="E1893" s="104" t="s">
        <v>10418</v>
      </c>
      <c r="F1893" s="103" t="s">
        <v>4678</v>
      </c>
      <c r="G1893" s="103" t="s">
        <v>4679</v>
      </c>
      <c r="H1893" s="103" t="s">
        <v>10420</v>
      </c>
      <c r="I1893" s="103" t="s">
        <v>10415</v>
      </c>
      <c r="J1893" s="104" t="s">
        <v>10412</v>
      </c>
      <c r="K1893" s="105"/>
      <c r="L1893" s="105"/>
    </row>
    <row r="1894">
      <c r="A1894" s="103" t="s">
        <v>4676</v>
      </c>
      <c r="B1894" s="103">
        <v>1.10011977611E11</v>
      </c>
      <c r="C1894" s="105"/>
      <c r="D1894" s="104" t="s">
        <v>10408</v>
      </c>
      <c r="E1894" s="104" t="s">
        <v>10409</v>
      </c>
      <c r="F1894" s="103" t="s">
        <v>4678</v>
      </c>
      <c r="G1894" s="103" t="s">
        <v>4679</v>
      </c>
      <c r="H1894" s="103" t="s">
        <v>10421</v>
      </c>
      <c r="I1894" s="103" t="s">
        <v>10415</v>
      </c>
      <c r="J1894" s="104" t="s">
        <v>10412</v>
      </c>
      <c r="K1894" s="105"/>
      <c r="L1894" s="105"/>
    </row>
    <row r="1895">
      <c r="A1895" s="103" t="s">
        <v>4676</v>
      </c>
      <c r="B1895" s="103">
        <v>1.10011977612E11</v>
      </c>
      <c r="C1895" s="105"/>
      <c r="D1895" s="104" t="s">
        <v>10422</v>
      </c>
      <c r="E1895" s="104" t="s">
        <v>10409</v>
      </c>
      <c r="F1895" s="103" t="s">
        <v>4678</v>
      </c>
      <c r="G1895" s="103" t="s">
        <v>4679</v>
      </c>
      <c r="H1895" s="103" t="s">
        <v>10423</v>
      </c>
      <c r="I1895" s="103" t="s">
        <v>10415</v>
      </c>
      <c r="J1895" s="104" t="s">
        <v>10412</v>
      </c>
      <c r="K1895" s="105"/>
      <c r="L1895" s="105"/>
    </row>
    <row r="1896">
      <c r="A1896" s="103" t="s">
        <v>4676</v>
      </c>
      <c r="B1896" s="103">
        <v>1.10011977613E11</v>
      </c>
      <c r="C1896" s="105"/>
      <c r="D1896" s="104" t="s">
        <v>10424</v>
      </c>
      <c r="E1896" s="104" t="s">
        <v>10409</v>
      </c>
      <c r="F1896" s="103" t="s">
        <v>4678</v>
      </c>
      <c r="G1896" s="103" t="s">
        <v>4679</v>
      </c>
      <c r="H1896" s="103" t="s">
        <v>10425</v>
      </c>
      <c r="I1896" s="103" t="s">
        <v>10415</v>
      </c>
      <c r="J1896" s="104" t="s">
        <v>10412</v>
      </c>
      <c r="K1896" s="105"/>
      <c r="L1896" s="105"/>
    </row>
    <row r="1897">
      <c r="A1897" s="103" t="s">
        <v>4676</v>
      </c>
      <c r="B1897" s="103">
        <v>1.10011977614E11</v>
      </c>
      <c r="C1897" s="105"/>
      <c r="D1897" s="104" t="s">
        <v>10426</v>
      </c>
      <c r="E1897" s="104" t="s">
        <v>10409</v>
      </c>
      <c r="F1897" s="103" t="s">
        <v>4678</v>
      </c>
      <c r="G1897" s="103" t="s">
        <v>4679</v>
      </c>
      <c r="H1897" s="103" t="s">
        <v>10427</v>
      </c>
      <c r="I1897" s="103" t="s">
        <v>10415</v>
      </c>
      <c r="J1897" s="104" t="s">
        <v>10428</v>
      </c>
      <c r="K1897" s="105"/>
      <c r="L1897" s="105"/>
    </row>
    <row r="1898">
      <c r="A1898" s="103" t="s">
        <v>4676</v>
      </c>
      <c r="B1898" s="103">
        <v>1.100119799E9</v>
      </c>
      <c r="C1898" s="105"/>
      <c r="D1898" s="104" t="s">
        <v>10429</v>
      </c>
      <c r="E1898" s="104" t="s">
        <v>10430</v>
      </c>
      <c r="F1898" s="103" t="s">
        <v>4678</v>
      </c>
      <c r="G1898" s="103" t="s">
        <v>4679</v>
      </c>
      <c r="H1898" s="103" t="s">
        <v>10431</v>
      </c>
      <c r="I1898" s="103" t="s">
        <v>10432</v>
      </c>
      <c r="J1898" s="104" t="s">
        <v>10433</v>
      </c>
      <c r="K1898" s="105"/>
      <c r="L1898" s="105"/>
    </row>
    <row r="1899">
      <c r="A1899" s="103" t="s">
        <v>4676</v>
      </c>
      <c r="B1899" s="103">
        <v>1.10011979901E11</v>
      </c>
      <c r="C1899" s="105"/>
      <c r="D1899" s="104" t="s">
        <v>10429</v>
      </c>
      <c r="E1899" s="104" t="s">
        <v>10434</v>
      </c>
      <c r="F1899" s="103" t="s">
        <v>4678</v>
      </c>
      <c r="G1899" s="103" t="s">
        <v>4679</v>
      </c>
      <c r="H1899" s="103" t="s">
        <v>10431</v>
      </c>
      <c r="I1899" s="103" t="s">
        <v>10432</v>
      </c>
      <c r="J1899" s="104" t="s">
        <v>10433</v>
      </c>
      <c r="K1899" s="105"/>
      <c r="L1899" s="105"/>
    </row>
    <row r="1900">
      <c r="A1900" s="103" t="s">
        <v>4676</v>
      </c>
      <c r="B1900" s="103">
        <v>1.10011979902E11</v>
      </c>
      <c r="C1900" s="105"/>
      <c r="D1900" s="104" t="s">
        <v>10435</v>
      </c>
      <c r="E1900" s="104" t="s">
        <v>10434</v>
      </c>
      <c r="F1900" s="103" t="s">
        <v>4678</v>
      </c>
      <c r="G1900" s="103" t="s">
        <v>4679</v>
      </c>
      <c r="H1900" s="103" t="s">
        <v>10436</v>
      </c>
      <c r="I1900" s="103">
        <v>3.214686825E9</v>
      </c>
      <c r="J1900" s="104" t="s">
        <v>10437</v>
      </c>
      <c r="K1900" s="105"/>
      <c r="L1900" s="105"/>
    </row>
    <row r="1901">
      <c r="A1901" s="103" t="s">
        <v>4676</v>
      </c>
      <c r="B1901" s="103">
        <v>1.100119826E9</v>
      </c>
      <c r="C1901" s="105"/>
      <c r="D1901" s="104" t="s">
        <v>10438</v>
      </c>
      <c r="E1901" s="104" t="s">
        <v>10439</v>
      </c>
      <c r="F1901" s="103" t="s">
        <v>4678</v>
      </c>
      <c r="G1901" s="103" t="s">
        <v>4679</v>
      </c>
      <c r="H1901" s="103" t="s">
        <v>10440</v>
      </c>
      <c r="I1901" s="103" t="s">
        <v>10441</v>
      </c>
      <c r="J1901" s="104" t="s">
        <v>10442</v>
      </c>
      <c r="K1901" s="107" t="s">
        <v>10443</v>
      </c>
      <c r="L1901" s="105"/>
    </row>
    <row r="1902">
      <c r="A1902" s="103" t="s">
        <v>4676</v>
      </c>
      <c r="B1902" s="103">
        <v>1.10011982601E11</v>
      </c>
      <c r="C1902" s="105"/>
      <c r="D1902" s="104" t="s">
        <v>10444</v>
      </c>
      <c r="E1902" s="104" t="s">
        <v>10439</v>
      </c>
      <c r="F1902" s="103" t="s">
        <v>4678</v>
      </c>
      <c r="G1902" s="103" t="s">
        <v>4679</v>
      </c>
      <c r="H1902" s="103" t="s">
        <v>10440</v>
      </c>
      <c r="I1902" s="103" t="s">
        <v>10441</v>
      </c>
      <c r="J1902" s="104" t="s">
        <v>10445</v>
      </c>
      <c r="K1902" s="105"/>
      <c r="L1902" s="105"/>
    </row>
    <row r="1903">
      <c r="A1903" s="103" t="s">
        <v>4676</v>
      </c>
      <c r="B1903" s="103">
        <v>1.100119864E9</v>
      </c>
      <c r="C1903" s="105"/>
      <c r="D1903" s="104" t="s">
        <v>10446</v>
      </c>
      <c r="E1903" s="104" t="s">
        <v>10447</v>
      </c>
      <c r="F1903" s="103" t="s">
        <v>4678</v>
      </c>
      <c r="G1903" s="103" t="s">
        <v>4679</v>
      </c>
      <c r="H1903" s="103" t="s">
        <v>10448</v>
      </c>
      <c r="I1903" s="103">
        <v>4109574.0</v>
      </c>
      <c r="J1903" s="104" t="s">
        <v>10449</v>
      </c>
      <c r="K1903" s="103" t="s">
        <v>10449</v>
      </c>
      <c r="L1903" s="105"/>
    </row>
    <row r="1904">
      <c r="A1904" s="103" t="s">
        <v>4676</v>
      </c>
      <c r="B1904" s="103">
        <v>1.10011986401E11</v>
      </c>
      <c r="C1904" s="105"/>
      <c r="D1904" s="104" t="s">
        <v>10446</v>
      </c>
      <c r="E1904" s="104" t="s">
        <v>10447</v>
      </c>
      <c r="F1904" s="103" t="s">
        <v>4678</v>
      </c>
      <c r="G1904" s="103" t="s">
        <v>4679</v>
      </c>
      <c r="H1904" s="103" t="s">
        <v>10448</v>
      </c>
      <c r="I1904" s="103">
        <v>4109574.0</v>
      </c>
      <c r="J1904" s="104" t="s">
        <v>10449</v>
      </c>
      <c r="K1904" s="105"/>
      <c r="L1904" s="105"/>
    </row>
    <row r="1905">
      <c r="A1905" s="103" t="s">
        <v>4676</v>
      </c>
      <c r="B1905" s="103">
        <v>1.10011992E9</v>
      </c>
      <c r="C1905" s="105"/>
      <c r="D1905" s="104" t="s">
        <v>10450</v>
      </c>
      <c r="E1905" s="104" t="s">
        <v>10451</v>
      </c>
      <c r="F1905" s="103" t="s">
        <v>4678</v>
      </c>
      <c r="G1905" s="103" t="s">
        <v>4679</v>
      </c>
      <c r="H1905" s="103" t="s">
        <v>10452</v>
      </c>
      <c r="I1905" s="103">
        <v>6299524.0</v>
      </c>
      <c r="J1905" s="104" t="s">
        <v>10453</v>
      </c>
      <c r="K1905" s="107" t="s">
        <v>10454</v>
      </c>
      <c r="L1905" s="105"/>
    </row>
    <row r="1906">
      <c r="A1906" s="103" t="s">
        <v>4676</v>
      </c>
      <c r="B1906" s="103">
        <v>1.10011992003E11</v>
      </c>
      <c r="C1906" s="105"/>
      <c r="D1906" s="104" t="s">
        <v>10455</v>
      </c>
      <c r="E1906" s="104" t="s">
        <v>10456</v>
      </c>
      <c r="F1906" s="103" t="s">
        <v>4678</v>
      </c>
      <c r="G1906" s="103" t="s">
        <v>4679</v>
      </c>
      <c r="H1906" s="103" t="s">
        <v>10457</v>
      </c>
      <c r="I1906" s="103">
        <v>3902449.0</v>
      </c>
      <c r="J1906" s="104" t="s">
        <v>10453</v>
      </c>
      <c r="K1906" s="105"/>
      <c r="L1906" s="105"/>
    </row>
    <row r="1907">
      <c r="A1907" s="103" t="s">
        <v>4676</v>
      </c>
      <c r="B1907" s="103">
        <v>1.10011992004E11</v>
      </c>
      <c r="C1907" s="105"/>
      <c r="D1907" s="104" t="s">
        <v>10458</v>
      </c>
      <c r="E1907" s="104" t="s">
        <v>10459</v>
      </c>
      <c r="F1907" s="103" t="s">
        <v>4678</v>
      </c>
      <c r="G1907" s="103" t="s">
        <v>4679</v>
      </c>
      <c r="H1907" s="103" t="s">
        <v>10460</v>
      </c>
      <c r="I1907" s="103">
        <v>3.102464222E9</v>
      </c>
      <c r="J1907" s="104" t="s">
        <v>10453</v>
      </c>
      <c r="K1907" s="105"/>
      <c r="L1907" s="105"/>
    </row>
    <row r="1908">
      <c r="A1908" s="103" t="s">
        <v>4676</v>
      </c>
      <c r="B1908" s="103">
        <v>1.10011992005E11</v>
      </c>
      <c r="C1908" s="105"/>
      <c r="D1908" s="104" t="s">
        <v>10461</v>
      </c>
      <c r="E1908" s="104" t="s">
        <v>10459</v>
      </c>
      <c r="F1908" s="103" t="s">
        <v>4678</v>
      </c>
      <c r="G1908" s="103" t="s">
        <v>4679</v>
      </c>
      <c r="H1908" s="103" t="s">
        <v>10462</v>
      </c>
      <c r="I1908" s="103">
        <v>3.102464222E9</v>
      </c>
      <c r="J1908" s="104" t="s">
        <v>10453</v>
      </c>
      <c r="K1908" s="105"/>
      <c r="L1908" s="105"/>
    </row>
    <row r="1909">
      <c r="A1909" s="103" t="s">
        <v>4676</v>
      </c>
      <c r="B1909" s="103">
        <v>1.100119931E9</v>
      </c>
      <c r="C1909" s="105"/>
      <c r="D1909" s="104" t="s">
        <v>10463</v>
      </c>
      <c r="E1909" s="104" t="s">
        <v>10464</v>
      </c>
      <c r="F1909" s="103" t="s">
        <v>4678</v>
      </c>
      <c r="G1909" s="103" t="s">
        <v>4679</v>
      </c>
      <c r="H1909" s="103" t="s">
        <v>10465</v>
      </c>
      <c r="I1909" s="103">
        <v>2394437.0</v>
      </c>
      <c r="J1909" s="104" t="s">
        <v>10466</v>
      </c>
      <c r="K1909" s="105"/>
      <c r="L1909" s="105"/>
    </row>
    <row r="1910">
      <c r="A1910" s="103" t="s">
        <v>4676</v>
      </c>
      <c r="B1910" s="103">
        <v>1.10011993101E11</v>
      </c>
      <c r="C1910" s="105"/>
      <c r="D1910" s="104" t="s">
        <v>10467</v>
      </c>
      <c r="E1910" s="104" t="s">
        <v>10464</v>
      </c>
      <c r="F1910" s="103" t="s">
        <v>4678</v>
      </c>
      <c r="G1910" s="103" t="s">
        <v>4679</v>
      </c>
      <c r="H1910" s="103" t="s">
        <v>10468</v>
      </c>
      <c r="I1910" s="103">
        <v>2394437.0</v>
      </c>
      <c r="J1910" s="104" t="s">
        <v>10466</v>
      </c>
      <c r="K1910" s="105"/>
      <c r="L1910" s="105"/>
    </row>
    <row r="1911">
      <c r="A1911" s="103" t="s">
        <v>4676</v>
      </c>
      <c r="B1911" s="103">
        <v>1.100119947E9</v>
      </c>
      <c r="C1911" s="105"/>
      <c r="D1911" s="104" t="s">
        <v>10469</v>
      </c>
      <c r="E1911" s="104" t="s">
        <v>10470</v>
      </c>
      <c r="F1911" s="103" t="s">
        <v>4678</v>
      </c>
      <c r="G1911" s="103" t="s">
        <v>4679</v>
      </c>
      <c r="H1911" s="103" t="s">
        <v>10471</v>
      </c>
      <c r="I1911" s="103">
        <v>6292991.0</v>
      </c>
      <c r="J1911" s="104" t="s">
        <v>10472</v>
      </c>
      <c r="K1911" s="107" t="s">
        <v>10473</v>
      </c>
      <c r="L1911" s="105"/>
    </row>
    <row r="1912">
      <c r="A1912" s="103" t="s">
        <v>4676</v>
      </c>
      <c r="B1912" s="103">
        <v>1.10011994701E11</v>
      </c>
      <c r="C1912" s="105"/>
      <c r="D1912" s="104" t="s">
        <v>10474</v>
      </c>
      <c r="E1912" s="104" t="s">
        <v>10475</v>
      </c>
      <c r="F1912" s="103" t="s">
        <v>4678</v>
      </c>
      <c r="G1912" s="103" t="s">
        <v>4679</v>
      </c>
      <c r="H1912" s="103" t="s">
        <v>10476</v>
      </c>
      <c r="I1912" s="103">
        <v>6292991.0</v>
      </c>
      <c r="J1912" s="104" t="s">
        <v>10472</v>
      </c>
      <c r="K1912" s="105"/>
      <c r="L1912" s="105"/>
    </row>
    <row r="1913">
      <c r="A1913" s="103" t="s">
        <v>4676</v>
      </c>
      <c r="B1913" s="103">
        <v>1.100119949E9</v>
      </c>
      <c r="C1913" s="105"/>
      <c r="D1913" s="104" t="s">
        <v>10477</v>
      </c>
      <c r="E1913" s="104" t="s">
        <v>10478</v>
      </c>
      <c r="F1913" s="103" t="s">
        <v>4678</v>
      </c>
      <c r="G1913" s="103" t="s">
        <v>4679</v>
      </c>
      <c r="H1913" s="103" t="s">
        <v>10479</v>
      </c>
      <c r="I1913" s="103">
        <v>6476623.0</v>
      </c>
      <c r="J1913" s="104" t="s">
        <v>10480</v>
      </c>
      <c r="K1913" s="105"/>
      <c r="L1913" s="105"/>
    </row>
    <row r="1914">
      <c r="A1914" s="103" t="s">
        <v>4676</v>
      </c>
      <c r="B1914" s="103">
        <v>1.10011994901E11</v>
      </c>
      <c r="C1914" s="105"/>
      <c r="D1914" s="104" t="s">
        <v>10477</v>
      </c>
      <c r="E1914" s="104" t="s">
        <v>10478</v>
      </c>
      <c r="F1914" s="103" t="s">
        <v>4678</v>
      </c>
      <c r="G1914" s="103" t="s">
        <v>4679</v>
      </c>
      <c r="H1914" s="103" t="s">
        <v>10481</v>
      </c>
      <c r="I1914" s="103">
        <v>6476623.0</v>
      </c>
      <c r="J1914" s="104" t="s">
        <v>10480</v>
      </c>
      <c r="K1914" s="105"/>
      <c r="L1914" s="105"/>
    </row>
    <row r="1915">
      <c r="A1915" s="103" t="s">
        <v>4676</v>
      </c>
      <c r="B1915" s="103">
        <v>1.100120005E9</v>
      </c>
      <c r="C1915" s="105"/>
      <c r="D1915" s="104" t="s">
        <v>10482</v>
      </c>
      <c r="E1915" s="104" t="s">
        <v>10483</v>
      </c>
      <c r="F1915" s="103" t="s">
        <v>4678</v>
      </c>
      <c r="G1915" s="103" t="s">
        <v>4679</v>
      </c>
      <c r="H1915" s="103" t="s">
        <v>10484</v>
      </c>
      <c r="I1915" s="103">
        <v>7617075.0</v>
      </c>
      <c r="J1915" s="104" t="s">
        <v>9543</v>
      </c>
      <c r="K1915" s="105"/>
      <c r="L1915" s="105"/>
    </row>
    <row r="1916">
      <c r="A1916" s="103" t="s">
        <v>4676</v>
      </c>
      <c r="B1916" s="103">
        <v>1.10012000501E11</v>
      </c>
      <c r="C1916" s="105"/>
      <c r="D1916" s="104" t="s">
        <v>10485</v>
      </c>
      <c r="E1916" s="104" t="s">
        <v>10483</v>
      </c>
      <c r="F1916" s="103" t="s">
        <v>4678</v>
      </c>
      <c r="G1916" s="103" t="s">
        <v>4679</v>
      </c>
      <c r="H1916" s="103" t="s">
        <v>10484</v>
      </c>
      <c r="I1916" s="103">
        <v>7617075.0</v>
      </c>
      <c r="J1916" s="104" t="s">
        <v>9543</v>
      </c>
      <c r="K1916" s="105"/>
      <c r="L1916" s="105"/>
    </row>
    <row r="1917">
      <c r="A1917" s="103" t="s">
        <v>4676</v>
      </c>
      <c r="B1917" s="103">
        <v>1.100120008E9</v>
      </c>
      <c r="C1917" s="105"/>
      <c r="D1917" s="104" t="s">
        <v>10486</v>
      </c>
      <c r="E1917" s="104" t="s">
        <v>10487</v>
      </c>
      <c r="F1917" s="103" t="s">
        <v>4678</v>
      </c>
      <c r="G1917" s="103" t="s">
        <v>4679</v>
      </c>
      <c r="H1917" s="103" t="s">
        <v>10488</v>
      </c>
      <c r="I1917" s="103" t="s">
        <v>10489</v>
      </c>
      <c r="J1917" s="104" t="s">
        <v>10490</v>
      </c>
      <c r="K1917" s="105"/>
      <c r="L1917" s="105"/>
    </row>
    <row r="1918">
      <c r="A1918" s="103" t="s">
        <v>4676</v>
      </c>
      <c r="B1918" s="103">
        <v>1.10012000806E11</v>
      </c>
      <c r="C1918" s="105"/>
      <c r="D1918" s="104" t="s">
        <v>10491</v>
      </c>
      <c r="E1918" s="104" t="s">
        <v>10487</v>
      </c>
      <c r="F1918" s="103" t="s">
        <v>4678</v>
      </c>
      <c r="G1918" s="103" t="s">
        <v>4679</v>
      </c>
      <c r="H1918" s="103" t="s">
        <v>10492</v>
      </c>
      <c r="I1918" s="103" t="s">
        <v>10489</v>
      </c>
      <c r="J1918" s="104" t="s">
        <v>10490</v>
      </c>
      <c r="K1918" s="105"/>
      <c r="L1918" s="105"/>
    </row>
    <row r="1919">
      <c r="A1919" s="103" t="s">
        <v>4676</v>
      </c>
      <c r="B1919" s="103">
        <v>1.100120036E9</v>
      </c>
      <c r="C1919" s="105"/>
      <c r="D1919" s="104" t="s">
        <v>10493</v>
      </c>
      <c r="E1919" s="104" t="s">
        <v>10494</v>
      </c>
      <c r="F1919" s="103" t="s">
        <v>4678</v>
      </c>
      <c r="G1919" s="103" t="s">
        <v>4679</v>
      </c>
      <c r="H1919" s="103" t="s">
        <v>10495</v>
      </c>
      <c r="I1919" s="103">
        <v>5205053.0</v>
      </c>
      <c r="J1919" s="104" t="s">
        <v>10496</v>
      </c>
      <c r="K1919" s="105"/>
      <c r="L1919" s="105"/>
    </row>
    <row r="1920">
      <c r="A1920" s="103" t="s">
        <v>4676</v>
      </c>
      <c r="B1920" s="103">
        <v>1.10012003601E11</v>
      </c>
      <c r="C1920" s="105"/>
      <c r="D1920" s="104" t="s">
        <v>10497</v>
      </c>
      <c r="E1920" s="104" t="s">
        <v>10494</v>
      </c>
      <c r="F1920" s="103" t="s">
        <v>4678</v>
      </c>
      <c r="G1920" s="103" t="s">
        <v>4679</v>
      </c>
      <c r="H1920" s="103" t="s">
        <v>10495</v>
      </c>
      <c r="I1920" s="103">
        <v>5205053.0</v>
      </c>
      <c r="J1920" s="104" t="s">
        <v>10498</v>
      </c>
      <c r="K1920" s="105"/>
      <c r="L1920" s="105"/>
    </row>
    <row r="1921">
      <c r="A1921" s="103" t="s">
        <v>4676</v>
      </c>
      <c r="B1921" s="103">
        <v>1.100120044E9</v>
      </c>
      <c r="C1921" s="105"/>
      <c r="D1921" s="104" t="s">
        <v>10499</v>
      </c>
      <c r="E1921" s="104" t="s">
        <v>10500</v>
      </c>
      <c r="F1921" s="103" t="s">
        <v>4678</v>
      </c>
      <c r="G1921" s="103" t="s">
        <v>4679</v>
      </c>
      <c r="H1921" s="103" t="s">
        <v>10501</v>
      </c>
      <c r="I1921" s="103">
        <v>5175304.0</v>
      </c>
      <c r="J1921" s="104" t="s">
        <v>10502</v>
      </c>
      <c r="K1921" s="105"/>
      <c r="L1921" s="105"/>
    </row>
    <row r="1922">
      <c r="A1922" s="103" t="s">
        <v>4676</v>
      </c>
      <c r="B1922" s="103">
        <v>1.10012004401E11</v>
      </c>
      <c r="C1922" s="105"/>
      <c r="D1922" s="104" t="s">
        <v>10503</v>
      </c>
      <c r="E1922" s="104" t="s">
        <v>10500</v>
      </c>
      <c r="F1922" s="103" t="s">
        <v>4678</v>
      </c>
      <c r="G1922" s="103" t="s">
        <v>4679</v>
      </c>
      <c r="H1922" s="103" t="s">
        <v>10504</v>
      </c>
      <c r="I1922" s="103">
        <v>4296022.0</v>
      </c>
      <c r="J1922" s="104" t="s">
        <v>10505</v>
      </c>
      <c r="K1922" s="105"/>
      <c r="L1922" s="105"/>
    </row>
    <row r="1923">
      <c r="A1923" s="103" t="s">
        <v>4676</v>
      </c>
      <c r="B1923" s="103">
        <v>1.10012004403E11</v>
      </c>
      <c r="C1923" s="105"/>
      <c r="D1923" s="104" t="s">
        <v>10506</v>
      </c>
      <c r="E1923" s="104" t="s">
        <v>10500</v>
      </c>
      <c r="F1923" s="103" t="s">
        <v>4678</v>
      </c>
      <c r="G1923" s="103" t="s">
        <v>4679</v>
      </c>
      <c r="H1923" s="103" t="s">
        <v>10507</v>
      </c>
      <c r="I1923" s="103">
        <v>7337824.0</v>
      </c>
      <c r="J1923" s="104" t="s">
        <v>10502</v>
      </c>
      <c r="K1923" s="105"/>
      <c r="L1923" s="105"/>
    </row>
    <row r="1924">
      <c r="A1924" s="103" t="s">
        <v>4676</v>
      </c>
      <c r="B1924" s="103">
        <v>1.100120053E9</v>
      </c>
      <c r="C1924" s="105"/>
      <c r="D1924" s="104" t="s">
        <v>10508</v>
      </c>
      <c r="E1924" s="104" t="s">
        <v>10509</v>
      </c>
      <c r="F1924" s="103" t="s">
        <v>4678</v>
      </c>
      <c r="G1924" s="103" t="s">
        <v>4679</v>
      </c>
      <c r="H1924" s="103" t="s">
        <v>10510</v>
      </c>
      <c r="I1924" s="103">
        <v>6179178.0</v>
      </c>
      <c r="J1924" s="104" t="s">
        <v>10511</v>
      </c>
      <c r="K1924" s="105"/>
      <c r="L1924" s="105"/>
    </row>
    <row r="1925">
      <c r="A1925" s="103" t="s">
        <v>4676</v>
      </c>
      <c r="B1925" s="103">
        <v>1.10012005302E11</v>
      </c>
      <c r="C1925" s="105"/>
      <c r="D1925" s="104" t="s">
        <v>10512</v>
      </c>
      <c r="E1925" s="104" t="s">
        <v>10509</v>
      </c>
      <c r="F1925" s="103" t="s">
        <v>4678</v>
      </c>
      <c r="G1925" s="103" t="s">
        <v>4679</v>
      </c>
      <c r="H1925" s="103" t="s">
        <v>10513</v>
      </c>
      <c r="I1925" s="103" t="s">
        <v>10514</v>
      </c>
      <c r="J1925" s="104" t="s">
        <v>10511</v>
      </c>
      <c r="K1925" s="105"/>
      <c r="L1925" s="105"/>
    </row>
    <row r="1926">
      <c r="A1926" s="103" t="s">
        <v>4676</v>
      </c>
      <c r="B1926" s="103">
        <v>1.100120057E9</v>
      </c>
      <c r="C1926" s="105"/>
      <c r="D1926" s="104" t="s">
        <v>10515</v>
      </c>
      <c r="E1926" s="104" t="s">
        <v>10516</v>
      </c>
      <c r="F1926" s="103" t="s">
        <v>4678</v>
      </c>
      <c r="G1926" s="103" t="s">
        <v>4679</v>
      </c>
      <c r="H1926" s="103" t="s">
        <v>10517</v>
      </c>
      <c r="I1926" s="103">
        <v>3.102312257E9</v>
      </c>
      <c r="J1926" s="104" t="s">
        <v>10518</v>
      </c>
      <c r="K1926" s="107" t="s">
        <v>10519</v>
      </c>
      <c r="L1926" s="105"/>
    </row>
    <row r="1927">
      <c r="A1927" s="103" t="s">
        <v>4676</v>
      </c>
      <c r="B1927" s="103">
        <v>1.10012005701E11</v>
      </c>
      <c r="C1927" s="105"/>
      <c r="D1927" s="104" t="s">
        <v>10515</v>
      </c>
      <c r="E1927" s="104" t="s">
        <v>10520</v>
      </c>
      <c r="F1927" s="103" t="s">
        <v>4678</v>
      </c>
      <c r="G1927" s="103" t="s">
        <v>4679</v>
      </c>
      <c r="H1927" s="103" t="s">
        <v>10517</v>
      </c>
      <c r="I1927" s="103">
        <v>3.102312257E9</v>
      </c>
      <c r="J1927" s="104" t="s">
        <v>10518</v>
      </c>
      <c r="K1927" s="105"/>
      <c r="L1927" s="105"/>
    </row>
    <row r="1928">
      <c r="A1928" s="103" t="s">
        <v>4676</v>
      </c>
      <c r="B1928" s="103">
        <v>1.100120157E9</v>
      </c>
      <c r="C1928" s="105"/>
      <c r="D1928" s="104" t="s">
        <v>10521</v>
      </c>
      <c r="E1928" s="104" t="s">
        <v>10522</v>
      </c>
      <c r="F1928" s="103" t="s">
        <v>4678</v>
      </c>
      <c r="G1928" s="103" t="s">
        <v>4679</v>
      </c>
      <c r="H1928" s="103" t="s">
        <v>10523</v>
      </c>
      <c r="I1928" s="103" t="s">
        <v>10524</v>
      </c>
      <c r="J1928" s="104" t="s">
        <v>10525</v>
      </c>
      <c r="K1928" s="107" t="s">
        <v>10526</v>
      </c>
      <c r="L1928" s="105"/>
    </row>
    <row r="1929">
      <c r="A1929" s="103" t="s">
        <v>4676</v>
      </c>
      <c r="B1929" s="103">
        <v>1.10012015701E11</v>
      </c>
      <c r="C1929" s="105"/>
      <c r="D1929" s="104" t="s">
        <v>10527</v>
      </c>
      <c r="E1929" s="104" t="s">
        <v>10528</v>
      </c>
      <c r="F1929" s="103" t="s">
        <v>4678</v>
      </c>
      <c r="G1929" s="103" t="s">
        <v>4679</v>
      </c>
      <c r="H1929" s="103" t="s">
        <v>10523</v>
      </c>
      <c r="I1929" s="103" t="s">
        <v>10524</v>
      </c>
      <c r="J1929" s="104" t="s">
        <v>10525</v>
      </c>
      <c r="K1929" s="105"/>
      <c r="L1929" s="105"/>
    </row>
    <row r="1930">
      <c r="A1930" s="103" t="s">
        <v>4676</v>
      </c>
      <c r="B1930" s="103">
        <v>1.100120165E9</v>
      </c>
      <c r="C1930" s="105"/>
      <c r="D1930" s="104" t="s">
        <v>10529</v>
      </c>
      <c r="E1930" s="104" t="s">
        <v>10530</v>
      </c>
      <c r="F1930" s="103" t="s">
        <v>4678</v>
      </c>
      <c r="G1930" s="103" t="s">
        <v>4679</v>
      </c>
      <c r="H1930" s="103" t="s">
        <v>10531</v>
      </c>
      <c r="I1930" s="103" t="s">
        <v>10532</v>
      </c>
      <c r="J1930" s="104" t="s">
        <v>10533</v>
      </c>
      <c r="K1930" s="107" t="s">
        <v>10534</v>
      </c>
      <c r="L1930" s="105"/>
    </row>
    <row r="1931">
      <c r="A1931" s="103" t="s">
        <v>4676</v>
      </c>
      <c r="B1931" s="103">
        <v>1.10012016501E11</v>
      </c>
      <c r="C1931" s="105"/>
      <c r="D1931" s="104" t="s">
        <v>10535</v>
      </c>
      <c r="E1931" s="104" t="s">
        <v>10530</v>
      </c>
      <c r="F1931" s="103" t="s">
        <v>4678</v>
      </c>
      <c r="G1931" s="103" t="s">
        <v>4679</v>
      </c>
      <c r="H1931" s="103" t="s">
        <v>10531</v>
      </c>
      <c r="I1931" s="103">
        <v>2554438.0</v>
      </c>
      <c r="J1931" s="104" t="s">
        <v>10533</v>
      </c>
      <c r="K1931" s="105"/>
      <c r="L1931" s="105"/>
    </row>
    <row r="1932">
      <c r="A1932" s="103" t="s">
        <v>4676</v>
      </c>
      <c r="B1932" s="103">
        <v>1.100120179E9</v>
      </c>
      <c r="C1932" s="105"/>
      <c r="D1932" s="104" t="s">
        <v>10536</v>
      </c>
      <c r="E1932" s="104" t="s">
        <v>10537</v>
      </c>
      <c r="F1932" s="103" t="s">
        <v>4678</v>
      </c>
      <c r="G1932" s="103" t="s">
        <v>4679</v>
      </c>
      <c r="H1932" s="103" t="s">
        <v>10538</v>
      </c>
      <c r="I1932" s="103">
        <v>2492125.0</v>
      </c>
      <c r="J1932" s="104" t="s">
        <v>10539</v>
      </c>
      <c r="K1932" s="105"/>
      <c r="L1932" s="105"/>
    </row>
    <row r="1933">
      <c r="A1933" s="103" t="s">
        <v>4676</v>
      </c>
      <c r="B1933" s="103">
        <v>1.10012017901E11</v>
      </c>
      <c r="C1933" s="105"/>
      <c r="D1933" s="104" t="s">
        <v>10536</v>
      </c>
      <c r="E1933" s="104" t="s">
        <v>10537</v>
      </c>
      <c r="F1933" s="103" t="s">
        <v>4678</v>
      </c>
      <c r="G1933" s="103" t="s">
        <v>4679</v>
      </c>
      <c r="H1933" s="103" t="s">
        <v>10538</v>
      </c>
      <c r="I1933" s="103">
        <v>2492125.0</v>
      </c>
      <c r="J1933" s="104" t="s">
        <v>10539</v>
      </c>
      <c r="K1933" s="105"/>
      <c r="L1933" s="105"/>
    </row>
    <row r="1934">
      <c r="A1934" s="103" t="s">
        <v>4676</v>
      </c>
      <c r="B1934" s="103">
        <v>1.100120213E9</v>
      </c>
      <c r="C1934" s="105"/>
      <c r="D1934" s="104" t="s">
        <v>10540</v>
      </c>
      <c r="E1934" s="104" t="s">
        <v>10541</v>
      </c>
      <c r="F1934" s="103" t="s">
        <v>4678</v>
      </c>
      <c r="G1934" s="103" t="s">
        <v>4679</v>
      </c>
      <c r="H1934" s="103" t="s">
        <v>10542</v>
      </c>
      <c r="I1934" s="103" t="s">
        <v>10543</v>
      </c>
      <c r="J1934" s="104" t="s">
        <v>10544</v>
      </c>
      <c r="K1934" s="105"/>
      <c r="L1934" s="105"/>
    </row>
    <row r="1935">
      <c r="A1935" s="103" t="s">
        <v>4676</v>
      </c>
      <c r="B1935" s="103">
        <v>1.10012021301E11</v>
      </c>
      <c r="C1935" s="105"/>
      <c r="D1935" s="104" t="s">
        <v>10540</v>
      </c>
      <c r="E1935" s="104" t="s">
        <v>10541</v>
      </c>
      <c r="F1935" s="103" t="s">
        <v>4678</v>
      </c>
      <c r="G1935" s="103" t="s">
        <v>4679</v>
      </c>
      <c r="H1935" s="103" t="s">
        <v>10545</v>
      </c>
      <c r="I1935" s="103" t="s">
        <v>10546</v>
      </c>
      <c r="J1935" s="104" t="s">
        <v>10547</v>
      </c>
      <c r="K1935" s="105"/>
      <c r="L1935" s="105"/>
    </row>
    <row r="1936">
      <c r="A1936" s="103" t="s">
        <v>4676</v>
      </c>
      <c r="B1936" s="103">
        <v>1.10012023E9</v>
      </c>
      <c r="C1936" s="105"/>
      <c r="D1936" s="104" t="s">
        <v>10548</v>
      </c>
      <c r="E1936" s="104" t="s">
        <v>10549</v>
      </c>
      <c r="F1936" s="103" t="s">
        <v>4678</v>
      </c>
      <c r="G1936" s="103" t="s">
        <v>4679</v>
      </c>
      <c r="H1936" s="103" t="s">
        <v>10550</v>
      </c>
      <c r="I1936" s="103" t="s">
        <v>10551</v>
      </c>
      <c r="J1936" s="104" t="s">
        <v>10552</v>
      </c>
      <c r="K1936" s="107" t="s">
        <v>10553</v>
      </c>
      <c r="L1936" s="105"/>
    </row>
    <row r="1937">
      <c r="A1937" s="103" t="s">
        <v>4676</v>
      </c>
      <c r="B1937" s="103">
        <v>1.10012023001E11</v>
      </c>
      <c r="C1937" s="105"/>
      <c r="D1937" s="104" t="s">
        <v>10548</v>
      </c>
      <c r="E1937" s="104" t="s">
        <v>10549</v>
      </c>
      <c r="F1937" s="103" t="s">
        <v>4678</v>
      </c>
      <c r="G1937" s="103" t="s">
        <v>4679</v>
      </c>
      <c r="H1937" s="103" t="s">
        <v>10550</v>
      </c>
      <c r="I1937" s="103" t="s">
        <v>10554</v>
      </c>
      <c r="J1937" s="104" t="s">
        <v>10555</v>
      </c>
      <c r="K1937" s="105"/>
      <c r="L1937" s="105"/>
    </row>
    <row r="1938">
      <c r="A1938" s="103" t="s">
        <v>4676</v>
      </c>
      <c r="B1938" s="103">
        <v>1.100120231E9</v>
      </c>
      <c r="C1938" s="105"/>
      <c r="D1938" s="104" t="s">
        <v>10556</v>
      </c>
      <c r="E1938" s="106"/>
      <c r="F1938" s="103" t="s">
        <v>4678</v>
      </c>
      <c r="G1938" s="103" t="s">
        <v>4679</v>
      </c>
      <c r="H1938" s="103" t="s">
        <v>10557</v>
      </c>
      <c r="I1938" s="103" t="s">
        <v>10558</v>
      </c>
      <c r="J1938" s="104" t="s">
        <v>10559</v>
      </c>
      <c r="K1938" s="105"/>
      <c r="L1938" s="105"/>
    </row>
    <row r="1939">
      <c r="A1939" s="103" t="s">
        <v>4676</v>
      </c>
      <c r="B1939" s="103">
        <v>1.10012023104E11</v>
      </c>
      <c r="C1939" s="105"/>
      <c r="D1939" s="104" t="s">
        <v>10560</v>
      </c>
      <c r="E1939" s="104" t="s">
        <v>10561</v>
      </c>
      <c r="F1939" s="103" t="s">
        <v>4678</v>
      </c>
      <c r="G1939" s="103" t="s">
        <v>4679</v>
      </c>
      <c r="H1939" s="103" t="s">
        <v>10562</v>
      </c>
      <c r="I1939" s="103" t="s">
        <v>10558</v>
      </c>
      <c r="J1939" s="104" t="s">
        <v>10559</v>
      </c>
      <c r="K1939" s="105"/>
      <c r="L1939" s="105"/>
    </row>
    <row r="1940">
      <c r="A1940" s="103" t="s">
        <v>4676</v>
      </c>
      <c r="B1940" s="103">
        <v>1.100120233E9</v>
      </c>
      <c r="C1940" s="105"/>
      <c r="D1940" s="104" t="s">
        <v>10563</v>
      </c>
      <c r="E1940" s="104" t="s">
        <v>10564</v>
      </c>
      <c r="F1940" s="103" t="s">
        <v>4678</v>
      </c>
      <c r="G1940" s="103" t="s">
        <v>4679</v>
      </c>
      <c r="H1940" s="103" t="s">
        <v>10565</v>
      </c>
      <c r="I1940" s="103" t="s">
        <v>10566</v>
      </c>
      <c r="J1940" s="104" t="s">
        <v>10567</v>
      </c>
      <c r="K1940" s="105"/>
      <c r="L1940" s="105"/>
    </row>
    <row r="1941">
      <c r="A1941" s="103" t="s">
        <v>4676</v>
      </c>
      <c r="B1941" s="103">
        <v>1.10012023301E11</v>
      </c>
      <c r="C1941" s="105"/>
      <c r="D1941" s="104" t="s">
        <v>10568</v>
      </c>
      <c r="E1941" s="104" t="s">
        <v>10564</v>
      </c>
      <c r="F1941" s="103" t="s">
        <v>4678</v>
      </c>
      <c r="G1941" s="103" t="s">
        <v>4679</v>
      </c>
      <c r="H1941" s="103" t="s">
        <v>10569</v>
      </c>
      <c r="I1941" s="103" t="s">
        <v>10566</v>
      </c>
      <c r="J1941" s="104" t="s">
        <v>10567</v>
      </c>
      <c r="K1941" s="105"/>
      <c r="L1941" s="105"/>
    </row>
    <row r="1942">
      <c r="A1942" s="103" t="s">
        <v>4676</v>
      </c>
      <c r="B1942" s="103">
        <v>1.10012023302E11</v>
      </c>
      <c r="C1942" s="105"/>
      <c r="D1942" s="104" t="s">
        <v>10570</v>
      </c>
      <c r="E1942" s="104" t="s">
        <v>10564</v>
      </c>
      <c r="F1942" s="103" t="s">
        <v>4678</v>
      </c>
      <c r="G1942" s="103" t="s">
        <v>4679</v>
      </c>
      <c r="H1942" s="103" t="s">
        <v>10571</v>
      </c>
      <c r="I1942" s="103">
        <v>4480700.0</v>
      </c>
      <c r="J1942" s="104" t="s">
        <v>10567</v>
      </c>
      <c r="K1942" s="105"/>
      <c r="L1942" s="105"/>
    </row>
    <row r="1943">
      <c r="A1943" s="103" t="s">
        <v>4676</v>
      </c>
      <c r="B1943" s="103">
        <v>1.100120239E9</v>
      </c>
      <c r="C1943" s="105"/>
      <c r="D1943" s="104" t="s">
        <v>10572</v>
      </c>
      <c r="E1943" s="104" t="s">
        <v>10573</v>
      </c>
      <c r="F1943" s="103" t="s">
        <v>4678</v>
      </c>
      <c r="G1943" s="103" t="s">
        <v>4679</v>
      </c>
      <c r="H1943" s="103" t="s">
        <v>10574</v>
      </c>
      <c r="I1943" s="103" t="s">
        <v>10575</v>
      </c>
      <c r="J1943" s="104" t="s">
        <v>10576</v>
      </c>
      <c r="K1943" s="105"/>
      <c r="L1943" s="105"/>
    </row>
    <row r="1944">
      <c r="A1944" s="103" t="s">
        <v>4676</v>
      </c>
      <c r="B1944" s="103">
        <v>1.10012023901E11</v>
      </c>
      <c r="C1944" s="105"/>
      <c r="D1944" s="104" t="s">
        <v>10572</v>
      </c>
      <c r="E1944" s="104" t="s">
        <v>10573</v>
      </c>
      <c r="F1944" s="103" t="s">
        <v>4678</v>
      </c>
      <c r="G1944" s="103" t="s">
        <v>4679</v>
      </c>
      <c r="H1944" s="103" t="s">
        <v>10577</v>
      </c>
      <c r="I1944" s="103" t="s">
        <v>10575</v>
      </c>
      <c r="J1944" s="104" t="s">
        <v>10578</v>
      </c>
      <c r="K1944" s="105"/>
      <c r="L1944" s="105"/>
    </row>
    <row r="1945">
      <c r="A1945" s="103" t="s">
        <v>4676</v>
      </c>
      <c r="B1945" s="103">
        <v>1.100120249E9</v>
      </c>
      <c r="C1945" s="105"/>
      <c r="D1945" s="104" t="s">
        <v>10579</v>
      </c>
      <c r="E1945" s="104" t="s">
        <v>10580</v>
      </c>
      <c r="F1945" s="103" t="s">
        <v>4678</v>
      </c>
      <c r="G1945" s="103" t="s">
        <v>4679</v>
      </c>
      <c r="H1945" s="103" t="s">
        <v>10581</v>
      </c>
      <c r="I1945" s="103">
        <v>2875705.0</v>
      </c>
      <c r="J1945" s="104" t="s">
        <v>10582</v>
      </c>
      <c r="K1945" s="105"/>
      <c r="L1945" s="105"/>
    </row>
    <row r="1946">
      <c r="A1946" s="103" t="s">
        <v>4676</v>
      </c>
      <c r="B1946" s="103">
        <v>1.10012024901E11</v>
      </c>
      <c r="C1946" s="105"/>
      <c r="D1946" s="104" t="s">
        <v>10579</v>
      </c>
      <c r="E1946" s="104" t="s">
        <v>10580</v>
      </c>
      <c r="F1946" s="103" t="s">
        <v>4678</v>
      </c>
      <c r="G1946" s="103" t="s">
        <v>4679</v>
      </c>
      <c r="H1946" s="103" t="s">
        <v>10583</v>
      </c>
      <c r="I1946" s="103">
        <v>2875705.0</v>
      </c>
      <c r="J1946" s="104" t="s">
        <v>10582</v>
      </c>
      <c r="K1946" s="105"/>
      <c r="L1946" s="105"/>
    </row>
    <row r="1947">
      <c r="A1947" s="103" t="s">
        <v>4676</v>
      </c>
      <c r="B1947" s="103">
        <v>1.100120252E9</v>
      </c>
      <c r="C1947" s="105"/>
      <c r="D1947" s="104" t="s">
        <v>10584</v>
      </c>
      <c r="E1947" s="104" t="s">
        <v>10585</v>
      </c>
      <c r="F1947" s="103" t="s">
        <v>4678</v>
      </c>
      <c r="G1947" s="103" t="s">
        <v>4679</v>
      </c>
      <c r="H1947" s="103" t="s">
        <v>10586</v>
      </c>
      <c r="I1947" s="103">
        <v>3.143936114E9</v>
      </c>
      <c r="J1947" s="104" t="s">
        <v>10587</v>
      </c>
      <c r="K1947" s="105"/>
      <c r="L1947" s="105"/>
    </row>
    <row r="1948">
      <c r="A1948" s="103" t="s">
        <v>4676</v>
      </c>
      <c r="B1948" s="103">
        <v>1.10012025201E11</v>
      </c>
      <c r="C1948" s="105"/>
      <c r="D1948" s="104" t="s">
        <v>10588</v>
      </c>
      <c r="E1948" s="104" t="s">
        <v>10585</v>
      </c>
      <c r="F1948" s="103" t="s">
        <v>4678</v>
      </c>
      <c r="G1948" s="103" t="s">
        <v>4679</v>
      </c>
      <c r="H1948" s="103" t="s">
        <v>10586</v>
      </c>
      <c r="I1948" s="103" t="s">
        <v>10589</v>
      </c>
      <c r="J1948" s="104" t="s">
        <v>10590</v>
      </c>
      <c r="K1948" s="105"/>
      <c r="L1948" s="105"/>
    </row>
    <row r="1949">
      <c r="A1949" s="103" t="s">
        <v>4676</v>
      </c>
      <c r="B1949" s="103">
        <v>1.100120256E9</v>
      </c>
      <c r="C1949" s="105"/>
      <c r="D1949" s="104" t="s">
        <v>10591</v>
      </c>
      <c r="E1949" s="104" t="s">
        <v>10592</v>
      </c>
      <c r="F1949" s="103" t="s">
        <v>4678</v>
      </c>
      <c r="G1949" s="103" t="s">
        <v>4679</v>
      </c>
      <c r="H1949" s="103" t="s">
        <v>10593</v>
      </c>
      <c r="I1949" s="103">
        <v>3.114416569E9</v>
      </c>
      <c r="J1949" s="104" t="s">
        <v>10594</v>
      </c>
      <c r="K1949" s="105"/>
      <c r="L1949" s="105"/>
    </row>
    <row r="1950">
      <c r="A1950" s="103" t="s">
        <v>4676</v>
      </c>
      <c r="B1950" s="103">
        <v>1.10012025601E11</v>
      </c>
      <c r="C1950" s="105"/>
      <c r="D1950" s="104" t="s">
        <v>10591</v>
      </c>
      <c r="E1950" s="104" t="s">
        <v>10592</v>
      </c>
      <c r="F1950" s="103" t="s">
        <v>4678</v>
      </c>
      <c r="G1950" s="103" t="s">
        <v>4679</v>
      </c>
      <c r="H1950" s="103" t="s">
        <v>10593</v>
      </c>
      <c r="I1950" s="103">
        <v>3.114416569E9</v>
      </c>
      <c r="J1950" s="104" t="s">
        <v>10595</v>
      </c>
      <c r="K1950" s="105"/>
      <c r="L1950" s="105"/>
    </row>
    <row r="1951">
      <c r="A1951" s="103" t="s">
        <v>4676</v>
      </c>
      <c r="B1951" s="103">
        <v>1.10012025602E11</v>
      </c>
      <c r="C1951" s="105"/>
      <c r="D1951" s="104" t="s">
        <v>10591</v>
      </c>
      <c r="E1951" s="104" t="s">
        <v>10592</v>
      </c>
      <c r="F1951" s="103" t="s">
        <v>4678</v>
      </c>
      <c r="G1951" s="103" t="s">
        <v>4679</v>
      </c>
      <c r="H1951" s="103" t="s">
        <v>10596</v>
      </c>
      <c r="I1951" s="103">
        <v>3.114416569E9</v>
      </c>
      <c r="J1951" s="104" t="s">
        <v>10595</v>
      </c>
      <c r="K1951" s="105"/>
      <c r="L1951" s="105"/>
    </row>
    <row r="1952">
      <c r="A1952" s="103" t="s">
        <v>4676</v>
      </c>
      <c r="B1952" s="103">
        <v>1.10012025603E11</v>
      </c>
      <c r="C1952" s="105"/>
      <c r="D1952" s="104" t="s">
        <v>10591</v>
      </c>
      <c r="E1952" s="104" t="s">
        <v>10592</v>
      </c>
      <c r="F1952" s="103" t="s">
        <v>4678</v>
      </c>
      <c r="G1952" s="103" t="s">
        <v>4679</v>
      </c>
      <c r="H1952" s="103" t="s">
        <v>10597</v>
      </c>
      <c r="I1952" s="103">
        <v>3.114416569E9</v>
      </c>
      <c r="J1952" s="104" t="s">
        <v>10595</v>
      </c>
      <c r="K1952" s="105"/>
      <c r="L1952" s="105"/>
    </row>
    <row r="1953">
      <c r="A1953" s="103" t="s">
        <v>4676</v>
      </c>
      <c r="B1953" s="103">
        <v>1.100120257E9</v>
      </c>
      <c r="C1953" s="105"/>
      <c r="D1953" s="104" t="s">
        <v>10598</v>
      </c>
      <c r="E1953" s="104" t="s">
        <v>10599</v>
      </c>
      <c r="F1953" s="103" t="s">
        <v>4678</v>
      </c>
      <c r="G1953" s="103" t="s">
        <v>4679</v>
      </c>
      <c r="H1953" s="103" t="s">
        <v>10600</v>
      </c>
      <c r="I1953" s="103">
        <v>3.213106117E9</v>
      </c>
      <c r="J1953" s="104" t="s">
        <v>10601</v>
      </c>
      <c r="K1953" s="107" t="s">
        <v>10602</v>
      </c>
      <c r="L1953" s="105"/>
    </row>
    <row r="1954">
      <c r="A1954" s="103" t="s">
        <v>4676</v>
      </c>
      <c r="B1954" s="103">
        <v>1.10012025701E11</v>
      </c>
      <c r="C1954" s="105"/>
      <c r="D1954" s="104" t="s">
        <v>10598</v>
      </c>
      <c r="E1954" s="104" t="s">
        <v>10603</v>
      </c>
      <c r="F1954" s="103" t="s">
        <v>4678</v>
      </c>
      <c r="G1954" s="103" t="s">
        <v>4679</v>
      </c>
      <c r="H1954" s="103" t="s">
        <v>10604</v>
      </c>
      <c r="I1954" s="103">
        <v>5103431.0</v>
      </c>
      <c r="J1954" s="104" t="s">
        <v>10605</v>
      </c>
      <c r="K1954" s="105"/>
      <c r="L1954" s="105"/>
    </row>
    <row r="1955">
      <c r="A1955" s="103" t="s">
        <v>4676</v>
      </c>
      <c r="B1955" s="103">
        <v>1.10012028E9</v>
      </c>
      <c r="C1955" s="105"/>
      <c r="D1955" s="104" t="s">
        <v>10606</v>
      </c>
      <c r="E1955" s="104" t="s">
        <v>10607</v>
      </c>
      <c r="F1955" s="103" t="s">
        <v>4678</v>
      </c>
      <c r="G1955" s="103" t="s">
        <v>4679</v>
      </c>
      <c r="H1955" s="103" t="s">
        <v>10608</v>
      </c>
      <c r="I1955" s="103">
        <v>6.019260154E9</v>
      </c>
      <c r="J1955" s="104" t="s">
        <v>10609</v>
      </c>
      <c r="K1955" s="105"/>
      <c r="L1955" s="105"/>
    </row>
    <row r="1956">
      <c r="A1956" s="103" t="s">
        <v>4676</v>
      </c>
      <c r="B1956" s="103">
        <v>1.10012028001E11</v>
      </c>
      <c r="C1956" s="105"/>
      <c r="D1956" s="104" t="s">
        <v>10610</v>
      </c>
      <c r="E1956" s="104" t="s">
        <v>10611</v>
      </c>
      <c r="F1956" s="103" t="s">
        <v>4678</v>
      </c>
      <c r="G1956" s="103" t="s">
        <v>4679</v>
      </c>
      <c r="H1956" s="103" t="s">
        <v>10608</v>
      </c>
      <c r="I1956" s="103">
        <v>6.019260154E9</v>
      </c>
      <c r="J1956" s="104" t="s">
        <v>10609</v>
      </c>
      <c r="K1956" s="105"/>
      <c r="L1956" s="105"/>
    </row>
    <row r="1957">
      <c r="A1957" s="103" t="s">
        <v>4676</v>
      </c>
      <c r="B1957" s="103">
        <v>1.100120342E9</v>
      </c>
      <c r="C1957" s="105"/>
      <c r="D1957" s="104" t="s">
        <v>10612</v>
      </c>
      <c r="E1957" s="106"/>
      <c r="F1957" s="103" t="s">
        <v>4678</v>
      </c>
      <c r="G1957" s="103" t="s">
        <v>4679</v>
      </c>
      <c r="H1957" s="103" t="s">
        <v>10613</v>
      </c>
      <c r="I1957" s="103" t="s">
        <v>10614</v>
      </c>
      <c r="J1957" s="104" t="s">
        <v>10615</v>
      </c>
      <c r="K1957" s="105"/>
      <c r="L1957" s="105"/>
    </row>
    <row r="1958">
      <c r="A1958" s="103" t="s">
        <v>4676</v>
      </c>
      <c r="B1958" s="103">
        <v>1.10012034203E11</v>
      </c>
      <c r="C1958" s="105"/>
      <c r="D1958" s="104" t="s">
        <v>10616</v>
      </c>
      <c r="E1958" s="104" t="s">
        <v>10617</v>
      </c>
      <c r="F1958" s="103" t="s">
        <v>4678</v>
      </c>
      <c r="G1958" s="103" t="s">
        <v>4679</v>
      </c>
      <c r="H1958" s="103" t="s">
        <v>10618</v>
      </c>
      <c r="I1958" s="103">
        <v>3.176351438E9</v>
      </c>
      <c r="J1958" s="104" t="s">
        <v>10619</v>
      </c>
      <c r="K1958" s="105"/>
      <c r="L1958" s="105"/>
    </row>
    <row r="1959">
      <c r="A1959" s="103" t="s">
        <v>4676</v>
      </c>
      <c r="B1959" s="103">
        <v>1.10012034204E11</v>
      </c>
      <c r="C1959" s="105"/>
      <c r="D1959" s="104" t="s">
        <v>10620</v>
      </c>
      <c r="E1959" s="104" t="s">
        <v>10621</v>
      </c>
      <c r="F1959" s="103" t="s">
        <v>4678</v>
      </c>
      <c r="G1959" s="103" t="s">
        <v>4679</v>
      </c>
      <c r="H1959" s="103" t="s">
        <v>10622</v>
      </c>
      <c r="I1959" s="103">
        <v>3.214914169E9</v>
      </c>
      <c r="J1959" s="104" t="s">
        <v>10623</v>
      </c>
      <c r="K1959" s="105"/>
      <c r="L1959" s="105"/>
    </row>
    <row r="1960">
      <c r="A1960" s="103" t="s">
        <v>4676</v>
      </c>
      <c r="B1960" s="103">
        <v>1.100120394E9</v>
      </c>
      <c r="C1960" s="105"/>
      <c r="D1960" s="104" t="s">
        <v>10624</v>
      </c>
      <c r="E1960" s="104" t="s">
        <v>10625</v>
      </c>
      <c r="F1960" s="103" t="s">
        <v>4678</v>
      </c>
      <c r="G1960" s="103" t="s">
        <v>4679</v>
      </c>
      <c r="H1960" s="103" t="s">
        <v>10626</v>
      </c>
      <c r="I1960" s="103">
        <v>3.202735366E9</v>
      </c>
      <c r="J1960" s="104" t="s">
        <v>10627</v>
      </c>
      <c r="K1960" s="107" t="s">
        <v>10628</v>
      </c>
      <c r="L1960" s="105"/>
    </row>
    <row r="1961">
      <c r="A1961" s="103" t="s">
        <v>4676</v>
      </c>
      <c r="B1961" s="103">
        <v>1.10012039401E11</v>
      </c>
      <c r="C1961" s="105"/>
      <c r="D1961" s="104" t="s">
        <v>10624</v>
      </c>
      <c r="E1961" s="104" t="s">
        <v>10629</v>
      </c>
      <c r="F1961" s="103" t="s">
        <v>4678</v>
      </c>
      <c r="G1961" s="103" t="s">
        <v>4679</v>
      </c>
      <c r="H1961" s="103" t="s">
        <v>10630</v>
      </c>
      <c r="I1961" s="103">
        <v>7461212.0</v>
      </c>
      <c r="J1961" s="104" t="s">
        <v>10627</v>
      </c>
      <c r="K1961" s="105"/>
      <c r="L1961" s="105"/>
    </row>
    <row r="1962">
      <c r="A1962" s="103" t="s">
        <v>4676</v>
      </c>
      <c r="B1962" s="103">
        <v>1.100120395E9</v>
      </c>
      <c r="C1962" s="105"/>
      <c r="D1962" s="104" t="s">
        <v>10631</v>
      </c>
      <c r="E1962" s="106"/>
      <c r="F1962" s="103" t="s">
        <v>4678</v>
      </c>
      <c r="G1962" s="103" t="s">
        <v>4679</v>
      </c>
      <c r="H1962" s="103" t="s">
        <v>10632</v>
      </c>
      <c r="I1962" s="103" t="s">
        <v>10633</v>
      </c>
      <c r="J1962" s="104" t="s">
        <v>10634</v>
      </c>
      <c r="K1962" s="105"/>
      <c r="L1962" s="105"/>
    </row>
    <row r="1963">
      <c r="A1963" s="103" t="s">
        <v>4676</v>
      </c>
      <c r="B1963" s="103">
        <v>1.10012039501E11</v>
      </c>
      <c r="C1963" s="105"/>
      <c r="D1963" s="104" t="s">
        <v>10631</v>
      </c>
      <c r="E1963" s="104" t="s">
        <v>10635</v>
      </c>
      <c r="F1963" s="103" t="s">
        <v>4678</v>
      </c>
      <c r="G1963" s="103" t="s">
        <v>4679</v>
      </c>
      <c r="H1963" s="103" t="s">
        <v>10632</v>
      </c>
      <c r="I1963" s="103" t="s">
        <v>10636</v>
      </c>
      <c r="J1963" s="104" t="s">
        <v>10637</v>
      </c>
      <c r="K1963" s="105"/>
      <c r="L1963" s="105"/>
    </row>
    <row r="1964">
      <c r="A1964" s="103" t="s">
        <v>4676</v>
      </c>
      <c r="B1964" s="103">
        <v>1.100120414E9</v>
      </c>
      <c r="C1964" s="105"/>
      <c r="D1964" s="104" t="s">
        <v>10638</v>
      </c>
      <c r="E1964" s="106"/>
      <c r="F1964" s="103" t="s">
        <v>4678</v>
      </c>
      <c r="G1964" s="103" t="s">
        <v>4679</v>
      </c>
      <c r="H1964" s="103" t="s">
        <v>10639</v>
      </c>
      <c r="I1964" s="103" t="s">
        <v>10640</v>
      </c>
      <c r="J1964" s="104" t="s">
        <v>10641</v>
      </c>
      <c r="K1964" s="105"/>
      <c r="L1964" s="105"/>
    </row>
    <row r="1965">
      <c r="A1965" s="103" t="s">
        <v>4676</v>
      </c>
      <c r="B1965" s="103">
        <v>1.10012041401E11</v>
      </c>
      <c r="C1965" s="105"/>
      <c r="D1965" s="104" t="s">
        <v>10638</v>
      </c>
      <c r="E1965" s="104" t="s">
        <v>10642</v>
      </c>
      <c r="F1965" s="103" t="s">
        <v>4678</v>
      </c>
      <c r="G1965" s="103" t="s">
        <v>4679</v>
      </c>
      <c r="H1965" s="103" t="s">
        <v>10639</v>
      </c>
      <c r="I1965" s="103" t="s">
        <v>10643</v>
      </c>
      <c r="J1965" s="104" t="s">
        <v>10641</v>
      </c>
      <c r="K1965" s="105"/>
      <c r="L1965" s="105"/>
    </row>
    <row r="1966">
      <c r="A1966" s="103" t="s">
        <v>4676</v>
      </c>
      <c r="B1966" s="103">
        <v>1.100120426E9</v>
      </c>
      <c r="C1966" s="105"/>
      <c r="D1966" s="104" t="s">
        <v>10644</v>
      </c>
      <c r="E1966" s="106"/>
      <c r="F1966" s="103" t="s">
        <v>4678</v>
      </c>
      <c r="G1966" s="103" t="s">
        <v>4679</v>
      </c>
      <c r="H1966" s="103" t="s">
        <v>10645</v>
      </c>
      <c r="I1966" s="103">
        <v>6.013161699E9</v>
      </c>
      <c r="J1966" s="104" t="s">
        <v>10646</v>
      </c>
      <c r="K1966" s="105"/>
      <c r="L1966" s="105"/>
    </row>
    <row r="1967">
      <c r="A1967" s="103" t="s">
        <v>4676</v>
      </c>
      <c r="B1967" s="103">
        <v>1.10012042602E11</v>
      </c>
      <c r="C1967" s="105"/>
      <c r="D1967" s="104" t="s">
        <v>10647</v>
      </c>
      <c r="E1967" s="104" t="s">
        <v>10648</v>
      </c>
      <c r="F1967" s="103" t="s">
        <v>4678</v>
      </c>
      <c r="G1967" s="103" t="s">
        <v>4679</v>
      </c>
      <c r="H1967" s="103" t="s">
        <v>10645</v>
      </c>
      <c r="I1967" s="103">
        <v>3.114754396E9</v>
      </c>
      <c r="J1967" s="104" t="s">
        <v>10646</v>
      </c>
      <c r="K1967" s="105"/>
      <c r="L1967" s="105"/>
    </row>
    <row r="1968">
      <c r="A1968" s="103" t="s">
        <v>4676</v>
      </c>
      <c r="B1968" s="103">
        <v>1.10012042603E11</v>
      </c>
      <c r="C1968" s="105"/>
      <c r="D1968" s="104" t="s">
        <v>10649</v>
      </c>
      <c r="E1968" s="104" t="s">
        <v>10650</v>
      </c>
      <c r="F1968" s="103" t="s">
        <v>4678</v>
      </c>
      <c r="G1968" s="103" t="s">
        <v>4679</v>
      </c>
      <c r="H1968" s="103" t="s">
        <v>10651</v>
      </c>
      <c r="I1968" s="103">
        <v>3.114754396E9</v>
      </c>
      <c r="J1968" s="104" t="s">
        <v>10646</v>
      </c>
      <c r="K1968" s="105"/>
      <c r="L1968" s="105"/>
    </row>
    <row r="1969">
      <c r="A1969" s="103" t="s">
        <v>4676</v>
      </c>
      <c r="B1969" s="103">
        <v>1.10012042604E11</v>
      </c>
      <c r="C1969" s="105"/>
      <c r="D1969" s="104" t="s">
        <v>10652</v>
      </c>
      <c r="E1969" s="104" t="s">
        <v>10648</v>
      </c>
      <c r="F1969" s="103" t="s">
        <v>4678</v>
      </c>
      <c r="G1969" s="103" t="s">
        <v>4679</v>
      </c>
      <c r="H1969" s="103" t="s">
        <v>10653</v>
      </c>
      <c r="I1969" s="103">
        <v>3.114754396E9</v>
      </c>
      <c r="J1969" s="104" t="s">
        <v>10646</v>
      </c>
      <c r="K1969" s="105"/>
      <c r="L1969" s="105"/>
    </row>
    <row r="1970">
      <c r="A1970" s="103" t="s">
        <v>4676</v>
      </c>
      <c r="B1970" s="103">
        <v>1.10012042605E11</v>
      </c>
      <c r="C1970" s="105"/>
      <c r="D1970" s="104" t="s">
        <v>10654</v>
      </c>
      <c r="E1970" s="104" t="s">
        <v>10655</v>
      </c>
      <c r="F1970" s="103" t="s">
        <v>4678</v>
      </c>
      <c r="G1970" s="103" t="s">
        <v>4679</v>
      </c>
      <c r="H1970" s="103" t="s">
        <v>10656</v>
      </c>
      <c r="I1970" s="103">
        <v>3.114754396E9</v>
      </c>
      <c r="J1970" s="104" t="s">
        <v>10646</v>
      </c>
      <c r="K1970" s="105"/>
      <c r="L1970" s="105"/>
    </row>
    <row r="1971">
      <c r="A1971" s="103" t="s">
        <v>4676</v>
      </c>
      <c r="B1971" s="103">
        <v>1.100120436E9</v>
      </c>
      <c r="C1971" s="105"/>
      <c r="D1971" s="104" t="s">
        <v>10657</v>
      </c>
      <c r="E1971" s="106"/>
      <c r="F1971" s="103" t="s">
        <v>4678</v>
      </c>
      <c r="G1971" s="103" t="s">
        <v>4679</v>
      </c>
      <c r="H1971" s="103" t="s">
        <v>10658</v>
      </c>
      <c r="I1971" s="103" t="s">
        <v>10659</v>
      </c>
      <c r="J1971" s="104" t="s">
        <v>10660</v>
      </c>
      <c r="K1971" s="105"/>
      <c r="L1971" s="105"/>
    </row>
    <row r="1972">
      <c r="A1972" s="103" t="s">
        <v>4676</v>
      </c>
      <c r="B1972" s="103">
        <v>1.10012043601E11</v>
      </c>
      <c r="C1972" s="105"/>
      <c r="D1972" s="104" t="s">
        <v>10657</v>
      </c>
      <c r="E1972" s="104" t="s">
        <v>10661</v>
      </c>
      <c r="F1972" s="103" t="s">
        <v>4678</v>
      </c>
      <c r="G1972" s="103" t="s">
        <v>4679</v>
      </c>
      <c r="H1972" s="103" t="s">
        <v>10662</v>
      </c>
      <c r="I1972" s="103" t="s">
        <v>10659</v>
      </c>
      <c r="J1972" s="104" t="s">
        <v>10660</v>
      </c>
      <c r="K1972" s="105"/>
      <c r="L1972" s="105"/>
    </row>
    <row r="1973">
      <c r="A1973" s="103" t="s">
        <v>4676</v>
      </c>
      <c r="B1973" s="103">
        <v>1.100120462E9</v>
      </c>
      <c r="C1973" s="105"/>
      <c r="D1973" s="104" t="s">
        <v>10663</v>
      </c>
      <c r="E1973" s="106"/>
      <c r="F1973" s="103" t="s">
        <v>4678</v>
      </c>
      <c r="G1973" s="103" t="s">
        <v>4679</v>
      </c>
      <c r="H1973" s="103" t="s">
        <v>10664</v>
      </c>
      <c r="I1973" s="103">
        <v>3472335.0</v>
      </c>
      <c r="J1973" s="104" t="s">
        <v>10665</v>
      </c>
      <c r="K1973" s="105"/>
      <c r="L1973" s="105"/>
    </row>
    <row r="1974">
      <c r="A1974" s="103" t="s">
        <v>4676</v>
      </c>
      <c r="B1974" s="103">
        <v>1.10012046201E11</v>
      </c>
      <c r="C1974" s="105"/>
      <c r="D1974" s="104" t="s">
        <v>10663</v>
      </c>
      <c r="E1974" s="104" t="s">
        <v>10666</v>
      </c>
      <c r="F1974" s="103" t="s">
        <v>4678</v>
      </c>
      <c r="G1974" s="103" t="s">
        <v>4679</v>
      </c>
      <c r="H1974" s="103" t="s">
        <v>10664</v>
      </c>
      <c r="I1974" s="103">
        <v>3472335.0</v>
      </c>
      <c r="J1974" s="104" t="s">
        <v>10665</v>
      </c>
      <c r="K1974" s="105"/>
      <c r="L1974" s="105"/>
    </row>
    <row r="1975">
      <c r="A1975" s="103" t="s">
        <v>4676</v>
      </c>
      <c r="B1975" s="103">
        <v>1.10012048E9</v>
      </c>
      <c r="C1975" s="105"/>
      <c r="D1975" s="104" t="s">
        <v>10667</v>
      </c>
      <c r="E1975" s="106"/>
      <c r="F1975" s="103" t="s">
        <v>4678</v>
      </c>
      <c r="G1975" s="103" t="s">
        <v>4679</v>
      </c>
      <c r="H1975" s="103" t="s">
        <v>10668</v>
      </c>
      <c r="I1975" s="103" t="s">
        <v>10669</v>
      </c>
      <c r="J1975" s="104" t="s">
        <v>10670</v>
      </c>
      <c r="K1975" s="105"/>
      <c r="L1975" s="105"/>
    </row>
    <row r="1976">
      <c r="A1976" s="103" t="s">
        <v>4676</v>
      </c>
      <c r="B1976" s="103">
        <v>1.10012048002E11</v>
      </c>
      <c r="C1976" s="105"/>
      <c r="D1976" s="104" t="s">
        <v>10667</v>
      </c>
      <c r="E1976" s="104" t="s">
        <v>10671</v>
      </c>
      <c r="F1976" s="103" t="s">
        <v>4678</v>
      </c>
      <c r="G1976" s="103" t="s">
        <v>4679</v>
      </c>
      <c r="H1976" s="103" t="s">
        <v>10672</v>
      </c>
      <c r="I1976" s="103" t="s">
        <v>10669</v>
      </c>
      <c r="J1976" s="104" t="s">
        <v>10670</v>
      </c>
      <c r="K1976" s="105"/>
      <c r="L1976" s="105"/>
    </row>
    <row r="1977">
      <c r="A1977" s="103" t="s">
        <v>4676</v>
      </c>
      <c r="B1977" s="103">
        <v>1.100120484E9</v>
      </c>
      <c r="C1977" s="105"/>
      <c r="D1977" s="104" t="s">
        <v>10673</v>
      </c>
      <c r="E1977" s="106"/>
      <c r="F1977" s="103" t="s">
        <v>4678</v>
      </c>
      <c r="G1977" s="103" t="s">
        <v>4679</v>
      </c>
      <c r="H1977" s="103" t="s">
        <v>10674</v>
      </c>
      <c r="I1977" s="103">
        <v>7027235.0</v>
      </c>
      <c r="J1977" s="104" t="s">
        <v>10675</v>
      </c>
      <c r="K1977" s="105"/>
      <c r="L1977" s="105"/>
    </row>
    <row r="1978">
      <c r="A1978" s="103" t="s">
        <v>4676</v>
      </c>
      <c r="B1978" s="103">
        <v>1.10012048401E11</v>
      </c>
      <c r="C1978" s="105"/>
      <c r="D1978" s="104" t="s">
        <v>10676</v>
      </c>
      <c r="E1978" s="104" t="s">
        <v>10677</v>
      </c>
      <c r="F1978" s="103" t="s">
        <v>4678</v>
      </c>
      <c r="G1978" s="103" t="s">
        <v>4679</v>
      </c>
      <c r="H1978" s="103" t="s">
        <v>10674</v>
      </c>
      <c r="I1978" s="103">
        <v>6.017027235E9</v>
      </c>
      <c r="J1978" s="104" t="s">
        <v>10675</v>
      </c>
      <c r="K1978" s="105"/>
      <c r="L1978" s="105"/>
    </row>
    <row r="1979">
      <c r="A1979" s="103" t="s">
        <v>4676</v>
      </c>
      <c r="B1979" s="103">
        <v>1.100120501E9</v>
      </c>
      <c r="C1979" s="105"/>
      <c r="D1979" s="104" t="s">
        <v>10678</v>
      </c>
      <c r="E1979" s="106"/>
      <c r="F1979" s="103" t="s">
        <v>4678</v>
      </c>
      <c r="G1979" s="103" t="s">
        <v>4679</v>
      </c>
      <c r="H1979" s="103" t="s">
        <v>10679</v>
      </c>
      <c r="I1979" s="103">
        <v>3.009126897E9</v>
      </c>
      <c r="J1979" s="104" t="s">
        <v>10680</v>
      </c>
      <c r="K1979" s="107" t="s">
        <v>10681</v>
      </c>
      <c r="L1979" s="105"/>
    </row>
    <row r="1980">
      <c r="A1980" s="103" t="s">
        <v>4676</v>
      </c>
      <c r="B1980" s="103">
        <v>1.10012050101E11</v>
      </c>
      <c r="C1980" s="105"/>
      <c r="D1980" s="104" t="s">
        <v>10682</v>
      </c>
      <c r="E1980" s="104" t="s">
        <v>10683</v>
      </c>
      <c r="F1980" s="103" t="s">
        <v>4678</v>
      </c>
      <c r="G1980" s="103" t="s">
        <v>4679</v>
      </c>
      <c r="H1980" s="103" t="s">
        <v>10679</v>
      </c>
      <c r="I1980" s="103">
        <v>3.009126897E9</v>
      </c>
      <c r="J1980" s="104" t="s">
        <v>10680</v>
      </c>
      <c r="K1980" s="105"/>
      <c r="L1980" s="105"/>
    </row>
    <row r="1981">
      <c r="A1981" s="103" t="s">
        <v>4676</v>
      </c>
      <c r="B1981" s="103">
        <v>1.10012050102E11</v>
      </c>
      <c r="C1981" s="105"/>
      <c r="D1981" s="104" t="s">
        <v>10684</v>
      </c>
      <c r="E1981" s="104" t="s">
        <v>10683</v>
      </c>
      <c r="F1981" s="103" t="s">
        <v>4678</v>
      </c>
      <c r="G1981" s="103" t="s">
        <v>4679</v>
      </c>
      <c r="H1981" s="103" t="s">
        <v>10685</v>
      </c>
      <c r="I1981" s="103">
        <v>3.009126897E9</v>
      </c>
      <c r="J1981" s="104" t="s">
        <v>10680</v>
      </c>
      <c r="K1981" s="105"/>
      <c r="L1981" s="105"/>
    </row>
    <row r="1982">
      <c r="A1982" s="103" t="s">
        <v>4676</v>
      </c>
      <c r="B1982" s="103">
        <v>1.100120506E9</v>
      </c>
      <c r="C1982" s="105"/>
      <c r="D1982" s="104" t="s">
        <v>10686</v>
      </c>
      <c r="E1982" s="106"/>
      <c r="F1982" s="103" t="s">
        <v>4678</v>
      </c>
      <c r="G1982" s="103" t="s">
        <v>4679</v>
      </c>
      <c r="H1982" s="103" t="s">
        <v>10687</v>
      </c>
      <c r="I1982" s="103">
        <v>6221086.0</v>
      </c>
      <c r="J1982" s="104" t="s">
        <v>10688</v>
      </c>
      <c r="K1982" s="105"/>
      <c r="L1982" s="105"/>
    </row>
    <row r="1983">
      <c r="A1983" s="103" t="s">
        <v>4676</v>
      </c>
      <c r="B1983" s="103">
        <v>1.10012050601E11</v>
      </c>
      <c r="C1983" s="105"/>
      <c r="D1983" s="104" t="s">
        <v>10686</v>
      </c>
      <c r="E1983" s="104" t="s">
        <v>10689</v>
      </c>
      <c r="F1983" s="103" t="s">
        <v>4678</v>
      </c>
      <c r="G1983" s="103" t="s">
        <v>4679</v>
      </c>
      <c r="H1983" s="103" t="s">
        <v>10690</v>
      </c>
      <c r="I1983" s="103">
        <v>6221086.0</v>
      </c>
      <c r="J1983" s="104" t="s">
        <v>10688</v>
      </c>
      <c r="K1983" s="105"/>
      <c r="L1983" s="105"/>
    </row>
    <row r="1984">
      <c r="A1984" s="103" t="s">
        <v>4676</v>
      </c>
      <c r="B1984" s="103">
        <v>1.100120525E9</v>
      </c>
      <c r="C1984" s="105"/>
      <c r="D1984" s="104" t="s">
        <v>10691</v>
      </c>
      <c r="E1984" s="106"/>
      <c r="F1984" s="103" t="s">
        <v>4678</v>
      </c>
      <c r="G1984" s="103" t="s">
        <v>4679</v>
      </c>
      <c r="H1984" s="103" t="s">
        <v>10692</v>
      </c>
      <c r="I1984" s="103" t="s">
        <v>10693</v>
      </c>
      <c r="J1984" s="104" t="s">
        <v>10694</v>
      </c>
      <c r="K1984" s="105"/>
      <c r="L1984" s="105"/>
    </row>
    <row r="1985">
      <c r="A1985" s="103" t="s">
        <v>4676</v>
      </c>
      <c r="B1985" s="103">
        <v>1.10012052501E11</v>
      </c>
      <c r="C1985" s="105"/>
      <c r="D1985" s="104" t="s">
        <v>10691</v>
      </c>
      <c r="E1985" s="104" t="s">
        <v>10695</v>
      </c>
      <c r="F1985" s="103" t="s">
        <v>4678</v>
      </c>
      <c r="G1985" s="103" t="s">
        <v>4679</v>
      </c>
      <c r="H1985" s="103" t="s">
        <v>10696</v>
      </c>
      <c r="I1985" s="103" t="s">
        <v>10693</v>
      </c>
      <c r="J1985" s="104" t="s">
        <v>10694</v>
      </c>
      <c r="K1985" s="105"/>
      <c r="L1985" s="105"/>
    </row>
    <row r="1986">
      <c r="A1986" s="103" t="s">
        <v>4676</v>
      </c>
      <c r="B1986" s="103">
        <v>1.100120538E9</v>
      </c>
      <c r="C1986" s="105"/>
      <c r="D1986" s="104" t="s">
        <v>10697</v>
      </c>
      <c r="E1986" s="104" t="s">
        <v>10698</v>
      </c>
      <c r="F1986" s="103" t="s">
        <v>4678</v>
      </c>
      <c r="G1986" s="103" t="s">
        <v>4679</v>
      </c>
      <c r="H1986" s="103" t="s">
        <v>10699</v>
      </c>
      <c r="I1986" s="103" t="s">
        <v>10700</v>
      </c>
      <c r="J1986" s="104" t="s">
        <v>10701</v>
      </c>
      <c r="K1986" s="107" t="s">
        <v>10702</v>
      </c>
      <c r="L1986" s="105"/>
    </row>
    <row r="1987">
      <c r="A1987" s="103" t="s">
        <v>4676</v>
      </c>
      <c r="B1987" s="103">
        <v>1.10012053801E11</v>
      </c>
      <c r="C1987" s="105"/>
      <c r="D1987" s="104" t="s">
        <v>10697</v>
      </c>
      <c r="E1987" s="104" t="s">
        <v>10698</v>
      </c>
      <c r="F1987" s="103" t="s">
        <v>4678</v>
      </c>
      <c r="G1987" s="103" t="s">
        <v>4679</v>
      </c>
      <c r="H1987" s="103" t="s">
        <v>10699</v>
      </c>
      <c r="I1987" s="103">
        <v>3.103183025E9</v>
      </c>
      <c r="J1987" s="104" t="s">
        <v>10703</v>
      </c>
      <c r="K1987" s="105"/>
      <c r="L1987" s="105"/>
    </row>
    <row r="1988">
      <c r="A1988" s="103" t="s">
        <v>4676</v>
      </c>
      <c r="B1988" s="103">
        <v>1.100120679E9</v>
      </c>
      <c r="C1988" s="105"/>
      <c r="D1988" s="104" t="s">
        <v>10704</v>
      </c>
      <c r="E1988" s="104" t="s">
        <v>10705</v>
      </c>
      <c r="F1988" s="103" t="s">
        <v>4678</v>
      </c>
      <c r="G1988" s="103" t="s">
        <v>4679</v>
      </c>
      <c r="H1988" s="103" t="s">
        <v>10706</v>
      </c>
      <c r="I1988" s="103">
        <v>7422316.0</v>
      </c>
      <c r="J1988" s="104" t="s">
        <v>10707</v>
      </c>
      <c r="K1988" s="107" t="s">
        <v>10708</v>
      </c>
      <c r="L1988" s="105"/>
    </row>
    <row r="1989">
      <c r="A1989" s="103" t="s">
        <v>4676</v>
      </c>
      <c r="B1989" s="103">
        <v>1.10012067901E11</v>
      </c>
      <c r="C1989" s="105"/>
      <c r="D1989" s="104" t="s">
        <v>10709</v>
      </c>
      <c r="E1989" s="104" t="s">
        <v>10705</v>
      </c>
      <c r="F1989" s="103" t="s">
        <v>4678</v>
      </c>
      <c r="G1989" s="103" t="s">
        <v>4679</v>
      </c>
      <c r="H1989" s="103" t="s">
        <v>10706</v>
      </c>
      <c r="I1989" s="103">
        <v>7422316.0</v>
      </c>
      <c r="J1989" s="104" t="s">
        <v>10707</v>
      </c>
      <c r="K1989" s="105"/>
      <c r="L1989" s="105"/>
    </row>
    <row r="1990">
      <c r="A1990" s="103" t="s">
        <v>4676</v>
      </c>
      <c r="B1990" s="103">
        <v>1.100120694E9</v>
      </c>
      <c r="C1990" s="105"/>
      <c r="D1990" s="104" t="s">
        <v>10710</v>
      </c>
      <c r="E1990" s="106"/>
      <c r="F1990" s="103" t="s">
        <v>4678</v>
      </c>
      <c r="G1990" s="103" t="s">
        <v>4679</v>
      </c>
      <c r="H1990" s="103" t="s">
        <v>10711</v>
      </c>
      <c r="I1990" s="103" t="s">
        <v>10712</v>
      </c>
      <c r="J1990" s="104" t="s">
        <v>10713</v>
      </c>
      <c r="K1990" s="107" t="s">
        <v>10714</v>
      </c>
      <c r="L1990" s="105"/>
    </row>
    <row r="1991">
      <c r="A1991" s="103" t="s">
        <v>4676</v>
      </c>
      <c r="B1991" s="103">
        <v>1.10012069401E11</v>
      </c>
      <c r="C1991" s="105"/>
      <c r="D1991" s="104" t="s">
        <v>10710</v>
      </c>
      <c r="E1991" s="104" t="s">
        <v>10715</v>
      </c>
      <c r="F1991" s="103" t="s">
        <v>4678</v>
      </c>
      <c r="G1991" s="103" t="s">
        <v>4679</v>
      </c>
      <c r="H1991" s="103" t="s">
        <v>10711</v>
      </c>
      <c r="I1991" s="103" t="s">
        <v>10716</v>
      </c>
      <c r="J1991" s="104" t="s">
        <v>10713</v>
      </c>
      <c r="K1991" s="105"/>
      <c r="L1991" s="105"/>
    </row>
    <row r="1992">
      <c r="A1992" s="103" t="s">
        <v>4676</v>
      </c>
      <c r="B1992" s="103">
        <v>1.10012069404E11</v>
      </c>
      <c r="C1992" s="105"/>
      <c r="D1992" s="104" t="s">
        <v>10717</v>
      </c>
      <c r="E1992" s="104" t="s">
        <v>10715</v>
      </c>
      <c r="F1992" s="103" t="s">
        <v>4678</v>
      </c>
      <c r="G1992" s="103" t="s">
        <v>4679</v>
      </c>
      <c r="H1992" s="103" t="s">
        <v>10718</v>
      </c>
      <c r="I1992" s="103" t="s">
        <v>10716</v>
      </c>
      <c r="J1992" s="104" t="s">
        <v>10713</v>
      </c>
      <c r="K1992" s="105"/>
      <c r="L1992" s="105"/>
    </row>
    <row r="1993">
      <c r="A1993" s="103" t="s">
        <v>4676</v>
      </c>
      <c r="B1993" s="103">
        <v>1.100120697E9</v>
      </c>
      <c r="C1993" s="105"/>
      <c r="D1993" s="104" t="s">
        <v>10719</v>
      </c>
      <c r="E1993" s="106"/>
      <c r="F1993" s="103" t="s">
        <v>4678</v>
      </c>
      <c r="G1993" s="103" t="s">
        <v>4679</v>
      </c>
      <c r="H1993" s="103" t="s">
        <v>10720</v>
      </c>
      <c r="I1993" s="103" t="s">
        <v>10721</v>
      </c>
      <c r="J1993" s="104" t="s">
        <v>10722</v>
      </c>
      <c r="K1993" s="107" t="s">
        <v>10723</v>
      </c>
      <c r="L1993" s="105"/>
    </row>
    <row r="1994">
      <c r="A1994" s="103" t="s">
        <v>4676</v>
      </c>
      <c r="B1994" s="103">
        <v>1.10012069701E11</v>
      </c>
      <c r="C1994" s="105"/>
      <c r="D1994" s="104" t="s">
        <v>10724</v>
      </c>
      <c r="E1994" s="104" t="s">
        <v>10725</v>
      </c>
      <c r="F1994" s="103" t="s">
        <v>4678</v>
      </c>
      <c r="G1994" s="103" t="s">
        <v>4679</v>
      </c>
      <c r="H1994" s="103" t="s">
        <v>10720</v>
      </c>
      <c r="I1994" s="103" t="s">
        <v>10726</v>
      </c>
      <c r="J1994" s="104" t="s">
        <v>10727</v>
      </c>
      <c r="K1994" s="105"/>
      <c r="L1994" s="105"/>
    </row>
    <row r="1995">
      <c r="A1995" s="103" t="s">
        <v>4676</v>
      </c>
      <c r="B1995" s="103">
        <v>1.100120721E9</v>
      </c>
      <c r="C1995" s="105"/>
      <c r="D1995" s="104" t="s">
        <v>10728</v>
      </c>
      <c r="E1995" s="106"/>
      <c r="F1995" s="103" t="s">
        <v>4678</v>
      </c>
      <c r="G1995" s="103" t="s">
        <v>4679</v>
      </c>
      <c r="H1995" s="103" t="s">
        <v>10729</v>
      </c>
      <c r="I1995" s="103">
        <v>3.114878409E9</v>
      </c>
      <c r="J1995" s="104" t="s">
        <v>10730</v>
      </c>
      <c r="K1995" s="105"/>
      <c r="L1995" s="105"/>
    </row>
    <row r="1996">
      <c r="A1996" s="103" t="s">
        <v>4676</v>
      </c>
      <c r="B1996" s="103">
        <v>1.10012072101E11</v>
      </c>
      <c r="C1996" s="105"/>
      <c r="D1996" s="104" t="s">
        <v>10728</v>
      </c>
      <c r="E1996" s="104" t="s">
        <v>10731</v>
      </c>
      <c r="F1996" s="103" t="s">
        <v>4678</v>
      </c>
      <c r="G1996" s="103" t="s">
        <v>4679</v>
      </c>
      <c r="H1996" s="103" t="s">
        <v>10732</v>
      </c>
      <c r="I1996" s="103" t="s">
        <v>10733</v>
      </c>
      <c r="J1996" s="104" t="s">
        <v>10730</v>
      </c>
      <c r="K1996" s="105"/>
      <c r="L1996" s="105"/>
    </row>
    <row r="1997">
      <c r="A1997" s="103" t="s">
        <v>4676</v>
      </c>
      <c r="B1997" s="103">
        <v>1.100120727E9</v>
      </c>
      <c r="C1997" s="105"/>
      <c r="D1997" s="104" t="s">
        <v>10734</v>
      </c>
      <c r="E1997" s="104" t="s">
        <v>10735</v>
      </c>
      <c r="F1997" s="103" t="s">
        <v>4678</v>
      </c>
      <c r="G1997" s="103" t="s">
        <v>4679</v>
      </c>
      <c r="H1997" s="103" t="s">
        <v>10736</v>
      </c>
      <c r="I1997" s="103">
        <v>4062899.0</v>
      </c>
      <c r="J1997" s="104" t="s">
        <v>10737</v>
      </c>
      <c r="K1997" s="103" t="s">
        <v>10737</v>
      </c>
      <c r="L1997" s="105"/>
    </row>
    <row r="1998">
      <c r="A1998" s="103" t="s">
        <v>4676</v>
      </c>
      <c r="B1998" s="103">
        <v>1.10012072701E11</v>
      </c>
      <c r="C1998" s="105"/>
      <c r="D1998" s="104" t="s">
        <v>10738</v>
      </c>
      <c r="E1998" s="104" t="s">
        <v>10735</v>
      </c>
      <c r="F1998" s="103" t="s">
        <v>4678</v>
      </c>
      <c r="G1998" s="103" t="s">
        <v>4679</v>
      </c>
      <c r="H1998" s="103" t="s">
        <v>10736</v>
      </c>
      <c r="I1998" s="103">
        <v>4062899.0</v>
      </c>
      <c r="J1998" s="104" t="s">
        <v>10737</v>
      </c>
      <c r="K1998" s="105"/>
      <c r="L1998" s="105"/>
    </row>
    <row r="1999">
      <c r="A1999" s="103" t="s">
        <v>4676</v>
      </c>
      <c r="B1999" s="103">
        <v>1.10012072702E11</v>
      </c>
      <c r="C1999" s="105"/>
      <c r="D1999" s="104" t="s">
        <v>10739</v>
      </c>
      <c r="E1999" s="104" t="s">
        <v>10740</v>
      </c>
      <c r="F1999" s="103" t="s">
        <v>4678</v>
      </c>
      <c r="G1999" s="103" t="s">
        <v>4679</v>
      </c>
      <c r="H1999" s="103" t="s">
        <v>10741</v>
      </c>
      <c r="I1999" s="103">
        <v>4061725.0</v>
      </c>
      <c r="J1999" s="104" t="s">
        <v>10737</v>
      </c>
      <c r="K1999" s="105"/>
      <c r="L1999" s="105"/>
    </row>
    <row r="2000">
      <c r="A2000" s="103" t="s">
        <v>4676</v>
      </c>
      <c r="B2000" s="103">
        <v>1.10012072703E11</v>
      </c>
      <c r="C2000" s="105"/>
      <c r="D2000" s="104" t="s">
        <v>10742</v>
      </c>
      <c r="E2000" s="104" t="s">
        <v>10740</v>
      </c>
      <c r="F2000" s="103" t="s">
        <v>4678</v>
      </c>
      <c r="G2000" s="103" t="s">
        <v>4679</v>
      </c>
      <c r="H2000" s="103" t="s">
        <v>10743</v>
      </c>
      <c r="I2000" s="103">
        <v>6350693.0</v>
      </c>
      <c r="J2000" s="104" t="s">
        <v>10744</v>
      </c>
      <c r="K2000" s="105"/>
      <c r="L2000" s="105"/>
    </row>
    <row r="2001">
      <c r="A2001" s="103" t="s">
        <v>4676</v>
      </c>
      <c r="B2001" s="103">
        <v>1.10012072704E11</v>
      </c>
      <c r="C2001" s="105"/>
      <c r="D2001" s="104" t="s">
        <v>10745</v>
      </c>
      <c r="E2001" s="104" t="s">
        <v>10740</v>
      </c>
      <c r="F2001" s="103" t="s">
        <v>4678</v>
      </c>
      <c r="G2001" s="103" t="s">
        <v>4679</v>
      </c>
      <c r="H2001" s="103" t="s">
        <v>10746</v>
      </c>
      <c r="I2001" s="103">
        <v>2266119.0</v>
      </c>
      <c r="J2001" s="104" t="s">
        <v>10737</v>
      </c>
      <c r="K2001" s="105"/>
      <c r="L2001" s="105"/>
    </row>
    <row r="2002">
      <c r="A2002" s="103" t="s">
        <v>4676</v>
      </c>
      <c r="B2002" s="103">
        <v>1.10012072705E11</v>
      </c>
      <c r="C2002" s="105"/>
      <c r="D2002" s="104" t="s">
        <v>10747</v>
      </c>
      <c r="E2002" s="104" t="s">
        <v>10748</v>
      </c>
      <c r="F2002" s="103" t="s">
        <v>4678</v>
      </c>
      <c r="G2002" s="103" t="s">
        <v>4679</v>
      </c>
      <c r="H2002" s="103" t="s">
        <v>10749</v>
      </c>
      <c r="I2002" s="103">
        <v>4108210.0</v>
      </c>
      <c r="J2002" s="104" t="s">
        <v>10750</v>
      </c>
      <c r="K2002" s="105"/>
      <c r="L2002" s="105"/>
    </row>
    <row r="2003">
      <c r="A2003" s="103" t="s">
        <v>4676</v>
      </c>
      <c r="B2003" s="103">
        <v>1.10012072706E11</v>
      </c>
      <c r="C2003" s="105"/>
      <c r="D2003" s="104" t="s">
        <v>10751</v>
      </c>
      <c r="E2003" s="104" t="s">
        <v>10748</v>
      </c>
      <c r="F2003" s="103" t="s">
        <v>4678</v>
      </c>
      <c r="G2003" s="103" t="s">
        <v>4679</v>
      </c>
      <c r="H2003" s="103" t="s">
        <v>10752</v>
      </c>
      <c r="I2003" s="103">
        <v>6264715.0</v>
      </c>
      <c r="J2003" s="104" t="s">
        <v>10753</v>
      </c>
      <c r="K2003" s="105"/>
      <c r="L2003" s="105"/>
    </row>
    <row r="2004">
      <c r="A2004" s="103" t="s">
        <v>4676</v>
      </c>
      <c r="B2004" s="103">
        <v>1.10012072707E11</v>
      </c>
      <c r="C2004" s="105"/>
      <c r="D2004" s="104" t="s">
        <v>10754</v>
      </c>
      <c r="E2004" s="104" t="s">
        <v>10748</v>
      </c>
      <c r="F2004" s="103" t="s">
        <v>4678</v>
      </c>
      <c r="G2004" s="103" t="s">
        <v>4679</v>
      </c>
      <c r="H2004" s="103" t="s">
        <v>10755</v>
      </c>
      <c r="I2004" s="103">
        <v>2530215.0</v>
      </c>
      <c r="J2004" s="104" t="s">
        <v>10753</v>
      </c>
      <c r="K2004" s="105"/>
      <c r="L2004" s="105"/>
    </row>
    <row r="2005">
      <c r="A2005" s="103" t="s">
        <v>4676</v>
      </c>
      <c r="B2005" s="103">
        <v>1.10012072708E11</v>
      </c>
      <c r="C2005" s="105"/>
      <c r="D2005" s="104" t="s">
        <v>10756</v>
      </c>
      <c r="E2005" s="104" t="s">
        <v>10748</v>
      </c>
      <c r="F2005" s="103" t="s">
        <v>4678</v>
      </c>
      <c r="G2005" s="103" t="s">
        <v>4679</v>
      </c>
      <c r="H2005" s="103" t="s">
        <v>10757</v>
      </c>
      <c r="I2005" s="103">
        <v>3734032.0</v>
      </c>
      <c r="J2005" s="104" t="s">
        <v>10758</v>
      </c>
      <c r="K2005" s="105"/>
      <c r="L2005" s="105"/>
    </row>
    <row r="2006">
      <c r="A2006" s="103" t="s">
        <v>4676</v>
      </c>
      <c r="B2006" s="103">
        <v>1.100120734E9</v>
      </c>
      <c r="C2006" s="105"/>
      <c r="D2006" s="104" t="s">
        <v>10759</v>
      </c>
      <c r="E2006" s="106"/>
      <c r="F2006" s="103" t="s">
        <v>4678</v>
      </c>
      <c r="G2006" s="103" t="s">
        <v>4679</v>
      </c>
      <c r="H2006" s="103" t="s">
        <v>10760</v>
      </c>
      <c r="I2006" s="103">
        <v>6298496.0</v>
      </c>
      <c r="J2006" s="104" t="s">
        <v>10761</v>
      </c>
      <c r="K2006" s="105"/>
      <c r="L2006" s="105"/>
    </row>
    <row r="2007">
      <c r="A2007" s="103" t="s">
        <v>4676</v>
      </c>
      <c r="B2007" s="103">
        <v>1.10012073401E11</v>
      </c>
      <c r="C2007" s="105"/>
      <c r="D2007" s="104" t="s">
        <v>10759</v>
      </c>
      <c r="E2007" s="104" t="s">
        <v>10762</v>
      </c>
      <c r="F2007" s="103" t="s">
        <v>4678</v>
      </c>
      <c r="G2007" s="103" t="s">
        <v>4679</v>
      </c>
      <c r="H2007" s="103" t="s">
        <v>10760</v>
      </c>
      <c r="I2007" s="103">
        <v>6298496.0</v>
      </c>
      <c r="J2007" s="104" t="s">
        <v>10761</v>
      </c>
      <c r="K2007" s="105"/>
      <c r="L2007" s="105"/>
    </row>
    <row r="2008">
      <c r="A2008" s="103" t="s">
        <v>4676</v>
      </c>
      <c r="B2008" s="103">
        <v>1.10012073402E11</v>
      </c>
      <c r="C2008" s="105"/>
      <c r="D2008" s="104" t="s">
        <v>10759</v>
      </c>
      <c r="E2008" s="104" t="s">
        <v>10762</v>
      </c>
      <c r="F2008" s="103" t="s">
        <v>4678</v>
      </c>
      <c r="G2008" s="103" t="s">
        <v>4679</v>
      </c>
      <c r="H2008" s="103" t="s">
        <v>10763</v>
      </c>
      <c r="I2008" s="103">
        <v>4674582.0</v>
      </c>
      <c r="J2008" s="104" t="s">
        <v>10761</v>
      </c>
      <c r="K2008" s="105"/>
      <c r="L2008" s="105"/>
    </row>
    <row r="2009">
      <c r="A2009" s="103" t="s">
        <v>4676</v>
      </c>
      <c r="B2009" s="103">
        <v>1.100120753E9</v>
      </c>
      <c r="C2009" s="105"/>
      <c r="D2009" s="104" t="s">
        <v>10764</v>
      </c>
      <c r="E2009" s="106"/>
      <c r="F2009" s="103" t="s">
        <v>4678</v>
      </c>
      <c r="G2009" s="103" t="s">
        <v>4679</v>
      </c>
      <c r="H2009" s="103" t="s">
        <v>10765</v>
      </c>
      <c r="I2009" s="103" t="s">
        <v>10766</v>
      </c>
      <c r="J2009" s="104" t="s">
        <v>10767</v>
      </c>
      <c r="K2009" s="105"/>
      <c r="L2009" s="105"/>
    </row>
    <row r="2010">
      <c r="A2010" s="103" t="s">
        <v>4676</v>
      </c>
      <c r="B2010" s="103">
        <v>1.10012075301E11</v>
      </c>
      <c r="C2010" s="105"/>
      <c r="D2010" s="104" t="s">
        <v>10768</v>
      </c>
      <c r="E2010" s="104" t="s">
        <v>10769</v>
      </c>
      <c r="F2010" s="103" t="s">
        <v>4678</v>
      </c>
      <c r="G2010" s="103" t="s">
        <v>4679</v>
      </c>
      <c r="H2010" s="103" t="s">
        <v>10770</v>
      </c>
      <c r="I2010" s="103" t="s">
        <v>10766</v>
      </c>
      <c r="J2010" s="104" t="s">
        <v>10767</v>
      </c>
      <c r="K2010" s="105"/>
      <c r="L2010" s="105"/>
    </row>
    <row r="2011">
      <c r="A2011" s="103" t="s">
        <v>4676</v>
      </c>
      <c r="B2011" s="103">
        <v>1.100120755E9</v>
      </c>
      <c r="C2011" s="105"/>
      <c r="D2011" s="104" t="s">
        <v>10771</v>
      </c>
      <c r="E2011" s="106"/>
      <c r="F2011" s="103" t="s">
        <v>4678</v>
      </c>
      <c r="G2011" s="103" t="s">
        <v>4679</v>
      </c>
      <c r="H2011" s="103" t="s">
        <v>10772</v>
      </c>
      <c r="I2011" s="103">
        <v>2152945.0</v>
      </c>
      <c r="J2011" s="104" t="s">
        <v>10773</v>
      </c>
      <c r="K2011" s="105"/>
      <c r="L2011" s="105"/>
    </row>
    <row r="2012">
      <c r="A2012" s="103" t="s">
        <v>4676</v>
      </c>
      <c r="B2012" s="103">
        <v>1.10012075501E11</v>
      </c>
      <c r="C2012" s="105"/>
      <c r="D2012" s="104" t="s">
        <v>10771</v>
      </c>
      <c r="E2012" s="104" t="s">
        <v>10774</v>
      </c>
      <c r="F2012" s="103" t="s">
        <v>4678</v>
      </c>
      <c r="G2012" s="103" t="s">
        <v>4679</v>
      </c>
      <c r="H2012" s="103" t="s">
        <v>10772</v>
      </c>
      <c r="I2012" s="103">
        <v>2152945.0</v>
      </c>
      <c r="J2012" s="104" t="s">
        <v>10773</v>
      </c>
      <c r="K2012" s="105"/>
      <c r="L2012" s="105"/>
    </row>
    <row r="2013">
      <c r="A2013" s="103" t="s">
        <v>4676</v>
      </c>
      <c r="B2013" s="103">
        <v>1.100120757E9</v>
      </c>
      <c r="C2013" s="105"/>
      <c r="D2013" s="104" t="s">
        <v>10775</v>
      </c>
      <c r="E2013" s="106"/>
      <c r="F2013" s="103" t="s">
        <v>4678</v>
      </c>
      <c r="G2013" s="103" t="s">
        <v>4679</v>
      </c>
      <c r="H2013" s="103" t="s">
        <v>10776</v>
      </c>
      <c r="I2013" s="103" t="s">
        <v>10777</v>
      </c>
      <c r="J2013" s="104" t="s">
        <v>10778</v>
      </c>
      <c r="K2013" s="107" t="s">
        <v>10779</v>
      </c>
      <c r="L2013" s="105"/>
    </row>
    <row r="2014">
      <c r="A2014" s="103" t="s">
        <v>4676</v>
      </c>
      <c r="B2014" s="103">
        <v>1.10012075701E11</v>
      </c>
      <c r="C2014" s="105"/>
      <c r="D2014" s="104" t="s">
        <v>10775</v>
      </c>
      <c r="E2014" s="104" t="s">
        <v>10780</v>
      </c>
      <c r="F2014" s="103" t="s">
        <v>4678</v>
      </c>
      <c r="G2014" s="103" t="s">
        <v>4679</v>
      </c>
      <c r="H2014" s="103" t="s">
        <v>10781</v>
      </c>
      <c r="I2014" s="103" t="s">
        <v>10782</v>
      </c>
      <c r="J2014" s="104" t="s">
        <v>10783</v>
      </c>
      <c r="K2014" s="105"/>
      <c r="L2014" s="105"/>
    </row>
    <row r="2015">
      <c r="A2015" s="103" t="s">
        <v>4676</v>
      </c>
      <c r="B2015" s="103">
        <v>1.100120845E9</v>
      </c>
      <c r="C2015" s="105"/>
      <c r="D2015" s="104" t="s">
        <v>10784</v>
      </c>
      <c r="E2015" s="106"/>
      <c r="F2015" s="103" t="s">
        <v>4678</v>
      </c>
      <c r="G2015" s="103" t="s">
        <v>4679</v>
      </c>
      <c r="H2015" s="103" t="s">
        <v>10785</v>
      </c>
      <c r="I2015" s="103">
        <v>7420686.0</v>
      </c>
      <c r="J2015" s="104" t="s">
        <v>10786</v>
      </c>
      <c r="K2015" s="107" t="s">
        <v>10787</v>
      </c>
      <c r="L2015" s="105"/>
    </row>
    <row r="2016">
      <c r="A2016" s="103" t="s">
        <v>4676</v>
      </c>
      <c r="B2016" s="103">
        <v>1.10012084501E11</v>
      </c>
      <c r="C2016" s="105"/>
      <c r="D2016" s="104" t="s">
        <v>10784</v>
      </c>
      <c r="E2016" s="104" t="s">
        <v>10788</v>
      </c>
      <c r="F2016" s="103" t="s">
        <v>4678</v>
      </c>
      <c r="G2016" s="103" t="s">
        <v>4679</v>
      </c>
      <c r="H2016" s="103" t="s">
        <v>10789</v>
      </c>
      <c r="I2016" s="103">
        <v>7420686.0</v>
      </c>
      <c r="J2016" s="104" t="s">
        <v>10786</v>
      </c>
      <c r="K2016" s="105"/>
      <c r="L2016" s="105"/>
    </row>
    <row r="2017">
      <c r="A2017" s="103" t="s">
        <v>4676</v>
      </c>
      <c r="B2017" s="103">
        <v>1.100120846E9</v>
      </c>
      <c r="C2017" s="105"/>
      <c r="D2017" s="104" t="s">
        <v>10790</v>
      </c>
      <c r="E2017" s="106"/>
      <c r="F2017" s="103" t="s">
        <v>4678</v>
      </c>
      <c r="G2017" s="103" t="s">
        <v>4679</v>
      </c>
      <c r="H2017" s="103" t="s">
        <v>10791</v>
      </c>
      <c r="I2017" s="103" t="s">
        <v>10792</v>
      </c>
      <c r="J2017" s="104" t="s">
        <v>10793</v>
      </c>
      <c r="K2017" s="105"/>
      <c r="L2017" s="105"/>
    </row>
    <row r="2018">
      <c r="A2018" s="103" t="s">
        <v>4676</v>
      </c>
      <c r="B2018" s="103">
        <v>1.10012084602E11</v>
      </c>
      <c r="C2018" s="105"/>
      <c r="D2018" s="104" t="s">
        <v>10794</v>
      </c>
      <c r="E2018" s="104" t="s">
        <v>10795</v>
      </c>
      <c r="F2018" s="103" t="s">
        <v>4678</v>
      </c>
      <c r="G2018" s="103" t="s">
        <v>4679</v>
      </c>
      <c r="H2018" s="103" t="s">
        <v>10796</v>
      </c>
      <c r="I2018" s="103" t="s">
        <v>10797</v>
      </c>
      <c r="J2018" s="104" t="s">
        <v>10793</v>
      </c>
      <c r="K2018" s="105"/>
      <c r="L2018" s="105"/>
    </row>
    <row r="2019">
      <c r="A2019" s="103" t="s">
        <v>4676</v>
      </c>
      <c r="B2019" s="103">
        <v>1.10012084604E11</v>
      </c>
      <c r="C2019" s="105"/>
      <c r="D2019" s="104" t="s">
        <v>10798</v>
      </c>
      <c r="E2019" s="104" t="s">
        <v>10799</v>
      </c>
      <c r="F2019" s="103" t="s">
        <v>4678</v>
      </c>
      <c r="G2019" s="103" t="s">
        <v>4679</v>
      </c>
      <c r="H2019" s="103" t="s">
        <v>10800</v>
      </c>
      <c r="I2019" s="103">
        <v>3.112117486E9</v>
      </c>
      <c r="J2019" s="104" t="s">
        <v>10801</v>
      </c>
      <c r="K2019" s="105"/>
      <c r="L2019" s="105"/>
    </row>
    <row r="2020">
      <c r="A2020" s="103" t="s">
        <v>4676</v>
      </c>
      <c r="B2020" s="103">
        <v>1.100120902E9</v>
      </c>
      <c r="C2020" s="105"/>
      <c r="D2020" s="104" t="s">
        <v>10802</v>
      </c>
      <c r="E2020" s="106"/>
      <c r="F2020" s="103" t="s">
        <v>4678</v>
      </c>
      <c r="G2020" s="103" t="s">
        <v>4679</v>
      </c>
      <c r="H2020" s="103" t="s">
        <v>10803</v>
      </c>
      <c r="I2020" s="103" t="s">
        <v>10804</v>
      </c>
      <c r="J2020" s="104" t="s">
        <v>10805</v>
      </c>
      <c r="K2020" s="107" t="s">
        <v>10806</v>
      </c>
      <c r="L2020" s="105"/>
    </row>
    <row r="2021">
      <c r="A2021" s="103" t="s">
        <v>4676</v>
      </c>
      <c r="B2021" s="103">
        <v>1.10012090201E11</v>
      </c>
      <c r="C2021" s="105"/>
      <c r="D2021" s="104" t="s">
        <v>10802</v>
      </c>
      <c r="E2021" s="104" t="s">
        <v>10807</v>
      </c>
      <c r="F2021" s="103" t="s">
        <v>4678</v>
      </c>
      <c r="G2021" s="103" t="s">
        <v>4679</v>
      </c>
      <c r="H2021" s="103" t="s">
        <v>10808</v>
      </c>
      <c r="I2021" s="103" t="s">
        <v>10809</v>
      </c>
      <c r="J2021" s="104" t="s">
        <v>10805</v>
      </c>
      <c r="K2021" s="105"/>
      <c r="L2021" s="105"/>
    </row>
    <row r="2022">
      <c r="A2022" s="103" t="s">
        <v>4676</v>
      </c>
      <c r="B2022" s="103">
        <v>1.100120914E9</v>
      </c>
      <c r="C2022" s="105"/>
      <c r="D2022" s="104" t="s">
        <v>10810</v>
      </c>
      <c r="E2022" s="106"/>
      <c r="F2022" s="103" t="s">
        <v>4678</v>
      </c>
      <c r="G2022" s="103" t="s">
        <v>4679</v>
      </c>
      <c r="H2022" s="103" t="s">
        <v>10811</v>
      </c>
      <c r="I2022" s="103">
        <v>5.716009349E9</v>
      </c>
      <c r="J2022" s="104" t="s">
        <v>10812</v>
      </c>
      <c r="K2022" s="105"/>
      <c r="L2022" s="105"/>
    </row>
    <row r="2023">
      <c r="A2023" s="103" t="s">
        <v>4676</v>
      </c>
      <c r="B2023" s="103">
        <v>1.10012091401E11</v>
      </c>
      <c r="C2023" s="105"/>
      <c r="D2023" s="104" t="s">
        <v>10810</v>
      </c>
      <c r="E2023" s="104" t="s">
        <v>10813</v>
      </c>
      <c r="F2023" s="103" t="s">
        <v>4678</v>
      </c>
      <c r="G2023" s="103" t="s">
        <v>4679</v>
      </c>
      <c r="H2023" s="103" t="s">
        <v>10814</v>
      </c>
      <c r="I2023" s="103" t="s">
        <v>10815</v>
      </c>
      <c r="J2023" s="104" t="s">
        <v>10816</v>
      </c>
      <c r="K2023" s="105"/>
      <c r="L2023" s="105"/>
    </row>
    <row r="2024">
      <c r="A2024" s="103" t="s">
        <v>4676</v>
      </c>
      <c r="B2024" s="103">
        <v>1.10012093E9</v>
      </c>
      <c r="C2024" s="105"/>
      <c r="D2024" s="104" t="s">
        <v>10817</v>
      </c>
      <c r="E2024" s="106"/>
      <c r="F2024" s="103" t="s">
        <v>4678</v>
      </c>
      <c r="G2024" s="103" t="s">
        <v>4679</v>
      </c>
      <c r="H2024" s="103" t="s">
        <v>10818</v>
      </c>
      <c r="I2024" s="103">
        <v>3004179.0</v>
      </c>
      <c r="J2024" s="104" t="s">
        <v>10819</v>
      </c>
      <c r="K2024" s="105"/>
      <c r="L2024" s="105"/>
    </row>
    <row r="2025">
      <c r="A2025" s="103" t="s">
        <v>4676</v>
      </c>
      <c r="B2025" s="103">
        <v>1.10012093001E11</v>
      </c>
      <c r="C2025" s="105"/>
      <c r="D2025" s="104" t="s">
        <v>10817</v>
      </c>
      <c r="E2025" s="104" t="s">
        <v>10820</v>
      </c>
      <c r="F2025" s="103" t="s">
        <v>4678</v>
      </c>
      <c r="G2025" s="103" t="s">
        <v>4679</v>
      </c>
      <c r="H2025" s="103" t="s">
        <v>10818</v>
      </c>
      <c r="I2025" s="103">
        <v>3.125272149E9</v>
      </c>
      <c r="J2025" s="104" t="s">
        <v>10819</v>
      </c>
      <c r="K2025" s="105"/>
      <c r="L2025" s="105"/>
    </row>
    <row r="2026">
      <c r="A2026" s="103" t="s">
        <v>4676</v>
      </c>
      <c r="B2026" s="103">
        <v>1.100120937E9</v>
      </c>
      <c r="C2026" s="105"/>
      <c r="D2026" s="104" t="s">
        <v>10821</v>
      </c>
      <c r="E2026" s="106"/>
      <c r="F2026" s="103" t="s">
        <v>4678</v>
      </c>
      <c r="G2026" s="103" t="s">
        <v>4679</v>
      </c>
      <c r="H2026" s="103" t="s">
        <v>10822</v>
      </c>
      <c r="I2026" s="103">
        <v>6369722.0</v>
      </c>
      <c r="J2026" s="104" t="s">
        <v>10823</v>
      </c>
      <c r="K2026" s="105"/>
      <c r="L2026" s="105"/>
    </row>
    <row r="2027">
      <c r="A2027" s="103" t="s">
        <v>4676</v>
      </c>
      <c r="B2027" s="103">
        <v>1.10012093701E11</v>
      </c>
      <c r="C2027" s="105"/>
      <c r="D2027" s="104" t="s">
        <v>10824</v>
      </c>
      <c r="E2027" s="104" t="s">
        <v>10825</v>
      </c>
      <c r="F2027" s="103" t="s">
        <v>4678</v>
      </c>
      <c r="G2027" s="103" t="s">
        <v>4679</v>
      </c>
      <c r="H2027" s="103" t="s">
        <v>10826</v>
      </c>
      <c r="I2027" s="103">
        <v>6369722.0</v>
      </c>
      <c r="J2027" s="104" t="s">
        <v>10823</v>
      </c>
      <c r="K2027" s="105"/>
      <c r="L2027" s="105"/>
    </row>
    <row r="2028">
      <c r="A2028" s="103" t="s">
        <v>4676</v>
      </c>
      <c r="B2028" s="103">
        <v>1.100120946E9</v>
      </c>
      <c r="C2028" s="105"/>
      <c r="D2028" s="104" t="s">
        <v>10827</v>
      </c>
      <c r="E2028" s="106"/>
      <c r="F2028" s="103" t="s">
        <v>4678</v>
      </c>
      <c r="G2028" s="103" t="s">
        <v>4679</v>
      </c>
      <c r="H2028" s="103" t="s">
        <v>10828</v>
      </c>
      <c r="I2028" s="103">
        <v>3.011978989E9</v>
      </c>
      <c r="J2028" s="104" t="s">
        <v>10829</v>
      </c>
      <c r="K2028" s="107" t="s">
        <v>10830</v>
      </c>
      <c r="L2028" s="105"/>
    </row>
    <row r="2029">
      <c r="A2029" s="103" t="s">
        <v>4676</v>
      </c>
      <c r="B2029" s="103">
        <v>1.10012094601E11</v>
      </c>
      <c r="C2029" s="105"/>
      <c r="D2029" s="104" t="s">
        <v>10827</v>
      </c>
      <c r="E2029" s="104" t="s">
        <v>10831</v>
      </c>
      <c r="F2029" s="103" t="s">
        <v>4678</v>
      </c>
      <c r="G2029" s="103" t="s">
        <v>4679</v>
      </c>
      <c r="H2029" s="103" t="s">
        <v>10828</v>
      </c>
      <c r="I2029" s="103">
        <v>3.011978989E9</v>
      </c>
      <c r="J2029" s="104" t="s">
        <v>10832</v>
      </c>
      <c r="K2029" s="105"/>
      <c r="L2029" s="105"/>
    </row>
    <row r="2030">
      <c r="A2030" s="103" t="s">
        <v>4676</v>
      </c>
      <c r="B2030" s="103">
        <v>1.100120965E9</v>
      </c>
      <c r="C2030" s="105"/>
      <c r="D2030" s="104" t="s">
        <v>10833</v>
      </c>
      <c r="E2030" s="106"/>
      <c r="F2030" s="103" t="s">
        <v>4678</v>
      </c>
      <c r="G2030" s="103" t="s">
        <v>4679</v>
      </c>
      <c r="H2030" s="103" t="s">
        <v>10834</v>
      </c>
      <c r="I2030" s="103" t="s">
        <v>10835</v>
      </c>
      <c r="J2030" s="104" t="s">
        <v>10836</v>
      </c>
      <c r="K2030" s="105"/>
      <c r="L2030" s="105"/>
    </row>
    <row r="2031">
      <c r="A2031" s="103" t="s">
        <v>4676</v>
      </c>
      <c r="B2031" s="103">
        <v>1.10012096501E11</v>
      </c>
      <c r="C2031" s="105"/>
      <c r="D2031" s="104" t="s">
        <v>10833</v>
      </c>
      <c r="E2031" s="104" t="s">
        <v>10837</v>
      </c>
      <c r="F2031" s="103" t="s">
        <v>4678</v>
      </c>
      <c r="G2031" s="103" t="s">
        <v>4679</v>
      </c>
      <c r="H2031" s="103" t="s">
        <v>10834</v>
      </c>
      <c r="I2031" s="103" t="s">
        <v>10835</v>
      </c>
      <c r="J2031" s="104" t="s">
        <v>10836</v>
      </c>
      <c r="K2031" s="105"/>
      <c r="L2031" s="105"/>
    </row>
    <row r="2032">
      <c r="A2032" s="103" t="s">
        <v>4676</v>
      </c>
      <c r="B2032" s="103">
        <v>1.10012101E9</v>
      </c>
      <c r="C2032" s="105"/>
      <c r="D2032" s="104" t="s">
        <v>10838</v>
      </c>
      <c r="E2032" s="106"/>
      <c r="F2032" s="103" t="s">
        <v>4678</v>
      </c>
      <c r="G2032" s="103" t="s">
        <v>4679</v>
      </c>
      <c r="H2032" s="103" t="s">
        <v>10839</v>
      </c>
      <c r="I2032" s="103" t="s">
        <v>10840</v>
      </c>
      <c r="J2032" s="104" t="s">
        <v>10841</v>
      </c>
      <c r="K2032" s="105"/>
      <c r="L2032" s="105"/>
    </row>
    <row r="2033">
      <c r="A2033" s="103" t="s">
        <v>4676</v>
      </c>
      <c r="B2033" s="103">
        <v>1.10012101001E11</v>
      </c>
      <c r="C2033" s="105"/>
      <c r="D2033" s="104" t="s">
        <v>10842</v>
      </c>
      <c r="E2033" s="104" t="s">
        <v>10843</v>
      </c>
      <c r="F2033" s="103" t="s">
        <v>4678</v>
      </c>
      <c r="G2033" s="103" t="s">
        <v>4679</v>
      </c>
      <c r="H2033" s="103" t="s">
        <v>10844</v>
      </c>
      <c r="I2033" s="103" t="s">
        <v>10845</v>
      </c>
      <c r="J2033" s="104" t="s">
        <v>10841</v>
      </c>
      <c r="K2033" s="105"/>
      <c r="L2033" s="105"/>
    </row>
    <row r="2034">
      <c r="A2034" s="103" t="s">
        <v>4676</v>
      </c>
      <c r="B2034" s="103">
        <v>1.10012102E9</v>
      </c>
      <c r="C2034" s="105"/>
      <c r="D2034" s="104" t="s">
        <v>10846</v>
      </c>
      <c r="E2034" s="106"/>
      <c r="F2034" s="103" t="s">
        <v>4678</v>
      </c>
      <c r="G2034" s="103" t="s">
        <v>4679</v>
      </c>
      <c r="H2034" s="103" t="s">
        <v>10847</v>
      </c>
      <c r="I2034" s="103">
        <v>3.12521017E9</v>
      </c>
      <c r="J2034" s="104" t="s">
        <v>10848</v>
      </c>
      <c r="K2034" s="105"/>
      <c r="L2034" s="105"/>
    </row>
    <row r="2035">
      <c r="A2035" s="103" t="s">
        <v>4676</v>
      </c>
      <c r="B2035" s="103">
        <v>1.10012102001E11</v>
      </c>
      <c r="C2035" s="105"/>
      <c r="D2035" s="104" t="s">
        <v>10846</v>
      </c>
      <c r="E2035" s="104" t="s">
        <v>10849</v>
      </c>
      <c r="F2035" s="103" t="s">
        <v>4678</v>
      </c>
      <c r="G2035" s="103" t="s">
        <v>4679</v>
      </c>
      <c r="H2035" s="103" t="s">
        <v>10850</v>
      </c>
      <c r="I2035" s="103" t="s">
        <v>10851</v>
      </c>
      <c r="J2035" s="104" t="s">
        <v>10848</v>
      </c>
      <c r="K2035" s="105"/>
      <c r="L2035" s="105"/>
    </row>
    <row r="2036">
      <c r="A2036" s="103" t="s">
        <v>4676</v>
      </c>
      <c r="B2036" s="103">
        <v>1.10012102002E11</v>
      </c>
      <c r="C2036" s="105"/>
      <c r="D2036" s="104" t="s">
        <v>10852</v>
      </c>
      <c r="E2036" s="104" t="s">
        <v>10853</v>
      </c>
      <c r="F2036" s="103" t="s">
        <v>4678</v>
      </c>
      <c r="G2036" s="103" t="s">
        <v>4679</v>
      </c>
      <c r="H2036" s="103" t="s">
        <v>10847</v>
      </c>
      <c r="I2036" s="103">
        <v>3.12521017E9</v>
      </c>
      <c r="J2036" s="104" t="s">
        <v>10848</v>
      </c>
      <c r="K2036" s="105"/>
      <c r="L2036" s="105"/>
    </row>
    <row r="2037">
      <c r="A2037" s="103" t="s">
        <v>4676</v>
      </c>
      <c r="B2037" s="103">
        <v>1.10012107E9</v>
      </c>
      <c r="C2037" s="105"/>
      <c r="D2037" s="104" t="s">
        <v>10854</v>
      </c>
      <c r="E2037" s="106"/>
      <c r="F2037" s="103" t="s">
        <v>4678</v>
      </c>
      <c r="G2037" s="103" t="s">
        <v>4679</v>
      </c>
      <c r="H2037" s="103" t="s">
        <v>10855</v>
      </c>
      <c r="I2037" s="103" t="s">
        <v>10856</v>
      </c>
      <c r="J2037" s="104" t="s">
        <v>10857</v>
      </c>
      <c r="K2037" s="107" t="s">
        <v>10858</v>
      </c>
      <c r="L2037" s="105"/>
    </row>
    <row r="2038">
      <c r="A2038" s="103" t="s">
        <v>4676</v>
      </c>
      <c r="B2038" s="103">
        <v>1.10012107001E11</v>
      </c>
      <c r="C2038" s="105"/>
      <c r="D2038" s="104" t="s">
        <v>10859</v>
      </c>
      <c r="E2038" s="104" t="s">
        <v>10860</v>
      </c>
      <c r="F2038" s="103" t="s">
        <v>4678</v>
      </c>
      <c r="G2038" s="103" t="s">
        <v>4679</v>
      </c>
      <c r="H2038" s="103" t="s">
        <v>10861</v>
      </c>
      <c r="I2038" s="103" t="s">
        <v>10862</v>
      </c>
      <c r="J2038" s="104" t="s">
        <v>10857</v>
      </c>
      <c r="K2038" s="105"/>
      <c r="L2038" s="105"/>
    </row>
    <row r="2039">
      <c r="A2039" s="103" t="s">
        <v>4676</v>
      </c>
      <c r="B2039" s="103">
        <v>1.100121098E9</v>
      </c>
      <c r="C2039" s="105"/>
      <c r="D2039" s="104" t="s">
        <v>10863</v>
      </c>
      <c r="E2039" s="106"/>
      <c r="F2039" s="103" t="s">
        <v>4678</v>
      </c>
      <c r="G2039" s="103" t="s">
        <v>4679</v>
      </c>
      <c r="H2039" s="103" t="s">
        <v>10864</v>
      </c>
      <c r="I2039" s="103" t="s">
        <v>10865</v>
      </c>
      <c r="J2039" s="104" t="s">
        <v>10866</v>
      </c>
      <c r="K2039" s="105"/>
      <c r="L2039" s="105"/>
    </row>
    <row r="2040">
      <c r="A2040" s="103" t="s">
        <v>4676</v>
      </c>
      <c r="B2040" s="103">
        <v>1.10012109801E11</v>
      </c>
      <c r="C2040" s="105"/>
      <c r="D2040" s="104" t="s">
        <v>10867</v>
      </c>
      <c r="E2040" s="104" t="s">
        <v>10868</v>
      </c>
      <c r="F2040" s="103" t="s">
        <v>4678</v>
      </c>
      <c r="G2040" s="103" t="s">
        <v>4679</v>
      </c>
      <c r="H2040" s="103" t="s">
        <v>10869</v>
      </c>
      <c r="I2040" s="103" t="s">
        <v>10870</v>
      </c>
      <c r="J2040" s="104" t="s">
        <v>10871</v>
      </c>
      <c r="K2040" s="105"/>
      <c r="L2040" s="105"/>
    </row>
    <row r="2041">
      <c r="A2041" s="103" t="s">
        <v>4676</v>
      </c>
      <c r="B2041" s="103">
        <v>1.1001211E9</v>
      </c>
      <c r="C2041" s="105"/>
      <c r="D2041" s="104" t="s">
        <v>10872</v>
      </c>
      <c r="E2041" s="106"/>
      <c r="F2041" s="103" t="s">
        <v>4678</v>
      </c>
      <c r="G2041" s="103" t="s">
        <v>4679</v>
      </c>
      <c r="H2041" s="103" t="s">
        <v>10873</v>
      </c>
      <c r="I2041" s="103" t="s">
        <v>10874</v>
      </c>
      <c r="J2041" s="104" t="s">
        <v>10875</v>
      </c>
      <c r="K2041" s="105"/>
      <c r="L2041" s="105"/>
    </row>
    <row r="2042">
      <c r="A2042" s="103" t="s">
        <v>4676</v>
      </c>
      <c r="B2042" s="103">
        <v>1.10012110001E11</v>
      </c>
      <c r="C2042" s="105"/>
      <c r="D2042" s="104" t="s">
        <v>10876</v>
      </c>
      <c r="E2042" s="104" t="s">
        <v>10877</v>
      </c>
      <c r="F2042" s="103" t="s">
        <v>4678</v>
      </c>
      <c r="G2042" s="103" t="s">
        <v>4679</v>
      </c>
      <c r="H2042" s="103" t="s">
        <v>10873</v>
      </c>
      <c r="I2042" s="103">
        <v>2252649.0</v>
      </c>
      <c r="J2042" s="104" t="s">
        <v>10875</v>
      </c>
      <c r="K2042" s="105"/>
      <c r="L2042" s="105"/>
    </row>
    <row r="2043">
      <c r="A2043" s="103" t="s">
        <v>4676</v>
      </c>
      <c r="B2043" s="103">
        <v>1.100121104E9</v>
      </c>
      <c r="C2043" s="105"/>
      <c r="D2043" s="104" t="s">
        <v>10878</v>
      </c>
      <c r="E2043" s="106"/>
      <c r="F2043" s="103" t="s">
        <v>4678</v>
      </c>
      <c r="G2043" s="103" t="s">
        <v>4679</v>
      </c>
      <c r="H2043" s="103" t="s">
        <v>10879</v>
      </c>
      <c r="I2043" s="103" t="s">
        <v>10880</v>
      </c>
      <c r="J2043" s="104" t="s">
        <v>10881</v>
      </c>
      <c r="K2043" s="105"/>
      <c r="L2043" s="105"/>
    </row>
    <row r="2044">
      <c r="A2044" s="103" t="s">
        <v>4676</v>
      </c>
      <c r="B2044" s="103">
        <v>1.10012110401E11</v>
      </c>
      <c r="C2044" s="105"/>
      <c r="D2044" s="104" t="s">
        <v>10878</v>
      </c>
      <c r="E2044" s="104" t="s">
        <v>10882</v>
      </c>
      <c r="F2044" s="103" t="s">
        <v>4678</v>
      </c>
      <c r="G2044" s="103" t="s">
        <v>4679</v>
      </c>
      <c r="H2044" s="103" t="s">
        <v>10879</v>
      </c>
      <c r="I2044" s="103" t="s">
        <v>10880</v>
      </c>
      <c r="J2044" s="104" t="s">
        <v>10881</v>
      </c>
      <c r="K2044" s="105"/>
      <c r="L2044" s="105"/>
    </row>
    <row r="2045">
      <c r="A2045" s="103" t="s">
        <v>4676</v>
      </c>
      <c r="B2045" s="103">
        <v>1.100121109E9</v>
      </c>
      <c r="C2045" s="105"/>
      <c r="D2045" s="104" t="s">
        <v>10883</v>
      </c>
      <c r="E2045" s="106"/>
      <c r="F2045" s="103" t="s">
        <v>4678</v>
      </c>
      <c r="G2045" s="103" t="s">
        <v>4679</v>
      </c>
      <c r="H2045" s="103" t="s">
        <v>10884</v>
      </c>
      <c r="I2045" s="103">
        <v>3.107570311E9</v>
      </c>
      <c r="J2045" s="104" t="s">
        <v>10885</v>
      </c>
      <c r="K2045" s="105"/>
      <c r="L2045" s="105"/>
    </row>
    <row r="2046">
      <c r="A2046" s="103" t="s">
        <v>4676</v>
      </c>
      <c r="B2046" s="103">
        <v>1.10012110901E11</v>
      </c>
      <c r="C2046" s="105"/>
      <c r="D2046" s="104" t="s">
        <v>10886</v>
      </c>
      <c r="E2046" s="104" t="s">
        <v>10887</v>
      </c>
      <c r="F2046" s="103" t="s">
        <v>4678</v>
      </c>
      <c r="G2046" s="103" t="s">
        <v>4679</v>
      </c>
      <c r="H2046" s="103" t="s">
        <v>10884</v>
      </c>
      <c r="I2046" s="103">
        <v>3.107570311E9</v>
      </c>
      <c r="J2046" s="104" t="s">
        <v>10885</v>
      </c>
      <c r="K2046" s="105"/>
      <c r="L2046" s="105"/>
    </row>
    <row r="2047">
      <c r="A2047" s="103" t="s">
        <v>4676</v>
      </c>
      <c r="B2047" s="103">
        <v>1.100121114E9</v>
      </c>
      <c r="C2047" s="105"/>
      <c r="D2047" s="104" t="s">
        <v>10888</v>
      </c>
      <c r="E2047" s="106"/>
      <c r="F2047" s="103" t="s">
        <v>4678</v>
      </c>
      <c r="G2047" s="103" t="s">
        <v>4679</v>
      </c>
      <c r="H2047" s="103" t="s">
        <v>10889</v>
      </c>
      <c r="I2047" s="103">
        <v>8057160.0</v>
      </c>
      <c r="J2047" s="104" t="s">
        <v>9504</v>
      </c>
      <c r="K2047" s="105"/>
      <c r="L2047" s="105"/>
    </row>
    <row r="2048">
      <c r="A2048" s="103" t="s">
        <v>4676</v>
      </c>
      <c r="B2048" s="103">
        <v>1.10012111402E11</v>
      </c>
      <c r="C2048" s="105"/>
      <c r="D2048" s="104" t="s">
        <v>10890</v>
      </c>
      <c r="E2048" s="104" t="s">
        <v>10891</v>
      </c>
      <c r="F2048" s="103" t="s">
        <v>4678</v>
      </c>
      <c r="G2048" s="103" t="s">
        <v>4679</v>
      </c>
      <c r="H2048" s="103" t="s">
        <v>10892</v>
      </c>
      <c r="I2048" s="103">
        <v>8057160.0</v>
      </c>
      <c r="J2048" s="104" t="s">
        <v>9504</v>
      </c>
      <c r="K2048" s="105"/>
      <c r="L2048" s="105"/>
    </row>
    <row r="2049">
      <c r="A2049" s="103" t="s">
        <v>4676</v>
      </c>
      <c r="B2049" s="103">
        <v>1.100121172E9</v>
      </c>
      <c r="C2049" s="105"/>
      <c r="D2049" s="104" t="s">
        <v>10893</v>
      </c>
      <c r="E2049" s="106"/>
      <c r="F2049" s="103" t="s">
        <v>4678</v>
      </c>
      <c r="G2049" s="103" t="s">
        <v>4679</v>
      </c>
      <c r="H2049" s="103" t="s">
        <v>10894</v>
      </c>
      <c r="I2049" s="103" t="s">
        <v>10895</v>
      </c>
      <c r="J2049" s="104" t="s">
        <v>10896</v>
      </c>
      <c r="K2049" s="105"/>
      <c r="L2049" s="105"/>
    </row>
    <row r="2050">
      <c r="A2050" s="103" t="s">
        <v>4676</v>
      </c>
      <c r="B2050" s="103">
        <v>1.10012117201E11</v>
      </c>
      <c r="C2050" s="105"/>
      <c r="D2050" s="104" t="s">
        <v>10893</v>
      </c>
      <c r="E2050" s="104" t="s">
        <v>10897</v>
      </c>
      <c r="F2050" s="103" t="s">
        <v>4678</v>
      </c>
      <c r="G2050" s="103" t="s">
        <v>4679</v>
      </c>
      <c r="H2050" s="103" t="s">
        <v>10898</v>
      </c>
      <c r="I2050" s="103" t="s">
        <v>10899</v>
      </c>
      <c r="J2050" s="104" t="s">
        <v>10896</v>
      </c>
      <c r="K2050" s="105"/>
      <c r="L2050" s="105"/>
    </row>
    <row r="2051">
      <c r="A2051" s="103" t="s">
        <v>4676</v>
      </c>
      <c r="B2051" s="103">
        <v>1.100121217E9</v>
      </c>
      <c r="C2051" s="105"/>
      <c r="D2051" s="104" t="s">
        <v>10900</v>
      </c>
      <c r="E2051" s="106"/>
      <c r="F2051" s="103" t="s">
        <v>4678</v>
      </c>
      <c r="G2051" s="103" t="s">
        <v>4679</v>
      </c>
      <c r="H2051" s="103" t="s">
        <v>10901</v>
      </c>
      <c r="I2051" s="103" t="s">
        <v>10902</v>
      </c>
      <c r="J2051" s="104" t="s">
        <v>10903</v>
      </c>
      <c r="K2051" s="105"/>
      <c r="L2051" s="105"/>
    </row>
    <row r="2052">
      <c r="A2052" s="103" t="s">
        <v>4676</v>
      </c>
      <c r="B2052" s="103">
        <v>1.10012121701E11</v>
      </c>
      <c r="C2052" s="105"/>
      <c r="D2052" s="104" t="s">
        <v>10900</v>
      </c>
      <c r="E2052" s="104" t="s">
        <v>10904</v>
      </c>
      <c r="F2052" s="103" t="s">
        <v>4678</v>
      </c>
      <c r="G2052" s="103" t="s">
        <v>4679</v>
      </c>
      <c r="H2052" s="103" t="s">
        <v>10901</v>
      </c>
      <c r="I2052" s="103">
        <v>6083449.0</v>
      </c>
      <c r="J2052" s="104" t="s">
        <v>10903</v>
      </c>
      <c r="K2052" s="105"/>
      <c r="L2052" s="105"/>
    </row>
    <row r="2053">
      <c r="A2053" s="103" t="s">
        <v>4676</v>
      </c>
      <c r="B2053" s="103">
        <v>1.100121238E9</v>
      </c>
      <c r="C2053" s="105"/>
      <c r="D2053" s="104" t="s">
        <v>10905</v>
      </c>
      <c r="E2053" s="106"/>
      <c r="F2053" s="103" t="s">
        <v>4678</v>
      </c>
      <c r="G2053" s="103" t="s">
        <v>4679</v>
      </c>
      <c r="H2053" s="103" t="s">
        <v>10906</v>
      </c>
      <c r="I2053" s="103" t="s">
        <v>10907</v>
      </c>
      <c r="J2053" s="104" t="s">
        <v>10908</v>
      </c>
      <c r="K2053" s="107" t="s">
        <v>10909</v>
      </c>
      <c r="L2053" s="105"/>
    </row>
    <row r="2054">
      <c r="A2054" s="103" t="s">
        <v>4676</v>
      </c>
      <c r="B2054" s="103">
        <v>1.10012123801E11</v>
      </c>
      <c r="C2054" s="105"/>
      <c r="D2054" s="104" t="s">
        <v>10910</v>
      </c>
      <c r="E2054" s="104" t="s">
        <v>10911</v>
      </c>
      <c r="F2054" s="103" t="s">
        <v>4678</v>
      </c>
      <c r="G2054" s="103" t="s">
        <v>4679</v>
      </c>
      <c r="H2054" s="103" t="s">
        <v>10906</v>
      </c>
      <c r="I2054" s="103" t="s">
        <v>10907</v>
      </c>
      <c r="J2054" s="104" t="s">
        <v>10908</v>
      </c>
      <c r="K2054" s="105"/>
      <c r="L2054" s="105"/>
    </row>
    <row r="2055">
      <c r="A2055" s="103" t="s">
        <v>4676</v>
      </c>
      <c r="B2055" s="103">
        <v>1.10012123802E11</v>
      </c>
      <c r="C2055" s="105"/>
      <c r="D2055" s="104" t="s">
        <v>10912</v>
      </c>
      <c r="E2055" s="104" t="s">
        <v>10913</v>
      </c>
      <c r="F2055" s="103" t="s">
        <v>4678</v>
      </c>
      <c r="G2055" s="103" t="s">
        <v>4679</v>
      </c>
      <c r="H2055" s="103" t="s">
        <v>10914</v>
      </c>
      <c r="I2055" s="103" t="s">
        <v>10907</v>
      </c>
      <c r="J2055" s="104" t="s">
        <v>10908</v>
      </c>
      <c r="K2055" s="105"/>
      <c r="L2055" s="105"/>
    </row>
    <row r="2056">
      <c r="A2056" s="103" t="s">
        <v>4676</v>
      </c>
      <c r="B2056" s="103">
        <v>1.10012123803E11</v>
      </c>
      <c r="C2056" s="105"/>
      <c r="D2056" s="104" t="s">
        <v>10915</v>
      </c>
      <c r="E2056" s="104" t="s">
        <v>10916</v>
      </c>
      <c r="F2056" s="103" t="s">
        <v>4678</v>
      </c>
      <c r="G2056" s="103" t="s">
        <v>4679</v>
      </c>
      <c r="H2056" s="103" t="s">
        <v>10917</v>
      </c>
      <c r="I2056" s="103" t="s">
        <v>10907</v>
      </c>
      <c r="J2056" s="104" t="s">
        <v>10908</v>
      </c>
      <c r="K2056" s="105"/>
      <c r="L2056" s="105"/>
    </row>
    <row r="2057">
      <c r="A2057" s="103" t="s">
        <v>4676</v>
      </c>
      <c r="B2057" s="103">
        <v>1.10012123804E11</v>
      </c>
      <c r="C2057" s="105"/>
      <c r="D2057" s="104" t="s">
        <v>10918</v>
      </c>
      <c r="E2057" s="104" t="s">
        <v>10919</v>
      </c>
      <c r="F2057" s="103" t="s">
        <v>4678</v>
      </c>
      <c r="G2057" s="103" t="s">
        <v>4679</v>
      </c>
      <c r="H2057" s="103" t="s">
        <v>10920</v>
      </c>
      <c r="I2057" s="103" t="s">
        <v>10907</v>
      </c>
      <c r="J2057" s="104" t="s">
        <v>10908</v>
      </c>
      <c r="K2057" s="105"/>
      <c r="L2057" s="105"/>
    </row>
    <row r="2058">
      <c r="A2058" s="103" t="s">
        <v>4676</v>
      </c>
      <c r="B2058" s="103">
        <v>1.10012123806E11</v>
      </c>
      <c r="C2058" s="105"/>
      <c r="D2058" s="104" t="s">
        <v>10921</v>
      </c>
      <c r="E2058" s="104" t="s">
        <v>10911</v>
      </c>
      <c r="F2058" s="103" t="s">
        <v>4678</v>
      </c>
      <c r="G2058" s="103" t="s">
        <v>4679</v>
      </c>
      <c r="H2058" s="103" t="s">
        <v>10922</v>
      </c>
      <c r="I2058" s="103" t="s">
        <v>10907</v>
      </c>
      <c r="J2058" s="104" t="s">
        <v>10908</v>
      </c>
      <c r="K2058" s="105"/>
      <c r="L2058" s="105"/>
    </row>
    <row r="2059">
      <c r="A2059" s="103" t="s">
        <v>4676</v>
      </c>
      <c r="B2059" s="103">
        <v>1.10012123807E11</v>
      </c>
      <c r="C2059" s="105"/>
      <c r="D2059" s="104" t="s">
        <v>10923</v>
      </c>
      <c r="E2059" s="104" t="s">
        <v>10911</v>
      </c>
      <c r="F2059" s="103" t="s">
        <v>4678</v>
      </c>
      <c r="G2059" s="103" t="s">
        <v>4679</v>
      </c>
      <c r="H2059" s="103" t="s">
        <v>10924</v>
      </c>
      <c r="I2059" s="103" t="s">
        <v>10907</v>
      </c>
      <c r="J2059" s="104" t="s">
        <v>10908</v>
      </c>
      <c r="K2059" s="105"/>
      <c r="L2059" s="105"/>
    </row>
    <row r="2060">
      <c r="A2060" s="103" t="s">
        <v>4676</v>
      </c>
      <c r="B2060" s="103">
        <v>1.10012123812E11</v>
      </c>
      <c r="C2060" s="105"/>
      <c r="D2060" s="104" t="s">
        <v>10925</v>
      </c>
      <c r="E2060" s="104" t="s">
        <v>10911</v>
      </c>
      <c r="F2060" s="103" t="s">
        <v>4678</v>
      </c>
      <c r="G2060" s="103" t="s">
        <v>4679</v>
      </c>
      <c r="H2060" s="103" t="s">
        <v>10926</v>
      </c>
      <c r="I2060" s="103" t="s">
        <v>10907</v>
      </c>
      <c r="J2060" s="104" t="s">
        <v>10908</v>
      </c>
      <c r="K2060" s="105"/>
      <c r="L2060" s="105"/>
    </row>
    <row r="2061">
      <c r="A2061" s="103" t="s">
        <v>4676</v>
      </c>
      <c r="B2061" s="103">
        <v>1.10012123813E11</v>
      </c>
      <c r="C2061" s="105"/>
      <c r="D2061" s="104" t="s">
        <v>10927</v>
      </c>
      <c r="E2061" s="104" t="s">
        <v>10911</v>
      </c>
      <c r="F2061" s="103" t="s">
        <v>4678</v>
      </c>
      <c r="G2061" s="103" t="s">
        <v>4679</v>
      </c>
      <c r="H2061" s="103" t="s">
        <v>10928</v>
      </c>
      <c r="I2061" s="103" t="s">
        <v>10907</v>
      </c>
      <c r="J2061" s="104" t="s">
        <v>10908</v>
      </c>
      <c r="K2061" s="105"/>
      <c r="L2061" s="105"/>
    </row>
    <row r="2062">
      <c r="A2062" s="103" t="s">
        <v>4676</v>
      </c>
      <c r="B2062" s="103">
        <v>1.10012123814E11</v>
      </c>
      <c r="C2062" s="105"/>
      <c r="D2062" s="104" t="s">
        <v>10929</v>
      </c>
      <c r="E2062" s="104" t="s">
        <v>10911</v>
      </c>
      <c r="F2062" s="103" t="s">
        <v>4678</v>
      </c>
      <c r="G2062" s="103" t="s">
        <v>4679</v>
      </c>
      <c r="H2062" s="103" t="s">
        <v>10930</v>
      </c>
      <c r="I2062" s="103" t="s">
        <v>10907</v>
      </c>
      <c r="J2062" s="104" t="s">
        <v>10908</v>
      </c>
      <c r="K2062" s="105"/>
      <c r="L2062" s="105"/>
    </row>
    <row r="2063">
      <c r="A2063" s="103" t="s">
        <v>4676</v>
      </c>
      <c r="B2063" s="103">
        <v>1.10012123815E11</v>
      </c>
      <c r="C2063" s="105"/>
      <c r="D2063" s="104" t="s">
        <v>10931</v>
      </c>
      <c r="E2063" s="104" t="s">
        <v>10911</v>
      </c>
      <c r="F2063" s="103" t="s">
        <v>4678</v>
      </c>
      <c r="G2063" s="103" t="s">
        <v>4679</v>
      </c>
      <c r="H2063" s="103" t="s">
        <v>10932</v>
      </c>
      <c r="I2063" s="103" t="s">
        <v>10907</v>
      </c>
      <c r="J2063" s="104" t="s">
        <v>10908</v>
      </c>
      <c r="K2063" s="105"/>
      <c r="L2063" s="105"/>
    </row>
    <row r="2064">
      <c r="A2064" s="103" t="s">
        <v>4676</v>
      </c>
      <c r="B2064" s="103">
        <v>1.10012123816E11</v>
      </c>
      <c r="C2064" s="105"/>
      <c r="D2064" s="104" t="s">
        <v>10933</v>
      </c>
      <c r="E2064" s="104" t="s">
        <v>10911</v>
      </c>
      <c r="F2064" s="103" t="s">
        <v>4678</v>
      </c>
      <c r="G2064" s="103" t="s">
        <v>4679</v>
      </c>
      <c r="H2064" s="103" t="s">
        <v>10934</v>
      </c>
      <c r="I2064" s="103" t="s">
        <v>10907</v>
      </c>
      <c r="J2064" s="104" t="s">
        <v>10908</v>
      </c>
      <c r="K2064" s="105"/>
      <c r="L2064" s="105"/>
    </row>
    <row r="2065">
      <c r="A2065" s="103" t="s">
        <v>4676</v>
      </c>
      <c r="B2065" s="103">
        <v>1.10012123817E11</v>
      </c>
      <c r="C2065" s="105"/>
      <c r="D2065" s="104" t="s">
        <v>10935</v>
      </c>
      <c r="E2065" s="104" t="s">
        <v>10911</v>
      </c>
      <c r="F2065" s="103" t="s">
        <v>4678</v>
      </c>
      <c r="G2065" s="103" t="s">
        <v>4679</v>
      </c>
      <c r="H2065" s="103" t="s">
        <v>10936</v>
      </c>
      <c r="I2065" s="103" t="s">
        <v>10907</v>
      </c>
      <c r="J2065" s="104" t="s">
        <v>10908</v>
      </c>
      <c r="K2065" s="105"/>
      <c r="L2065" s="105"/>
    </row>
    <row r="2066">
      <c r="A2066" s="103" t="s">
        <v>4676</v>
      </c>
      <c r="B2066" s="103">
        <v>1.100121241E9</v>
      </c>
      <c r="C2066" s="105"/>
      <c r="D2066" s="104" t="s">
        <v>10937</v>
      </c>
      <c r="E2066" s="106"/>
      <c r="F2066" s="103" t="s">
        <v>4678</v>
      </c>
      <c r="G2066" s="103" t="s">
        <v>4679</v>
      </c>
      <c r="H2066" s="103" t="s">
        <v>10938</v>
      </c>
      <c r="I2066" s="103">
        <v>3.132072421E9</v>
      </c>
      <c r="J2066" s="104" t="s">
        <v>10939</v>
      </c>
      <c r="K2066" s="103" t="s">
        <v>10940</v>
      </c>
      <c r="L2066" s="105"/>
    </row>
    <row r="2067">
      <c r="A2067" s="103" t="s">
        <v>4676</v>
      </c>
      <c r="B2067" s="103">
        <v>1.10012124101E11</v>
      </c>
      <c r="C2067" s="105"/>
      <c r="D2067" s="104" t="s">
        <v>10937</v>
      </c>
      <c r="E2067" s="104" t="s">
        <v>10941</v>
      </c>
      <c r="F2067" s="103" t="s">
        <v>4678</v>
      </c>
      <c r="G2067" s="103" t="s">
        <v>4679</v>
      </c>
      <c r="H2067" s="103" t="s">
        <v>10942</v>
      </c>
      <c r="I2067" s="103">
        <v>3.132072421E9</v>
      </c>
      <c r="J2067" s="104" t="s">
        <v>10939</v>
      </c>
      <c r="K2067" s="105"/>
      <c r="L2067" s="105"/>
    </row>
    <row r="2068">
      <c r="A2068" s="103" t="s">
        <v>4676</v>
      </c>
      <c r="B2068" s="103">
        <v>1.100121255E9</v>
      </c>
      <c r="C2068" s="105"/>
      <c r="D2068" s="104" t="s">
        <v>10943</v>
      </c>
      <c r="E2068" s="106"/>
      <c r="F2068" s="103" t="s">
        <v>4678</v>
      </c>
      <c r="G2068" s="103" t="s">
        <v>4679</v>
      </c>
      <c r="H2068" s="103" t="s">
        <v>10944</v>
      </c>
      <c r="I2068" s="103">
        <v>2177186.0</v>
      </c>
      <c r="J2068" s="104" t="s">
        <v>10945</v>
      </c>
      <c r="K2068" s="103" t="s">
        <v>10946</v>
      </c>
      <c r="L2068" s="105"/>
    </row>
    <row r="2069">
      <c r="A2069" s="103" t="s">
        <v>4676</v>
      </c>
      <c r="B2069" s="103">
        <v>1.10012125501E11</v>
      </c>
      <c r="C2069" s="105"/>
      <c r="D2069" s="104" t="s">
        <v>10943</v>
      </c>
      <c r="E2069" s="104" t="s">
        <v>10947</v>
      </c>
      <c r="F2069" s="103" t="s">
        <v>4678</v>
      </c>
      <c r="G2069" s="103" t="s">
        <v>4679</v>
      </c>
      <c r="H2069" s="103" t="s">
        <v>10944</v>
      </c>
      <c r="I2069" s="103">
        <v>2177186.0</v>
      </c>
      <c r="J2069" s="104" t="s">
        <v>10948</v>
      </c>
      <c r="K2069" s="105"/>
      <c r="L2069" s="105"/>
    </row>
    <row r="2070">
      <c r="A2070" s="103" t="s">
        <v>4676</v>
      </c>
      <c r="B2070" s="103">
        <v>1.100121264E9</v>
      </c>
      <c r="C2070" s="105"/>
      <c r="D2070" s="104" t="s">
        <v>10949</v>
      </c>
      <c r="E2070" s="106"/>
      <c r="F2070" s="103" t="s">
        <v>4678</v>
      </c>
      <c r="G2070" s="103" t="s">
        <v>4679</v>
      </c>
      <c r="H2070" s="103" t="s">
        <v>10950</v>
      </c>
      <c r="I2070" s="103" t="s">
        <v>10951</v>
      </c>
      <c r="J2070" s="104" t="s">
        <v>10952</v>
      </c>
      <c r="K2070" s="105"/>
      <c r="L2070" s="105"/>
    </row>
    <row r="2071">
      <c r="A2071" s="103" t="s">
        <v>4676</v>
      </c>
      <c r="B2071" s="103">
        <v>1.10012126401E11</v>
      </c>
      <c r="C2071" s="105"/>
      <c r="D2071" s="104" t="s">
        <v>10953</v>
      </c>
      <c r="E2071" s="104" t="s">
        <v>10954</v>
      </c>
      <c r="F2071" s="103" t="s">
        <v>4678</v>
      </c>
      <c r="G2071" s="103" t="s">
        <v>4679</v>
      </c>
      <c r="H2071" s="103" t="s">
        <v>10955</v>
      </c>
      <c r="I2071" s="103">
        <v>3000024.0</v>
      </c>
      <c r="J2071" s="104" t="s">
        <v>10956</v>
      </c>
      <c r="K2071" s="105"/>
      <c r="L2071" s="105"/>
    </row>
    <row r="2072">
      <c r="A2072" s="103" t="s">
        <v>4676</v>
      </c>
      <c r="B2072" s="103">
        <v>1.100121271E9</v>
      </c>
      <c r="C2072" s="105"/>
      <c r="D2072" s="104" t="s">
        <v>10957</v>
      </c>
      <c r="E2072" s="106"/>
      <c r="F2072" s="103" t="s">
        <v>4678</v>
      </c>
      <c r="G2072" s="103" t="s">
        <v>4679</v>
      </c>
      <c r="H2072" s="103" t="s">
        <v>10958</v>
      </c>
      <c r="I2072" s="103" t="s">
        <v>10959</v>
      </c>
      <c r="J2072" s="104" t="s">
        <v>10960</v>
      </c>
      <c r="K2072" s="107" t="s">
        <v>10961</v>
      </c>
      <c r="L2072" s="105"/>
    </row>
    <row r="2073">
      <c r="A2073" s="103" t="s">
        <v>4676</v>
      </c>
      <c r="B2073" s="103">
        <v>1.10012127101E11</v>
      </c>
      <c r="C2073" s="105"/>
      <c r="D2073" s="104" t="s">
        <v>10957</v>
      </c>
      <c r="E2073" s="104" t="s">
        <v>10251</v>
      </c>
      <c r="F2073" s="103" t="s">
        <v>4678</v>
      </c>
      <c r="G2073" s="103" t="s">
        <v>4679</v>
      </c>
      <c r="H2073" s="103" t="s">
        <v>10962</v>
      </c>
      <c r="I2073" s="103" t="s">
        <v>10959</v>
      </c>
      <c r="J2073" s="104" t="s">
        <v>10960</v>
      </c>
      <c r="K2073" s="105"/>
      <c r="L2073" s="105"/>
    </row>
    <row r="2074">
      <c r="A2074" s="103" t="s">
        <v>4676</v>
      </c>
      <c r="B2074" s="103">
        <v>1.100121287E9</v>
      </c>
      <c r="C2074" s="105"/>
      <c r="D2074" s="104" t="s">
        <v>10963</v>
      </c>
      <c r="E2074" s="106"/>
      <c r="F2074" s="103" t="s">
        <v>4678</v>
      </c>
      <c r="G2074" s="103" t="s">
        <v>4679</v>
      </c>
      <c r="H2074" s="103" t="s">
        <v>10964</v>
      </c>
      <c r="I2074" s="103">
        <v>3.330333555E9</v>
      </c>
      <c r="J2074" s="104" t="s">
        <v>10965</v>
      </c>
      <c r="K2074" s="107" t="s">
        <v>10966</v>
      </c>
      <c r="L2074" s="105"/>
    </row>
    <row r="2075">
      <c r="A2075" s="103" t="s">
        <v>4676</v>
      </c>
      <c r="B2075" s="103">
        <v>1.10012128701E11</v>
      </c>
      <c r="C2075" s="105"/>
      <c r="D2075" s="104" t="s">
        <v>10963</v>
      </c>
      <c r="E2075" s="104" t="s">
        <v>10967</v>
      </c>
      <c r="F2075" s="103" t="s">
        <v>4678</v>
      </c>
      <c r="G2075" s="103" t="s">
        <v>4679</v>
      </c>
      <c r="H2075" s="103" t="s">
        <v>10968</v>
      </c>
      <c r="I2075" s="103">
        <v>3.185957697E9</v>
      </c>
      <c r="J2075" s="104" t="s">
        <v>10969</v>
      </c>
      <c r="K2075" s="105"/>
      <c r="L2075" s="105"/>
    </row>
    <row r="2076">
      <c r="A2076" s="103" t="s">
        <v>4676</v>
      </c>
      <c r="B2076" s="103">
        <v>1.10012132E9</v>
      </c>
      <c r="C2076" s="105"/>
      <c r="D2076" s="104" t="s">
        <v>10970</v>
      </c>
      <c r="E2076" s="106"/>
      <c r="F2076" s="103" t="s">
        <v>4678</v>
      </c>
      <c r="G2076" s="103" t="s">
        <v>4679</v>
      </c>
      <c r="H2076" s="103" t="s">
        <v>10971</v>
      </c>
      <c r="I2076" s="103">
        <v>5264751.0</v>
      </c>
      <c r="J2076" s="104" t="s">
        <v>10972</v>
      </c>
      <c r="K2076" s="107" t="s">
        <v>10973</v>
      </c>
      <c r="L2076" s="105"/>
    </row>
    <row r="2077">
      <c r="A2077" s="103" t="s">
        <v>4676</v>
      </c>
      <c r="B2077" s="103">
        <v>1.10012132001E11</v>
      </c>
      <c r="C2077" s="105"/>
      <c r="D2077" s="104" t="s">
        <v>10970</v>
      </c>
      <c r="E2077" s="104" t="s">
        <v>10974</v>
      </c>
      <c r="F2077" s="103" t="s">
        <v>4678</v>
      </c>
      <c r="G2077" s="103" t="s">
        <v>4679</v>
      </c>
      <c r="H2077" s="103" t="s">
        <v>10971</v>
      </c>
      <c r="I2077" s="103">
        <v>5203018.0</v>
      </c>
      <c r="J2077" s="104" t="s">
        <v>10975</v>
      </c>
      <c r="K2077" s="105"/>
      <c r="L2077" s="105"/>
    </row>
    <row r="2078">
      <c r="A2078" s="103" t="s">
        <v>4676</v>
      </c>
      <c r="B2078" s="103">
        <v>1.100121323E9</v>
      </c>
      <c r="C2078" s="105"/>
      <c r="D2078" s="104" t="s">
        <v>10976</v>
      </c>
      <c r="E2078" s="106"/>
      <c r="F2078" s="103" t="s">
        <v>4678</v>
      </c>
      <c r="G2078" s="103" t="s">
        <v>4679</v>
      </c>
      <c r="H2078" s="103" t="s">
        <v>10977</v>
      </c>
      <c r="I2078" s="103">
        <v>7456670.0</v>
      </c>
      <c r="J2078" s="104" t="s">
        <v>10978</v>
      </c>
      <c r="K2078" s="107" t="s">
        <v>10979</v>
      </c>
      <c r="L2078" s="105"/>
    </row>
    <row r="2079">
      <c r="A2079" s="103" t="s">
        <v>4676</v>
      </c>
      <c r="B2079" s="103">
        <v>1.10012132301E11</v>
      </c>
      <c r="C2079" s="105"/>
      <c r="D2079" s="104" t="s">
        <v>10980</v>
      </c>
      <c r="E2079" s="104" t="s">
        <v>10981</v>
      </c>
      <c r="F2079" s="103" t="s">
        <v>4678</v>
      </c>
      <c r="G2079" s="103" t="s">
        <v>4679</v>
      </c>
      <c r="H2079" s="103" t="s">
        <v>10977</v>
      </c>
      <c r="I2079" s="103">
        <v>7456670.0</v>
      </c>
      <c r="J2079" s="104" t="s">
        <v>10982</v>
      </c>
      <c r="K2079" s="105"/>
      <c r="L2079" s="105"/>
    </row>
    <row r="2080">
      <c r="A2080" s="103" t="s">
        <v>4676</v>
      </c>
      <c r="B2080" s="103">
        <v>1.10012132304E11</v>
      </c>
      <c r="C2080" s="105"/>
      <c r="D2080" s="104" t="s">
        <v>10983</v>
      </c>
      <c r="E2080" s="104" t="s">
        <v>10981</v>
      </c>
      <c r="F2080" s="103" t="s">
        <v>4678</v>
      </c>
      <c r="G2080" s="103" t="s">
        <v>4679</v>
      </c>
      <c r="H2080" s="103" t="s">
        <v>10984</v>
      </c>
      <c r="I2080" s="103">
        <v>7450822.0</v>
      </c>
      <c r="J2080" s="104" t="s">
        <v>10982</v>
      </c>
      <c r="K2080" s="105"/>
      <c r="L2080" s="105"/>
    </row>
    <row r="2081">
      <c r="A2081" s="103" t="s">
        <v>4676</v>
      </c>
      <c r="B2081" s="103">
        <v>1.10012132305E11</v>
      </c>
      <c r="C2081" s="105"/>
      <c r="D2081" s="104" t="s">
        <v>10985</v>
      </c>
      <c r="E2081" s="104" t="s">
        <v>10986</v>
      </c>
      <c r="F2081" s="103" t="s">
        <v>4678</v>
      </c>
      <c r="G2081" s="103" t="s">
        <v>4679</v>
      </c>
      <c r="H2081" s="103" t="s">
        <v>10987</v>
      </c>
      <c r="I2081" s="103">
        <v>7456670.0</v>
      </c>
      <c r="J2081" s="104" t="s">
        <v>10982</v>
      </c>
      <c r="K2081" s="105"/>
      <c r="L2081" s="105"/>
    </row>
    <row r="2082">
      <c r="A2082" s="103" t="s">
        <v>4676</v>
      </c>
      <c r="B2082" s="103">
        <v>1.10012132306E11</v>
      </c>
      <c r="C2082" s="105"/>
      <c r="D2082" s="104" t="s">
        <v>10988</v>
      </c>
      <c r="E2082" s="104" t="s">
        <v>10986</v>
      </c>
      <c r="F2082" s="103" t="s">
        <v>4678</v>
      </c>
      <c r="G2082" s="103" t="s">
        <v>4679</v>
      </c>
      <c r="H2082" s="103" t="s">
        <v>10989</v>
      </c>
      <c r="I2082" s="103">
        <v>7456670.0</v>
      </c>
      <c r="J2082" s="104" t="s">
        <v>10982</v>
      </c>
      <c r="K2082" s="105"/>
      <c r="L2082" s="105"/>
    </row>
    <row r="2083">
      <c r="A2083" s="103" t="s">
        <v>4676</v>
      </c>
      <c r="B2083" s="103">
        <v>1.10012134E9</v>
      </c>
      <c r="C2083" s="105"/>
      <c r="D2083" s="104" t="s">
        <v>10990</v>
      </c>
      <c r="E2083" s="106"/>
      <c r="F2083" s="103" t="s">
        <v>4678</v>
      </c>
      <c r="G2083" s="103" t="s">
        <v>4679</v>
      </c>
      <c r="H2083" s="103" t="s">
        <v>10991</v>
      </c>
      <c r="I2083" s="103" t="s">
        <v>10992</v>
      </c>
      <c r="J2083" s="104" t="s">
        <v>10993</v>
      </c>
      <c r="K2083" s="107" t="s">
        <v>10994</v>
      </c>
      <c r="L2083" s="105"/>
    </row>
    <row r="2084">
      <c r="A2084" s="103" t="s">
        <v>4676</v>
      </c>
      <c r="B2084" s="103">
        <v>1.10012134001E11</v>
      </c>
      <c r="C2084" s="105"/>
      <c r="D2084" s="104" t="s">
        <v>10995</v>
      </c>
      <c r="E2084" s="104" t="s">
        <v>10996</v>
      </c>
      <c r="F2084" s="103" t="s">
        <v>4678</v>
      </c>
      <c r="G2084" s="103" t="s">
        <v>4679</v>
      </c>
      <c r="H2084" s="103" t="s">
        <v>10997</v>
      </c>
      <c r="I2084" s="103">
        <v>2550054.0</v>
      </c>
      <c r="J2084" s="104" t="s">
        <v>10993</v>
      </c>
      <c r="K2084" s="105"/>
      <c r="L2084" s="105"/>
    </row>
    <row r="2085">
      <c r="A2085" s="103" t="s">
        <v>4676</v>
      </c>
      <c r="B2085" s="103">
        <v>1.100121347E9</v>
      </c>
      <c r="C2085" s="105"/>
      <c r="D2085" s="104" t="s">
        <v>10998</v>
      </c>
      <c r="E2085" s="106"/>
      <c r="F2085" s="103" t="s">
        <v>4678</v>
      </c>
      <c r="G2085" s="103" t="s">
        <v>4679</v>
      </c>
      <c r="H2085" s="103" t="s">
        <v>10999</v>
      </c>
      <c r="I2085" s="103" t="s">
        <v>11000</v>
      </c>
      <c r="J2085" s="104" t="s">
        <v>11001</v>
      </c>
      <c r="K2085" s="105"/>
      <c r="L2085" s="105"/>
    </row>
    <row r="2086">
      <c r="A2086" s="103" t="s">
        <v>4676</v>
      </c>
      <c r="B2086" s="103">
        <v>1.10012134701E11</v>
      </c>
      <c r="C2086" s="105"/>
      <c r="D2086" s="104" t="s">
        <v>11002</v>
      </c>
      <c r="E2086" s="104" t="s">
        <v>11003</v>
      </c>
      <c r="F2086" s="103" t="s">
        <v>4678</v>
      </c>
      <c r="G2086" s="103" t="s">
        <v>4679</v>
      </c>
      <c r="H2086" s="103" t="s">
        <v>10999</v>
      </c>
      <c r="I2086" s="103" t="s">
        <v>11000</v>
      </c>
      <c r="J2086" s="104" t="s">
        <v>11001</v>
      </c>
      <c r="K2086" s="105"/>
      <c r="L2086" s="105"/>
    </row>
    <row r="2087">
      <c r="A2087" s="103" t="s">
        <v>4676</v>
      </c>
      <c r="B2087" s="103">
        <v>1.100121359E9</v>
      </c>
      <c r="C2087" s="105"/>
      <c r="D2087" s="104" t="s">
        <v>11004</v>
      </c>
      <c r="E2087" s="106"/>
      <c r="F2087" s="103" t="s">
        <v>4678</v>
      </c>
      <c r="G2087" s="103" t="s">
        <v>4679</v>
      </c>
      <c r="H2087" s="103" t="s">
        <v>11005</v>
      </c>
      <c r="I2087" s="103" t="s">
        <v>11006</v>
      </c>
      <c r="J2087" s="104" t="s">
        <v>11007</v>
      </c>
      <c r="K2087" s="105"/>
      <c r="L2087" s="105"/>
    </row>
    <row r="2088">
      <c r="A2088" s="103" t="s">
        <v>4676</v>
      </c>
      <c r="B2088" s="103">
        <v>1.10012135901E11</v>
      </c>
      <c r="C2088" s="105"/>
      <c r="D2088" s="104" t="s">
        <v>11004</v>
      </c>
      <c r="E2088" s="104" t="s">
        <v>11008</v>
      </c>
      <c r="F2088" s="103" t="s">
        <v>4678</v>
      </c>
      <c r="G2088" s="103" t="s">
        <v>4679</v>
      </c>
      <c r="H2088" s="103" t="s">
        <v>11009</v>
      </c>
      <c r="I2088" s="103" t="s">
        <v>11010</v>
      </c>
      <c r="J2088" s="104" t="s">
        <v>11011</v>
      </c>
      <c r="K2088" s="105"/>
      <c r="L2088" s="105"/>
    </row>
    <row r="2089">
      <c r="A2089" s="103" t="s">
        <v>4676</v>
      </c>
      <c r="B2089" s="103">
        <v>1.100121361E9</v>
      </c>
      <c r="C2089" s="105"/>
      <c r="D2089" s="104" t="s">
        <v>11012</v>
      </c>
      <c r="E2089" s="106"/>
      <c r="F2089" s="103" t="s">
        <v>4678</v>
      </c>
      <c r="G2089" s="103" t="s">
        <v>4679</v>
      </c>
      <c r="H2089" s="103" t="s">
        <v>11013</v>
      </c>
      <c r="I2089" s="103">
        <v>6052555.0</v>
      </c>
      <c r="J2089" s="104" t="s">
        <v>11014</v>
      </c>
      <c r="K2089" s="107" t="s">
        <v>11015</v>
      </c>
      <c r="L2089" s="105"/>
    </row>
    <row r="2090">
      <c r="A2090" s="103" t="s">
        <v>4676</v>
      </c>
      <c r="B2090" s="103">
        <v>1.10012136101E11</v>
      </c>
      <c r="C2090" s="105"/>
      <c r="D2090" s="104" t="s">
        <v>11016</v>
      </c>
      <c r="E2090" s="104" t="s">
        <v>11017</v>
      </c>
      <c r="F2090" s="103" t="s">
        <v>4678</v>
      </c>
      <c r="G2090" s="103" t="s">
        <v>4679</v>
      </c>
      <c r="H2090" s="103" t="s">
        <v>11018</v>
      </c>
      <c r="I2090" s="103">
        <v>6052555.0</v>
      </c>
      <c r="J2090" s="104" t="s">
        <v>11014</v>
      </c>
      <c r="K2090" s="105"/>
      <c r="L2090" s="105"/>
    </row>
    <row r="2091">
      <c r="A2091" s="103" t="s">
        <v>4676</v>
      </c>
      <c r="B2091" s="103">
        <v>1.100121377E9</v>
      </c>
      <c r="C2091" s="105"/>
      <c r="D2091" s="104" t="s">
        <v>11019</v>
      </c>
      <c r="E2091" s="106"/>
      <c r="F2091" s="103" t="s">
        <v>4678</v>
      </c>
      <c r="G2091" s="103" t="s">
        <v>4679</v>
      </c>
      <c r="H2091" s="103" t="s">
        <v>11020</v>
      </c>
      <c r="I2091" s="103" t="s">
        <v>11021</v>
      </c>
      <c r="J2091" s="104" t="s">
        <v>11022</v>
      </c>
      <c r="K2091" s="107" t="s">
        <v>11023</v>
      </c>
      <c r="L2091" s="105"/>
    </row>
    <row r="2092">
      <c r="A2092" s="103" t="s">
        <v>4676</v>
      </c>
      <c r="B2092" s="103">
        <v>1.10012137701E11</v>
      </c>
      <c r="C2092" s="105"/>
      <c r="D2092" s="104" t="s">
        <v>11019</v>
      </c>
      <c r="E2092" s="104" t="s">
        <v>11024</v>
      </c>
      <c r="F2092" s="103" t="s">
        <v>4678</v>
      </c>
      <c r="G2092" s="103" t="s">
        <v>4679</v>
      </c>
      <c r="H2092" s="103" t="s">
        <v>11025</v>
      </c>
      <c r="I2092" s="103" t="s">
        <v>11021</v>
      </c>
      <c r="J2092" s="104" t="s">
        <v>11026</v>
      </c>
      <c r="K2092" s="105"/>
      <c r="L2092" s="105"/>
    </row>
    <row r="2093">
      <c r="A2093" s="103" t="s">
        <v>4676</v>
      </c>
      <c r="B2093" s="103">
        <v>1.100121384E9</v>
      </c>
      <c r="C2093" s="105"/>
      <c r="D2093" s="104" t="s">
        <v>11027</v>
      </c>
      <c r="E2093" s="106"/>
      <c r="F2093" s="103" t="s">
        <v>4678</v>
      </c>
      <c r="G2093" s="103" t="s">
        <v>4679</v>
      </c>
      <c r="H2093" s="103" t="s">
        <v>11028</v>
      </c>
      <c r="I2093" s="103">
        <v>6019393.0</v>
      </c>
      <c r="J2093" s="104" t="s">
        <v>11029</v>
      </c>
      <c r="K2093" s="107" t="s">
        <v>11030</v>
      </c>
      <c r="L2093" s="105"/>
    </row>
    <row r="2094">
      <c r="A2094" s="103" t="s">
        <v>4676</v>
      </c>
      <c r="B2094" s="103">
        <v>1.10012138401E11</v>
      </c>
      <c r="C2094" s="105"/>
      <c r="D2094" s="104" t="s">
        <v>11027</v>
      </c>
      <c r="E2094" s="104" t="s">
        <v>11031</v>
      </c>
      <c r="F2094" s="103" t="s">
        <v>4678</v>
      </c>
      <c r="G2094" s="103" t="s">
        <v>4679</v>
      </c>
      <c r="H2094" s="103" t="s">
        <v>11028</v>
      </c>
      <c r="I2094" s="103">
        <v>6019393.0</v>
      </c>
      <c r="J2094" s="104" t="s">
        <v>11029</v>
      </c>
      <c r="K2094" s="105"/>
      <c r="L2094" s="105"/>
    </row>
    <row r="2095">
      <c r="A2095" s="103" t="s">
        <v>4676</v>
      </c>
      <c r="B2095" s="103">
        <v>1.10012139E9</v>
      </c>
      <c r="C2095" s="105"/>
      <c r="D2095" s="104" t="s">
        <v>11032</v>
      </c>
      <c r="E2095" s="106"/>
      <c r="F2095" s="103" t="s">
        <v>4678</v>
      </c>
      <c r="G2095" s="103" t="s">
        <v>4679</v>
      </c>
      <c r="H2095" s="103" t="s">
        <v>11033</v>
      </c>
      <c r="I2095" s="103" t="s">
        <v>11034</v>
      </c>
      <c r="J2095" s="104" t="s">
        <v>11035</v>
      </c>
      <c r="K2095" s="105"/>
      <c r="L2095" s="105"/>
    </row>
    <row r="2096">
      <c r="A2096" s="103" t="s">
        <v>4676</v>
      </c>
      <c r="B2096" s="103">
        <v>1.10012139001E11</v>
      </c>
      <c r="C2096" s="105"/>
      <c r="D2096" s="104" t="s">
        <v>11032</v>
      </c>
      <c r="E2096" s="104" t="s">
        <v>11036</v>
      </c>
      <c r="F2096" s="103" t="s">
        <v>4678</v>
      </c>
      <c r="G2096" s="103" t="s">
        <v>4679</v>
      </c>
      <c r="H2096" s="103" t="s">
        <v>11037</v>
      </c>
      <c r="I2096" s="103" t="s">
        <v>11034</v>
      </c>
      <c r="J2096" s="104" t="s">
        <v>11035</v>
      </c>
      <c r="K2096" s="105"/>
      <c r="L2096" s="105"/>
    </row>
    <row r="2097">
      <c r="A2097" s="103" t="s">
        <v>4676</v>
      </c>
      <c r="B2097" s="103">
        <v>1.100121399E9</v>
      </c>
      <c r="C2097" s="105"/>
      <c r="D2097" s="104" t="s">
        <v>11038</v>
      </c>
      <c r="E2097" s="106"/>
      <c r="F2097" s="103" t="s">
        <v>4678</v>
      </c>
      <c r="G2097" s="103" t="s">
        <v>4679</v>
      </c>
      <c r="H2097" s="103" t="s">
        <v>11039</v>
      </c>
      <c r="I2097" s="103">
        <v>7424270.0</v>
      </c>
      <c r="J2097" s="104" t="s">
        <v>11040</v>
      </c>
      <c r="K2097" s="107" t="s">
        <v>11041</v>
      </c>
      <c r="L2097" s="105"/>
    </row>
    <row r="2098">
      <c r="A2098" s="103" t="s">
        <v>4676</v>
      </c>
      <c r="B2098" s="103">
        <v>1.10012139901E11</v>
      </c>
      <c r="C2098" s="105"/>
      <c r="D2098" s="104" t="s">
        <v>11042</v>
      </c>
      <c r="E2098" s="104" t="s">
        <v>11043</v>
      </c>
      <c r="F2098" s="103" t="s">
        <v>4678</v>
      </c>
      <c r="G2098" s="103" t="s">
        <v>4679</v>
      </c>
      <c r="H2098" s="103" t="s">
        <v>11044</v>
      </c>
      <c r="I2098" s="103">
        <v>7424270.0</v>
      </c>
      <c r="J2098" s="104" t="s">
        <v>11045</v>
      </c>
      <c r="K2098" s="105"/>
      <c r="L2098" s="105"/>
    </row>
    <row r="2099">
      <c r="A2099" s="103" t="s">
        <v>4676</v>
      </c>
      <c r="B2099" s="103">
        <v>1.1001214E9</v>
      </c>
      <c r="C2099" s="105"/>
      <c r="D2099" s="104" t="s">
        <v>11046</v>
      </c>
      <c r="E2099" s="106"/>
      <c r="F2099" s="103" t="s">
        <v>4678</v>
      </c>
      <c r="G2099" s="103" t="s">
        <v>4679</v>
      </c>
      <c r="H2099" s="103" t="s">
        <v>11047</v>
      </c>
      <c r="I2099" s="103">
        <v>3.123691474E9</v>
      </c>
      <c r="J2099" s="104" t="s">
        <v>11048</v>
      </c>
      <c r="K2099" s="107" t="s">
        <v>11049</v>
      </c>
      <c r="L2099" s="105"/>
    </row>
    <row r="2100">
      <c r="A2100" s="103" t="s">
        <v>4676</v>
      </c>
      <c r="B2100" s="103">
        <v>1.10012140001E11</v>
      </c>
      <c r="C2100" s="105"/>
      <c r="D2100" s="104" t="s">
        <v>11050</v>
      </c>
      <c r="E2100" s="104" t="s">
        <v>11051</v>
      </c>
      <c r="F2100" s="103" t="s">
        <v>4678</v>
      </c>
      <c r="G2100" s="103" t="s">
        <v>4679</v>
      </c>
      <c r="H2100" s="103" t="s">
        <v>11052</v>
      </c>
      <c r="I2100" s="103">
        <v>3.123691474E9</v>
      </c>
      <c r="J2100" s="104" t="s">
        <v>11048</v>
      </c>
      <c r="K2100" s="105"/>
      <c r="L2100" s="105"/>
    </row>
    <row r="2101">
      <c r="A2101" s="103" t="s">
        <v>4676</v>
      </c>
      <c r="B2101" s="103">
        <v>1.10012140003E11</v>
      </c>
      <c r="C2101" s="105"/>
      <c r="D2101" s="104" t="s">
        <v>11053</v>
      </c>
      <c r="E2101" s="104" t="s">
        <v>11051</v>
      </c>
      <c r="F2101" s="103" t="s">
        <v>4678</v>
      </c>
      <c r="G2101" s="103" t="s">
        <v>4679</v>
      </c>
      <c r="H2101" s="103" t="s">
        <v>11054</v>
      </c>
      <c r="I2101" s="103">
        <v>3.123691474E9</v>
      </c>
      <c r="J2101" s="104" t="s">
        <v>11048</v>
      </c>
      <c r="K2101" s="105"/>
      <c r="L2101" s="105"/>
    </row>
    <row r="2102">
      <c r="A2102" s="103" t="s">
        <v>4676</v>
      </c>
      <c r="B2102" s="103">
        <v>1.100121418E9</v>
      </c>
      <c r="C2102" s="105"/>
      <c r="D2102" s="104" t="s">
        <v>11055</v>
      </c>
      <c r="E2102" s="106"/>
      <c r="F2102" s="103" t="s">
        <v>4678</v>
      </c>
      <c r="G2102" s="103" t="s">
        <v>4679</v>
      </c>
      <c r="H2102" s="103" t="s">
        <v>11056</v>
      </c>
      <c r="I2102" s="103" t="s">
        <v>11057</v>
      </c>
      <c r="J2102" s="104" t="s">
        <v>11058</v>
      </c>
      <c r="K2102" s="105"/>
      <c r="L2102" s="105"/>
    </row>
    <row r="2103">
      <c r="A2103" s="103" t="s">
        <v>4676</v>
      </c>
      <c r="B2103" s="103">
        <v>1.10012141801E11</v>
      </c>
      <c r="C2103" s="105"/>
      <c r="D2103" s="104" t="s">
        <v>11059</v>
      </c>
      <c r="E2103" s="104" t="s">
        <v>11060</v>
      </c>
      <c r="F2103" s="103" t="s">
        <v>4678</v>
      </c>
      <c r="G2103" s="103" t="s">
        <v>4679</v>
      </c>
      <c r="H2103" s="103" t="s">
        <v>11056</v>
      </c>
      <c r="I2103" s="103" t="s">
        <v>11057</v>
      </c>
      <c r="J2103" s="104" t="s">
        <v>11061</v>
      </c>
      <c r="K2103" s="105"/>
      <c r="L2103" s="105"/>
    </row>
    <row r="2104">
      <c r="A2104" s="103" t="s">
        <v>4676</v>
      </c>
      <c r="B2104" s="103">
        <v>1.100121434E9</v>
      </c>
      <c r="C2104" s="105"/>
      <c r="D2104" s="104" t="s">
        <v>11062</v>
      </c>
      <c r="E2104" s="106"/>
      <c r="F2104" s="103" t="s">
        <v>4678</v>
      </c>
      <c r="G2104" s="103" t="s">
        <v>4679</v>
      </c>
      <c r="H2104" s="103" t="s">
        <v>11063</v>
      </c>
      <c r="I2104" s="103">
        <v>7552888.0</v>
      </c>
      <c r="J2104" s="104" t="s">
        <v>11064</v>
      </c>
      <c r="K2104" s="107" t="s">
        <v>11065</v>
      </c>
      <c r="L2104" s="105"/>
    </row>
    <row r="2105">
      <c r="A2105" s="103" t="s">
        <v>4676</v>
      </c>
      <c r="B2105" s="103">
        <v>1.10012143401E11</v>
      </c>
      <c r="C2105" s="105"/>
      <c r="D2105" s="104" t="s">
        <v>11062</v>
      </c>
      <c r="E2105" s="104" t="s">
        <v>11066</v>
      </c>
      <c r="F2105" s="103" t="s">
        <v>4678</v>
      </c>
      <c r="G2105" s="103" t="s">
        <v>4679</v>
      </c>
      <c r="H2105" s="103" t="s">
        <v>11063</v>
      </c>
      <c r="I2105" s="103">
        <v>7552888.0</v>
      </c>
      <c r="J2105" s="104" t="s">
        <v>11064</v>
      </c>
      <c r="K2105" s="105"/>
      <c r="L2105" s="105"/>
    </row>
    <row r="2106">
      <c r="A2106" s="103" t="s">
        <v>4676</v>
      </c>
      <c r="B2106" s="103">
        <v>1.100121435E9</v>
      </c>
      <c r="C2106" s="105"/>
      <c r="D2106" s="104" t="s">
        <v>11067</v>
      </c>
      <c r="E2106" s="106"/>
      <c r="F2106" s="103" t="s">
        <v>4678</v>
      </c>
      <c r="G2106" s="103" t="s">
        <v>4679</v>
      </c>
      <c r="H2106" s="103" t="s">
        <v>11068</v>
      </c>
      <c r="I2106" s="103" t="s">
        <v>11069</v>
      </c>
      <c r="J2106" s="104" t="s">
        <v>11070</v>
      </c>
      <c r="K2106" s="107" t="s">
        <v>11071</v>
      </c>
      <c r="L2106" s="105"/>
    </row>
    <row r="2107">
      <c r="A2107" s="103" t="s">
        <v>4676</v>
      </c>
      <c r="B2107" s="103">
        <v>1.10012143501E11</v>
      </c>
      <c r="C2107" s="105"/>
      <c r="D2107" s="104" t="s">
        <v>11067</v>
      </c>
      <c r="E2107" s="104" t="s">
        <v>11072</v>
      </c>
      <c r="F2107" s="103" t="s">
        <v>4678</v>
      </c>
      <c r="G2107" s="103" t="s">
        <v>4679</v>
      </c>
      <c r="H2107" s="103" t="s">
        <v>11068</v>
      </c>
      <c r="I2107" s="103" t="s">
        <v>11069</v>
      </c>
      <c r="J2107" s="104" t="s">
        <v>11070</v>
      </c>
      <c r="K2107" s="105"/>
      <c r="L2107" s="105"/>
    </row>
    <row r="2108">
      <c r="A2108" s="103" t="s">
        <v>4676</v>
      </c>
      <c r="B2108" s="103">
        <v>1.100121438E9</v>
      </c>
      <c r="C2108" s="105"/>
      <c r="D2108" s="104" t="s">
        <v>11073</v>
      </c>
      <c r="E2108" s="106"/>
      <c r="F2108" s="103" t="s">
        <v>4678</v>
      </c>
      <c r="G2108" s="103" t="s">
        <v>4679</v>
      </c>
      <c r="H2108" s="103" t="s">
        <v>11074</v>
      </c>
      <c r="I2108" s="103" t="s">
        <v>11075</v>
      </c>
      <c r="J2108" s="104" t="s">
        <v>11076</v>
      </c>
      <c r="K2108" s="107" t="s">
        <v>11077</v>
      </c>
      <c r="L2108" s="105"/>
    </row>
    <row r="2109">
      <c r="A2109" s="103" t="s">
        <v>4676</v>
      </c>
      <c r="B2109" s="103">
        <v>1.10012143801E11</v>
      </c>
      <c r="C2109" s="105"/>
      <c r="D2109" s="104" t="s">
        <v>11073</v>
      </c>
      <c r="E2109" s="104" t="s">
        <v>11078</v>
      </c>
      <c r="F2109" s="103" t="s">
        <v>4678</v>
      </c>
      <c r="G2109" s="103" t="s">
        <v>4679</v>
      </c>
      <c r="H2109" s="103" t="s">
        <v>11079</v>
      </c>
      <c r="I2109" s="103" t="s">
        <v>11075</v>
      </c>
      <c r="J2109" s="104" t="s">
        <v>11076</v>
      </c>
      <c r="K2109" s="105"/>
      <c r="L2109" s="105"/>
    </row>
    <row r="2110">
      <c r="A2110" s="103" t="s">
        <v>4676</v>
      </c>
      <c r="B2110" s="103">
        <v>1.100121477E9</v>
      </c>
      <c r="C2110" s="105"/>
      <c r="D2110" s="104" t="s">
        <v>11080</v>
      </c>
      <c r="E2110" s="106"/>
      <c r="F2110" s="103" t="s">
        <v>4678</v>
      </c>
      <c r="G2110" s="103" t="s">
        <v>4679</v>
      </c>
      <c r="H2110" s="103" t="s">
        <v>11081</v>
      </c>
      <c r="I2110" s="103" t="s">
        <v>11082</v>
      </c>
      <c r="J2110" s="104" t="s">
        <v>11083</v>
      </c>
      <c r="K2110" s="107" t="s">
        <v>11084</v>
      </c>
      <c r="L2110" s="105"/>
    </row>
    <row r="2111">
      <c r="A2111" s="103" t="s">
        <v>4676</v>
      </c>
      <c r="B2111" s="103">
        <v>1.10012147701E11</v>
      </c>
      <c r="C2111" s="105"/>
      <c r="D2111" s="104" t="s">
        <v>11080</v>
      </c>
      <c r="E2111" s="104" t="s">
        <v>11085</v>
      </c>
      <c r="F2111" s="103" t="s">
        <v>4678</v>
      </c>
      <c r="G2111" s="103" t="s">
        <v>4679</v>
      </c>
      <c r="H2111" s="103" t="s">
        <v>11081</v>
      </c>
      <c r="I2111" s="103" t="s">
        <v>11086</v>
      </c>
      <c r="J2111" s="104" t="s">
        <v>11083</v>
      </c>
      <c r="K2111" s="105"/>
      <c r="L2111" s="105"/>
    </row>
    <row r="2112">
      <c r="A2112" s="103" t="s">
        <v>4676</v>
      </c>
      <c r="B2112" s="103">
        <v>1.10012147702E11</v>
      </c>
      <c r="C2112" s="105"/>
      <c r="D2112" s="104" t="s">
        <v>11087</v>
      </c>
      <c r="E2112" s="104" t="s">
        <v>11085</v>
      </c>
      <c r="F2112" s="103" t="s">
        <v>4678</v>
      </c>
      <c r="G2112" s="103" t="s">
        <v>4679</v>
      </c>
      <c r="H2112" s="103" t="s">
        <v>11088</v>
      </c>
      <c r="I2112" s="103">
        <v>3.108095504E9</v>
      </c>
      <c r="J2112" s="104" t="s">
        <v>11083</v>
      </c>
      <c r="K2112" s="105"/>
      <c r="L2112" s="105"/>
    </row>
    <row r="2113">
      <c r="A2113" s="103" t="s">
        <v>4676</v>
      </c>
      <c r="B2113" s="103">
        <v>1.10012147703E11</v>
      </c>
      <c r="C2113" s="105"/>
      <c r="D2113" s="104" t="s">
        <v>11089</v>
      </c>
      <c r="E2113" s="104" t="s">
        <v>11085</v>
      </c>
      <c r="F2113" s="103" t="s">
        <v>4678</v>
      </c>
      <c r="G2113" s="103" t="s">
        <v>4679</v>
      </c>
      <c r="H2113" s="103" t="s">
        <v>11090</v>
      </c>
      <c r="I2113" s="103" t="s">
        <v>11091</v>
      </c>
      <c r="J2113" s="104" t="s">
        <v>11083</v>
      </c>
      <c r="K2113" s="105"/>
      <c r="L2113" s="105"/>
    </row>
    <row r="2114">
      <c r="A2114" s="103" t="s">
        <v>4676</v>
      </c>
      <c r="B2114" s="103">
        <v>1.100121499E9</v>
      </c>
      <c r="C2114" s="105"/>
      <c r="D2114" s="104" t="s">
        <v>11092</v>
      </c>
      <c r="E2114" s="106"/>
      <c r="F2114" s="103" t="s">
        <v>4678</v>
      </c>
      <c r="G2114" s="103" t="s">
        <v>4679</v>
      </c>
      <c r="H2114" s="103" t="s">
        <v>11093</v>
      </c>
      <c r="I2114" s="103">
        <v>5301400.0</v>
      </c>
      <c r="J2114" s="104" t="s">
        <v>11094</v>
      </c>
      <c r="K2114" s="107" t="s">
        <v>11095</v>
      </c>
      <c r="L2114" s="105"/>
    </row>
    <row r="2115">
      <c r="A2115" s="103" t="s">
        <v>4676</v>
      </c>
      <c r="B2115" s="103">
        <v>1.10012149901E11</v>
      </c>
      <c r="C2115" s="105"/>
      <c r="D2115" s="104" t="s">
        <v>11092</v>
      </c>
      <c r="E2115" s="104" t="s">
        <v>11096</v>
      </c>
      <c r="F2115" s="103" t="s">
        <v>4678</v>
      </c>
      <c r="G2115" s="103" t="s">
        <v>4679</v>
      </c>
      <c r="H2115" s="103" t="s">
        <v>11097</v>
      </c>
      <c r="I2115" s="103">
        <v>5301400.0</v>
      </c>
      <c r="J2115" s="104" t="s">
        <v>11094</v>
      </c>
      <c r="K2115" s="105"/>
      <c r="L2115" s="105"/>
    </row>
    <row r="2116">
      <c r="A2116" s="103" t="s">
        <v>4676</v>
      </c>
      <c r="B2116" s="103">
        <v>1.100121507E9</v>
      </c>
      <c r="C2116" s="105"/>
      <c r="D2116" s="104" t="s">
        <v>11098</v>
      </c>
      <c r="E2116" s="106"/>
      <c r="F2116" s="103" t="s">
        <v>4678</v>
      </c>
      <c r="G2116" s="103" t="s">
        <v>4679</v>
      </c>
      <c r="H2116" s="103" t="s">
        <v>11099</v>
      </c>
      <c r="I2116" s="103" t="s">
        <v>11100</v>
      </c>
      <c r="J2116" s="104" t="s">
        <v>11101</v>
      </c>
      <c r="K2116" s="107" t="s">
        <v>11102</v>
      </c>
      <c r="L2116" s="105"/>
    </row>
    <row r="2117">
      <c r="A2117" s="103" t="s">
        <v>4676</v>
      </c>
      <c r="B2117" s="103">
        <v>1.10012150701E11</v>
      </c>
      <c r="C2117" s="105"/>
      <c r="D2117" s="104" t="s">
        <v>11098</v>
      </c>
      <c r="E2117" s="104" t="s">
        <v>11103</v>
      </c>
      <c r="F2117" s="103" t="s">
        <v>4678</v>
      </c>
      <c r="G2117" s="103" t="s">
        <v>4679</v>
      </c>
      <c r="H2117" s="103" t="s">
        <v>11104</v>
      </c>
      <c r="I2117" s="103" t="s">
        <v>11100</v>
      </c>
      <c r="J2117" s="104" t="s">
        <v>11101</v>
      </c>
      <c r="K2117" s="105"/>
      <c r="L2117" s="105"/>
    </row>
    <row r="2118">
      <c r="A2118" s="103" t="s">
        <v>4676</v>
      </c>
      <c r="B2118" s="103">
        <v>1.100121512E9</v>
      </c>
      <c r="C2118" s="105"/>
      <c r="D2118" s="104" t="s">
        <v>11105</v>
      </c>
      <c r="E2118" s="106"/>
      <c r="F2118" s="103" t="s">
        <v>4678</v>
      </c>
      <c r="G2118" s="103" t="s">
        <v>4679</v>
      </c>
      <c r="H2118" s="103" t="s">
        <v>11106</v>
      </c>
      <c r="I2118" s="103" t="s">
        <v>11107</v>
      </c>
      <c r="J2118" s="104" t="s">
        <v>11108</v>
      </c>
      <c r="K2118" s="105"/>
      <c r="L2118" s="105"/>
    </row>
    <row r="2119">
      <c r="A2119" s="103" t="s">
        <v>4676</v>
      </c>
      <c r="B2119" s="103">
        <v>1.10012151201E11</v>
      </c>
      <c r="C2119" s="105"/>
      <c r="D2119" s="104" t="s">
        <v>11105</v>
      </c>
      <c r="E2119" s="104" t="s">
        <v>11109</v>
      </c>
      <c r="F2119" s="103" t="s">
        <v>4678</v>
      </c>
      <c r="G2119" s="103" t="s">
        <v>4679</v>
      </c>
      <c r="H2119" s="103" t="s">
        <v>11110</v>
      </c>
      <c r="I2119" s="103" t="s">
        <v>11107</v>
      </c>
      <c r="J2119" s="104" t="s">
        <v>11111</v>
      </c>
      <c r="K2119" s="105"/>
      <c r="L2119" s="105"/>
    </row>
    <row r="2120">
      <c r="A2120" s="103" t="s">
        <v>4676</v>
      </c>
      <c r="B2120" s="103">
        <v>1.10012151202E11</v>
      </c>
      <c r="C2120" s="105"/>
      <c r="D2120" s="104" t="s">
        <v>11112</v>
      </c>
      <c r="E2120" s="104" t="s">
        <v>11113</v>
      </c>
      <c r="F2120" s="103" t="s">
        <v>4678</v>
      </c>
      <c r="G2120" s="103" t="s">
        <v>4679</v>
      </c>
      <c r="H2120" s="103" t="s">
        <v>11114</v>
      </c>
      <c r="I2120" s="103">
        <v>3.102799676E9</v>
      </c>
      <c r="J2120" s="104" t="s">
        <v>11108</v>
      </c>
      <c r="K2120" s="105"/>
      <c r="L2120" s="105"/>
    </row>
    <row r="2121">
      <c r="A2121" s="103" t="s">
        <v>4676</v>
      </c>
      <c r="B2121" s="103">
        <v>1.10012151203E11</v>
      </c>
      <c r="C2121" s="105"/>
      <c r="D2121" s="104" t="s">
        <v>11112</v>
      </c>
      <c r="E2121" s="104" t="s">
        <v>11115</v>
      </c>
      <c r="F2121" s="103" t="s">
        <v>4678</v>
      </c>
      <c r="G2121" s="103" t="s">
        <v>4679</v>
      </c>
      <c r="H2121" s="103" t="s">
        <v>11116</v>
      </c>
      <c r="I2121" s="103">
        <v>7456047.0</v>
      </c>
      <c r="J2121" s="104" t="s">
        <v>11108</v>
      </c>
      <c r="K2121" s="105"/>
      <c r="L2121" s="105"/>
    </row>
    <row r="2122">
      <c r="A2122" s="103" t="s">
        <v>4676</v>
      </c>
      <c r="B2122" s="103">
        <v>1.10012151204E11</v>
      </c>
      <c r="C2122" s="105"/>
      <c r="D2122" s="104" t="s">
        <v>11117</v>
      </c>
      <c r="E2122" s="104" t="s">
        <v>11113</v>
      </c>
      <c r="F2122" s="103" t="s">
        <v>4678</v>
      </c>
      <c r="G2122" s="103" t="s">
        <v>4679</v>
      </c>
      <c r="H2122" s="103" t="s">
        <v>11118</v>
      </c>
      <c r="I2122" s="103">
        <v>3.102799676E9</v>
      </c>
      <c r="J2122" s="104" t="s">
        <v>11108</v>
      </c>
      <c r="K2122" s="105"/>
      <c r="L2122" s="105"/>
    </row>
    <row r="2123">
      <c r="A2123" s="103" t="s">
        <v>4676</v>
      </c>
      <c r="B2123" s="103">
        <v>1.100121515E9</v>
      </c>
      <c r="C2123" s="105"/>
      <c r="D2123" s="104" t="s">
        <v>11119</v>
      </c>
      <c r="E2123" s="106"/>
      <c r="F2123" s="103" t="s">
        <v>4678</v>
      </c>
      <c r="G2123" s="103" t="s">
        <v>4679</v>
      </c>
      <c r="H2123" s="103" t="s">
        <v>11120</v>
      </c>
      <c r="I2123" s="103">
        <v>7443584.0</v>
      </c>
      <c r="J2123" s="104" t="s">
        <v>11121</v>
      </c>
      <c r="K2123" s="107" t="s">
        <v>11122</v>
      </c>
      <c r="L2123" s="105"/>
    </row>
    <row r="2124">
      <c r="A2124" s="103" t="s">
        <v>4676</v>
      </c>
      <c r="B2124" s="103">
        <v>1.10012151501E11</v>
      </c>
      <c r="C2124" s="105"/>
      <c r="D2124" s="104" t="s">
        <v>11123</v>
      </c>
      <c r="E2124" s="104" t="s">
        <v>11124</v>
      </c>
      <c r="F2124" s="103" t="s">
        <v>4678</v>
      </c>
      <c r="G2124" s="103" t="s">
        <v>4679</v>
      </c>
      <c r="H2124" s="103" t="s">
        <v>11125</v>
      </c>
      <c r="I2124" s="103" t="s">
        <v>11126</v>
      </c>
      <c r="J2124" s="104" t="s">
        <v>11127</v>
      </c>
      <c r="K2124" s="105"/>
      <c r="L2124" s="105"/>
    </row>
    <row r="2125">
      <c r="A2125" s="103" t="s">
        <v>4676</v>
      </c>
      <c r="B2125" s="103">
        <v>1.10012151502E11</v>
      </c>
      <c r="C2125" s="105"/>
      <c r="D2125" s="104" t="s">
        <v>11119</v>
      </c>
      <c r="E2125" s="104" t="s">
        <v>11128</v>
      </c>
      <c r="F2125" s="103" t="s">
        <v>4678</v>
      </c>
      <c r="G2125" s="103" t="s">
        <v>4679</v>
      </c>
      <c r="H2125" s="103" t="s">
        <v>11129</v>
      </c>
      <c r="I2125" s="103">
        <v>3.173650084E9</v>
      </c>
      <c r="J2125" s="104" t="s">
        <v>11121</v>
      </c>
      <c r="K2125" s="105"/>
      <c r="L2125" s="105"/>
    </row>
    <row r="2126">
      <c r="A2126" s="103" t="s">
        <v>4676</v>
      </c>
      <c r="B2126" s="103">
        <v>1.10012151503E11</v>
      </c>
      <c r="C2126" s="105"/>
      <c r="D2126" s="104" t="s">
        <v>11119</v>
      </c>
      <c r="E2126" s="104" t="s">
        <v>11128</v>
      </c>
      <c r="F2126" s="103" t="s">
        <v>4678</v>
      </c>
      <c r="G2126" s="103" t="s">
        <v>4679</v>
      </c>
      <c r="H2126" s="103" t="s">
        <v>11130</v>
      </c>
      <c r="I2126" s="103">
        <v>3.173650084E9</v>
      </c>
      <c r="J2126" s="104" t="s">
        <v>11121</v>
      </c>
      <c r="K2126" s="105"/>
      <c r="L2126" s="105"/>
    </row>
    <row r="2127">
      <c r="A2127" s="103" t="s">
        <v>4676</v>
      </c>
      <c r="B2127" s="103">
        <v>1.10012151505E11</v>
      </c>
      <c r="C2127" s="105"/>
      <c r="D2127" s="104" t="s">
        <v>11119</v>
      </c>
      <c r="E2127" s="104" t="s">
        <v>11131</v>
      </c>
      <c r="F2127" s="103" t="s">
        <v>4678</v>
      </c>
      <c r="G2127" s="103" t="s">
        <v>4679</v>
      </c>
      <c r="H2127" s="103" t="s">
        <v>11132</v>
      </c>
      <c r="I2127" s="103" t="s">
        <v>11126</v>
      </c>
      <c r="J2127" s="104" t="s">
        <v>11127</v>
      </c>
      <c r="K2127" s="105"/>
      <c r="L2127" s="105"/>
    </row>
    <row r="2128">
      <c r="A2128" s="103" t="s">
        <v>4676</v>
      </c>
      <c r="B2128" s="103">
        <v>1.100121525E9</v>
      </c>
      <c r="C2128" s="105"/>
      <c r="D2128" s="104" t="s">
        <v>11133</v>
      </c>
      <c r="E2128" s="106"/>
      <c r="F2128" s="103" t="s">
        <v>4678</v>
      </c>
      <c r="G2128" s="103" t="s">
        <v>4679</v>
      </c>
      <c r="H2128" s="103" t="s">
        <v>11134</v>
      </c>
      <c r="I2128" s="103">
        <v>6103506.0</v>
      </c>
      <c r="J2128" s="104" t="s">
        <v>11135</v>
      </c>
      <c r="K2128" s="105"/>
      <c r="L2128" s="105"/>
    </row>
    <row r="2129">
      <c r="A2129" s="103" t="s">
        <v>4676</v>
      </c>
      <c r="B2129" s="103">
        <v>1.10012152501E11</v>
      </c>
      <c r="C2129" s="105"/>
      <c r="D2129" s="104" t="s">
        <v>11133</v>
      </c>
      <c r="E2129" s="104" t="s">
        <v>11136</v>
      </c>
      <c r="F2129" s="103" t="s">
        <v>4678</v>
      </c>
      <c r="G2129" s="103" t="s">
        <v>4679</v>
      </c>
      <c r="H2129" s="103" t="s">
        <v>11134</v>
      </c>
      <c r="I2129" s="103">
        <v>6103506.0</v>
      </c>
      <c r="J2129" s="104" t="s">
        <v>11137</v>
      </c>
      <c r="K2129" s="105"/>
      <c r="L2129" s="105"/>
    </row>
    <row r="2130">
      <c r="A2130" s="103" t="s">
        <v>4676</v>
      </c>
      <c r="B2130" s="103">
        <v>1.100121526E9</v>
      </c>
      <c r="C2130" s="105"/>
      <c r="D2130" s="104" t="s">
        <v>11138</v>
      </c>
      <c r="E2130" s="106"/>
      <c r="F2130" s="103" t="s">
        <v>4678</v>
      </c>
      <c r="G2130" s="103" t="s">
        <v>4679</v>
      </c>
      <c r="H2130" s="103" t="s">
        <v>11139</v>
      </c>
      <c r="I2130" s="103">
        <v>6606942.0</v>
      </c>
      <c r="J2130" s="104" t="s">
        <v>11140</v>
      </c>
      <c r="K2130" s="107" t="s">
        <v>11141</v>
      </c>
      <c r="L2130" s="105"/>
    </row>
    <row r="2131">
      <c r="A2131" s="103" t="s">
        <v>4676</v>
      </c>
      <c r="B2131" s="103">
        <v>1.10012152601E11</v>
      </c>
      <c r="C2131" s="105"/>
      <c r="D2131" s="104" t="s">
        <v>11142</v>
      </c>
      <c r="E2131" s="104" t="s">
        <v>11143</v>
      </c>
      <c r="F2131" s="103" t="s">
        <v>4678</v>
      </c>
      <c r="G2131" s="103" t="s">
        <v>4679</v>
      </c>
      <c r="H2131" s="103" t="s">
        <v>11144</v>
      </c>
      <c r="I2131" s="103">
        <v>3.20867474E9</v>
      </c>
      <c r="J2131" s="104" t="s">
        <v>11145</v>
      </c>
      <c r="K2131" s="105"/>
      <c r="L2131" s="105"/>
    </row>
    <row r="2132">
      <c r="A2132" s="103" t="s">
        <v>4676</v>
      </c>
      <c r="B2132" s="103">
        <v>1.100121539E9</v>
      </c>
      <c r="C2132" s="105"/>
      <c r="D2132" s="104" t="s">
        <v>11146</v>
      </c>
      <c r="E2132" s="106"/>
      <c r="F2132" s="103" t="s">
        <v>4678</v>
      </c>
      <c r="G2132" s="103" t="s">
        <v>4679</v>
      </c>
      <c r="H2132" s="103" t="s">
        <v>11147</v>
      </c>
      <c r="I2132" s="103" t="s">
        <v>11148</v>
      </c>
      <c r="J2132" s="104" t="s">
        <v>11149</v>
      </c>
      <c r="K2132" s="107" t="s">
        <v>11150</v>
      </c>
      <c r="L2132" s="105"/>
    </row>
    <row r="2133">
      <c r="A2133" s="103" t="s">
        <v>4676</v>
      </c>
      <c r="B2133" s="103">
        <v>1.10012153901E11</v>
      </c>
      <c r="C2133" s="105"/>
      <c r="D2133" s="104" t="s">
        <v>11151</v>
      </c>
      <c r="E2133" s="104" t="s">
        <v>11152</v>
      </c>
      <c r="F2133" s="103" t="s">
        <v>4678</v>
      </c>
      <c r="G2133" s="103" t="s">
        <v>4679</v>
      </c>
      <c r="H2133" s="103" t="s">
        <v>11147</v>
      </c>
      <c r="I2133" s="103">
        <v>3.208269102E9</v>
      </c>
      <c r="J2133" s="104" t="s">
        <v>11153</v>
      </c>
      <c r="K2133" s="105"/>
      <c r="L2133" s="105"/>
    </row>
    <row r="2134">
      <c r="A2134" s="103" t="s">
        <v>4676</v>
      </c>
      <c r="B2134" s="103">
        <v>1.100121546E9</v>
      </c>
      <c r="C2134" s="105"/>
      <c r="D2134" s="104" t="s">
        <v>11154</v>
      </c>
      <c r="E2134" s="106"/>
      <c r="F2134" s="103" t="s">
        <v>4678</v>
      </c>
      <c r="G2134" s="103" t="s">
        <v>4679</v>
      </c>
      <c r="H2134" s="103" t="s">
        <v>11155</v>
      </c>
      <c r="I2134" s="103" t="s">
        <v>11156</v>
      </c>
      <c r="J2134" s="104" t="s">
        <v>11157</v>
      </c>
      <c r="K2134" s="107" t="s">
        <v>11158</v>
      </c>
      <c r="L2134" s="105"/>
    </row>
    <row r="2135">
      <c r="A2135" s="103" t="s">
        <v>4676</v>
      </c>
      <c r="B2135" s="103">
        <v>1.10012154601E11</v>
      </c>
      <c r="C2135" s="105"/>
      <c r="D2135" s="104" t="s">
        <v>11154</v>
      </c>
      <c r="E2135" s="104" t="s">
        <v>11159</v>
      </c>
      <c r="F2135" s="103" t="s">
        <v>4678</v>
      </c>
      <c r="G2135" s="103" t="s">
        <v>4679</v>
      </c>
      <c r="H2135" s="103" t="s">
        <v>11155</v>
      </c>
      <c r="I2135" s="103" t="s">
        <v>11160</v>
      </c>
      <c r="J2135" s="104" t="s">
        <v>11157</v>
      </c>
      <c r="K2135" s="105"/>
      <c r="L2135" s="105"/>
    </row>
    <row r="2136">
      <c r="A2136" s="103" t="s">
        <v>4676</v>
      </c>
      <c r="B2136" s="103">
        <v>1.100121564E9</v>
      </c>
      <c r="C2136" s="105"/>
      <c r="D2136" s="104" t="s">
        <v>11161</v>
      </c>
      <c r="E2136" s="106"/>
      <c r="F2136" s="103" t="s">
        <v>4678</v>
      </c>
      <c r="G2136" s="103" t="s">
        <v>4679</v>
      </c>
      <c r="H2136" s="103" t="s">
        <v>11162</v>
      </c>
      <c r="I2136" s="103" t="s">
        <v>11163</v>
      </c>
      <c r="J2136" s="104" t="s">
        <v>11164</v>
      </c>
      <c r="K2136" s="107" t="s">
        <v>11165</v>
      </c>
      <c r="L2136" s="105"/>
    </row>
    <row r="2137">
      <c r="A2137" s="103" t="s">
        <v>4676</v>
      </c>
      <c r="B2137" s="103">
        <v>1.10012156401E11</v>
      </c>
      <c r="C2137" s="105"/>
      <c r="D2137" s="104" t="s">
        <v>11161</v>
      </c>
      <c r="E2137" s="104" t="s">
        <v>11166</v>
      </c>
      <c r="F2137" s="103" t="s">
        <v>4678</v>
      </c>
      <c r="G2137" s="103" t="s">
        <v>4679</v>
      </c>
      <c r="H2137" s="103" t="s">
        <v>11167</v>
      </c>
      <c r="I2137" s="103" t="s">
        <v>11168</v>
      </c>
      <c r="J2137" s="104" t="s">
        <v>11164</v>
      </c>
      <c r="K2137" s="105"/>
      <c r="L2137" s="105"/>
    </row>
    <row r="2138">
      <c r="A2138" s="103" t="s">
        <v>4676</v>
      </c>
      <c r="B2138" s="103">
        <v>1.10012156402E11</v>
      </c>
      <c r="C2138" s="105"/>
      <c r="D2138" s="104" t="s">
        <v>11169</v>
      </c>
      <c r="E2138" s="104" t="s">
        <v>11170</v>
      </c>
      <c r="F2138" s="103" t="s">
        <v>4678</v>
      </c>
      <c r="G2138" s="103" t="s">
        <v>4679</v>
      </c>
      <c r="H2138" s="103" t="s">
        <v>11171</v>
      </c>
      <c r="I2138" s="103" t="s">
        <v>11168</v>
      </c>
      <c r="J2138" s="104" t="s">
        <v>11164</v>
      </c>
      <c r="K2138" s="105"/>
      <c r="L2138" s="105"/>
    </row>
    <row r="2139">
      <c r="A2139" s="103" t="s">
        <v>4676</v>
      </c>
      <c r="B2139" s="103">
        <v>1.10012156403E11</v>
      </c>
      <c r="C2139" s="105"/>
      <c r="D2139" s="104" t="s">
        <v>11172</v>
      </c>
      <c r="E2139" s="104" t="s">
        <v>11173</v>
      </c>
      <c r="F2139" s="103" t="s">
        <v>4678</v>
      </c>
      <c r="G2139" s="103" t="s">
        <v>4679</v>
      </c>
      <c r="H2139" s="103" t="s">
        <v>11174</v>
      </c>
      <c r="I2139" s="103" t="s">
        <v>11175</v>
      </c>
      <c r="J2139" s="104" t="s">
        <v>11176</v>
      </c>
      <c r="K2139" s="105"/>
      <c r="L2139" s="105"/>
    </row>
    <row r="2140">
      <c r="A2140" s="103" t="s">
        <v>4676</v>
      </c>
      <c r="B2140" s="103">
        <v>1.10012156404E11</v>
      </c>
      <c r="C2140" s="105"/>
      <c r="D2140" s="104" t="s">
        <v>11177</v>
      </c>
      <c r="E2140" s="104" t="s">
        <v>11166</v>
      </c>
      <c r="F2140" s="103" t="s">
        <v>4678</v>
      </c>
      <c r="G2140" s="103" t="s">
        <v>4679</v>
      </c>
      <c r="H2140" s="103" t="s">
        <v>11178</v>
      </c>
      <c r="I2140" s="103">
        <v>3.108077965E9</v>
      </c>
      <c r="J2140" s="104" t="s">
        <v>11164</v>
      </c>
      <c r="K2140" s="105"/>
      <c r="L2140" s="105"/>
    </row>
    <row r="2141">
      <c r="A2141" s="103" t="s">
        <v>4676</v>
      </c>
      <c r="B2141" s="103">
        <v>1.100121594E9</v>
      </c>
      <c r="C2141" s="105"/>
      <c r="D2141" s="104" t="s">
        <v>11179</v>
      </c>
      <c r="E2141" s="106"/>
      <c r="F2141" s="103" t="s">
        <v>4678</v>
      </c>
      <c r="G2141" s="103" t="s">
        <v>4679</v>
      </c>
      <c r="H2141" s="103" t="s">
        <v>11180</v>
      </c>
      <c r="I2141" s="103" t="s">
        <v>11181</v>
      </c>
      <c r="J2141" s="104" t="s">
        <v>11182</v>
      </c>
      <c r="K2141" s="107" t="s">
        <v>11183</v>
      </c>
      <c r="L2141" s="105"/>
    </row>
    <row r="2142">
      <c r="A2142" s="103" t="s">
        <v>4676</v>
      </c>
      <c r="B2142" s="103">
        <v>1.10012159401E11</v>
      </c>
      <c r="C2142" s="105"/>
      <c r="D2142" s="104" t="s">
        <v>11179</v>
      </c>
      <c r="E2142" s="104" t="s">
        <v>11184</v>
      </c>
      <c r="F2142" s="103" t="s">
        <v>4678</v>
      </c>
      <c r="G2142" s="103" t="s">
        <v>4679</v>
      </c>
      <c r="H2142" s="103" t="s">
        <v>11180</v>
      </c>
      <c r="I2142" s="103" t="s">
        <v>11181</v>
      </c>
      <c r="J2142" s="104" t="s">
        <v>11182</v>
      </c>
      <c r="K2142" s="105"/>
      <c r="L2142" s="105"/>
    </row>
    <row r="2143">
      <c r="A2143" s="103" t="s">
        <v>4676</v>
      </c>
      <c r="B2143" s="103">
        <v>1.100121649E9</v>
      </c>
      <c r="C2143" s="105"/>
      <c r="D2143" s="104" t="s">
        <v>11185</v>
      </c>
      <c r="E2143" s="106"/>
      <c r="F2143" s="103" t="s">
        <v>4678</v>
      </c>
      <c r="G2143" s="103" t="s">
        <v>4679</v>
      </c>
      <c r="H2143" s="103" t="s">
        <v>11186</v>
      </c>
      <c r="I2143" s="103">
        <v>3729439.0</v>
      </c>
      <c r="J2143" s="104" t="s">
        <v>11187</v>
      </c>
      <c r="K2143" s="105"/>
      <c r="L2143" s="105"/>
    </row>
    <row r="2144">
      <c r="A2144" s="103" t="s">
        <v>4676</v>
      </c>
      <c r="B2144" s="103">
        <v>1.10012164901E11</v>
      </c>
      <c r="C2144" s="105"/>
      <c r="D2144" s="104" t="s">
        <v>11185</v>
      </c>
      <c r="E2144" s="104" t="s">
        <v>11188</v>
      </c>
      <c r="F2144" s="103" t="s">
        <v>4678</v>
      </c>
      <c r="G2144" s="103" t="s">
        <v>4679</v>
      </c>
      <c r="H2144" s="103" t="s">
        <v>11186</v>
      </c>
      <c r="I2144" s="103">
        <v>3729439.0</v>
      </c>
      <c r="J2144" s="104" t="s">
        <v>11187</v>
      </c>
      <c r="K2144" s="105"/>
      <c r="L2144" s="105"/>
    </row>
    <row r="2145">
      <c r="A2145" s="103" t="s">
        <v>4676</v>
      </c>
      <c r="B2145" s="103">
        <v>1.100121657E9</v>
      </c>
      <c r="C2145" s="105"/>
      <c r="D2145" s="104" t="s">
        <v>11189</v>
      </c>
      <c r="E2145" s="106"/>
      <c r="F2145" s="103" t="s">
        <v>4678</v>
      </c>
      <c r="G2145" s="103" t="s">
        <v>4679</v>
      </c>
      <c r="H2145" s="103" t="s">
        <v>11190</v>
      </c>
      <c r="I2145" s="103">
        <v>7447440.0</v>
      </c>
      <c r="J2145" s="104" t="s">
        <v>11191</v>
      </c>
      <c r="K2145" s="107" t="s">
        <v>11192</v>
      </c>
      <c r="L2145" s="105"/>
    </row>
    <row r="2146">
      <c r="A2146" s="103" t="s">
        <v>4676</v>
      </c>
      <c r="B2146" s="103">
        <v>1.10012165701E11</v>
      </c>
      <c r="C2146" s="105"/>
      <c r="D2146" s="104" t="s">
        <v>11189</v>
      </c>
      <c r="E2146" s="104" t="s">
        <v>11193</v>
      </c>
      <c r="F2146" s="103" t="s">
        <v>4678</v>
      </c>
      <c r="G2146" s="103" t="s">
        <v>4679</v>
      </c>
      <c r="H2146" s="103" t="s">
        <v>11190</v>
      </c>
      <c r="I2146" s="103">
        <v>7447440.0</v>
      </c>
      <c r="J2146" s="104" t="s">
        <v>11194</v>
      </c>
      <c r="K2146" s="105"/>
      <c r="L2146" s="105"/>
    </row>
    <row r="2147">
      <c r="A2147" s="103" t="s">
        <v>4676</v>
      </c>
      <c r="B2147" s="103">
        <v>1.100121676E9</v>
      </c>
      <c r="C2147" s="105"/>
      <c r="D2147" s="104" t="s">
        <v>11195</v>
      </c>
      <c r="E2147" s="106"/>
      <c r="F2147" s="103" t="s">
        <v>4678</v>
      </c>
      <c r="G2147" s="103" t="s">
        <v>4679</v>
      </c>
      <c r="H2147" s="103" t="s">
        <v>11196</v>
      </c>
      <c r="I2147" s="103">
        <v>4779152.0</v>
      </c>
      <c r="J2147" s="104" t="s">
        <v>11197</v>
      </c>
      <c r="K2147" s="107" t="s">
        <v>11198</v>
      </c>
      <c r="L2147" s="105"/>
    </row>
    <row r="2148">
      <c r="A2148" s="103" t="s">
        <v>4676</v>
      </c>
      <c r="B2148" s="103">
        <v>1.10012167601E11</v>
      </c>
      <c r="C2148" s="105"/>
      <c r="D2148" s="104" t="s">
        <v>11199</v>
      </c>
      <c r="E2148" s="104" t="s">
        <v>11200</v>
      </c>
      <c r="F2148" s="103" t="s">
        <v>4678</v>
      </c>
      <c r="G2148" s="103" t="s">
        <v>4679</v>
      </c>
      <c r="H2148" s="103" t="s">
        <v>11196</v>
      </c>
      <c r="I2148" s="103">
        <v>4779152.0</v>
      </c>
      <c r="J2148" s="104" t="s">
        <v>11197</v>
      </c>
      <c r="K2148" s="105"/>
      <c r="L2148" s="105"/>
    </row>
    <row r="2149">
      <c r="A2149" s="103" t="s">
        <v>4676</v>
      </c>
      <c r="B2149" s="103">
        <v>1.100121678E9</v>
      </c>
      <c r="C2149" s="105"/>
      <c r="D2149" s="104" t="s">
        <v>11201</v>
      </c>
      <c r="E2149" s="106"/>
      <c r="F2149" s="103" t="s">
        <v>4678</v>
      </c>
      <c r="G2149" s="103" t="s">
        <v>4679</v>
      </c>
      <c r="H2149" s="103" t="s">
        <v>11202</v>
      </c>
      <c r="I2149" s="103">
        <v>3.173757809E9</v>
      </c>
      <c r="J2149" s="104" t="s">
        <v>11203</v>
      </c>
      <c r="K2149" s="107" t="s">
        <v>11204</v>
      </c>
      <c r="L2149" s="105"/>
    </row>
    <row r="2150">
      <c r="A2150" s="103" t="s">
        <v>4676</v>
      </c>
      <c r="B2150" s="103">
        <v>1.10012167801E11</v>
      </c>
      <c r="C2150" s="105"/>
      <c r="D2150" s="104" t="s">
        <v>11201</v>
      </c>
      <c r="E2150" s="104" t="s">
        <v>11205</v>
      </c>
      <c r="F2150" s="103" t="s">
        <v>4678</v>
      </c>
      <c r="G2150" s="103" t="s">
        <v>4679</v>
      </c>
      <c r="H2150" s="103" t="s">
        <v>11202</v>
      </c>
      <c r="I2150" s="103">
        <v>3.174283829E9</v>
      </c>
      <c r="J2150" s="104" t="s">
        <v>11206</v>
      </c>
      <c r="K2150" s="105"/>
      <c r="L2150" s="105"/>
    </row>
    <row r="2151">
      <c r="A2151" s="103" t="s">
        <v>4676</v>
      </c>
      <c r="B2151" s="103">
        <v>1.10012167802E11</v>
      </c>
      <c r="C2151" s="105"/>
      <c r="D2151" s="104" t="s">
        <v>11207</v>
      </c>
      <c r="E2151" s="104" t="s">
        <v>11208</v>
      </c>
      <c r="F2151" s="103" t="s">
        <v>4678</v>
      </c>
      <c r="G2151" s="103" t="s">
        <v>4679</v>
      </c>
      <c r="H2151" s="103" t="s">
        <v>11209</v>
      </c>
      <c r="I2151" s="103">
        <v>3.158004464E9</v>
      </c>
      <c r="J2151" s="104" t="s">
        <v>11206</v>
      </c>
      <c r="K2151" s="105"/>
      <c r="L2151" s="105"/>
    </row>
    <row r="2152">
      <c r="A2152" s="103" t="s">
        <v>4676</v>
      </c>
      <c r="B2152" s="103">
        <v>1.10012167803E11</v>
      </c>
      <c r="C2152" s="105"/>
      <c r="D2152" s="104" t="s">
        <v>11210</v>
      </c>
      <c r="E2152" s="104" t="s">
        <v>11208</v>
      </c>
      <c r="F2152" s="103" t="s">
        <v>4678</v>
      </c>
      <c r="G2152" s="103" t="s">
        <v>4679</v>
      </c>
      <c r="H2152" s="103" t="s">
        <v>11211</v>
      </c>
      <c r="I2152" s="103">
        <v>3.173757809E9</v>
      </c>
      <c r="J2152" s="104" t="s">
        <v>11212</v>
      </c>
      <c r="K2152" s="105"/>
      <c r="L2152" s="105"/>
    </row>
    <row r="2153">
      <c r="A2153" s="103" t="s">
        <v>4676</v>
      </c>
      <c r="B2153" s="103">
        <v>1.100121679E9</v>
      </c>
      <c r="C2153" s="105"/>
      <c r="D2153" s="104" t="s">
        <v>11213</v>
      </c>
      <c r="E2153" s="106"/>
      <c r="F2153" s="103" t="s">
        <v>4678</v>
      </c>
      <c r="G2153" s="103" t="s">
        <v>4679</v>
      </c>
      <c r="H2153" s="103" t="s">
        <v>11214</v>
      </c>
      <c r="I2153" s="103" t="s">
        <v>11215</v>
      </c>
      <c r="J2153" s="104" t="s">
        <v>11216</v>
      </c>
      <c r="K2153" s="105"/>
      <c r="L2153" s="105"/>
    </row>
    <row r="2154">
      <c r="A2154" s="103" t="s">
        <v>4676</v>
      </c>
      <c r="B2154" s="103">
        <v>1.10012167901E11</v>
      </c>
      <c r="C2154" s="105"/>
      <c r="D2154" s="104" t="s">
        <v>11217</v>
      </c>
      <c r="E2154" s="104" t="s">
        <v>11218</v>
      </c>
      <c r="F2154" s="103" t="s">
        <v>4678</v>
      </c>
      <c r="G2154" s="103" t="s">
        <v>4679</v>
      </c>
      <c r="H2154" s="103" t="s">
        <v>11214</v>
      </c>
      <c r="I2154" s="103">
        <v>3670415.0</v>
      </c>
      <c r="J2154" s="104" t="s">
        <v>11216</v>
      </c>
      <c r="K2154" s="105"/>
      <c r="L2154" s="105"/>
    </row>
    <row r="2155">
      <c r="A2155" s="103" t="s">
        <v>4676</v>
      </c>
      <c r="B2155" s="103">
        <v>1.100121728E9</v>
      </c>
      <c r="C2155" s="105"/>
      <c r="D2155" s="104" t="s">
        <v>11219</v>
      </c>
      <c r="E2155" s="106"/>
      <c r="F2155" s="103" t="s">
        <v>4678</v>
      </c>
      <c r="G2155" s="103" t="s">
        <v>4679</v>
      </c>
      <c r="H2155" s="103" t="s">
        <v>11220</v>
      </c>
      <c r="I2155" s="103">
        <v>7561601.0</v>
      </c>
      <c r="J2155" s="104" t="s">
        <v>11221</v>
      </c>
      <c r="K2155" s="107" t="s">
        <v>11222</v>
      </c>
      <c r="L2155" s="105"/>
    </row>
    <row r="2156">
      <c r="A2156" s="103" t="s">
        <v>4676</v>
      </c>
      <c r="B2156" s="103">
        <v>1.10012172801E11</v>
      </c>
      <c r="C2156" s="105"/>
      <c r="D2156" s="104" t="s">
        <v>11223</v>
      </c>
      <c r="E2156" s="104" t="s">
        <v>11224</v>
      </c>
      <c r="F2156" s="103" t="s">
        <v>4678</v>
      </c>
      <c r="G2156" s="103" t="s">
        <v>4679</v>
      </c>
      <c r="H2156" s="103" t="s">
        <v>11225</v>
      </c>
      <c r="I2156" s="103" t="s">
        <v>11226</v>
      </c>
      <c r="J2156" s="104" t="s">
        <v>11227</v>
      </c>
      <c r="K2156" s="105"/>
      <c r="L2156" s="105"/>
    </row>
    <row r="2157">
      <c r="A2157" s="103" t="s">
        <v>4676</v>
      </c>
      <c r="B2157" s="103">
        <v>1.100121745E9</v>
      </c>
      <c r="C2157" s="105"/>
      <c r="D2157" s="104" t="s">
        <v>11228</v>
      </c>
      <c r="E2157" s="106"/>
      <c r="F2157" s="103" t="s">
        <v>4678</v>
      </c>
      <c r="G2157" s="103" t="s">
        <v>4679</v>
      </c>
      <c r="H2157" s="103" t="s">
        <v>11229</v>
      </c>
      <c r="I2157" s="103">
        <v>8012047.0</v>
      </c>
      <c r="J2157" s="104" t="s">
        <v>11230</v>
      </c>
      <c r="K2157" s="105"/>
      <c r="L2157" s="105"/>
    </row>
    <row r="2158">
      <c r="A2158" s="103" t="s">
        <v>4676</v>
      </c>
      <c r="B2158" s="103">
        <v>1.10012174501E11</v>
      </c>
      <c r="C2158" s="105"/>
      <c r="D2158" s="104" t="s">
        <v>11231</v>
      </c>
      <c r="E2158" s="104" t="s">
        <v>11232</v>
      </c>
      <c r="F2158" s="103" t="s">
        <v>4678</v>
      </c>
      <c r="G2158" s="103" t="s">
        <v>4679</v>
      </c>
      <c r="H2158" s="103" t="s">
        <v>11233</v>
      </c>
      <c r="I2158" s="103" t="s">
        <v>11234</v>
      </c>
      <c r="J2158" s="104" t="s">
        <v>11230</v>
      </c>
      <c r="K2158" s="105"/>
      <c r="L2158" s="105"/>
    </row>
    <row r="2159">
      <c r="A2159" s="103" t="s">
        <v>4676</v>
      </c>
      <c r="B2159" s="103">
        <v>1.10012174503E11</v>
      </c>
      <c r="C2159" s="105"/>
      <c r="D2159" s="104" t="s">
        <v>11235</v>
      </c>
      <c r="E2159" s="104" t="s">
        <v>11236</v>
      </c>
      <c r="F2159" s="103" t="s">
        <v>4678</v>
      </c>
      <c r="G2159" s="103" t="s">
        <v>4679</v>
      </c>
      <c r="H2159" s="103" t="s">
        <v>11237</v>
      </c>
      <c r="I2159" s="103">
        <v>3907146.0</v>
      </c>
      <c r="J2159" s="104" t="s">
        <v>11230</v>
      </c>
      <c r="K2159" s="105"/>
      <c r="L2159" s="105"/>
    </row>
    <row r="2160">
      <c r="A2160" s="103" t="s">
        <v>4676</v>
      </c>
      <c r="B2160" s="103">
        <v>1.10012174504E11</v>
      </c>
      <c r="C2160" s="105"/>
      <c r="D2160" s="104" t="s">
        <v>11238</v>
      </c>
      <c r="E2160" s="104" t="s">
        <v>11236</v>
      </c>
      <c r="F2160" s="103" t="s">
        <v>4678</v>
      </c>
      <c r="G2160" s="103" t="s">
        <v>4679</v>
      </c>
      <c r="H2160" s="103" t="s">
        <v>11239</v>
      </c>
      <c r="I2160" s="103">
        <v>6.013907146E9</v>
      </c>
      <c r="J2160" s="104" t="s">
        <v>11230</v>
      </c>
      <c r="K2160" s="105"/>
      <c r="L2160" s="105"/>
    </row>
    <row r="2161">
      <c r="A2161" s="103" t="s">
        <v>4676</v>
      </c>
      <c r="B2161" s="103">
        <v>1.10012174505E11</v>
      </c>
      <c r="C2161" s="105"/>
      <c r="D2161" s="104" t="s">
        <v>11240</v>
      </c>
      <c r="E2161" s="104" t="s">
        <v>11236</v>
      </c>
      <c r="F2161" s="103" t="s">
        <v>4678</v>
      </c>
      <c r="G2161" s="103" t="s">
        <v>4679</v>
      </c>
      <c r="H2161" s="103" t="s">
        <v>11241</v>
      </c>
      <c r="I2161" s="103">
        <v>6.019172205E9</v>
      </c>
      <c r="J2161" s="104" t="s">
        <v>11230</v>
      </c>
      <c r="K2161" s="105"/>
      <c r="L2161" s="105"/>
    </row>
    <row r="2162">
      <c r="A2162" s="103" t="s">
        <v>4676</v>
      </c>
      <c r="B2162" s="103">
        <v>1.100121746E9</v>
      </c>
      <c r="C2162" s="105"/>
      <c r="D2162" s="104" t="s">
        <v>11242</v>
      </c>
      <c r="E2162" s="106"/>
      <c r="F2162" s="103" t="s">
        <v>4678</v>
      </c>
      <c r="G2162" s="103" t="s">
        <v>4679</v>
      </c>
      <c r="H2162" s="103" t="s">
        <v>11243</v>
      </c>
      <c r="I2162" s="103">
        <v>3.115000026E9</v>
      </c>
      <c r="J2162" s="104" t="s">
        <v>11244</v>
      </c>
      <c r="K2162" s="105"/>
      <c r="L2162" s="105"/>
    </row>
    <row r="2163">
      <c r="A2163" s="103" t="s">
        <v>4676</v>
      </c>
      <c r="B2163" s="103">
        <v>1.10012174601E11</v>
      </c>
      <c r="C2163" s="105"/>
      <c r="D2163" s="104" t="s">
        <v>11245</v>
      </c>
      <c r="E2163" s="104" t="s">
        <v>11246</v>
      </c>
      <c r="F2163" s="103" t="s">
        <v>4678</v>
      </c>
      <c r="G2163" s="103" t="s">
        <v>4679</v>
      </c>
      <c r="H2163" s="103" t="s">
        <v>11247</v>
      </c>
      <c r="I2163" s="103">
        <v>3.246850147E9</v>
      </c>
      <c r="J2163" s="104" t="s">
        <v>11244</v>
      </c>
      <c r="K2163" s="105"/>
      <c r="L2163" s="105"/>
    </row>
    <row r="2164">
      <c r="A2164" s="103" t="s">
        <v>4676</v>
      </c>
      <c r="B2164" s="103">
        <v>1.10012174602E11</v>
      </c>
      <c r="C2164" s="105"/>
      <c r="D2164" s="104" t="s">
        <v>11248</v>
      </c>
      <c r="E2164" s="104" t="s">
        <v>11246</v>
      </c>
      <c r="F2164" s="103" t="s">
        <v>4678</v>
      </c>
      <c r="G2164" s="103" t="s">
        <v>4679</v>
      </c>
      <c r="H2164" s="103" t="s">
        <v>11249</v>
      </c>
      <c r="I2164" s="103">
        <v>3.246850147E9</v>
      </c>
      <c r="J2164" s="104" t="s">
        <v>11244</v>
      </c>
      <c r="K2164" s="105"/>
      <c r="L2164" s="105"/>
    </row>
    <row r="2165">
      <c r="A2165" s="103" t="s">
        <v>4676</v>
      </c>
      <c r="B2165" s="103">
        <v>1.100121757E9</v>
      </c>
      <c r="C2165" s="105"/>
      <c r="D2165" s="104" t="s">
        <v>11250</v>
      </c>
      <c r="E2165" s="106"/>
      <c r="F2165" s="103" t="s">
        <v>4678</v>
      </c>
      <c r="G2165" s="103" t="s">
        <v>4679</v>
      </c>
      <c r="H2165" s="103" t="s">
        <v>11251</v>
      </c>
      <c r="I2165" s="103" t="s">
        <v>11252</v>
      </c>
      <c r="J2165" s="104" t="s">
        <v>11253</v>
      </c>
      <c r="K2165" s="105"/>
      <c r="L2165" s="105"/>
    </row>
    <row r="2166">
      <c r="A2166" s="103" t="s">
        <v>4676</v>
      </c>
      <c r="B2166" s="103">
        <v>1.10012175701E11</v>
      </c>
      <c r="C2166" s="105"/>
      <c r="D2166" s="104" t="s">
        <v>11254</v>
      </c>
      <c r="E2166" s="104" t="s">
        <v>11255</v>
      </c>
      <c r="F2166" s="103" t="s">
        <v>4678</v>
      </c>
      <c r="G2166" s="103" t="s">
        <v>4679</v>
      </c>
      <c r="H2166" s="103" t="s">
        <v>11256</v>
      </c>
      <c r="I2166" s="103">
        <v>6743737.0</v>
      </c>
      <c r="J2166" s="104" t="s">
        <v>11253</v>
      </c>
      <c r="K2166" s="105"/>
      <c r="L2166" s="105"/>
    </row>
    <row r="2167">
      <c r="A2167" s="103" t="s">
        <v>4676</v>
      </c>
      <c r="B2167" s="103">
        <v>1.10012175702E11</v>
      </c>
      <c r="C2167" s="105"/>
      <c r="D2167" s="104" t="s">
        <v>11257</v>
      </c>
      <c r="E2167" s="104" t="s">
        <v>11255</v>
      </c>
      <c r="F2167" s="103" t="s">
        <v>4678</v>
      </c>
      <c r="G2167" s="103" t="s">
        <v>4679</v>
      </c>
      <c r="H2167" s="103" t="s">
        <v>11258</v>
      </c>
      <c r="I2167" s="103">
        <v>3.209904602E9</v>
      </c>
      <c r="J2167" s="104" t="s">
        <v>11253</v>
      </c>
      <c r="K2167" s="107" t="s">
        <v>11259</v>
      </c>
      <c r="L2167" s="105"/>
    </row>
    <row r="2168">
      <c r="A2168" s="103" t="s">
        <v>4676</v>
      </c>
      <c r="B2168" s="103">
        <v>1.10012175703E11</v>
      </c>
      <c r="C2168" s="105"/>
      <c r="D2168" s="104" t="s">
        <v>11260</v>
      </c>
      <c r="E2168" s="104" t="s">
        <v>11255</v>
      </c>
      <c r="F2168" s="103" t="s">
        <v>4678</v>
      </c>
      <c r="G2168" s="103" t="s">
        <v>4679</v>
      </c>
      <c r="H2168" s="103" t="s">
        <v>11261</v>
      </c>
      <c r="I2168" s="103" t="s">
        <v>11262</v>
      </c>
      <c r="J2168" s="104" t="s">
        <v>11253</v>
      </c>
      <c r="K2168" s="105"/>
      <c r="L2168" s="105"/>
    </row>
    <row r="2169">
      <c r="A2169" s="103" t="s">
        <v>4676</v>
      </c>
      <c r="B2169" s="103">
        <v>1.100121758E9</v>
      </c>
      <c r="C2169" s="105"/>
      <c r="D2169" s="104" t="s">
        <v>11263</v>
      </c>
      <c r="E2169" s="106"/>
      <c r="F2169" s="103" t="s">
        <v>4678</v>
      </c>
      <c r="G2169" s="103" t="s">
        <v>4679</v>
      </c>
      <c r="H2169" s="103" t="s">
        <v>11264</v>
      </c>
      <c r="I2169" s="103">
        <v>8013655.0</v>
      </c>
      <c r="J2169" s="104" t="s">
        <v>11265</v>
      </c>
      <c r="K2169" s="105"/>
      <c r="L2169" s="105"/>
    </row>
    <row r="2170">
      <c r="A2170" s="103" t="s">
        <v>4676</v>
      </c>
      <c r="B2170" s="103">
        <v>1.10012175801E11</v>
      </c>
      <c r="C2170" s="105"/>
      <c r="D2170" s="104" t="s">
        <v>11263</v>
      </c>
      <c r="E2170" s="104" t="s">
        <v>11266</v>
      </c>
      <c r="F2170" s="103" t="s">
        <v>4678</v>
      </c>
      <c r="G2170" s="103" t="s">
        <v>4679</v>
      </c>
      <c r="H2170" s="103" t="s">
        <v>11264</v>
      </c>
      <c r="I2170" s="103">
        <v>8013655.0</v>
      </c>
      <c r="J2170" s="104" t="s">
        <v>11265</v>
      </c>
      <c r="K2170" s="105"/>
      <c r="L2170" s="105"/>
    </row>
    <row r="2171">
      <c r="A2171" s="103" t="s">
        <v>4676</v>
      </c>
      <c r="B2171" s="103">
        <v>1.100121759E9</v>
      </c>
      <c r="C2171" s="105"/>
      <c r="D2171" s="104" t="s">
        <v>11267</v>
      </c>
      <c r="E2171" s="106"/>
      <c r="F2171" s="103" t="s">
        <v>4678</v>
      </c>
      <c r="G2171" s="103" t="s">
        <v>4679</v>
      </c>
      <c r="H2171" s="103" t="s">
        <v>11268</v>
      </c>
      <c r="I2171" s="103" t="s">
        <v>11269</v>
      </c>
      <c r="J2171" s="104" t="s">
        <v>11270</v>
      </c>
      <c r="K2171" s="105"/>
      <c r="L2171" s="105"/>
    </row>
    <row r="2172">
      <c r="A2172" s="103" t="s">
        <v>4676</v>
      </c>
      <c r="B2172" s="103">
        <v>1.10012175901E11</v>
      </c>
      <c r="C2172" s="105"/>
      <c r="D2172" s="104" t="s">
        <v>11271</v>
      </c>
      <c r="E2172" s="104" t="s">
        <v>11272</v>
      </c>
      <c r="F2172" s="103" t="s">
        <v>4678</v>
      </c>
      <c r="G2172" s="103" t="s">
        <v>4679</v>
      </c>
      <c r="H2172" s="103" t="s">
        <v>11273</v>
      </c>
      <c r="I2172" s="103" t="s">
        <v>11274</v>
      </c>
      <c r="J2172" s="104" t="s">
        <v>11270</v>
      </c>
      <c r="K2172" s="105"/>
      <c r="L2172" s="105"/>
    </row>
    <row r="2173">
      <c r="A2173" s="103" t="s">
        <v>4676</v>
      </c>
      <c r="B2173" s="103">
        <v>1.100121804E9</v>
      </c>
      <c r="C2173" s="105"/>
      <c r="D2173" s="104" t="s">
        <v>11275</v>
      </c>
      <c r="E2173" s="106"/>
      <c r="F2173" s="103" t="s">
        <v>4678</v>
      </c>
      <c r="G2173" s="103" t="s">
        <v>4679</v>
      </c>
      <c r="H2173" s="103" t="s">
        <v>11276</v>
      </c>
      <c r="I2173" s="103">
        <v>4082180.0</v>
      </c>
      <c r="J2173" s="104" t="s">
        <v>11277</v>
      </c>
      <c r="K2173" s="105"/>
      <c r="L2173" s="105"/>
    </row>
    <row r="2174">
      <c r="A2174" s="103" t="s">
        <v>4676</v>
      </c>
      <c r="B2174" s="103">
        <v>1.10012180401E11</v>
      </c>
      <c r="C2174" s="105"/>
      <c r="D2174" s="104" t="s">
        <v>11275</v>
      </c>
      <c r="E2174" s="104" t="s">
        <v>11278</v>
      </c>
      <c r="F2174" s="103" t="s">
        <v>4678</v>
      </c>
      <c r="G2174" s="103" t="s">
        <v>4679</v>
      </c>
      <c r="H2174" s="103" t="s">
        <v>11279</v>
      </c>
      <c r="I2174" s="103" t="s">
        <v>11280</v>
      </c>
      <c r="J2174" s="104" t="s">
        <v>11277</v>
      </c>
      <c r="K2174" s="105"/>
      <c r="L2174" s="105"/>
    </row>
    <row r="2175">
      <c r="A2175" s="103" t="s">
        <v>4676</v>
      </c>
      <c r="B2175" s="103">
        <v>1.100121827E9</v>
      </c>
      <c r="C2175" s="105"/>
      <c r="D2175" s="104" t="s">
        <v>11281</v>
      </c>
      <c r="E2175" s="106"/>
      <c r="F2175" s="103" t="s">
        <v>4678</v>
      </c>
      <c r="G2175" s="103" t="s">
        <v>4679</v>
      </c>
      <c r="H2175" s="103" t="s">
        <v>11282</v>
      </c>
      <c r="I2175" s="103" t="s">
        <v>11283</v>
      </c>
      <c r="J2175" s="104" t="s">
        <v>11284</v>
      </c>
      <c r="K2175" s="105"/>
      <c r="L2175" s="105"/>
    </row>
    <row r="2176">
      <c r="A2176" s="103" t="s">
        <v>4676</v>
      </c>
      <c r="B2176" s="103">
        <v>1.10012182701E11</v>
      </c>
      <c r="C2176" s="105"/>
      <c r="D2176" s="104" t="s">
        <v>11285</v>
      </c>
      <c r="E2176" s="104" t="s">
        <v>11286</v>
      </c>
      <c r="F2176" s="103" t="s">
        <v>4678</v>
      </c>
      <c r="G2176" s="103" t="s">
        <v>4679</v>
      </c>
      <c r="H2176" s="103" t="s">
        <v>11287</v>
      </c>
      <c r="I2176" s="103" t="s">
        <v>11283</v>
      </c>
      <c r="J2176" s="104" t="s">
        <v>11284</v>
      </c>
      <c r="K2176" s="105"/>
      <c r="L2176" s="105"/>
    </row>
    <row r="2177">
      <c r="A2177" s="103" t="s">
        <v>4676</v>
      </c>
      <c r="B2177" s="103">
        <v>1.100121832E9</v>
      </c>
      <c r="C2177" s="105"/>
      <c r="D2177" s="104" t="s">
        <v>11288</v>
      </c>
      <c r="E2177" s="106"/>
      <c r="F2177" s="103" t="s">
        <v>4678</v>
      </c>
      <c r="G2177" s="103" t="s">
        <v>4679</v>
      </c>
      <c r="H2177" s="103" t="s">
        <v>11289</v>
      </c>
      <c r="I2177" s="103" t="s">
        <v>11290</v>
      </c>
      <c r="J2177" s="104" t="s">
        <v>11291</v>
      </c>
      <c r="K2177" s="107" t="s">
        <v>11292</v>
      </c>
      <c r="L2177" s="105"/>
    </row>
    <row r="2178">
      <c r="A2178" s="103" t="s">
        <v>4676</v>
      </c>
      <c r="B2178" s="103">
        <v>1.10012183203E11</v>
      </c>
      <c r="C2178" s="105"/>
      <c r="D2178" s="104" t="s">
        <v>11293</v>
      </c>
      <c r="E2178" s="104" t="s">
        <v>11294</v>
      </c>
      <c r="F2178" s="103" t="s">
        <v>4678</v>
      </c>
      <c r="G2178" s="103" t="s">
        <v>4679</v>
      </c>
      <c r="H2178" s="103" t="s">
        <v>11295</v>
      </c>
      <c r="I2178" s="103" t="s">
        <v>11290</v>
      </c>
      <c r="J2178" s="104" t="s">
        <v>11291</v>
      </c>
      <c r="K2178" s="105"/>
      <c r="L2178" s="105"/>
    </row>
    <row r="2179">
      <c r="A2179" s="103" t="s">
        <v>4676</v>
      </c>
      <c r="B2179" s="103">
        <v>1.10012183204E11</v>
      </c>
      <c r="C2179" s="105"/>
      <c r="D2179" s="104" t="s">
        <v>11296</v>
      </c>
      <c r="E2179" s="104" t="s">
        <v>11297</v>
      </c>
      <c r="F2179" s="103" t="s">
        <v>4678</v>
      </c>
      <c r="G2179" s="103" t="s">
        <v>4679</v>
      </c>
      <c r="H2179" s="103" t="s">
        <v>11298</v>
      </c>
      <c r="I2179" s="103" t="s">
        <v>11299</v>
      </c>
      <c r="J2179" s="104" t="s">
        <v>11291</v>
      </c>
      <c r="K2179" s="105"/>
      <c r="L2179" s="105"/>
    </row>
    <row r="2180">
      <c r="A2180" s="103" t="s">
        <v>4676</v>
      </c>
      <c r="B2180" s="103">
        <v>1.100121915E9</v>
      </c>
      <c r="C2180" s="105"/>
      <c r="D2180" s="104" t="s">
        <v>11300</v>
      </c>
      <c r="E2180" s="106"/>
      <c r="F2180" s="103" t="s">
        <v>4678</v>
      </c>
      <c r="G2180" s="103" t="s">
        <v>4679</v>
      </c>
      <c r="H2180" s="103" t="s">
        <v>11301</v>
      </c>
      <c r="I2180" s="103">
        <v>3727675.0</v>
      </c>
      <c r="J2180" s="104" t="s">
        <v>11302</v>
      </c>
      <c r="K2180" s="105"/>
      <c r="L2180" s="105"/>
    </row>
    <row r="2181">
      <c r="A2181" s="103" t="s">
        <v>4676</v>
      </c>
      <c r="B2181" s="103">
        <v>1.10012191504E11</v>
      </c>
      <c r="C2181" s="105"/>
      <c r="D2181" s="104" t="s">
        <v>11303</v>
      </c>
      <c r="E2181" s="104" t="s">
        <v>11304</v>
      </c>
      <c r="F2181" s="103" t="s">
        <v>4678</v>
      </c>
      <c r="G2181" s="103" t="s">
        <v>4679</v>
      </c>
      <c r="H2181" s="103" t="s">
        <v>11305</v>
      </c>
      <c r="I2181" s="103">
        <v>2167411.0</v>
      </c>
      <c r="J2181" s="104" t="s">
        <v>11306</v>
      </c>
      <c r="K2181" s="105"/>
      <c r="L2181" s="105"/>
    </row>
    <row r="2182">
      <c r="A2182" s="103" t="s">
        <v>4676</v>
      </c>
      <c r="B2182" s="103">
        <v>1.10012191506E11</v>
      </c>
      <c r="C2182" s="105"/>
      <c r="D2182" s="104" t="s">
        <v>11307</v>
      </c>
      <c r="E2182" s="104" t="s">
        <v>11304</v>
      </c>
      <c r="F2182" s="103" t="s">
        <v>4678</v>
      </c>
      <c r="G2182" s="103" t="s">
        <v>4679</v>
      </c>
      <c r="H2182" s="103" t="s">
        <v>11308</v>
      </c>
      <c r="I2182" s="103">
        <v>3727675.0</v>
      </c>
      <c r="J2182" s="104" t="s">
        <v>11302</v>
      </c>
      <c r="K2182" s="105"/>
      <c r="L2182" s="105"/>
    </row>
    <row r="2183">
      <c r="A2183" s="103" t="s">
        <v>4676</v>
      </c>
      <c r="B2183" s="103">
        <v>1.10012191508E11</v>
      </c>
      <c r="C2183" s="105"/>
      <c r="D2183" s="104" t="s">
        <v>11309</v>
      </c>
      <c r="E2183" s="104" t="s">
        <v>11304</v>
      </c>
      <c r="F2183" s="103" t="s">
        <v>4678</v>
      </c>
      <c r="G2183" s="103" t="s">
        <v>4679</v>
      </c>
      <c r="H2183" s="103" t="s">
        <v>11310</v>
      </c>
      <c r="I2183" s="103">
        <v>4813527.0</v>
      </c>
      <c r="J2183" s="104" t="s">
        <v>11311</v>
      </c>
      <c r="K2183" s="105"/>
      <c r="L2183" s="105"/>
    </row>
    <row r="2184">
      <c r="A2184" s="103" t="s">
        <v>4676</v>
      </c>
      <c r="B2184" s="103">
        <v>1.100121968E9</v>
      </c>
      <c r="C2184" s="105"/>
      <c r="D2184" s="104" t="s">
        <v>11312</v>
      </c>
      <c r="E2184" s="106"/>
      <c r="F2184" s="103" t="s">
        <v>4678</v>
      </c>
      <c r="G2184" s="103" t="s">
        <v>4679</v>
      </c>
      <c r="H2184" s="103" t="s">
        <v>11313</v>
      </c>
      <c r="I2184" s="103">
        <v>4814348.0</v>
      </c>
      <c r="J2184" s="104" t="s">
        <v>11314</v>
      </c>
      <c r="K2184" s="107" t="s">
        <v>11315</v>
      </c>
      <c r="L2184" s="105"/>
    </row>
    <row r="2185">
      <c r="A2185" s="103" t="s">
        <v>4676</v>
      </c>
      <c r="B2185" s="103">
        <v>1.10012196801E11</v>
      </c>
      <c r="C2185" s="105"/>
      <c r="D2185" s="104" t="s">
        <v>11316</v>
      </c>
      <c r="E2185" s="104" t="s">
        <v>11317</v>
      </c>
      <c r="F2185" s="103" t="s">
        <v>4678</v>
      </c>
      <c r="G2185" s="103" t="s">
        <v>4679</v>
      </c>
      <c r="H2185" s="103" t="s">
        <v>11318</v>
      </c>
      <c r="I2185" s="103">
        <v>4814348.0</v>
      </c>
      <c r="J2185" s="104" t="s">
        <v>11314</v>
      </c>
      <c r="K2185" s="105"/>
      <c r="L2185" s="105"/>
    </row>
    <row r="2186">
      <c r="A2186" s="103" t="s">
        <v>4676</v>
      </c>
      <c r="B2186" s="103">
        <v>1.100121987E9</v>
      </c>
      <c r="C2186" s="105"/>
      <c r="D2186" s="104" t="s">
        <v>11319</v>
      </c>
      <c r="E2186" s="106"/>
      <c r="F2186" s="103" t="s">
        <v>4678</v>
      </c>
      <c r="G2186" s="103" t="s">
        <v>4679</v>
      </c>
      <c r="H2186" s="103" t="s">
        <v>11320</v>
      </c>
      <c r="I2186" s="103" t="s">
        <v>11321</v>
      </c>
      <c r="J2186" s="104" t="s">
        <v>11322</v>
      </c>
      <c r="K2186" s="105"/>
      <c r="L2186" s="105"/>
    </row>
    <row r="2187">
      <c r="A2187" s="103" t="s">
        <v>4676</v>
      </c>
      <c r="B2187" s="103">
        <v>1.10012198701E11</v>
      </c>
      <c r="C2187" s="105"/>
      <c r="D2187" s="104" t="s">
        <v>11323</v>
      </c>
      <c r="E2187" s="104" t="s">
        <v>11324</v>
      </c>
      <c r="F2187" s="103" t="s">
        <v>4678</v>
      </c>
      <c r="G2187" s="103" t="s">
        <v>4679</v>
      </c>
      <c r="H2187" s="103" t="s">
        <v>11320</v>
      </c>
      <c r="I2187" s="103" t="s">
        <v>11325</v>
      </c>
      <c r="J2187" s="104" t="s">
        <v>11326</v>
      </c>
      <c r="K2187" s="105"/>
      <c r="L2187" s="105"/>
    </row>
    <row r="2188">
      <c r="A2188" s="103" t="s">
        <v>4676</v>
      </c>
      <c r="B2188" s="103">
        <v>1.100121994E9</v>
      </c>
      <c r="C2188" s="105"/>
      <c r="D2188" s="104" t="s">
        <v>11327</v>
      </c>
      <c r="E2188" s="106"/>
      <c r="F2188" s="103" t="s">
        <v>4678</v>
      </c>
      <c r="G2188" s="103" t="s">
        <v>4679</v>
      </c>
      <c r="H2188" s="103" t="s">
        <v>11328</v>
      </c>
      <c r="I2188" s="103" t="s">
        <v>11329</v>
      </c>
      <c r="J2188" s="104" t="s">
        <v>11330</v>
      </c>
      <c r="K2188" s="105"/>
      <c r="L2188" s="105"/>
    </row>
    <row r="2189">
      <c r="A2189" s="103" t="s">
        <v>4676</v>
      </c>
      <c r="B2189" s="103">
        <v>1.10012199401E11</v>
      </c>
      <c r="C2189" s="105"/>
      <c r="D2189" s="104" t="s">
        <v>11331</v>
      </c>
      <c r="E2189" s="104" t="s">
        <v>11332</v>
      </c>
      <c r="F2189" s="103" t="s">
        <v>4678</v>
      </c>
      <c r="G2189" s="103" t="s">
        <v>4679</v>
      </c>
      <c r="H2189" s="103" t="s">
        <v>11333</v>
      </c>
      <c r="I2189" s="103" t="s">
        <v>11329</v>
      </c>
      <c r="J2189" s="104" t="s">
        <v>11330</v>
      </c>
      <c r="K2189" s="105"/>
      <c r="L2189" s="105"/>
    </row>
    <row r="2190">
      <c r="A2190" s="103" t="s">
        <v>4676</v>
      </c>
      <c r="B2190" s="103">
        <v>1.10012199402E11</v>
      </c>
      <c r="C2190" s="105"/>
      <c r="D2190" s="104" t="s">
        <v>11334</v>
      </c>
      <c r="E2190" s="104" t="s">
        <v>11332</v>
      </c>
      <c r="F2190" s="103" t="s">
        <v>4678</v>
      </c>
      <c r="G2190" s="103" t="s">
        <v>4679</v>
      </c>
      <c r="H2190" s="103" t="s">
        <v>11335</v>
      </c>
      <c r="I2190" s="103">
        <v>7044043.0</v>
      </c>
      <c r="J2190" s="104" t="s">
        <v>11330</v>
      </c>
      <c r="K2190" s="105"/>
      <c r="L2190" s="105"/>
    </row>
    <row r="2191">
      <c r="A2191" s="103" t="s">
        <v>4676</v>
      </c>
      <c r="B2191" s="103">
        <v>1.10012199403E11</v>
      </c>
      <c r="C2191" s="105"/>
      <c r="D2191" s="104" t="s">
        <v>11336</v>
      </c>
      <c r="E2191" s="104" t="s">
        <v>11332</v>
      </c>
      <c r="F2191" s="103" t="s">
        <v>4678</v>
      </c>
      <c r="G2191" s="103" t="s">
        <v>4679</v>
      </c>
      <c r="H2191" s="103" t="s">
        <v>11337</v>
      </c>
      <c r="I2191" s="103" t="s">
        <v>11338</v>
      </c>
      <c r="J2191" s="104" t="s">
        <v>11330</v>
      </c>
      <c r="K2191" s="105"/>
      <c r="L2191" s="105"/>
    </row>
    <row r="2192">
      <c r="A2192" s="103" t="s">
        <v>4676</v>
      </c>
      <c r="B2192" s="103">
        <v>1.100122041E9</v>
      </c>
      <c r="C2192" s="105"/>
      <c r="D2192" s="104" t="s">
        <v>11339</v>
      </c>
      <c r="E2192" s="106"/>
      <c r="F2192" s="103" t="s">
        <v>4678</v>
      </c>
      <c r="G2192" s="103" t="s">
        <v>4679</v>
      </c>
      <c r="H2192" s="103" t="s">
        <v>11340</v>
      </c>
      <c r="I2192" s="103">
        <v>7505118.0</v>
      </c>
      <c r="J2192" s="104" t="s">
        <v>11341</v>
      </c>
      <c r="K2192" s="105"/>
      <c r="L2192" s="105"/>
    </row>
    <row r="2193">
      <c r="A2193" s="103" t="s">
        <v>4676</v>
      </c>
      <c r="B2193" s="103">
        <v>1.10012204101E11</v>
      </c>
      <c r="C2193" s="105"/>
      <c r="D2193" s="104" t="s">
        <v>11339</v>
      </c>
      <c r="E2193" s="104" t="s">
        <v>11342</v>
      </c>
      <c r="F2193" s="103" t="s">
        <v>4678</v>
      </c>
      <c r="G2193" s="103" t="s">
        <v>4679</v>
      </c>
      <c r="H2193" s="103" t="s">
        <v>11343</v>
      </c>
      <c r="I2193" s="103">
        <v>7505118.0</v>
      </c>
      <c r="J2193" s="104" t="s">
        <v>11341</v>
      </c>
      <c r="K2193" s="105"/>
      <c r="L2193" s="105"/>
    </row>
    <row r="2194">
      <c r="A2194" s="103" t="s">
        <v>4676</v>
      </c>
      <c r="B2194" s="103">
        <v>1.100122045E9</v>
      </c>
      <c r="C2194" s="105"/>
      <c r="D2194" s="104" t="s">
        <v>11344</v>
      </c>
      <c r="E2194" s="106"/>
      <c r="F2194" s="103" t="s">
        <v>4678</v>
      </c>
      <c r="G2194" s="103" t="s">
        <v>4679</v>
      </c>
      <c r="H2194" s="103" t="s">
        <v>11345</v>
      </c>
      <c r="I2194" s="103">
        <v>3.153674858E9</v>
      </c>
      <c r="J2194" s="104" t="s">
        <v>11346</v>
      </c>
      <c r="K2194" s="105"/>
      <c r="L2194" s="105"/>
    </row>
    <row r="2195">
      <c r="A2195" s="103" t="s">
        <v>4676</v>
      </c>
      <c r="B2195" s="103">
        <v>1.10012204501E11</v>
      </c>
      <c r="C2195" s="105"/>
      <c r="D2195" s="104" t="s">
        <v>11344</v>
      </c>
      <c r="E2195" s="104" t="s">
        <v>11347</v>
      </c>
      <c r="F2195" s="103" t="s">
        <v>4678</v>
      </c>
      <c r="G2195" s="103" t="s">
        <v>4679</v>
      </c>
      <c r="H2195" s="103" t="s">
        <v>11345</v>
      </c>
      <c r="I2195" s="103" t="s">
        <v>11348</v>
      </c>
      <c r="J2195" s="104" t="s">
        <v>11349</v>
      </c>
      <c r="K2195" s="105"/>
      <c r="L2195" s="105"/>
    </row>
    <row r="2196">
      <c r="A2196" s="103" t="s">
        <v>4676</v>
      </c>
      <c r="B2196" s="103">
        <v>1.10012204502E11</v>
      </c>
      <c r="C2196" s="105"/>
      <c r="D2196" s="104" t="s">
        <v>11344</v>
      </c>
      <c r="E2196" s="104" t="s">
        <v>11350</v>
      </c>
      <c r="F2196" s="103" t="s">
        <v>4678</v>
      </c>
      <c r="G2196" s="103" t="s">
        <v>4679</v>
      </c>
      <c r="H2196" s="103" t="s">
        <v>11351</v>
      </c>
      <c r="I2196" s="103">
        <v>6825998.0</v>
      </c>
      <c r="J2196" s="104" t="s">
        <v>11352</v>
      </c>
      <c r="K2196" s="105"/>
      <c r="L2196" s="105"/>
    </row>
    <row r="2197">
      <c r="A2197" s="103" t="s">
        <v>4676</v>
      </c>
      <c r="B2197" s="103">
        <v>1.100122047E9</v>
      </c>
      <c r="C2197" s="105"/>
      <c r="D2197" s="104" t="s">
        <v>11353</v>
      </c>
      <c r="E2197" s="106"/>
      <c r="F2197" s="103" t="s">
        <v>4678</v>
      </c>
      <c r="G2197" s="103" t="s">
        <v>4679</v>
      </c>
      <c r="H2197" s="103" t="s">
        <v>11354</v>
      </c>
      <c r="I2197" s="103" t="s">
        <v>11355</v>
      </c>
      <c r="J2197" s="104" t="s">
        <v>11356</v>
      </c>
      <c r="K2197" s="105"/>
      <c r="L2197" s="105"/>
    </row>
    <row r="2198">
      <c r="A2198" s="103" t="s">
        <v>4676</v>
      </c>
      <c r="B2198" s="103">
        <v>1.10012204701E11</v>
      </c>
      <c r="C2198" s="105"/>
      <c r="D2198" s="104" t="s">
        <v>11353</v>
      </c>
      <c r="E2198" s="104" t="s">
        <v>11357</v>
      </c>
      <c r="F2198" s="103" t="s">
        <v>4678</v>
      </c>
      <c r="G2198" s="103" t="s">
        <v>4679</v>
      </c>
      <c r="H2198" s="103" t="s">
        <v>11354</v>
      </c>
      <c r="I2198" s="103" t="s">
        <v>11355</v>
      </c>
      <c r="J2198" s="104" t="s">
        <v>11356</v>
      </c>
      <c r="K2198" s="105"/>
      <c r="L2198" s="105"/>
    </row>
    <row r="2199">
      <c r="A2199" s="103" t="s">
        <v>4676</v>
      </c>
      <c r="B2199" s="103">
        <v>1.100122065E9</v>
      </c>
      <c r="C2199" s="105"/>
      <c r="D2199" s="104" t="s">
        <v>11358</v>
      </c>
      <c r="E2199" s="106"/>
      <c r="F2199" s="103" t="s">
        <v>4678</v>
      </c>
      <c r="G2199" s="103" t="s">
        <v>4679</v>
      </c>
      <c r="H2199" s="103" t="s">
        <v>11359</v>
      </c>
      <c r="I2199" s="103" t="s">
        <v>11360</v>
      </c>
      <c r="J2199" s="104" t="s">
        <v>11361</v>
      </c>
      <c r="K2199" s="105"/>
      <c r="L2199" s="105"/>
    </row>
    <row r="2200">
      <c r="A2200" s="103" t="s">
        <v>4676</v>
      </c>
      <c r="B2200" s="103">
        <v>1.10012206501E11</v>
      </c>
      <c r="C2200" s="105"/>
      <c r="D2200" s="104" t="s">
        <v>11362</v>
      </c>
      <c r="E2200" s="104" t="s">
        <v>11363</v>
      </c>
      <c r="F2200" s="103" t="s">
        <v>4678</v>
      </c>
      <c r="G2200" s="103" t="s">
        <v>4679</v>
      </c>
      <c r="H2200" s="103" t="s">
        <v>11359</v>
      </c>
      <c r="I2200" s="103" t="s">
        <v>11360</v>
      </c>
      <c r="J2200" s="104" t="s">
        <v>11361</v>
      </c>
      <c r="K2200" s="105"/>
      <c r="L2200" s="105"/>
    </row>
    <row r="2201">
      <c r="A2201" s="103" t="s">
        <v>4676</v>
      </c>
      <c r="B2201" s="103">
        <v>1.100122072E9</v>
      </c>
      <c r="C2201" s="105"/>
      <c r="D2201" s="104" t="s">
        <v>11364</v>
      </c>
      <c r="E2201" s="106"/>
      <c r="F2201" s="103" t="s">
        <v>4678</v>
      </c>
      <c r="G2201" s="103" t="s">
        <v>4679</v>
      </c>
      <c r="H2201" s="103" t="s">
        <v>11365</v>
      </c>
      <c r="I2201" s="103" t="s">
        <v>11366</v>
      </c>
      <c r="J2201" s="104" t="s">
        <v>11367</v>
      </c>
      <c r="K2201" s="107" t="s">
        <v>11368</v>
      </c>
      <c r="L2201" s="105"/>
    </row>
    <row r="2202">
      <c r="A2202" s="103" t="s">
        <v>4676</v>
      </c>
      <c r="B2202" s="103">
        <v>1.10012207201E11</v>
      </c>
      <c r="C2202" s="105"/>
      <c r="D2202" s="104" t="s">
        <v>11364</v>
      </c>
      <c r="E2202" s="104" t="s">
        <v>11369</v>
      </c>
      <c r="F2202" s="103" t="s">
        <v>4678</v>
      </c>
      <c r="G2202" s="103" t="s">
        <v>4679</v>
      </c>
      <c r="H2202" s="103" t="s">
        <v>11370</v>
      </c>
      <c r="I2202" s="103" t="s">
        <v>11371</v>
      </c>
      <c r="J2202" s="104" t="s">
        <v>11372</v>
      </c>
      <c r="K2202" s="105"/>
      <c r="L2202" s="105"/>
    </row>
    <row r="2203">
      <c r="A2203" s="103" t="s">
        <v>4676</v>
      </c>
      <c r="B2203" s="103">
        <v>1.10012208E9</v>
      </c>
      <c r="C2203" s="105"/>
      <c r="D2203" s="104" t="s">
        <v>11373</v>
      </c>
      <c r="E2203" s="106"/>
      <c r="F2203" s="103" t="s">
        <v>4678</v>
      </c>
      <c r="G2203" s="103" t="s">
        <v>4679</v>
      </c>
      <c r="H2203" s="103" t="s">
        <v>11374</v>
      </c>
      <c r="I2203" s="103" t="s">
        <v>11375</v>
      </c>
      <c r="J2203" s="104" t="s">
        <v>11376</v>
      </c>
      <c r="K2203" s="105"/>
      <c r="L2203" s="105"/>
    </row>
    <row r="2204">
      <c r="A2204" s="103" t="s">
        <v>4676</v>
      </c>
      <c r="B2204" s="103">
        <v>1.10012208001E11</v>
      </c>
      <c r="C2204" s="105"/>
      <c r="D2204" s="104" t="s">
        <v>11377</v>
      </c>
      <c r="E2204" s="104" t="s">
        <v>11378</v>
      </c>
      <c r="F2204" s="103" t="s">
        <v>4678</v>
      </c>
      <c r="G2204" s="103" t="s">
        <v>4679</v>
      </c>
      <c r="H2204" s="103" t="s">
        <v>11374</v>
      </c>
      <c r="I2204" s="103" t="s">
        <v>11375</v>
      </c>
      <c r="J2204" s="104" t="s">
        <v>11376</v>
      </c>
      <c r="K2204" s="105"/>
      <c r="L2204" s="105"/>
    </row>
    <row r="2205">
      <c r="A2205" s="103" t="s">
        <v>4676</v>
      </c>
      <c r="B2205" s="103">
        <v>1.100122082E9</v>
      </c>
      <c r="C2205" s="105"/>
      <c r="D2205" s="104" t="s">
        <v>11379</v>
      </c>
      <c r="E2205" s="106"/>
      <c r="F2205" s="103" t="s">
        <v>4678</v>
      </c>
      <c r="G2205" s="103" t="s">
        <v>4679</v>
      </c>
      <c r="H2205" s="103" t="s">
        <v>11380</v>
      </c>
      <c r="I2205" s="103">
        <v>3.3303304026E10</v>
      </c>
      <c r="J2205" s="104" t="s">
        <v>11381</v>
      </c>
      <c r="K2205" s="107" t="s">
        <v>11382</v>
      </c>
      <c r="L2205" s="105"/>
    </row>
    <row r="2206">
      <c r="A2206" s="103" t="s">
        <v>4676</v>
      </c>
      <c r="B2206" s="103">
        <v>1.10012208203E11</v>
      </c>
      <c r="C2206" s="105"/>
      <c r="D2206" s="104" t="s">
        <v>11383</v>
      </c>
      <c r="E2206" s="104" t="s">
        <v>11384</v>
      </c>
      <c r="F2206" s="103" t="s">
        <v>4678</v>
      </c>
      <c r="G2206" s="103" t="s">
        <v>4679</v>
      </c>
      <c r="H2206" s="103" t="s">
        <v>11385</v>
      </c>
      <c r="I2206" s="103" t="s">
        <v>11386</v>
      </c>
      <c r="J2206" s="104" t="s">
        <v>11387</v>
      </c>
      <c r="K2206" s="105"/>
      <c r="L2206" s="105"/>
    </row>
    <row r="2207">
      <c r="A2207" s="103" t="s">
        <v>4676</v>
      </c>
      <c r="B2207" s="103">
        <v>1.10012208205E11</v>
      </c>
      <c r="C2207" s="105"/>
      <c r="D2207" s="104" t="s">
        <v>11388</v>
      </c>
      <c r="E2207" s="104" t="s">
        <v>11384</v>
      </c>
      <c r="F2207" s="103" t="s">
        <v>4678</v>
      </c>
      <c r="G2207" s="103" t="s">
        <v>4679</v>
      </c>
      <c r="H2207" s="103" t="s">
        <v>11389</v>
      </c>
      <c r="I2207" s="103">
        <v>3.17428479E9</v>
      </c>
      <c r="J2207" s="104" t="s">
        <v>11387</v>
      </c>
      <c r="K2207" s="105"/>
      <c r="L2207" s="105"/>
    </row>
    <row r="2208">
      <c r="A2208" s="103" t="s">
        <v>4676</v>
      </c>
      <c r="B2208" s="103">
        <v>1.10012208206E11</v>
      </c>
      <c r="C2208" s="105"/>
      <c r="D2208" s="104" t="s">
        <v>11390</v>
      </c>
      <c r="E2208" s="104" t="s">
        <v>11391</v>
      </c>
      <c r="F2208" s="103" t="s">
        <v>4678</v>
      </c>
      <c r="G2208" s="103" t="s">
        <v>4679</v>
      </c>
      <c r="H2208" s="103" t="s">
        <v>11392</v>
      </c>
      <c r="I2208" s="103" t="s">
        <v>11393</v>
      </c>
      <c r="J2208" s="104" t="s">
        <v>11394</v>
      </c>
      <c r="K2208" s="105"/>
      <c r="L2208" s="105"/>
    </row>
    <row r="2209">
      <c r="A2209" s="103" t="s">
        <v>4676</v>
      </c>
      <c r="B2209" s="103">
        <v>1.100122091E9</v>
      </c>
      <c r="C2209" s="105"/>
      <c r="D2209" s="104" t="s">
        <v>11395</v>
      </c>
      <c r="E2209" s="106"/>
      <c r="F2209" s="103" t="s">
        <v>4678</v>
      </c>
      <c r="G2209" s="103" t="s">
        <v>4679</v>
      </c>
      <c r="H2209" s="103" t="s">
        <v>11396</v>
      </c>
      <c r="I2209" s="103">
        <v>2951288.0</v>
      </c>
      <c r="J2209" s="104" t="s">
        <v>11397</v>
      </c>
      <c r="K2209" s="107" t="s">
        <v>11398</v>
      </c>
      <c r="L2209" s="105"/>
    </row>
    <row r="2210">
      <c r="A2210" s="103" t="s">
        <v>4676</v>
      </c>
      <c r="B2210" s="103">
        <v>1.10012209101E11</v>
      </c>
      <c r="C2210" s="105"/>
      <c r="D2210" s="104" t="s">
        <v>11399</v>
      </c>
      <c r="E2210" s="104" t="s">
        <v>11400</v>
      </c>
      <c r="F2210" s="103" t="s">
        <v>4678</v>
      </c>
      <c r="G2210" s="103" t="s">
        <v>4679</v>
      </c>
      <c r="H2210" s="103" t="s">
        <v>11401</v>
      </c>
      <c r="I2210" s="103">
        <v>2951288.0</v>
      </c>
      <c r="J2210" s="104" t="s">
        <v>11397</v>
      </c>
      <c r="K2210" s="105"/>
      <c r="L2210" s="105"/>
    </row>
    <row r="2211">
      <c r="A2211" s="103" t="s">
        <v>4676</v>
      </c>
      <c r="B2211" s="103">
        <v>1.10012209103E11</v>
      </c>
      <c r="C2211" s="105"/>
      <c r="D2211" s="104" t="s">
        <v>11402</v>
      </c>
      <c r="E2211" s="104" t="s">
        <v>11403</v>
      </c>
      <c r="F2211" s="103" t="s">
        <v>4678</v>
      </c>
      <c r="G2211" s="103" t="s">
        <v>4679</v>
      </c>
      <c r="H2211" s="103" t="s">
        <v>11404</v>
      </c>
      <c r="I2211" s="103" t="s">
        <v>11405</v>
      </c>
      <c r="J2211" s="104" t="s">
        <v>11397</v>
      </c>
      <c r="K2211" s="105"/>
      <c r="L2211" s="105"/>
    </row>
    <row r="2212">
      <c r="A2212" s="103" t="s">
        <v>4676</v>
      </c>
      <c r="B2212" s="103">
        <v>1.10012209104E11</v>
      </c>
      <c r="C2212" s="105"/>
      <c r="D2212" s="104" t="s">
        <v>11406</v>
      </c>
      <c r="E2212" s="104" t="s">
        <v>11400</v>
      </c>
      <c r="F2212" s="103" t="s">
        <v>4678</v>
      </c>
      <c r="G2212" s="103" t="s">
        <v>4679</v>
      </c>
      <c r="H2212" s="103" t="s">
        <v>11407</v>
      </c>
      <c r="I2212" s="103">
        <v>7434209.0</v>
      </c>
      <c r="J2212" s="104" t="s">
        <v>11408</v>
      </c>
      <c r="K2212" s="105"/>
      <c r="L2212" s="105"/>
    </row>
    <row r="2213">
      <c r="A2213" s="103" t="s">
        <v>4676</v>
      </c>
      <c r="B2213" s="103">
        <v>1.100122146E9</v>
      </c>
      <c r="C2213" s="105"/>
      <c r="D2213" s="104" t="s">
        <v>11409</v>
      </c>
      <c r="E2213" s="106"/>
      <c r="F2213" s="103" t="s">
        <v>4678</v>
      </c>
      <c r="G2213" s="103" t="s">
        <v>4679</v>
      </c>
      <c r="H2213" s="103" t="s">
        <v>11410</v>
      </c>
      <c r="I2213" s="103" t="s">
        <v>11411</v>
      </c>
      <c r="J2213" s="104" t="s">
        <v>11412</v>
      </c>
      <c r="K2213" s="107" t="s">
        <v>11413</v>
      </c>
      <c r="L2213" s="105"/>
    </row>
    <row r="2214">
      <c r="A2214" s="103" t="s">
        <v>4676</v>
      </c>
      <c r="B2214" s="103">
        <v>1.10012214601E11</v>
      </c>
      <c r="C2214" s="105"/>
      <c r="D2214" s="104" t="s">
        <v>11414</v>
      </c>
      <c r="E2214" s="104" t="s">
        <v>4691</v>
      </c>
      <c r="F2214" s="103" t="s">
        <v>4678</v>
      </c>
      <c r="G2214" s="103" t="s">
        <v>4679</v>
      </c>
      <c r="H2214" s="103" t="s">
        <v>11410</v>
      </c>
      <c r="I2214" s="103" t="s">
        <v>11415</v>
      </c>
      <c r="J2214" s="104" t="s">
        <v>11416</v>
      </c>
      <c r="K2214" s="105"/>
      <c r="L2214" s="105"/>
    </row>
    <row r="2215">
      <c r="A2215" s="103" t="s">
        <v>4676</v>
      </c>
      <c r="B2215" s="103">
        <v>1.10012214603E11</v>
      </c>
      <c r="C2215" s="105"/>
      <c r="D2215" s="104" t="s">
        <v>11417</v>
      </c>
      <c r="E2215" s="104" t="s">
        <v>4691</v>
      </c>
      <c r="F2215" s="103" t="s">
        <v>4678</v>
      </c>
      <c r="G2215" s="103" t="s">
        <v>4679</v>
      </c>
      <c r="H2215" s="103" t="s">
        <v>11418</v>
      </c>
      <c r="I2215" s="103" t="s">
        <v>11419</v>
      </c>
      <c r="J2215" s="104" t="s">
        <v>11416</v>
      </c>
      <c r="K2215" s="105"/>
      <c r="L2215" s="105"/>
    </row>
    <row r="2216">
      <c r="A2216" s="103" t="s">
        <v>4676</v>
      </c>
      <c r="B2216" s="103">
        <v>1.10012214604E11</v>
      </c>
      <c r="C2216" s="105"/>
      <c r="D2216" s="104" t="s">
        <v>11420</v>
      </c>
      <c r="E2216" s="104" t="s">
        <v>4691</v>
      </c>
      <c r="F2216" s="103" t="s">
        <v>4678</v>
      </c>
      <c r="G2216" s="103" t="s">
        <v>4679</v>
      </c>
      <c r="H2216" s="103" t="s">
        <v>11421</v>
      </c>
      <c r="I2216" s="103" t="s">
        <v>11422</v>
      </c>
      <c r="J2216" s="104" t="s">
        <v>11416</v>
      </c>
      <c r="K2216" s="105"/>
      <c r="L2216" s="105"/>
    </row>
    <row r="2217">
      <c r="A2217" s="103" t="s">
        <v>4676</v>
      </c>
      <c r="B2217" s="103">
        <v>1.10012214605E11</v>
      </c>
      <c r="C2217" s="105"/>
      <c r="D2217" s="104" t="s">
        <v>11423</v>
      </c>
      <c r="E2217" s="104" t="s">
        <v>4691</v>
      </c>
      <c r="F2217" s="103" t="s">
        <v>4678</v>
      </c>
      <c r="G2217" s="103" t="s">
        <v>4679</v>
      </c>
      <c r="H2217" s="103" t="s">
        <v>11424</v>
      </c>
      <c r="I2217" s="103">
        <v>3.168770341E9</v>
      </c>
      <c r="J2217" s="104" t="s">
        <v>11412</v>
      </c>
      <c r="K2217" s="105"/>
      <c r="L2217" s="105"/>
    </row>
    <row r="2218">
      <c r="A2218" s="103" t="s">
        <v>4676</v>
      </c>
      <c r="B2218" s="103">
        <v>1.10012215E9</v>
      </c>
      <c r="C2218" s="105"/>
      <c r="D2218" s="104" t="s">
        <v>11425</v>
      </c>
      <c r="E2218" s="106"/>
      <c r="F2218" s="103" t="s">
        <v>4678</v>
      </c>
      <c r="G2218" s="103" t="s">
        <v>4679</v>
      </c>
      <c r="H2218" s="103" t="s">
        <v>11426</v>
      </c>
      <c r="I2218" s="103">
        <v>3.168757999E9</v>
      </c>
      <c r="J2218" s="104" t="s">
        <v>11427</v>
      </c>
      <c r="K2218" s="105"/>
      <c r="L2218" s="105"/>
    </row>
    <row r="2219">
      <c r="A2219" s="103" t="s">
        <v>4676</v>
      </c>
      <c r="B2219" s="103">
        <v>1.10012215001E11</v>
      </c>
      <c r="C2219" s="105"/>
      <c r="D2219" s="104" t="s">
        <v>11428</v>
      </c>
      <c r="E2219" s="104" t="s">
        <v>11429</v>
      </c>
      <c r="F2219" s="103" t="s">
        <v>4678</v>
      </c>
      <c r="G2219" s="103" t="s">
        <v>4679</v>
      </c>
      <c r="H2219" s="103" t="s">
        <v>11426</v>
      </c>
      <c r="I2219" s="103" t="s">
        <v>11430</v>
      </c>
      <c r="J2219" s="104" t="s">
        <v>11431</v>
      </c>
      <c r="K2219" s="105"/>
      <c r="L2219" s="105"/>
    </row>
    <row r="2220">
      <c r="A2220" s="103" t="s">
        <v>4676</v>
      </c>
      <c r="B2220" s="103">
        <v>1.10012215003E11</v>
      </c>
      <c r="C2220" s="105"/>
      <c r="D2220" s="104" t="s">
        <v>11432</v>
      </c>
      <c r="E2220" s="104" t="s">
        <v>11433</v>
      </c>
      <c r="F2220" s="103" t="s">
        <v>4678</v>
      </c>
      <c r="G2220" s="103" t="s">
        <v>4679</v>
      </c>
      <c r="H2220" s="103" t="s">
        <v>11434</v>
      </c>
      <c r="I2220" s="103" t="s">
        <v>11435</v>
      </c>
      <c r="J2220" s="104" t="s">
        <v>11431</v>
      </c>
      <c r="K2220" s="105"/>
      <c r="L2220" s="105"/>
    </row>
    <row r="2221">
      <c r="A2221" s="103" t="s">
        <v>4676</v>
      </c>
      <c r="B2221" s="103">
        <v>1.10012215004E11</v>
      </c>
      <c r="C2221" s="105"/>
      <c r="D2221" s="104" t="s">
        <v>11436</v>
      </c>
      <c r="E2221" s="104" t="s">
        <v>11433</v>
      </c>
      <c r="F2221" s="103" t="s">
        <v>4678</v>
      </c>
      <c r="G2221" s="103" t="s">
        <v>4679</v>
      </c>
      <c r="H2221" s="103" t="s">
        <v>11437</v>
      </c>
      <c r="I2221" s="103">
        <v>3.168757999E9</v>
      </c>
      <c r="J2221" s="104" t="s">
        <v>11431</v>
      </c>
      <c r="K2221" s="105"/>
      <c r="L2221" s="105"/>
    </row>
    <row r="2222">
      <c r="A2222" s="103" t="s">
        <v>4676</v>
      </c>
      <c r="B2222" s="103">
        <v>1.10012215005E11</v>
      </c>
      <c r="C2222" s="105"/>
      <c r="D2222" s="104" t="s">
        <v>11438</v>
      </c>
      <c r="E2222" s="104" t="s">
        <v>11433</v>
      </c>
      <c r="F2222" s="103" t="s">
        <v>4678</v>
      </c>
      <c r="G2222" s="103" t="s">
        <v>4679</v>
      </c>
      <c r="H2222" s="103" t="s">
        <v>11439</v>
      </c>
      <c r="I2222" s="103">
        <v>3.168757999E9</v>
      </c>
      <c r="J2222" s="104" t="s">
        <v>11431</v>
      </c>
      <c r="K2222" s="105"/>
      <c r="L2222" s="105"/>
    </row>
    <row r="2223">
      <c r="A2223" s="103" t="s">
        <v>4676</v>
      </c>
      <c r="B2223" s="103">
        <v>1.10012215007E11</v>
      </c>
      <c r="C2223" s="105"/>
      <c r="D2223" s="104" t="s">
        <v>11440</v>
      </c>
      <c r="E2223" s="104" t="s">
        <v>11433</v>
      </c>
      <c r="F2223" s="103" t="s">
        <v>4678</v>
      </c>
      <c r="G2223" s="103" t="s">
        <v>4679</v>
      </c>
      <c r="H2223" s="103" t="s">
        <v>11441</v>
      </c>
      <c r="I2223" s="103">
        <v>3.168757999E9</v>
      </c>
      <c r="J2223" s="104" t="s">
        <v>11431</v>
      </c>
      <c r="K2223" s="105"/>
      <c r="L2223" s="105"/>
    </row>
    <row r="2224">
      <c r="A2224" s="103" t="s">
        <v>4676</v>
      </c>
      <c r="B2224" s="103">
        <v>1.100122153E9</v>
      </c>
      <c r="C2224" s="105"/>
      <c r="D2224" s="104" t="s">
        <v>11442</v>
      </c>
      <c r="E2224" s="106"/>
      <c r="F2224" s="103" t="s">
        <v>4678</v>
      </c>
      <c r="G2224" s="103" t="s">
        <v>4679</v>
      </c>
      <c r="H2224" s="103" t="s">
        <v>11443</v>
      </c>
      <c r="I2224" s="103" t="s">
        <v>11444</v>
      </c>
      <c r="J2224" s="104" t="s">
        <v>11445</v>
      </c>
      <c r="K2224" s="107" t="s">
        <v>11446</v>
      </c>
      <c r="L2224" s="105"/>
    </row>
    <row r="2225">
      <c r="A2225" s="103" t="s">
        <v>4676</v>
      </c>
      <c r="B2225" s="103">
        <v>1.10012215301E11</v>
      </c>
      <c r="C2225" s="105"/>
      <c r="D2225" s="104" t="s">
        <v>11442</v>
      </c>
      <c r="E2225" s="104" t="s">
        <v>11447</v>
      </c>
      <c r="F2225" s="103" t="s">
        <v>4678</v>
      </c>
      <c r="G2225" s="103" t="s">
        <v>4679</v>
      </c>
      <c r="H2225" s="103" t="s">
        <v>11443</v>
      </c>
      <c r="I2225" s="103" t="s">
        <v>11448</v>
      </c>
      <c r="J2225" s="104" t="s">
        <v>11445</v>
      </c>
      <c r="K2225" s="105"/>
      <c r="L2225" s="105"/>
    </row>
    <row r="2226">
      <c r="A2226" s="103" t="s">
        <v>4676</v>
      </c>
      <c r="B2226" s="103">
        <v>1.10012216E9</v>
      </c>
      <c r="C2226" s="105"/>
      <c r="D2226" s="104" t="s">
        <v>11449</v>
      </c>
      <c r="E2226" s="106"/>
      <c r="F2226" s="103" t="s">
        <v>4678</v>
      </c>
      <c r="G2226" s="103" t="s">
        <v>4679</v>
      </c>
      <c r="H2226" s="103" t="s">
        <v>11450</v>
      </c>
      <c r="I2226" s="103">
        <v>3.142515887E9</v>
      </c>
      <c r="J2226" s="104" t="s">
        <v>11451</v>
      </c>
      <c r="K2226" s="105"/>
      <c r="L2226" s="105"/>
    </row>
    <row r="2227">
      <c r="A2227" s="103" t="s">
        <v>4676</v>
      </c>
      <c r="B2227" s="103">
        <v>1.10012216001E11</v>
      </c>
      <c r="C2227" s="105"/>
      <c r="D2227" s="104" t="s">
        <v>11452</v>
      </c>
      <c r="E2227" s="104" t="s">
        <v>11453</v>
      </c>
      <c r="F2227" s="103" t="s">
        <v>4678</v>
      </c>
      <c r="G2227" s="103" t="s">
        <v>4679</v>
      </c>
      <c r="H2227" s="103" t="s">
        <v>11454</v>
      </c>
      <c r="I2227" s="103">
        <v>3.142515887E9</v>
      </c>
      <c r="J2227" s="104" t="s">
        <v>11451</v>
      </c>
      <c r="K2227" s="105"/>
      <c r="L2227" s="105"/>
    </row>
    <row r="2228">
      <c r="A2228" s="103" t="s">
        <v>4676</v>
      </c>
      <c r="B2228" s="103">
        <v>1.100122162E9</v>
      </c>
      <c r="C2228" s="105"/>
      <c r="D2228" s="104" t="s">
        <v>11455</v>
      </c>
      <c r="E2228" s="106"/>
      <c r="F2228" s="103" t="s">
        <v>4678</v>
      </c>
      <c r="G2228" s="103" t="s">
        <v>4679</v>
      </c>
      <c r="H2228" s="103" t="s">
        <v>11456</v>
      </c>
      <c r="I2228" s="103" t="s">
        <v>11457</v>
      </c>
      <c r="J2228" s="104" t="s">
        <v>11458</v>
      </c>
      <c r="K2228" s="107" t="s">
        <v>11459</v>
      </c>
      <c r="L2228" s="105"/>
    </row>
    <row r="2229">
      <c r="A2229" s="103" t="s">
        <v>4676</v>
      </c>
      <c r="B2229" s="103">
        <v>1.10012216201E11</v>
      </c>
      <c r="C2229" s="105"/>
      <c r="D2229" s="104" t="s">
        <v>11460</v>
      </c>
      <c r="E2229" s="104" t="s">
        <v>11461</v>
      </c>
      <c r="F2229" s="103" t="s">
        <v>4678</v>
      </c>
      <c r="G2229" s="103" t="s">
        <v>4679</v>
      </c>
      <c r="H2229" s="103" t="s">
        <v>11462</v>
      </c>
      <c r="I2229" s="103">
        <v>8063361.0</v>
      </c>
      <c r="J2229" s="104" t="s">
        <v>11458</v>
      </c>
      <c r="K2229" s="105"/>
      <c r="L2229" s="105"/>
    </row>
    <row r="2230">
      <c r="A2230" s="103" t="s">
        <v>4676</v>
      </c>
      <c r="B2230" s="103">
        <v>1.100122235E9</v>
      </c>
      <c r="C2230" s="105"/>
      <c r="D2230" s="104" t="s">
        <v>11463</v>
      </c>
      <c r="E2230" s="106"/>
      <c r="F2230" s="103" t="s">
        <v>4678</v>
      </c>
      <c r="G2230" s="103" t="s">
        <v>4679</v>
      </c>
      <c r="H2230" s="103" t="s">
        <v>11464</v>
      </c>
      <c r="I2230" s="103">
        <v>3.112500492E9</v>
      </c>
      <c r="J2230" s="104" t="s">
        <v>11465</v>
      </c>
      <c r="K2230" s="105"/>
      <c r="L2230" s="105"/>
    </row>
    <row r="2231">
      <c r="A2231" s="103" t="s">
        <v>4676</v>
      </c>
      <c r="B2231" s="103">
        <v>1.10012223501E11</v>
      </c>
      <c r="C2231" s="105"/>
      <c r="D2231" s="104" t="s">
        <v>11466</v>
      </c>
      <c r="E2231" s="104" t="s">
        <v>11467</v>
      </c>
      <c r="F2231" s="103" t="s">
        <v>4678</v>
      </c>
      <c r="G2231" s="103" t="s">
        <v>4679</v>
      </c>
      <c r="H2231" s="103" t="s">
        <v>11468</v>
      </c>
      <c r="I2231" s="103">
        <v>3.112500492E9</v>
      </c>
      <c r="J2231" s="104" t="s">
        <v>11465</v>
      </c>
      <c r="K2231" s="105"/>
      <c r="L2231" s="105"/>
    </row>
    <row r="2232">
      <c r="A2232" s="103" t="s">
        <v>4676</v>
      </c>
      <c r="B2232" s="103">
        <v>1.10012225E9</v>
      </c>
      <c r="C2232" s="105"/>
      <c r="D2232" s="104" t="s">
        <v>11469</v>
      </c>
      <c r="E2232" s="106"/>
      <c r="F2232" s="103" t="s">
        <v>4678</v>
      </c>
      <c r="G2232" s="103" t="s">
        <v>4679</v>
      </c>
      <c r="H2232" s="103" t="s">
        <v>11470</v>
      </c>
      <c r="I2232" s="103" t="s">
        <v>11471</v>
      </c>
      <c r="J2232" s="104" t="s">
        <v>11472</v>
      </c>
      <c r="K2232" s="105"/>
      <c r="L2232" s="105"/>
    </row>
    <row r="2233">
      <c r="A2233" s="103" t="s">
        <v>4676</v>
      </c>
      <c r="B2233" s="103">
        <v>1.10012225001E11</v>
      </c>
      <c r="C2233" s="105"/>
      <c r="D2233" s="104" t="s">
        <v>11469</v>
      </c>
      <c r="E2233" s="104" t="s">
        <v>11473</v>
      </c>
      <c r="F2233" s="103" t="s">
        <v>4678</v>
      </c>
      <c r="G2233" s="103" t="s">
        <v>4679</v>
      </c>
      <c r="H2233" s="103" t="s">
        <v>11470</v>
      </c>
      <c r="I2233" s="103" t="s">
        <v>11471</v>
      </c>
      <c r="J2233" s="104" t="s">
        <v>11472</v>
      </c>
      <c r="K2233" s="105"/>
      <c r="L2233" s="105"/>
    </row>
    <row r="2234">
      <c r="A2234" s="103" t="s">
        <v>4676</v>
      </c>
      <c r="B2234" s="103">
        <v>1.100122253E9</v>
      </c>
      <c r="C2234" s="105"/>
      <c r="D2234" s="104" t="s">
        <v>11474</v>
      </c>
      <c r="E2234" s="106"/>
      <c r="F2234" s="103" t="s">
        <v>4678</v>
      </c>
      <c r="G2234" s="103" t="s">
        <v>4679</v>
      </c>
      <c r="H2234" s="103" t="s">
        <v>11475</v>
      </c>
      <c r="I2234" s="103">
        <v>6.015171859E9</v>
      </c>
      <c r="J2234" s="104" t="s">
        <v>11476</v>
      </c>
      <c r="K2234" s="107" t="s">
        <v>11477</v>
      </c>
      <c r="L2234" s="105"/>
    </row>
    <row r="2235">
      <c r="A2235" s="103" t="s">
        <v>4676</v>
      </c>
      <c r="B2235" s="103">
        <v>1.10012225301E11</v>
      </c>
      <c r="C2235" s="105"/>
      <c r="D2235" s="104" t="s">
        <v>11474</v>
      </c>
      <c r="E2235" s="104" t="s">
        <v>11478</v>
      </c>
      <c r="F2235" s="103" t="s">
        <v>4678</v>
      </c>
      <c r="G2235" s="103" t="s">
        <v>4679</v>
      </c>
      <c r="H2235" s="103" t="s">
        <v>11475</v>
      </c>
      <c r="I2235" s="103">
        <v>3.174341632E9</v>
      </c>
      <c r="J2235" s="104" t="s">
        <v>11476</v>
      </c>
      <c r="K2235" s="105"/>
      <c r="L2235" s="105"/>
    </row>
    <row r="2236">
      <c r="A2236" s="103" t="s">
        <v>4676</v>
      </c>
      <c r="B2236" s="103">
        <v>1.100122274E9</v>
      </c>
      <c r="C2236" s="105"/>
      <c r="D2236" s="104" t="s">
        <v>11479</v>
      </c>
      <c r="E2236" s="106"/>
      <c r="F2236" s="103" t="s">
        <v>4678</v>
      </c>
      <c r="G2236" s="103" t="s">
        <v>4679</v>
      </c>
      <c r="H2236" s="103" t="s">
        <v>11480</v>
      </c>
      <c r="I2236" s="103" t="s">
        <v>11481</v>
      </c>
      <c r="J2236" s="104" t="s">
        <v>11482</v>
      </c>
      <c r="K2236" s="105"/>
      <c r="L2236" s="105"/>
    </row>
    <row r="2237">
      <c r="A2237" s="103" t="s">
        <v>4676</v>
      </c>
      <c r="B2237" s="103">
        <v>1.10012227401E11</v>
      </c>
      <c r="C2237" s="105"/>
      <c r="D2237" s="104" t="s">
        <v>11483</v>
      </c>
      <c r="E2237" s="104" t="s">
        <v>11484</v>
      </c>
      <c r="F2237" s="103" t="s">
        <v>4678</v>
      </c>
      <c r="G2237" s="103" t="s">
        <v>4679</v>
      </c>
      <c r="H2237" s="103" t="s">
        <v>11485</v>
      </c>
      <c r="I2237" s="103" t="s">
        <v>11481</v>
      </c>
      <c r="J2237" s="104" t="s">
        <v>11482</v>
      </c>
      <c r="K2237" s="105"/>
      <c r="L2237" s="105"/>
    </row>
    <row r="2238">
      <c r="A2238" s="103" t="s">
        <v>4676</v>
      </c>
      <c r="B2238" s="103">
        <v>1.10012228E9</v>
      </c>
      <c r="C2238" s="105"/>
      <c r="D2238" s="104" t="s">
        <v>11486</v>
      </c>
      <c r="E2238" s="106"/>
      <c r="F2238" s="103" t="s">
        <v>4678</v>
      </c>
      <c r="G2238" s="103" t="s">
        <v>4679</v>
      </c>
      <c r="H2238" s="103" t="s">
        <v>11487</v>
      </c>
      <c r="I2238" s="103" t="s">
        <v>11488</v>
      </c>
      <c r="J2238" s="104" t="s">
        <v>11489</v>
      </c>
      <c r="K2238" s="107" t="s">
        <v>11490</v>
      </c>
      <c r="L2238" s="105"/>
    </row>
    <row r="2239">
      <c r="A2239" s="103" t="s">
        <v>4676</v>
      </c>
      <c r="B2239" s="103">
        <v>1.10012228001E11</v>
      </c>
      <c r="C2239" s="105"/>
      <c r="D2239" s="104" t="s">
        <v>11491</v>
      </c>
      <c r="E2239" s="104" t="s">
        <v>11492</v>
      </c>
      <c r="F2239" s="103" t="s">
        <v>4678</v>
      </c>
      <c r="G2239" s="103" t="s">
        <v>4679</v>
      </c>
      <c r="H2239" s="103" t="s">
        <v>11487</v>
      </c>
      <c r="I2239" s="103" t="s">
        <v>11488</v>
      </c>
      <c r="J2239" s="104" t="s">
        <v>11489</v>
      </c>
      <c r="K2239" s="105"/>
      <c r="L2239" s="105"/>
    </row>
    <row r="2240">
      <c r="A2240" s="103" t="s">
        <v>4676</v>
      </c>
      <c r="B2240" s="103">
        <v>1.100122286E9</v>
      </c>
      <c r="C2240" s="105"/>
      <c r="D2240" s="104" t="s">
        <v>11493</v>
      </c>
      <c r="E2240" s="106"/>
      <c r="F2240" s="103" t="s">
        <v>4678</v>
      </c>
      <c r="G2240" s="103" t="s">
        <v>4679</v>
      </c>
      <c r="H2240" s="103" t="s">
        <v>11494</v>
      </c>
      <c r="I2240" s="103">
        <v>3.156127136E9</v>
      </c>
      <c r="J2240" s="104" t="s">
        <v>11495</v>
      </c>
      <c r="K2240" s="105"/>
      <c r="L2240" s="105"/>
    </row>
    <row r="2241">
      <c r="A2241" s="103" t="s">
        <v>4676</v>
      </c>
      <c r="B2241" s="103">
        <v>1.10012228601E11</v>
      </c>
      <c r="C2241" s="105"/>
      <c r="D2241" s="104" t="s">
        <v>11496</v>
      </c>
      <c r="E2241" s="104" t="s">
        <v>11497</v>
      </c>
      <c r="F2241" s="103" t="s">
        <v>4678</v>
      </c>
      <c r="G2241" s="103" t="s">
        <v>4679</v>
      </c>
      <c r="H2241" s="103" t="s">
        <v>11498</v>
      </c>
      <c r="I2241" s="103">
        <v>3.156127136E9</v>
      </c>
      <c r="J2241" s="104" t="s">
        <v>11495</v>
      </c>
      <c r="K2241" s="105"/>
      <c r="L2241" s="105"/>
    </row>
    <row r="2242">
      <c r="A2242" s="103" t="s">
        <v>4676</v>
      </c>
      <c r="B2242" s="103">
        <v>1.100122287E9</v>
      </c>
      <c r="C2242" s="105"/>
      <c r="D2242" s="104" t="s">
        <v>11499</v>
      </c>
      <c r="E2242" s="106"/>
      <c r="F2242" s="103" t="s">
        <v>4678</v>
      </c>
      <c r="G2242" s="103" t="s">
        <v>4679</v>
      </c>
      <c r="H2242" s="103" t="s">
        <v>11500</v>
      </c>
      <c r="I2242" s="103" t="s">
        <v>11501</v>
      </c>
      <c r="J2242" s="104" t="s">
        <v>11502</v>
      </c>
      <c r="K2242" s="105"/>
      <c r="L2242" s="105"/>
    </row>
    <row r="2243">
      <c r="A2243" s="103" t="s">
        <v>4676</v>
      </c>
      <c r="B2243" s="103">
        <v>1.10012228701E11</v>
      </c>
      <c r="C2243" s="105"/>
      <c r="D2243" s="104" t="s">
        <v>11499</v>
      </c>
      <c r="E2243" s="104" t="s">
        <v>11503</v>
      </c>
      <c r="F2243" s="103" t="s">
        <v>4678</v>
      </c>
      <c r="G2243" s="103" t="s">
        <v>4679</v>
      </c>
      <c r="H2243" s="103" t="s">
        <v>11504</v>
      </c>
      <c r="I2243" s="103" t="s">
        <v>11501</v>
      </c>
      <c r="J2243" s="104" t="s">
        <v>11502</v>
      </c>
      <c r="K2243" s="105"/>
      <c r="L2243" s="105"/>
    </row>
    <row r="2244">
      <c r="A2244" s="103" t="s">
        <v>4676</v>
      </c>
      <c r="B2244" s="103">
        <v>1.100122298E9</v>
      </c>
      <c r="C2244" s="105"/>
      <c r="D2244" s="104" t="s">
        <v>11505</v>
      </c>
      <c r="E2244" s="106"/>
      <c r="F2244" s="103" t="s">
        <v>4678</v>
      </c>
      <c r="G2244" s="103" t="s">
        <v>4679</v>
      </c>
      <c r="H2244" s="103" t="s">
        <v>11506</v>
      </c>
      <c r="I2244" s="103">
        <v>7048305.0</v>
      </c>
      <c r="J2244" s="104" t="s">
        <v>11507</v>
      </c>
      <c r="K2244" s="105"/>
      <c r="L2244" s="105"/>
    </row>
    <row r="2245">
      <c r="A2245" s="103" t="s">
        <v>4676</v>
      </c>
      <c r="B2245" s="103">
        <v>1.10012229801E11</v>
      </c>
      <c r="C2245" s="105"/>
      <c r="D2245" s="104" t="s">
        <v>11505</v>
      </c>
      <c r="E2245" s="104" t="s">
        <v>11508</v>
      </c>
      <c r="F2245" s="103" t="s">
        <v>4678</v>
      </c>
      <c r="G2245" s="103" t="s">
        <v>4679</v>
      </c>
      <c r="H2245" s="103" t="s">
        <v>11509</v>
      </c>
      <c r="I2245" s="103">
        <v>7048305.0</v>
      </c>
      <c r="J2245" s="104" t="s">
        <v>11507</v>
      </c>
      <c r="K2245" s="105"/>
      <c r="L2245" s="105"/>
    </row>
    <row r="2246">
      <c r="A2246" s="103" t="s">
        <v>4676</v>
      </c>
      <c r="B2246" s="103">
        <v>1.100122337E9</v>
      </c>
      <c r="C2246" s="105"/>
      <c r="D2246" s="104" t="s">
        <v>11510</v>
      </c>
      <c r="E2246" s="106"/>
      <c r="F2246" s="103" t="s">
        <v>4678</v>
      </c>
      <c r="G2246" s="103" t="s">
        <v>4679</v>
      </c>
      <c r="H2246" s="103" t="s">
        <v>11511</v>
      </c>
      <c r="I2246" s="103" t="s">
        <v>11512</v>
      </c>
      <c r="J2246" s="104" t="s">
        <v>11513</v>
      </c>
      <c r="K2246" s="105"/>
      <c r="L2246" s="105"/>
    </row>
    <row r="2247">
      <c r="A2247" s="103" t="s">
        <v>4676</v>
      </c>
      <c r="B2247" s="103">
        <v>1.10012233701E11</v>
      </c>
      <c r="C2247" s="105"/>
      <c r="D2247" s="104" t="s">
        <v>11510</v>
      </c>
      <c r="E2247" s="104" t="s">
        <v>11514</v>
      </c>
      <c r="F2247" s="103" t="s">
        <v>4678</v>
      </c>
      <c r="G2247" s="103" t="s">
        <v>4679</v>
      </c>
      <c r="H2247" s="103" t="s">
        <v>11511</v>
      </c>
      <c r="I2247" s="103" t="s">
        <v>11515</v>
      </c>
      <c r="J2247" s="104" t="s">
        <v>11516</v>
      </c>
      <c r="K2247" s="105"/>
      <c r="L2247" s="105"/>
    </row>
    <row r="2248">
      <c r="A2248" s="103" t="s">
        <v>4676</v>
      </c>
      <c r="B2248" s="103">
        <v>1.100122366E9</v>
      </c>
      <c r="C2248" s="105"/>
      <c r="D2248" s="104" t="s">
        <v>11517</v>
      </c>
      <c r="E2248" s="106"/>
      <c r="F2248" s="103" t="s">
        <v>4678</v>
      </c>
      <c r="G2248" s="103" t="s">
        <v>4679</v>
      </c>
      <c r="H2248" s="103" t="s">
        <v>11518</v>
      </c>
      <c r="I2248" s="103">
        <v>7468830.0</v>
      </c>
      <c r="J2248" s="104" t="s">
        <v>11519</v>
      </c>
      <c r="K2248" s="105"/>
      <c r="L2248" s="105"/>
    </row>
    <row r="2249">
      <c r="A2249" s="103" t="s">
        <v>4676</v>
      </c>
      <c r="B2249" s="103">
        <v>1.10012236601E11</v>
      </c>
      <c r="C2249" s="105"/>
      <c r="D2249" s="104" t="s">
        <v>11520</v>
      </c>
      <c r="E2249" s="104" t="s">
        <v>11521</v>
      </c>
      <c r="F2249" s="103" t="s">
        <v>4678</v>
      </c>
      <c r="G2249" s="103" t="s">
        <v>4679</v>
      </c>
      <c r="H2249" s="103" t="s">
        <v>11522</v>
      </c>
      <c r="I2249" s="103">
        <v>7468830.0</v>
      </c>
      <c r="J2249" s="104" t="s">
        <v>11519</v>
      </c>
      <c r="K2249" s="105"/>
      <c r="L2249" s="105"/>
    </row>
    <row r="2250">
      <c r="A2250" s="103" t="s">
        <v>4676</v>
      </c>
      <c r="B2250" s="103">
        <v>1.10012238E9</v>
      </c>
      <c r="C2250" s="105"/>
      <c r="D2250" s="104" t="s">
        <v>11523</v>
      </c>
      <c r="E2250" s="106"/>
      <c r="F2250" s="103" t="s">
        <v>4678</v>
      </c>
      <c r="G2250" s="103" t="s">
        <v>4679</v>
      </c>
      <c r="H2250" s="103" t="s">
        <v>11524</v>
      </c>
      <c r="I2250" s="103">
        <v>4383039.0</v>
      </c>
      <c r="J2250" s="104" t="s">
        <v>11525</v>
      </c>
      <c r="K2250" s="105"/>
      <c r="L2250" s="105"/>
    </row>
    <row r="2251">
      <c r="A2251" s="103" t="s">
        <v>4676</v>
      </c>
      <c r="B2251" s="103">
        <v>1.10012238001E11</v>
      </c>
      <c r="C2251" s="105"/>
      <c r="D2251" s="104" t="s">
        <v>11526</v>
      </c>
      <c r="E2251" s="104" t="s">
        <v>11527</v>
      </c>
      <c r="F2251" s="103" t="s">
        <v>4678</v>
      </c>
      <c r="G2251" s="103" t="s">
        <v>4679</v>
      </c>
      <c r="H2251" s="103" t="s">
        <v>11528</v>
      </c>
      <c r="I2251" s="103">
        <v>4383039.0</v>
      </c>
      <c r="J2251" s="104" t="s">
        <v>11525</v>
      </c>
      <c r="K2251" s="105"/>
      <c r="L2251" s="105"/>
    </row>
    <row r="2252">
      <c r="A2252" s="103" t="s">
        <v>4676</v>
      </c>
      <c r="B2252" s="103">
        <v>1.100122385E9</v>
      </c>
      <c r="C2252" s="105"/>
      <c r="D2252" s="104" t="s">
        <v>11529</v>
      </c>
      <c r="E2252" s="106"/>
      <c r="F2252" s="103" t="s">
        <v>4678</v>
      </c>
      <c r="G2252" s="103" t="s">
        <v>4679</v>
      </c>
      <c r="H2252" s="103" t="s">
        <v>11530</v>
      </c>
      <c r="I2252" s="103">
        <v>3.132621954E9</v>
      </c>
      <c r="J2252" s="104" t="s">
        <v>11531</v>
      </c>
      <c r="K2252" s="105"/>
      <c r="L2252" s="105"/>
    </row>
    <row r="2253">
      <c r="A2253" s="103" t="s">
        <v>4676</v>
      </c>
      <c r="B2253" s="103">
        <v>1.10012238501E11</v>
      </c>
      <c r="C2253" s="105"/>
      <c r="D2253" s="104" t="s">
        <v>11529</v>
      </c>
      <c r="E2253" s="104" t="s">
        <v>11532</v>
      </c>
      <c r="F2253" s="103" t="s">
        <v>4678</v>
      </c>
      <c r="G2253" s="103" t="s">
        <v>4679</v>
      </c>
      <c r="H2253" s="103" t="s">
        <v>11530</v>
      </c>
      <c r="I2253" s="103">
        <v>3.132621954E9</v>
      </c>
      <c r="J2253" s="104" t="s">
        <v>11531</v>
      </c>
      <c r="K2253" s="105"/>
      <c r="L2253" s="105"/>
    </row>
    <row r="2254">
      <c r="A2254" s="103" t="s">
        <v>4676</v>
      </c>
      <c r="B2254" s="103">
        <v>1.100122395E9</v>
      </c>
      <c r="C2254" s="105"/>
      <c r="D2254" s="104" t="s">
        <v>11533</v>
      </c>
      <c r="E2254" s="106"/>
      <c r="F2254" s="103" t="s">
        <v>4678</v>
      </c>
      <c r="G2254" s="103" t="s">
        <v>4679</v>
      </c>
      <c r="H2254" s="103" t="s">
        <v>11534</v>
      </c>
      <c r="I2254" s="103">
        <v>6216325.0</v>
      </c>
      <c r="J2254" s="104" t="s">
        <v>11535</v>
      </c>
      <c r="K2254" s="105"/>
      <c r="L2254" s="105"/>
    </row>
    <row r="2255">
      <c r="A2255" s="103" t="s">
        <v>4676</v>
      </c>
      <c r="B2255" s="103">
        <v>1.10012239501E11</v>
      </c>
      <c r="C2255" s="105"/>
      <c r="D2255" s="104" t="s">
        <v>11533</v>
      </c>
      <c r="E2255" s="104" t="s">
        <v>11536</v>
      </c>
      <c r="F2255" s="103" t="s">
        <v>4678</v>
      </c>
      <c r="G2255" s="103" t="s">
        <v>4679</v>
      </c>
      <c r="H2255" s="103" t="s">
        <v>11537</v>
      </c>
      <c r="I2255" s="103">
        <v>6216325.0</v>
      </c>
      <c r="J2255" s="104" t="s">
        <v>11535</v>
      </c>
      <c r="K2255" s="105"/>
      <c r="L2255" s="105"/>
    </row>
    <row r="2256">
      <c r="A2256" s="103" t="s">
        <v>4676</v>
      </c>
      <c r="B2256" s="103">
        <v>1.100122417E9</v>
      </c>
      <c r="C2256" s="105"/>
      <c r="D2256" s="104" t="s">
        <v>11538</v>
      </c>
      <c r="E2256" s="106"/>
      <c r="F2256" s="103" t="s">
        <v>4678</v>
      </c>
      <c r="G2256" s="103" t="s">
        <v>4679</v>
      </c>
      <c r="H2256" s="103" t="s">
        <v>11539</v>
      </c>
      <c r="I2256" s="103">
        <v>7458182.0</v>
      </c>
      <c r="J2256" s="104" t="s">
        <v>11540</v>
      </c>
      <c r="K2256" s="107" t="s">
        <v>11541</v>
      </c>
      <c r="L2256" s="105"/>
    </row>
    <row r="2257">
      <c r="A2257" s="103" t="s">
        <v>4676</v>
      </c>
      <c r="B2257" s="103">
        <v>1.10012241701E11</v>
      </c>
      <c r="C2257" s="105"/>
      <c r="D2257" s="104" t="s">
        <v>11538</v>
      </c>
      <c r="E2257" s="104" t="s">
        <v>9831</v>
      </c>
      <c r="F2257" s="103" t="s">
        <v>4678</v>
      </c>
      <c r="G2257" s="103" t="s">
        <v>4679</v>
      </c>
      <c r="H2257" s="103" t="s">
        <v>11542</v>
      </c>
      <c r="I2257" s="103">
        <v>7458182.0</v>
      </c>
      <c r="J2257" s="104" t="s">
        <v>11543</v>
      </c>
      <c r="K2257" s="105"/>
      <c r="L2257" s="105"/>
    </row>
    <row r="2258">
      <c r="A2258" s="103" t="s">
        <v>4676</v>
      </c>
      <c r="B2258" s="103">
        <v>1.10012247E9</v>
      </c>
      <c r="C2258" s="105"/>
      <c r="D2258" s="104" t="s">
        <v>11544</v>
      </c>
      <c r="E2258" s="106"/>
      <c r="F2258" s="103" t="s">
        <v>4678</v>
      </c>
      <c r="G2258" s="103" t="s">
        <v>4679</v>
      </c>
      <c r="H2258" s="103" t="s">
        <v>11545</v>
      </c>
      <c r="I2258" s="103">
        <v>3.507256387E9</v>
      </c>
      <c r="J2258" s="104" t="s">
        <v>11546</v>
      </c>
      <c r="K2258" s="107" t="s">
        <v>11547</v>
      </c>
      <c r="L2258" s="105"/>
    </row>
    <row r="2259">
      <c r="A2259" s="103" t="s">
        <v>4676</v>
      </c>
      <c r="B2259" s="103">
        <v>1.10012247001E11</v>
      </c>
      <c r="C2259" s="105"/>
      <c r="D2259" s="104" t="s">
        <v>11544</v>
      </c>
      <c r="E2259" s="104" t="s">
        <v>11548</v>
      </c>
      <c r="F2259" s="103" t="s">
        <v>4678</v>
      </c>
      <c r="G2259" s="103" t="s">
        <v>4679</v>
      </c>
      <c r="H2259" s="103" t="s">
        <v>11549</v>
      </c>
      <c r="I2259" s="103">
        <v>3.507256387E9</v>
      </c>
      <c r="J2259" s="104" t="s">
        <v>11546</v>
      </c>
      <c r="K2259" s="105"/>
      <c r="L2259" s="105"/>
    </row>
    <row r="2260">
      <c r="A2260" s="103" t="s">
        <v>4676</v>
      </c>
      <c r="B2260" s="103">
        <v>1.100122519E9</v>
      </c>
      <c r="C2260" s="105"/>
      <c r="D2260" s="104" t="s">
        <v>11550</v>
      </c>
      <c r="E2260" s="106"/>
      <c r="F2260" s="103" t="s">
        <v>4678</v>
      </c>
      <c r="G2260" s="103" t="s">
        <v>4679</v>
      </c>
      <c r="H2260" s="103" t="s">
        <v>11551</v>
      </c>
      <c r="I2260" s="103" t="s">
        <v>11552</v>
      </c>
      <c r="J2260" s="104" t="s">
        <v>11553</v>
      </c>
      <c r="K2260" s="105"/>
      <c r="L2260" s="105"/>
    </row>
    <row r="2261">
      <c r="A2261" s="103" t="s">
        <v>4676</v>
      </c>
      <c r="B2261" s="103">
        <v>1.10012251901E11</v>
      </c>
      <c r="C2261" s="105"/>
      <c r="D2261" s="104" t="s">
        <v>11550</v>
      </c>
      <c r="E2261" s="104" t="s">
        <v>11554</v>
      </c>
      <c r="F2261" s="103" t="s">
        <v>4678</v>
      </c>
      <c r="G2261" s="103" t="s">
        <v>4679</v>
      </c>
      <c r="H2261" s="103" t="s">
        <v>11555</v>
      </c>
      <c r="I2261" s="103" t="s">
        <v>11552</v>
      </c>
      <c r="J2261" s="104" t="s">
        <v>11556</v>
      </c>
      <c r="K2261" s="105"/>
      <c r="L2261" s="105"/>
    </row>
    <row r="2262">
      <c r="A2262" s="103" t="s">
        <v>4676</v>
      </c>
      <c r="B2262" s="103">
        <v>1.100122523E9</v>
      </c>
      <c r="C2262" s="105"/>
      <c r="D2262" s="104" t="s">
        <v>11557</v>
      </c>
      <c r="E2262" s="106"/>
      <c r="F2262" s="103" t="s">
        <v>4678</v>
      </c>
      <c r="G2262" s="103" t="s">
        <v>4679</v>
      </c>
      <c r="H2262" s="103" t="s">
        <v>11558</v>
      </c>
      <c r="I2262" s="103" t="s">
        <v>11559</v>
      </c>
      <c r="J2262" s="104" t="s">
        <v>11560</v>
      </c>
      <c r="K2262" s="105"/>
      <c r="L2262" s="105"/>
    </row>
    <row r="2263">
      <c r="A2263" s="103" t="s">
        <v>4676</v>
      </c>
      <c r="B2263" s="103">
        <v>1.10012252301E11</v>
      </c>
      <c r="C2263" s="105"/>
      <c r="D2263" s="104" t="s">
        <v>11557</v>
      </c>
      <c r="E2263" s="104" t="s">
        <v>11561</v>
      </c>
      <c r="F2263" s="103" t="s">
        <v>4678</v>
      </c>
      <c r="G2263" s="103" t="s">
        <v>4679</v>
      </c>
      <c r="H2263" s="103" t="s">
        <v>11558</v>
      </c>
      <c r="I2263" s="103" t="s">
        <v>11562</v>
      </c>
      <c r="J2263" s="104" t="s">
        <v>11560</v>
      </c>
      <c r="K2263" s="105"/>
      <c r="L2263" s="105"/>
    </row>
    <row r="2264">
      <c r="A2264" s="103" t="s">
        <v>4676</v>
      </c>
      <c r="B2264" s="103">
        <v>1.100122556E9</v>
      </c>
      <c r="C2264" s="105"/>
      <c r="D2264" s="104" t="s">
        <v>11563</v>
      </c>
      <c r="E2264" s="106"/>
      <c r="F2264" s="103" t="s">
        <v>4678</v>
      </c>
      <c r="G2264" s="103" t="s">
        <v>4679</v>
      </c>
      <c r="H2264" s="103" t="s">
        <v>11564</v>
      </c>
      <c r="I2264" s="103" t="s">
        <v>11565</v>
      </c>
      <c r="J2264" s="104" t="s">
        <v>11566</v>
      </c>
      <c r="K2264" s="105"/>
      <c r="L2264" s="105"/>
    </row>
    <row r="2265">
      <c r="A2265" s="103" t="s">
        <v>4676</v>
      </c>
      <c r="B2265" s="103">
        <v>1.10012255601E11</v>
      </c>
      <c r="C2265" s="105"/>
      <c r="D2265" s="104" t="s">
        <v>11567</v>
      </c>
      <c r="E2265" s="104" t="s">
        <v>11568</v>
      </c>
      <c r="F2265" s="103" t="s">
        <v>4678</v>
      </c>
      <c r="G2265" s="103" t="s">
        <v>4679</v>
      </c>
      <c r="H2265" s="103" t="s">
        <v>11569</v>
      </c>
      <c r="I2265" s="103" t="s">
        <v>11565</v>
      </c>
      <c r="J2265" s="104" t="s">
        <v>11566</v>
      </c>
      <c r="K2265" s="105"/>
      <c r="L2265" s="105"/>
    </row>
    <row r="2266">
      <c r="A2266" s="103" t="s">
        <v>4676</v>
      </c>
      <c r="B2266" s="103">
        <v>1.10012258E9</v>
      </c>
      <c r="C2266" s="105"/>
      <c r="D2266" s="104" t="s">
        <v>11570</v>
      </c>
      <c r="E2266" s="106"/>
      <c r="F2266" s="103" t="s">
        <v>4678</v>
      </c>
      <c r="G2266" s="103" t="s">
        <v>4679</v>
      </c>
      <c r="H2266" s="103" t="s">
        <v>11571</v>
      </c>
      <c r="I2266" s="103">
        <v>3.203421864E9</v>
      </c>
      <c r="J2266" s="104" t="s">
        <v>11572</v>
      </c>
      <c r="K2266" s="107" t="s">
        <v>11573</v>
      </c>
      <c r="L2266" s="105"/>
    </row>
    <row r="2267">
      <c r="A2267" s="103" t="s">
        <v>4676</v>
      </c>
      <c r="B2267" s="103">
        <v>1.10012258001E11</v>
      </c>
      <c r="C2267" s="105"/>
      <c r="D2267" s="104" t="s">
        <v>11574</v>
      </c>
      <c r="E2267" s="104" t="s">
        <v>7453</v>
      </c>
      <c r="F2267" s="103" t="s">
        <v>4678</v>
      </c>
      <c r="G2267" s="103" t="s">
        <v>4679</v>
      </c>
      <c r="H2267" s="103" t="s">
        <v>11571</v>
      </c>
      <c r="I2267" s="103">
        <v>3611019.0</v>
      </c>
      <c r="J2267" s="104" t="s">
        <v>11575</v>
      </c>
      <c r="K2267" s="105"/>
      <c r="L2267" s="105"/>
    </row>
    <row r="2268">
      <c r="A2268" s="103" t="s">
        <v>4676</v>
      </c>
      <c r="B2268" s="103">
        <v>1.10012258003E11</v>
      </c>
      <c r="C2268" s="105"/>
      <c r="D2268" s="104" t="s">
        <v>11576</v>
      </c>
      <c r="E2268" s="104" t="s">
        <v>7453</v>
      </c>
      <c r="F2268" s="103" t="s">
        <v>4678</v>
      </c>
      <c r="G2268" s="103" t="s">
        <v>4679</v>
      </c>
      <c r="H2268" s="103" t="s">
        <v>11577</v>
      </c>
      <c r="I2268" s="103" t="s">
        <v>11578</v>
      </c>
      <c r="J2268" s="104" t="s">
        <v>11575</v>
      </c>
      <c r="K2268" s="105"/>
      <c r="L2268" s="105"/>
    </row>
    <row r="2269">
      <c r="A2269" s="103" t="s">
        <v>4676</v>
      </c>
      <c r="B2269" s="103">
        <v>1.10012258005E11</v>
      </c>
      <c r="C2269" s="105"/>
      <c r="D2269" s="104" t="s">
        <v>11579</v>
      </c>
      <c r="E2269" s="104" t="s">
        <v>11580</v>
      </c>
      <c r="F2269" s="103" t="s">
        <v>4678</v>
      </c>
      <c r="G2269" s="103" t="s">
        <v>4679</v>
      </c>
      <c r="H2269" s="103" t="s">
        <v>11581</v>
      </c>
      <c r="I2269" s="103">
        <v>3.203421864E9</v>
      </c>
      <c r="J2269" s="104" t="s">
        <v>11582</v>
      </c>
      <c r="K2269" s="105"/>
      <c r="L2269" s="105"/>
    </row>
    <row r="2270">
      <c r="A2270" s="103" t="s">
        <v>4676</v>
      </c>
      <c r="B2270" s="103">
        <v>1.100122627E9</v>
      </c>
      <c r="C2270" s="105"/>
      <c r="D2270" s="104" t="s">
        <v>11583</v>
      </c>
      <c r="E2270" s="106"/>
      <c r="F2270" s="103" t="s">
        <v>4678</v>
      </c>
      <c r="G2270" s="103" t="s">
        <v>4679</v>
      </c>
      <c r="H2270" s="103" t="s">
        <v>11584</v>
      </c>
      <c r="I2270" s="103" t="s">
        <v>11585</v>
      </c>
      <c r="J2270" s="104" t="s">
        <v>11586</v>
      </c>
      <c r="K2270" s="107" t="s">
        <v>11587</v>
      </c>
      <c r="L2270" s="105"/>
    </row>
    <row r="2271">
      <c r="A2271" s="103" t="s">
        <v>4676</v>
      </c>
      <c r="B2271" s="103">
        <v>1.10012262701E11</v>
      </c>
      <c r="C2271" s="105"/>
      <c r="D2271" s="104" t="s">
        <v>11588</v>
      </c>
      <c r="E2271" s="104" t="s">
        <v>11589</v>
      </c>
      <c r="F2271" s="103" t="s">
        <v>4678</v>
      </c>
      <c r="G2271" s="103" t="s">
        <v>4679</v>
      </c>
      <c r="H2271" s="103" t="s">
        <v>11590</v>
      </c>
      <c r="I2271" s="103" t="s">
        <v>11585</v>
      </c>
      <c r="J2271" s="104" t="s">
        <v>11586</v>
      </c>
      <c r="K2271" s="105"/>
      <c r="L2271" s="105"/>
    </row>
    <row r="2272">
      <c r="A2272" s="103" t="s">
        <v>4676</v>
      </c>
      <c r="B2272" s="103">
        <v>1.100122629E9</v>
      </c>
      <c r="C2272" s="105"/>
      <c r="D2272" s="104" t="s">
        <v>11591</v>
      </c>
      <c r="E2272" s="106"/>
      <c r="F2272" s="103" t="s">
        <v>4678</v>
      </c>
      <c r="G2272" s="103" t="s">
        <v>4679</v>
      </c>
      <c r="H2272" s="103" t="s">
        <v>11592</v>
      </c>
      <c r="I2272" s="103">
        <v>3.104629573E9</v>
      </c>
      <c r="J2272" s="104" t="s">
        <v>11593</v>
      </c>
      <c r="K2272" s="107" t="s">
        <v>11594</v>
      </c>
      <c r="L2272" s="105"/>
    </row>
    <row r="2273">
      <c r="A2273" s="103" t="s">
        <v>4676</v>
      </c>
      <c r="B2273" s="103">
        <v>1.10012262901E11</v>
      </c>
      <c r="C2273" s="105"/>
      <c r="D2273" s="104" t="s">
        <v>11591</v>
      </c>
      <c r="E2273" s="104" t="s">
        <v>11595</v>
      </c>
      <c r="F2273" s="103" t="s">
        <v>4678</v>
      </c>
      <c r="G2273" s="103" t="s">
        <v>4679</v>
      </c>
      <c r="H2273" s="103" t="s">
        <v>11596</v>
      </c>
      <c r="I2273" s="103">
        <v>3.104629573E9</v>
      </c>
      <c r="J2273" s="104" t="s">
        <v>11593</v>
      </c>
      <c r="K2273" s="105"/>
      <c r="L2273" s="105"/>
    </row>
    <row r="2274">
      <c r="A2274" s="103" t="s">
        <v>4676</v>
      </c>
      <c r="B2274" s="103">
        <v>1.10012264E9</v>
      </c>
      <c r="C2274" s="105"/>
      <c r="D2274" s="104" t="s">
        <v>11597</v>
      </c>
      <c r="E2274" s="106"/>
      <c r="F2274" s="103" t="s">
        <v>4678</v>
      </c>
      <c r="G2274" s="103" t="s">
        <v>4679</v>
      </c>
      <c r="H2274" s="103" t="s">
        <v>11598</v>
      </c>
      <c r="I2274" s="103">
        <v>3.163418786E9</v>
      </c>
      <c r="J2274" s="104" t="s">
        <v>11599</v>
      </c>
      <c r="K2274" s="105"/>
      <c r="L2274" s="105"/>
    </row>
    <row r="2275">
      <c r="A2275" s="103" t="s">
        <v>4676</v>
      </c>
      <c r="B2275" s="103">
        <v>1.10012264001E11</v>
      </c>
      <c r="C2275" s="105"/>
      <c r="D2275" s="104" t="s">
        <v>11600</v>
      </c>
      <c r="E2275" s="104" t="s">
        <v>11601</v>
      </c>
      <c r="F2275" s="103" t="s">
        <v>4678</v>
      </c>
      <c r="G2275" s="103" t="s">
        <v>4679</v>
      </c>
      <c r="H2275" s="103" t="s">
        <v>11598</v>
      </c>
      <c r="I2275" s="103">
        <v>3.163418786E9</v>
      </c>
      <c r="J2275" s="104" t="s">
        <v>11599</v>
      </c>
      <c r="K2275" s="105"/>
      <c r="L2275" s="105"/>
    </row>
    <row r="2276">
      <c r="A2276" s="103" t="s">
        <v>4676</v>
      </c>
      <c r="B2276" s="103">
        <v>1.100122649E9</v>
      </c>
      <c r="C2276" s="105"/>
      <c r="D2276" s="104" t="s">
        <v>11602</v>
      </c>
      <c r="E2276" s="106"/>
      <c r="F2276" s="103" t="s">
        <v>4678</v>
      </c>
      <c r="G2276" s="103" t="s">
        <v>4679</v>
      </c>
      <c r="H2276" s="103" t="s">
        <v>11603</v>
      </c>
      <c r="I2276" s="103" t="s">
        <v>11604</v>
      </c>
      <c r="J2276" s="104" t="s">
        <v>11605</v>
      </c>
      <c r="K2276" s="107" t="s">
        <v>11606</v>
      </c>
      <c r="L2276" s="105"/>
    </row>
    <row r="2277">
      <c r="A2277" s="103" t="s">
        <v>4676</v>
      </c>
      <c r="B2277" s="103">
        <v>1.10012264901E11</v>
      </c>
      <c r="C2277" s="105"/>
      <c r="D2277" s="104" t="s">
        <v>11602</v>
      </c>
      <c r="E2277" s="104" t="s">
        <v>11607</v>
      </c>
      <c r="F2277" s="103" t="s">
        <v>4678</v>
      </c>
      <c r="G2277" s="103" t="s">
        <v>4679</v>
      </c>
      <c r="H2277" s="103" t="s">
        <v>11608</v>
      </c>
      <c r="I2277" s="103" t="s">
        <v>11604</v>
      </c>
      <c r="J2277" s="104" t="s">
        <v>11609</v>
      </c>
      <c r="K2277" s="105"/>
      <c r="L2277" s="105"/>
    </row>
    <row r="2278">
      <c r="A2278" s="103" t="s">
        <v>4676</v>
      </c>
      <c r="B2278" s="103">
        <v>1.100122665E9</v>
      </c>
      <c r="C2278" s="105"/>
      <c r="D2278" s="104" t="s">
        <v>11610</v>
      </c>
      <c r="E2278" s="106"/>
      <c r="F2278" s="103" t="s">
        <v>4678</v>
      </c>
      <c r="G2278" s="103" t="s">
        <v>4679</v>
      </c>
      <c r="H2278" s="103" t="s">
        <v>11611</v>
      </c>
      <c r="I2278" s="103" t="s">
        <v>11612</v>
      </c>
      <c r="J2278" s="104" t="s">
        <v>11613</v>
      </c>
      <c r="K2278" s="105"/>
      <c r="L2278" s="105"/>
    </row>
    <row r="2279">
      <c r="A2279" s="103" t="s">
        <v>4676</v>
      </c>
      <c r="B2279" s="103">
        <v>1.10012266501E11</v>
      </c>
      <c r="C2279" s="105"/>
      <c r="D2279" s="104" t="s">
        <v>11614</v>
      </c>
      <c r="E2279" s="104" t="s">
        <v>11615</v>
      </c>
      <c r="F2279" s="103" t="s">
        <v>4678</v>
      </c>
      <c r="G2279" s="103" t="s">
        <v>4679</v>
      </c>
      <c r="H2279" s="103" t="s">
        <v>11616</v>
      </c>
      <c r="I2279" s="103">
        <v>6875458.0</v>
      </c>
      <c r="J2279" s="104" t="s">
        <v>11613</v>
      </c>
      <c r="K2279" s="105"/>
      <c r="L2279" s="105"/>
    </row>
    <row r="2280">
      <c r="A2280" s="103" t="s">
        <v>4676</v>
      </c>
      <c r="B2280" s="103">
        <v>1.10012266502E11</v>
      </c>
      <c r="C2280" s="105"/>
      <c r="D2280" s="104" t="s">
        <v>11614</v>
      </c>
      <c r="E2280" s="104" t="s">
        <v>11615</v>
      </c>
      <c r="F2280" s="103" t="s">
        <v>4678</v>
      </c>
      <c r="G2280" s="103" t="s">
        <v>4679</v>
      </c>
      <c r="H2280" s="103" t="s">
        <v>11617</v>
      </c>
      <c r="I2280" s="103">
        <v>6702515.0</v>
      </c>
      <c r="J2280" s="104" t="s">
        <v>11613</v>
      </c>
      <c r="K2280" s="105"/>
      <c r="L2280" s="105"/>
    </row>
    <row r="2281">
      <c r="A2281" s="103" t="s">
        <v>4676</v>
      </c>
      <c r="B2281" s="103">
        <v>1.10012266503E11</v>
      </c>
      <c r="C2281" s="105"/>
      <c r="D2281" s="104" t="s">
        <v>11614</v>
      </c>
      <c r="E2281" s="104" t="s">
        <v>11615</v>
      </c>
      <c r="F2281" s="103" t="s">
        <v>4678</v>
      </c>
      <c r="G2281" s="103" t="s">
        <v>4679</v>
      </c>
      <c r="H2281" s="103" t="s">
        <v>11618</v>
      </c>
      <c r="I2281" s="103">
        <v>2280696.0</v>
      </c>
      <c r="J2281" s="104" t="s">
        <v>11613</v>
      </c>
      <c r="K2281" s="105"/>
      <c r="L2281" s="105"/>
    </row>
    <row r="2282">
      <c r="A2282" s="103" t="s">
        <v>4676</v>
      </c>
      <c r="B2282" s="103">
        <v>1.10012266504E11</v>
      </c>
      <c r="C2282" s="105"/>
      <c r="D2282" s="104" t="s">
        <v>11614</v>
      </c>
      <c r="E2282" s="104" t="s">
        <v>11615</v>
      </c>
      <c r="F2282" s="103" t="s">
        <v>4678</v>
      </c>
      <c r="G2282" s="103" t="s">
        <v>4679</v>
      </c>
      <c r="H2282" s="103" t="s">
        <v>11619</v>
      </c>
      <c r="I2282" s="103">
        <v>4425172.0</v>
      </c>
      <c r="J2282" s="104" t="s">
        <v>11613</v>
      </c>
      <c r="K2282" s="105"/>
      <c r="L2282" s="105"/>
    </row>
    <row r="2283">
      <c r="A2283" s="103" t="s">
        <v>4676</v>
      </c>
      <c r="B2283" s="103">
        <v>1.10012266505E11</v>
      </c>
      <c r="C2283" s="105"/>
      <c r="D2283" s="104" t="s">
        <v>11620</v>
      </c>
      <c r="E2283" s="104" t="s">
        <v>11615</v>
      </c>
      <c r="F2283" s="103" t="s">
        <v>4678</v>
      </c>
      <c r="G2283" s="103" t="s">
        <v>4679</v>
      </c>
      <c r="H2283" s="103" t="s">
        <v>11621</v>
      </c>
      <c r="I2283" s="103">
        <v>3223902.0</v>
      </c>
      <c r="J2283" s="104" t="s">
        <v>11613</v>
      </c>
      <c r="K2283" s="105"/>
      <c r="L2283" s="105"/>
    </row>
    <row r="2284">
      <c r="A2284" s="103" t="s">
        <v>4676</v>
      </c>
      <c r="B2284" s="103">
        <v>1.10012266506E11</v>
      </c>
      <c r="C2284" s="105"/>
      <c r="D2284" s="104" t="s">
        <v>11614</v>
      </c>
      <c r="E2284" s="104" t="s">
        <v>11615</v>
      </c>
      <c r="F2284" s="103" t="s">
        <v>4678</v>
      </c>
      <c r="G2284" s="103" t="s">
        <v>4679</v>
      </c>
      <c r="H2284" s="103" t="s">
        <v>11622</v>
      </c>
      <c r="I2284" s="103">
        <v>7046194.0</v>
      </c>
      <c r="J2284" s="104" t="s">
        <v>11613</v>
      </c>
      <c r="K2284" s="105"/>
      <c r="L2284" s="105"/>
    </row>
    <row r="2285">
      <c r="A2285" s="103" t="s">
        <v>4676</v>
      </c>
      <c r="B2285" s="103">
        <v>1.10012266507E11</v>
      </c>
      <c r="C2285" s="105"/>
      <c r="D2285" s="104" t="s">
        <v>11614</v>
      </c>
      <c r="E2285" s="104" t="s">
        <v>11615</v>
      </c>
      <c r="F2285" s="103" t="s">
        <v>4678</v>
      </c>
      <c r="G2285" s="103" t="s">
        <v>4679</v>
      </c>
      <c r="H2285" s="103" t="s">
        <v>11623</v>
      </c>
      <c r="I2285" s="103" t="s">
        <v>11624</v>
      </c>
      <c r="J2285" s="104" t="s">
        <v>11613</v>
      </c>
      <c r="K2285" s="105"/>
      <c r="L2285" s="105"/>
    </row>
    <row r="2286">
      <c r="A2286" s="103" t="s">
        <v>4676</v>
      </c>
      <c r="B2286" s="103">
        <v>1.10012266508E11</v>
      </c>
      <c r="C2286" s="105"/>
      <c r="D2286" s="104" t="s">
        <v>11620</v>
      </c>
      <c r="E2286" s="104" t="s">
        <v>11615</v>
      </c>
      <c r="F2286" s="103" t="s">
        <v>4678</v>
      </c>
      <c r="G2286" s="103" t="s">
        <v>4679</v>
      </c>
      <c r="H2286" s="103" t="s">
        <v>11625</v>
      </c>
      <c r="I2286" s="103">
        <v>2825621.0</v>
      </c>
      <c r="J2286" s="104" t="s">
        <v>11613</v>
      </c>
      <c r="K2286" s="105"/>
      <c r="L2286" s="105"/>
    </row>
    <row r="2287">
      <c r="A2287" s="103" t="s">
        <v>4676</v>
      </c>
      <c r="B2287" s="103">
        <v>1.10012266511E11</v>
      </c>
      <c r="C2287" s="105"/>
      <c r="D2287" s="104" t="s">
        <v>11626</v>
      </c>
      <c r="E2287" s="104" t="s">
        <v>11615</v>
      </c>
      <c r="F2287" s="103" t="s">
        <v>4678</v>
      </c>
      <c r="G2287" s="103" t="s">
        <v>4679</v>
      </c>
      <c r="H2287" s="103" t="s">
        <v>11627</v>
      </c>
      <c r="I2287" s="103">
        <v>2825621.0</v>
      </c>
      <c r="J2287" s="104" t="s">
        <v>11613</v>
      </c>
      <c r="K2287" s="105"/>
      <c r="L2287" s="105"/>
    </row>
    <row r="2288">
      <c r="A2288" s="103" t="s">
        <v>4676</v>
      </c>
      <c r="B2288" s="103">
        <v>1.10012266512E11</v>
      </c>
      <c r="C2288" s="105"/>
      <c r="D2288" s="104" t="s">
        <v>11628</v>
      </c>
      <c r="E2288" s="104" t="s">
        <v>11615</v>
      </c>
      <c r="F2288" s="103" t="s">
        <v>4678</v>
      </c>
      <c r="G2288" s="103" t="s">
        <v>4679</v>
      </c>
      <c r="H2288" s="103" t="s">
        <v>11629</v>
      </c>
      <c r="I2288" s="103">
        <v>2825621.0</v>
      </c>
      <c r="J2288" s="104" t="s">
        <v>11613</v>
      </c>
      <c r="K2288" s="105"/>
      <c r="L2288" s="105"/>
    </row>
    <row r="2289">
      <c r="A2289" s="103" t="s">
        <v>4676</v>
      </c>
      <c r="B2289" s="103">
        <v>1.100122698E9</v>
      </c>
      <c r="C2289" s="105"/>
      <c r="D2289" s="104" t="s">
        <v>11630</v>
      </c>
      <c r="E2289" s="106"/>
      <c r="F2289" s="103" t="s">
        <v>4678</v>
      </c>
      <c r="G2289" s="103" t="s">
        <v>4679</v>
      </c>
      <c r="H2289" s="103" t="s">
        <v>11631</v>
      </c>
      <c r="I2289" s="103">
        <v>7454445.0</v>
      </c>
      <c r="J2289" s="104" t="s">
        <v>11632</v>
      </c>
      <c r="K2289" s="107" t="s">
        <v>11633</v>
      </c>
      <c r="L2289" s="105"/>
    </row>
    <row r="2290">
      <c r="A2290" s="103" t="s">
        <v>4676</v>
      </c>
      <c r="B2290" s="103">
        <v>1.10012269801E11</v>
      </c>
      <c r="C2290" s="105"/>
      <c r="D2290" s="104" t="s">
        <v>11634</v>
      </c>
      <c r="E2290" s="104" t="s">
        <v>11635</v>
      </c>
      <c r="F2290" s="103" t="s">
        <v>4678</v>
      </c>
      <c r="G2290" s="103" t="s">
        <v>4679</v>
      </c>
      <c r="H2290" s="103" t="s">
        <v>11631</v>
      </c>
      <c r="I2290" s="103">
        <v>7454445.0</v>
      </c>
      <c r="J2290" s="104" t="s">
        <v>11636</v>
      </c>
      <c r="K2290" s="105"/>
      <c r="L2290" s="105"/>
    </row>
    <row r="2291">
      <c r="A2291" s="103" t="s">
        <v>4676</v>
      </c>
      <c r="B2291" s="103">
        <v>1.100122726E9</v>
      </c>
      <c r="C2291" s="105"/>
      <c r="D2291" s="104" t="s">
        <v>11637</v>
      </c>
      <c r="E2291" s="106"/>
      <c r="F2291" s="103" t="s">
        <v>4678</v>
      </c>
      <c r="G2291" s="103" t="s">
        <v>4679</v>
      </c>
      <c r="H2291" s="103" t="s">
        <v>11638</v>
      </c>
      <c r="I2291" s="103" t="s">
        <v>11639</v>
      </c>
      <c r="J2291" s="104" t="s">
        <v>11640</v>
      </c>
      <c r="K2291" s="105"/>
      <c r="L2291" s="105"/>
    </row>
    <row r="2292">
      <c r="A2292" s="103" t="s">
        <v>4676</v>
      </c>
      <c r="B2292" s="103">
        <v>1.10012272601E11</v>
      </c>
      <c r="C2292" s="105"/>
      <c r="D2292" s="104" t="s">
        <v>11637</v>
      </c>
      <c r="E2292" s="104" t="s">
        <v>11641</v>
      </c>
      <c r="F2292" s="103" t="s">
        <v>4678</v>
      </c>
      <c r="G2292" s="103" t="s">
        <v>4679</v>
      </c>
      <c r="H2292" s="103" t="s">
        <v>11638</v>
      </c>
      <c r="I2292" s="103" t="s">
        <v>11639</v>
      </c>
      <c r="J2292" s="104" t="s">
        <v>11640</v>
      </c>
      <c r="K2292" s="105"/>
      <c r="L2292" s="105"/>
    </row>
    <row r="2293">
      <c r="A2293" s="103" t="s">
        <v>4676</v>
      </c>
      <c r="B2293" s="103">
        <v>1.100122733E9</v>
      </c>
      <c r="C2293" s="105"/>
      <c r="D2293" s="104" t="s">
        <v>11642</v>
      </c>
      <c r="E2293" s="106"/>
      <c r="F2293" s="103" t="s">
        <v>4678</v>
      </c>
      <c r="G2293" s="103" t="s">
        <v>4679</v>
      </c>
      <c r="H2293" s="103" t="s">
        <v>11643</v>
      </c>
      <c r="I2293" s="103" t="s">
        <v>11644</v>
      </c>
      <c r="J2293" s="104" t="s">
        <v>11645</v>
      </c>
      <c r="K2293" s="105"/>
      <c r="L2293" s="105"/>
    </row>
    <row r="2294">
      <c r="A2294" s="103" t="s">
        <v>4676</v>
      </c>
      <c r="B2294" s="103">
        <v>1.10012273301E11</v>
      </c>
      <c r="C2294" s="105"/>
      <c r="D2294" s="104" t="s">
        <v>11646</v>
      </c>
      <c r="E2294" s="104" t="s">
        <v>11647</v>
      </c>
      <c r="F2294" s="103" t="s">
        <v>4678</v>
      </c>
      <c r="G2294" s="103" t="s">
        <v>4679</v>
      </c>
      <c r="H2294" s="103" t="s">
        <v>11648</v>
      </c>
      <c r="I2294" s="103" t="s">
        <v>11649</v>
      </c>
      <c r="J2294" s="104" t="s">
        <v>11645</v>
      </c>
      <c r="K2294" s="105"/>
      <c r="L2294" s="105"/>
    </row>
    <row r="2295">
      <c r="A2295" s="103" t="s">
        <v>4676</v>
      </c>
      <c r="B2295" s="103">
        <v>1.100122741E9</v>
      </c>
      <c r="C2295" s="105"/>
      <c r="D2295" s="104" t="s">
        <v>11650</v>
      </c>
      <c r="E2295" s="106"/>
      <c r="F2295" s="103" t="s">
        <v>4678</v>
      </c>
      <c r="G2295" s="103" t="s">
        <v>4679</v>
      </c>
      <c r="H2295" s="103" t="s">
        <v>11651</v>
      </c>
      <c r="I2295" s="103" t="s">
        <v>11652</v>
      </c>
      <c r="J2295" s="104">
        <v>3.208484519E9</v>
      </c>
      <c r="K2295" s="107" t="s">
        <v>11653</v>
      </c>
      <c r="L2295" s="105"/>
    </row>
    <row r="2296">
      <c r="A2296" s="103" t="s">
        <v>4676</v>
      </c>
      <c r="B2296" s="103">
        <v>1.10012274101E11</v>
      </c>
      <c r="C2296" s="105"/>
      <c r="D2296" s="104" t="s">
        <v>11650</v>
      </c>
      <c r="E2296" s="104" t="s">
        <v>11654</v>
      </c>
      <c r="F2296" s="103" t="s">
        <v>4678</v>
      </c>
      <c r="G2296" s="103" t="s">
        <v>4679</v>
      </c>
      <c r="H2296" s="103" t="s">
        <v>11651</v>
      </c>
      <c r="I2296" s="103">
        <v>3.208484519E9</v>
      </c>
      <c r="J2296" s="104" t="s">
        <v>11652</v>
      </c>
      <c r="K2296" s="105"/>
      <c r="L2296" s="105"/>
    </row>
    <row r="2297">
      <c r="A2297" s="103" t="s">
        <v>4676</v>
      </c>
      <c r="B2297" s="103">
        <v>1.100122754E9</v>
      </c>
      <c r="C2297" s="105"/>
      <c r="D2297" s="104" t="s">
        <v>11655</v>
      </c>
      <c r="E2297" s="106"/>
      <c r="F2297" s="103" t="s">
        <v>4678</v>
      </c>
      <c r="G2297" s="103" t="s">
        <v>4679</v>
      </c>
      <c r="H2297" s="103" t="s">
        <v>11656</v>
      </c>
      <c r="I2297" s="103" t="s">
        <v>11657</v>
      </c>
      <c r="J2297" s="104" t="s">
        <v>11658</v>
      </c>
      <c r="K2297" s="105"/>
      <c r="L2297" s="105"/>
    </row>
    <row r="2298">
      <c r="A2298" s="103" t="s">
        <v>4676</v>
      </c>
      <c r="B2298" s="103">
        <v>1.10012275401E11</v>
      </c>
      <c r="C2298" s="105"/>
      <c r="D2298" s="104" t="s">
        <v>11655</v>
      </c>
      <c r="E2298" s="104" t="s">
        <v>11659</v>
      </c>
      <c r="F2298" s="103" t="s">
        <v>4678</v>
      </c>
      <c r="G2298" s="103" t="s">
        <v>4679</v>
      </c>
      <c r="H2298" s="103" t="s">
        <v>11656</v>
      </c>
      <c r="I2298" s="103" t="s">
        <v>11657</v>
      </c>
      <c r="J2298" s="104" t="s">
        <v>11658</v>
      </c>
      <c r="K2298" s="105"/>
      <c r="L2298" s="105"/>
    </row>
    <row r="2299">
      <c r="A2299" s="103" t="s">
        <v>4676</v>
      </c>
      <c r="B2299" s="103">
        <v>1.100122788E9</v>
      </c>
      <c r="C2299" s="105"/>
      <c r="D2299" s="104" t="s">
        <v>11660</v>
      </c>
      <c r="E2299" s="106"/>
      <c r="F2299" s="103" t="s">
        <v>4678</v>
      </c>
      <c r="G2299" s="103" t="s">
        <v>4679</v>
      </c>
      <c r="H2299" s="103" t="s">
        <v>11661</v>
      </c>
      <c r="I2299" s="103">
        <v>4308632.0</v>
      </c>
      <c r="J2299" s="104" t="s">
        <v>11662</v>
      </c>
      <c r="K2299" s="105"/>
      <c r="L2299" s="105"/>
    </row>
    <row r="2300">
      <c r="A2300" s="103" t="s">
        <v>4676</v>
      </c>
      <c r="B2300" s="103">
        <v>1.10012278801E11</v>
      </c>
      <c r="C2300" s="105"/>
      <c r="D2300" s="104" t="s">
        <v>11663</v>
      </c>
      <c r="E2300" s="104" t="s">
        <v>11664</v>
      </c>
      <c r="F2300" s="103" t="s">
        <v>4678</v>
      </c>
      <c r="G2300" s="103" t="s">
        <v>4679</v>
      </c>
      <c r="H2300" s="103" t="s">
        <v>11665</v>
      </c>
      <c r="I2300" s="103">
        <v>4308632.0</v>
      </c>
      <c r="J2300" s="104" t="s">
        <v>11662</v>
      </c>
      <c r="K2300" s="105"/>
      <c r="L2300" s="105"/>
    </row>
    <row r="2301">
      <c r="A2301" s="103" t="s">
        <v>4676</v>
      </c>
      <c r="B2301" s="103">
        <v>1.100122792E9</v>
      </c>
      <c r="C2301" s="105"/>
      <c r="D2301" s="104" t="s">
        <v>11666</v>
      </c>
      <c r="E2301" s="106"/>
      <c r="F2301" s="103" t="s">
        <v>4678</v>
      </c>
      <c r="G2301" s="103" t="s">
        <v>4679</v>
      </c>
      <c r="H2301" s="103" t="s">
        <v>11667</v>
      </c>
      <c r="I2301" s="103">
        <v>2567586.0</v>
      </c>
      <c r="J2301" s="104" t="s">
        <v>11668</v>
      </c>
      <c r="K2301" s="105"/>
      <c r="L2301" s="105"/>
    </row>
    <row r="2302">
      <c r="A2302" s="103" t="s">
        <v>4676</v>
      </c>
      <c r="B2302" s="103">
        <v>1.10012279201E11</v>
      </c>
      <c r="C2302" s="105"/>
      <c r="D2302" s="104" t="s">
        <v>11666</v>
      </c>
      <c r="E2302" s="104" t="s">
        <v>11669</v>
      </c>
      <c r="F2302" s="103" t="s">
        <v>4678</v>
      </c>
      <c r="G2302" s="103" t="s">
        <v>4679</v>
      </c>
      <c r="H2302" s="103" t="s">
        <v>11670</v>
      </c>
      <c r="I2302" s="103">
        <v>2567586.0</v>
      </c>
      <c r="J2302" s="104" t="s">
        <v>11668</v>
      </c>
      <c r="K2302" s="105"/>
      <c r="L2302" s="105"/>
    </row>
    <row r="2303">
      <c r="A2303" s="103" t="s">
        <v>4676</v>
      </c>
      <c r="B2303" s="103">
        <v>1.100122804E9</v>
      </c>
      <c r="C2303" s="105"/>
      <c r="D2303" s="104" t="s">
        <v>11671</v>
      </c>
      <c r="E2303" s="106"/>
      <c r="F2303" s="103" t="s">
        <v>4678</v>
      </c>
      <c r="G2303" s="103" t="s">
        <v>4679</v>
      </c>
      <c r="H2303" s="103" t="s">
        <v>11672</v>
      </c>
      <c r="I2303" s="103" t="s">
        <v>11673</v>
      </c>
      <c r="J2303" s="104" t="s">
        <v>11674</v>
      </c>
      <c r="K2303" s="107" t="s">
        <v>11675</v>
      </c>
      <c r="L2303" s="105"/>
    </row>
    <row r="2304">
      <c r="A2304" s="103" t="s">
        <v>4676</v>
      </c>
      <c r="B2304" s="103">
        <v>1.10012280401E11</v>
      </c>
      <c r="C2304" s="105"/>
      <c r="D2304" s="104" t="s">
        <v>11671</v>
      </c>
      <c r="E2304" s="104" t="s">
        <v>11676</v>
      </c>
      <c r="F2304" s="103" t="s">
        <v>4678</v>
      </c>
      <c r="G2304" s="103" t="s">
        <v>4679</v>
      </c>
      <c r="H2304" s="103" t="s">
        <v>11672</v>
      </c>
      <c r="I2304" s="103" t="s">
        <v>11673</v>
      </c>
      <c r="J2304" s="104" t="s">
        <v>11674</v>
      </c>
      <c r="K2304" s="105"/>
      <c r="L2304" s="105"/>
    </row>
    <row r="2305">
      <c r="A2305" s="103" t="s">
        <v>4676</v>
      </c>
      <c r="B2305" s="103">
        <v>1.100122807E9</v>
      </c>
      <c r="C2305" s="105"/>
      <c r="D2305" s="104" t="s">
        <v>11677</v>
      </c>
      <c r="E2305" s="106"/>
      <c r="F2305" s="103" t="s">
        <v>4678</v>
      </c>
      <c r="G2305" s="103" t="s">
        <v>4679</v>
      </c>
      <c r="H2305" s="103" t="s">
        <v>11678</v>
      </c>
      <c r="I2305" s="103">
        <v>4788401.0</v>
      </c>
      <c r="J2305" s="104" t="s">
        <v>11679</v>
      </c>
      <c r="K2305" s="105"/>
      <c r="L2305" s="105"/>
    </row>
    <row r="2306">
      <c r="A2306" s="103" t="s">
        <v>4676</v>
      </c>
      <c r="B2306" s="103">
        <v>1.10012280701E11</v>
      </c>
      <c r="C2306" s="105"/>
      <c r="D2306" s="104" t="s">
        <v>11677</v>
      </c>
      <c r="E2306" s="104" t="s">
        <v>11680</v>
      </c>
      <c r="F2306" s="103" t="s">
        <v>4678</v>
      </c>
      <c r="G2306" s="103" t="s">
        <v>4679</v>
      </c>
      <c r="H2306" s="103" t="s">
        <v>11678</v>
      </c>
      <c r="I2306" s="103">
        <v>8052448.0</v>
      </c>
      <c r="J2306" s="104" t="s">
        <v>11679</v>
      </c>
      <c r="K2306" s="105"/>
      <c r="L2306" s="105"/>
    </row>
    <row r="2307">
      <c r="A2307" s="103" t="s">
        <v>4676</v>
      </c>
      <c r="B2307" s="103">
        <v>1.100122816E9</v>
      </c>
      <c r="C2307" s="105"/>
      <c r="D2307" s="104" t="s">
        <v>11681</v>
      </c>
      <c r="E2307" s="106"/>
      <c r="F2307" s="103" t="s">
        <v>4678</v>
      </c>
      <c r="G2307" s="103" t="s">
        <v>4679</v>
      </c>
      <c r="H2307" s="103" t="s">
        <v>11682</v>
      </c>
      <c r="I2307" s="103">
        <v>6290391.0</v>
      </c>
      <c r="J2307" s="104" t="s">
        <v>11683</v>
      </c>
      <c r="K2307" s="105"/>
      <c r="L2307" s="105"/>
    </row>
    <row r="2308">
      <c r="A2308" s="103" t="s">
        <v>4676</v>
      </c>
      <c r="B2308" s="103">
        <v>1.10012281601E11</v>
      </c>
      <c r="C2308" s="105"/>
      <c r="D2308" s="104" t="s">
        <v>11684</v>
      </c>
      <c r="E2308" s="104" t="s">
        <v>11685</v>
      </c>
      <c r="F2308" s="103" t="s">
        <v>4678</v>
      </c>
      <c r="G2308" s="103" t="s">
        <v>4679</v>
      </c>
      <c r="H2308" s="103" t="s">
        <v>11686</v>
      </c>
      <c r="I2308" s="103">
        <v>6290391.0</v>
      </c>
      <c r="J2308" s="104" t="s">
        <v>11683</v>
      </c>
      <c r="K2308" s="105"/>
      <c r="L2308" s="105"/>
    </row>
    <row r="2309">
      <c r="A2309" s="103" t="s">
        <v>4676</v>
      </c>
      <c r="B2309" s="103">
        <v>1.100122818E9</v>
      </c>
      <c r="C2309" s="105"/>
      <c r="D2309" s="104" t="s">
        <v>11687</v>
      </c>
      <c r="E2309" s="106"/>
      <c r="F2309" s="103" t="s">
        <v>4678</v>
      </c>
      <c r="G2309" s="103" t="s">
        <v>4679</v>
      </c>
      <c r="H2309" s="103" t="s">
        <v>11688</v>
      </c>
      <c r="I2309" s="103">
        <v>4305943.0</v>
      </c>
      <c r="J2309" s="104" t="s">
        <v>11689</v>
      </c>
      <c r="K2309" s="105"/>
      <c r="L2309" s="105"/>
    </row>
    <row r="2310">
      <c r="A2310" s="103" t="s">
        <v>4676</v>
      </c>
      <c r="B2310" s="103">
        <v>1.10012281803E11</v>
      </c>
      <c r="C2310" s="105"/>
      <c r="D2310" s="104" t="s">
        <v>11690</v>
      </c>
      <c r="E2310" s="104" t="s">
        <v>11691</v>
      </c>
      <c r="F2310" s="103" t="s">
        <v>4678</v>
      </c>
      <c r="G2310" s="103" t="s">
        <v>4679</v>
      </c>
      <c r="H2310" s="103" t="s">
        <v>11692</v>
      </c>
      <c r="I2310" s="103">
        <v>4305943.0</v>
      </c>
      <c r="J2310" s="104" t="s">
        <v>11689</v>
      </c>
      <c r="K2310" s="105"/>
      <c r="L2310" s="105"/>
    </row>
    <row r="2311">
      <c r="A2311" s="103" t="s">
        <v>4676</v>
      </c>
      <c r="B2311" s="103">
        <v>1.10012281804E11</v>
      </c>
      <c r="C2311" s="105"/>
      <c r="D2311" s="104" t="s">
        <v>11693</v>
      </c>
      <c r="E2311" s="104" t="s">
        <v>11694</v>
      </c>
      <c r="F2311" s="103" t="s">
        <v>4678</v>
      </c>
      <c r="G2311" s="103" t="s">
        <v>4679</v>
      </c>
      <c r="H2311" s="103" t="s">
        <v>11695</v>
      </c>
      <c r="I2311" s="103">
        <v>6.014305943E9</v>
      </c>
      <c r="J2311" s="104" t="s">
        <v>11689</v>
      </c>
      <c r="K2311" s="105"/>
      <c r="L2311" s="105"/>
    </row>
    <row r="2312">
      <c r="A2312" s="103" t="s">
        <v>4676</v>
      </c>
      <c r="B2312" s="103">
        <v>1.100122857E9</v>
      </c>
      <c r="C2312" s="105"/>
      <c r="D2312" s="104" t="s">
        <v>11696</v>
      </c>
      <c r="E2312" s="106"/>
      <c r="F2312" s="103" t="s">
        <v>4678</v>
      </c>
      <c r="G2312" s="103" t="s">
        <v>4679</v>
      </c>
      <c r="H2312" s="103" t="s">
        <v>11697</v>
      </c>
      <c r="I2312" s="103" t="s">
        <v>11698</v>
      </c>
      <c r="J2312" s="104" t="s">
        <v>11699</v>
      </c>
      <c r="K2312" s="107" t="s">
        <v>11700</v>
      </c>
      <c r="L2312" s="105"/>
    </row>
    <row r="2313">
      <c r="A2313" s="103" t="s">
        <v>4676</v>
      </c>
      <c r="B2313" s="103">
        <v>1.10012285701E11</v>
      </c>
      <c r="C2313" s="105"/>
      <c r="D2313" s="104" t="s">
        <v>11701</v>
      </c>
      <c r="E2313" s="104" t="s">
        <v>11702</v>
      </c>
      <c r="F2313" s="103" t="s">
        <v>4678</v>
      </c>
      <c r="G2313" s="103" t="s">
        <v>4679</v>
      </c>
      <c r="H2313" s="103" t="s">
        <v>11703</v>
      </c>
      <c r="I2313" s="103" t="s">
        <v>11704</v>
      </c>
      <c r="J2313" s="104" t="s">
        <v>11705</v>
      </c>
      <c r="K2313" s="105"/>
      <c r="L2313" s="105"/>
    </row>
    <row r="2314">
      <c r="A2314" s="103" t="s">
        <v>4676</v>
      </c>
      <c r="B2314" s="103">
        <v>1.10012285702E11</v>
      </c>
      <c r="C2314" s="105"/>
      <c r="D2314" s="104" t="s">
        <v>11706</v>
      </c>
      <c r="E2314" s="104" t="s">
        <v>11707</v>
      </c>
      <c r="F2314" s="103" t="s">
        <v>4678</v>
      </c>
      <c r="G2314" s="103" t="s">
        <v>4679</v>
      </c>
      <c r="H2314" s="103" t="s">
        <v>11708</v>
      </c>
      <c r="I2314" s="103" t="s">
        <v>11709</v>
      </c>
      <c r="J2314" s="104" t="s">
        <v>11710</v>
      </c>
      <c r="K2314" s="105"/>
      <c r="L2314" s="105"/>
    </row>
    <row r="2315">
      <c r="A2315" s="103" t="s">
        <v>4676</v>
      </c>
      <c r="B2315" s="103">
        <v>1.100122871E9</v>
      </c>
      <c r="C2315" s="105"/>
      <c r="D2315" s="104" t="s">
        <v>11711</v>
      </c>
      <c r="E2315" s="106"/>
      <c r="F2315" s="103" t="s">
        <v>4678</v>
      </c>
      <c r="G2315" s="103" t="s">
        <v>4679</v>
      </c>
      <c r="H2315" s="103" t="s">
        <v>11712</v>
      </c>
      <c r="I2315" s="103" t="s">
        <v>11713</v>
      </c>
      <c r="J2315" s="104" t="s">
        <v>11714</v>
      </c>
      <c r="K2315" s="105"/>
      <c r="L2315" s="105"/>
    </row>
    <row r="2316">
      <c r="A2316" s="103" t="s">
        <v>4676</v>
      </c>
      <c r="B2316" s="103">
        <v>1.10012287101E11</v>
      </c>
      <c r="C2316" s="105"/>
      <c r="D2316" s="104" t="s">
        <v>11711</v>
      </c>
      <c r="E2316" s="104" t="s">
        <v>11715</v>
      </c>
      <c r="F2316" s="103" t="s">
        <v>4678</v>
      </c>
      <c r="G2316" s="103" t="s">
        <v>4679</v>
      </c>
      <c r="H2316" s="103" t="s">
        <v>11716</v>
      </c>
      <c r="I2316" s="103" t="s">
        <v>11713</v>
      </c>
      <c r="J2316" s="104" t="s">
        <v>11714</v>
      </c>
      <c r="K2316" s="105"/>
      <c r="L2316" s="105"/>
    </row>
    <row r="2317">
      <c r="A2317" s="103" t="s">
        <v>4676</v>
      </c>
      <c r="B2317" s="103">
        <v>1.100122917E9</v>
      </c>
      <c r="C2317" s="105"/>
      <c r="D2317" s="104" t="s">
        <v>11717</v>
      </c>
      <c r="E2317" s="106"/>
      <c r="F2317" s="103" t="s">
        <v>4678</v>
      </c>
      <c r="G2317" s="103" t="s">
        <v>4679</v>
      </c>
      <c r="H2317" s="103" t="s">
        <v>11718</v>
      </c>
      <c r="I2317" s="103" t="s">
        <v>11719</v>
      </c>
      <c r="J2317" s="104" t="s">
        <v>11720</v>
      </c>
      <c r="K2317" s="107" t="s">
        <v>11721</v>
      </c>
      <c r="L2317" s="105"/>
    </row>
    <row r="2318">
      <c r="A2318" s="103" t="s">
        <v>4676</v>
      </c>
      <c r="B2318" s="103">
        <v>1.10012291701E11</v>
      </c>
      <c r="C2318" s="105"/>
      <c r="D2318" s="104" t="s">
        <v>11722</v>
      </c>
      <c r="E2318" s="104" t="s">
        <v>11723</v>
      </c>
      <c r="F2318" s="103" t="s">
        <v>4678</v>
      </c>
      <c r="G2318" s="103" t="s">
        <v>4679</v>
      </c>
      <c r="H2318" s="103" t="s">
        <v>11724</v>
      </c>
      <c r="I2318" s="103" t="s">
        <v>11719</v>
      </c>
      <c r="J2318" s="104" t="s">
        <v>11720</v>
      </c>
      <c r="K2318" s="105"/>
      <c r="L2318" s="105"/>
    </row>
    <row r="2319">
      <c r="A2319" s="103" t="s">
        <v>4676</v>
      </c>
      <c r="B2319" s="103">
        <v>1.100122921E9</v>
      </c>
      <c r="C2319" s="105"/>
      <c r="D2319" s="104" t="s">
        <v>11725</v>
      </c>
      <c r="E2319" s="106"/>
      <c r="F2319" s="103" t="s">
        <v>4678</v>
      </c>
      <c r="G2319" s="103" t="s">
        <v>4679</v>
      </c>
      <c r="H2319" s="103" t="s">
        <v>11726</v>
      </c>
      <c r="I2319" s="103" t="s">
        <v>11727</v>
      </c>
      <c r="J2319" s="104" t="s">
        <v>11728</v>
      </c>
      <c r="K2319" s="105"/>
      <c r="L2319" s="105"/>
    </row>
    <row r="2320">
      <c r="A2320" s="103" t="s">
        <v>4676</v>
      </c>
      <c r="B2320" s="103">
        <v>1.10012292101E11</v>
      </c>
      <c r="C2320" s="105"/>
      <c r="D2320" s="104" t="s">
        <v>11729</v>
      </c>
      <c r="E2320" s="104" t="s">
        <v>11730</v>
      </c>
      <c r="F2320" s="103" t="s">
        <v>4678</v>
      </c>
      <c r="G2320" s="103" t="s">
        <v>4679</v>
      </c>
      <c r="H2320" s="103" t="s">
        <v>11726</v>
      </c>
      <c r="I2320" s="103" t="s">
        <v>11727</v>
      </c>
      <c r="J2320" s="104" t="s">
        <v>11728</v>
      </c>
      <c r="K2320" s="105"/>
      <c r="L2320" s="105"/>
    </row>
    <row r="2321">
      <c r="A2321" s="103" t="s">
        <v>4676</v>
      </c>
      <c r="B2321" s="103">
        <v>1.100122986E9</v>
      </c>
      <c r="C2321" s="105"/>
      <c r="D2321" s="104" t="s">
        <v>11731</v>
      </c>
      <c r="E2321" s="106"/>
      <c r="F2321" s="103" t="s">
        <v>4678</v>
      </c>
      <c r="G2321" s="103" t="s">
        <v>4679</v>
      </c>
      <c r="H2321" s="103" t="s">
        <v>11732</v>
      </c>
      <c r="I2321" s="103" t="s">
        <v>11733</v>
      </c>
      <c r="J2321" s="104" t="s">
        <v>11734</v>
      </c>
      <c r="K2321" s="105"/>
      <c r="L2321" s="105"/>
    </row>
    <row r="2322">
      <c r="A2322" s="103" t="s">
        <v>4676</v>
      </c>
      <c r="B2322" s="103">
        <v>1.10012298601E11</v>
      </c>
      <c r="C2322" s="105"/>
      <c r="D2322" s="104" t="s">
        <v>11731</v>
      </c>
      <c r="E2322" s="104" t="s">
        <v>11735</v>
      </c>
      <c r="F2322" s="103" t="s">
        <v>4678</v>
      </c>
      <c r="G2322" s="103" t="s">
        <v>4679</v>
      </c>
      <c r="H2322" s="103" t="s">
        <v>11736</v>
      </c>
      <c r="I2322" s="103" t="s">
        <v>11733</v>
      </c>
      <c r="J2322" s="104" t="s">
        <v>11734</v>
      </c>
      <c r="K2322" s="105"/>
      <c r="L2322" s="105"/>
    </row>
    <row r="2323">
      <c r="A2323" s="103" t="s">
        <v>4676</v>
      </c>
      <c r="B2323" s="103">
        <v>1.100123033E9</v>
      </c>
      <c r="C2323" s="105"/>
      <c r="D2323" s="104" t="s">
        <v>11737</v>
      </c>
      <c r="E2323" s="106"/>
      <c r="F2323" s="103" t="s">
        <v>4678</v>
      </c>
      <c r="G2323" s="103" t="s">
        <v>4679</v>
      </c>
      <c r="H2323" s="103" t="s">
        <v>11738</v>
      </c>
      <c r="I2323" s="103" t="s">
        <v>11739</v>
      </c>
      <c r="J2323" s="104" t="s">
        <v>11740</v>
      </c>
      <c r="K2323" s="105"/>
      <c r="L2323" s="105"/>
    </row>
    <row r="2324">
      <c r="A2324" s="103" t="s">
        <v>4676</v>
      </c>
      <c r="B2324" s="103">
        <v>1.10012303301E11</v>
      </c>
      <c r="C2324" s="105"/>
      <c r="D2324" s="104" t="s">
        <v>11741</v>
      </c>
      <c r="E2324" s="104" t="s">
        <v>11742</v>
      </c>
      <c r="F2324" s="103" t="s">
        <v>4678</v>
      </c>
      <c r="G2324" s="103" t="s">
        <v>4679</v>
      </c>
      <c r="H2324" s="103" t="s">
        <v>11743</v>
      </c>
      <c r="I2324" s="103" t="s">
        <v>11739</v>
      </c>
      <c r="J2324" s="104" t="s">
        <v>11740</v>
      </c>
      <c r="K2324" s="105"/>
      <c r="L2324" s="105"/>
    </row>
    <row r="2325">
      <c r="A2325" s="103" t="s">
        <v>4676</v>
      </c>
      <c r="B2325" s="103">
        <v>1.100123127E9</v>
      </c>
      <c r="C2325" s="105"/>
      <c r="D2325" s="104" t="s">
        <v>11744</v>
      </c>
      <c r="E2325" s="106"/>
      <c r="F2325" s="103" t="s">
        <v>4678</v>
      </c>
      <c r="G2325" s="103" t="s">
        <v>4679</v>
      </c>
      <c r="H2325" s="103" t="s">
        <v>11745</v>
      </c>
      <c r="I2325" s="103" t="s">
        <v>11746</v>
      </c>
      <c r="J2325" s="104" t="s">
        <v>11747</v>
      </c>
      <c r="K2325" s="105"/>
      <c r="L2325" s="105"/>
    </row>
    <row r="2326">
      <c r="A2326" s="103" t="s">
        <v>4676</v>
      </c>
      <c r="B2326" s="103">
        <v>1.10012312702E11</v>
      </c>
      <c r="C2326" s="105"/>
      <c r="D2326" s="104" t="s">
        <v>11748</v>
      </c>
      <c r="E2326" s="104" t="s">
        <v>11749</v>
      </c>
      <c r="F2326" s="103" t="s">
        <v>4678</v>
      </c>
      <c r="G2326" s="103" t="s">
        <v>4679</v>
      </c>
      <c r="H2326" s="103" t="s">
        <v>11745</v>
      </c>
      <c r="I2326" s="103" t="s">
        <v>11746</v>
      </c>
      <c r="J2326" s="104" t="s">
        <v>11747</v>
      </c>
      <c r="K2326" s="105"/>
      <c r="L2326" s="105"/>
    </row>
    <row r="2327">
      <c r="A2327" s="103" t="s">
        <v>4676</v>
      </c>
      <c r="B2327" s="103">
        <v>1.100123163E9</v>
      </c>
      <c r="C2327" s="105"/>
      <c r="D2327" s="104" t="s">
        <v>11750</v>
      </c>
      <c r="E2327" s="106"/>
      <c r="F2327" s="103" t="s">
        <v>4678</v>
      </c>
      <c r="G2327" s="103" t="s">
        <v>4679</v>
      </c>
      <c r="H2327" s="103" t="s">
        <v>11751</v>
      </c>
      <c r="I2327" s="103">
        <v>4484047.0</v>
      </c>
      <c r="J2327" s="104" t="s">
        <v>11752</v>
      </c>
      <c r="K2327" s="105"/>
      <c r="L2327" s="105"/>
    </row>
    <row r="2328">
      <c r="A2328" s="103" t="s">
        <v>4676</v>
      </c>
      <c r="B2328" s="103">
        <v>1.10012316301E11</v>
      </c>
      <c r="C2328" s="105"/>
      <c r="D2328" s="104" t="s">
        <v>11753</v>
      </c>
      <c r="E2328" s="104" t="s">
        <v>11754</v>
      </c>
      <c r="F2328" s="103" t="s">
        <v>4678</v>
      </c>
      <c r="G2328" s="103" t="s">
        <v>4679</v>
      </c>
      <c r="H2328" s="103" t="s">
        <v>11755</v>
      </c>
      <c r="I2328" s="103">
        <v>4031803.0</v>
      </c>
      <c r="J2328" s="104" t="s">
        <v>11756</v>
      </c>
      <c r="K2328" s="105"/>
      <c r="L2328" s="105"/>
    </row>
    <row r="2329">
      <c r="A2329" s="103" t="s">
        <v>4676</v>
      </c>
      <c r="B2329" s="103">
        <v>1.10012316302E11</v>
      </c>
      <c r="C2329" s="105"/>
      <c r="D2329" s="104" t="s">
        <v>11757</v>
      </c>
      <c r="E2329" s="104" t="s">
        <v>11754</v>
      </c>
      <c r="F2329" s="103" t="s">
        <v>4678</v>
      </c>
      <c r="G2329" s="103" t="s">
        <v>4679</v>
      </c>
      <c r="H2329" s="103" t="s">
        <v>11758</v>
      </c>
      <c r="I2329" s="103">
        <v>2730169.0</v>
      </c>
      <c r="J2329" s="104" t="s">
        <v>11756</v>
      </c>
      <c r="K2329" s="105"/>
      <c r="L2329" s="105"/>
    </row>
    <row r="2330">
      <c r="A2330" s="103" t="s">
        <v>4676</v>
      </c>
      <c r="B2330" s="103">
        <v>1.100123206E9</v>
      </c>
      <c r="C2330" s="105"/>
      <c r="D2330" s="104" t="s">
        <v>11759</v>
      </c>
      <c r="E2330" s="106"/>
      <c r="F2330" s="103" t="s">
        <v>4678</v>
      </c>
      <c r="G2330" s="103" t="s">
        <v>4679</v>
      </c>
      <c r="H2330" s="103" t="s">
        <v>11760</v>
      </c>
      <c r="I2330" s="103">
        <v>2358716.0</v>
      </c>
      <c r="J2330" s="104" t="s">
        <v>11761</v>
      </c>
      <c r="K2330" s="105"/>
      <c r="L2330" s="105"/>
    </row>
    <row r="2331">
      <c r="A2331" s="103" t="s">
        <v>4676</v>
      </c>
      <c r="B2331" s="103">
        <v>1.10012320601E11</v>
      </c>
      <c r="C2331" s="105"/>
      <c r="D2331" s="104" t="s">
        <v>11762</v>
      </c>
      <c r="E2331" s="104" t="s">
        <v>11763</v>
      </c>
      <c r="F2331" s="103" t="s">
        <v>4678</v>
      </c>
      <c r="G2331" s="103" t="s">
        <v>4679</v>
      </c>
      <c r="H2331" s="103" t="s">
        <v>11760</v>
      </c>
      <c r="I2331" s="103">
        <v>2358716.0</v>
      </c>
      <c r="J2331" s="104" t="s">
        <v>11761</v>
      </c>
      <c r="K2331" s="105"/>
      <c r="L2331" s="105"/>
    </row>
    <row r="2332">
      <c r="A2332" s="103" t="s">
        <v>4676</v>
      </c>
      <c r="B2332" s="103">
        <v>1.100123248E9</v>
      </c>
      <c r="C2332" s="105"/>
      <c r="D2332" s="104" t="s">
        <v>11764</v>
      </c>
      <c r="E2332" s="106"/>
      <c r="F2332" s="103" t="s">
        <v>4678</v>
      </c>
      <c r="G2332" s="103" t="s">
        <v>4679</v>
      </c>
      <c r="H2332" s="103" t="s">
        <v>11765</v>
      </c>
      <c r="I2332" s="103" t="s">
        <v>11766</v>
      </c>
      <c r="J2332" s="104" t="s">
        <v>11767</v>
      </c>
      <c r="K2332" s="105"/>
      <c r="L2332" s="105"/>
    </row>
    <row r="2333">
      <c r="A2333" s="103" t="s">
        <v>4676</v>
      </c>
      <c r="B2333" s="103">
        <v>1.10012324801E11</v>
      </c>
      <c r="C2333" s="105"/>
      <c r="D2333" s="104" t="s">
        <v>11764</v>
      </c>
      <c r="E2333" s="104" t="s">
        <v>11768</v>
      </c>
      <c r="F2333" s="103" t="s">
        <v>4678</v>
      </c>
      <c r="G2333" s="103" t="s">
        <v>4679</v>
      </c>
      <c r="H2333" s="103" t="s">
        <v>11765</v>
      </c>
      <c r="I2333" s="103" t="s">
        <v>11769</v>
      </c>
      <c r="J2333" s="104" t="s">
        <v>11767</v>
      </c>
      <c r="K2333" s="105"/>
      <c r="L2333" s="105"/>
    </row>
    <row r="2334">
      <c r="A2334" s="103" t="s">
        <v>4676</v>
      </c>
      <c r="B2334" s="103">
        <v>1.100123293E9</v>
      </c>
      <c r="C2334" s="105"/>
      <c r="D2334" s="104" t="s">
        <v>11770</v>
      </c>
      <c r="E2334" s="106"/>
      <c r="F2334" s="103" t="s">
        <v>4678</v>
      </c>
      <c r="G2334" s="103" t="s">
        <v>4679</v>
      </c>
      <c r="H2334" s="103" t="s">
        <v>11771</v>
      </c>
      <c r="I2334" s="103" t="s">
        <v>11772</v>
      </c>
      <c r="J2334" s="104" t="s">
        <v>11773</v>
      </c>
      <c r="K2334" s="107" t="s">
        <v>11774</v>
      </c>
      <c r="L2334" s="105"/>
    </row>
    <row r="2335">
      <c r="A2335" s="103" t="s">
        <v>4676</v>
      </c>
      <c r="B2335" s="103">
        <v>1.10012329301E11</v>
      </c>
      <c r="C2335" s="105"/>
      <c r="D2335" s="104" t="s">
        <v>11775</v>
      </c>
      <c r="E2335" s="104" t="s">
        <v>11776</v>
      </c>
      <c r="F2335" s="103" t="s">
        <v>4678</v>
      </c>
      <c r="G2335" s="103" t="s">
        <v>4679</v>
      </c>
      <c r="H2335" s="103" t="s">
        <v>11777</v>
      </c>
      <c r="I2335" s="103" t="s">
        <v>11772</v>
      </c>
      <c r="J2335" s="104" t="s">
        <v>11773</v>
      </c>
      <c r="K2335" s="105"/>
      <c r="L2335" s="105"/>
    </row>
    <row r="2336">
      <c r="A2336" s="103" t="s">
        <v>4676</v>
      </c>
      <c r="B2336" s="103">
        <v>1.10012329302E11</v>
      </c>
      <c r="C2336" s="105"/>
      <c r="D2336" s="104" t="s">
        <v>11778</v>
      </c>
      <c r="E2336" s="104" t="s">
        <v>11779</v>
      </c>
      <c r="F2336" s="103" t="s">
        <v>4678</v>
      </c>
      <c r="G2336" s="103" t="s">
        <v>4679</v>
      </c>
      <c r="H2336" s="103" t="s">
        <v>11780</v>
      </c>
      <c r="I2336" s="103" t="s">
        <v>11772</v>
      </c>
      <c r="J2336" s="104" t="s">
        <v>11773</v>
      </c>
      <c r="K2336" s="105"/>
      <c r="L2336" s="105"/>
    </row>
    <row r="2337">
      <c r="A2337" s="103" t="s">
        <v>4676</v>
      </c>
      <c r="B2337" s="103">
        <v>1.10012329303E11</v>
      </c>
      <c r="C2337" s="105"/>
      <c r="D2337" s="104" t="s">
        <v>11781</v>
      </c>
      <c r="E2337" s="104" t="s">
        <v>11782</v>
      </c>
      <c r="F2337" s="103" t="s">
        <v>4678</v>
      </c>
      <c r="G2337" s="103" t="s">
        <v>4679</v>
      </c>
      <c r="H2337" s="103" t="s">
        <v>11783</v>
      </c>
      <c r="I2337" s="103" t="s">
        <v>11772</v>
      </c>
      <c r="J2337" s="104" t="s">
        <v>11773</v>
      </c>
      <c r="K2337" s="105"/>
      <c r="L2337" s="105"/>
    </row>
    <row r="2338">
      <c r="A2338" s="103" t="s">
        <v>4676</v>
      </c>
      <c r="B2338" s="103">
        <v>1.10012329304E11</v>
      </c>
      <c r="C2338" s="105"/>
      <c r="D2338" s="104" t="s">
        <v>11784</v>
      </c>
      <c r="E2338" s="104" t="s">
        <v>11785</v>
      </c>
      <c r="F2338" s="103" t="s">
        <v>4678</v>
      </c>
      <c r="G2338" s="103" t="s">
        <v>4679</v>
      </c>
      <c r="H2338" s="103" t="s">
        <v>11786</v>
      </c>
      <c r="I2338" s="103" t="s">
        <v>11772</v>
      </c>
      <c r="J2338" s="104" t="s">
        <v>11773</v>
      </c>
      <c r="K2338" s="105"/>
      <c r="L2338" s="105"/>
    </row>
    <row r="2339">
      <c r="A2339" s="103" t="s">
        <v>4676</v>
      </c>
      <c r="B2339" s="103">
        <v>1.10012329305E11</v>
      </c>
      <c r="C2339" s="105"/>
      <c r="D2339" s="104" t="s">
        <v>11787</v>
      </c>
      <c r="E2339" s="104" t="s">
        <v>11779</v>
      </c>
      <c r="F2339" s="103" t="s">
        <v>4678</v>
      </c>
      <c r="G2339" s="103" t="s">
        <v>4679</v>
      </c>
      <c r="H2339" s="103" t="s">
        <v>11788</v>
      </c>
      <c r="I2339" s="103" t="s">
        <v>11772</v>
      </c>
      <c r="J2339" s="104" t="s">
        <v>11773</v>
      </c>
      <c r="K2339" s="105"/>
      <c r="L2339" s="105"/>
    </row>
    <row r="2340">
      <c r="A2340" s="103" t="s">
        <v>4676</v>
      </c>
      <c r="B2340" s="103">
        <v>1.10012329306E11</v>
      </c>
      <c r="C2340" s="105"/>
      <c r="D2340" s="104" t="s">
        <v>11789</v>
      </c>
      <c r="E2340" s="104" t="s">
        <v>11779</v>
      </c>
      <c r="F2340" s="103" t="s">
        <v>4678</v>
      </c>
      <c r="G2340" s="103" t="s">
        <v>4679</v>
      </c>
      <c r="H2340" s="103" t="s">
        <v>11790</v>
      </c>
      <c r="I2340" s="103" t="s">
        <v>11772</v>
      </c>
      <c r="J2340" s="104" t="s">
        <v>11773</v>
      </c>
      <c r="K2340" s="105"/>
      <c r="L2340" s="105"/>
    </row>
    <row r="2341">
      <c r="A2341" s="103" t="s">
        <v>4676</v>
      </c>
      <c r="B2341" s="103">
        <v>1.10012329307E11</v>
      </c>
      <c r="C2341" s="105"/>
      <c r="D2341" s="104" t="s">
        <v>11791</v>
      </c>
      <c r="E2341" s="104" t="s">
        <v>11776</v>
      </c>
      <c r="F2341" s="103" t="s">
        <v>4678</v>
      </c>
      <c r="G2341" s="103" t="s">
        <v>4679</v>
      </c>
      <c r="H2341" s="103" t="s">
        <v>11792</v>
      </c>
      <c r="I2341" s="103" t="s">
        <v>11772</v>
      </c>
      <c r="J2341" s="104" t="s">
        <v>11773</v>
      </c>
      <c r="K2341" s="105"/>
      <c r="L2341" s="105"/>
    </row>
    <row r="2342">
      <c r="A2342" s="103" t="s">
        <v>4676</v>
      </c>
      <c r="B2342" s="103">
        <v>1.10012329308E11</v>
      </c>
      <c r="C2342" s="105"/>
      <c r="D2342" s="104" t="s">
        <v>11793</v>
      </c>
      <c r="E2342" s="104" t="s">
        <v>11776</v>
      </c>
      <c r="F2342" s="103" t="s">
        <v>4678</v>
      </c>
      <c r="G2342" s="103" t="s">
        <v>4679</v>
      </c>
      <c r="H2342" s="103" t="s">
        <v>11794</v>
      </c>
      <c r="I2342" s="103" t="s">
        <v>11772</v>
      </c>
      <c r="J2342" s="104" t="s">
        <v>11773</v>
      </c>
      <c r="K2342" s="105"/>
      <c r="L2342" s="105"/>
    </row>
    <row r="2343">
      <c r="A2343" s="103" t="s">
        <v>4676</v>
      </c>
      <c r="B2343" s="103">
        <v>1.10012329309E11</v>
      </c>
      <c r="C2343" s="105"/>
      <c r="D2343" s="104" t="s">
        <v>11795</v>
      </c>
      <c r="E2343" s="104" t="s">
        <v>11776</v>
      </c>
      <c r="F2343" s="103" t="s">
        <v>4678</v>
      </c>
      <c r="G2343" s="103" t="s">
        <v>4679</v>
      </c>
      <c r="H2343" s="103" t="s">
        <v>11796</v>
      </c>
      <c r="I2343" s="103" t="s">
        <v>11772</v>
      </c>
      <c r="J2343" s="104" t="s">
        <v>11773</v>
      </c>
      <c r="K2343" s="105"/>
      <c r="L2343" s="105"/>
    </row>
    <row r="2344">
      <c r="A2344" s="103" t="s">
        <v>4676</v>
      </c>
      <c r="B2344" s="103">
        <v>1.1001232931E11</v>
      </c>
      <c r="C2344" s="105"/>
      <c r="D2344" s="104" t="s">
        <v>11797</v>
      </c>
      <c r="E2344" s="104" t="s">
        <v>11776</v>
      </c>
      <c r="F2344" s="103" t="s">
        <v>4678</v>
      </c>
      <c r="G2344" s="103" t="s">
        <v>4679</v>
      </c>
      <c r="H2344" s="103" t="s">
        <v>11798</v>
      </c>
      <c r="I2344" s="103" t="s">
        <v>11772</v>
      </c>
      <c r="J2344" s="104" t="s">
        <v>11773</v>
      </c>
      <c r="K2344" s="105"/>
      <c r="L2344" s="105"/>
    </row>
    <row r="2345">
      <c r="A2345" s="103" t="s">
        <v>4676</v>
      </c>
      <c r="B2345" s="103">
        <v>1.10012329311E11</v>
      </c>
      <c r="C2345" s="105"/>
      <c r="D2345" s="104" t="s">
        <v>11799</v>
      </c>
      <c r="E2345" s="104" t="s">
        <v>11800</v>
      </c>
      <c r="F2345" s="103" t="s">
        <v>4678</v>
      </c>
      <c r="G2345" s="103" t="s">
        <v>4679</v>
      </c>
      <c r="H2345" s="103" t="s">
        <v>11801</v>
      </c>
      <c r="I2345" s="103" t="s">
        <v>11802</v>
      </c>
      <c r="J2345" s="104" t="s">
        <v>11773</v>
      </c>
      <c r="K2345" s="105"/>
      <c r="L2345" s="105"/>
    </row>
    <row r="2346">
      <c r="A2346" s="103" t="s">
        <v>4676</v>
      </c>
      <c r="B2346" s="103">
        <v>1.100123368E9</v>
      </c>
      <c r="C2346" s="105"/>
      <c r="D2346" s="104" t="s">
        <v>11803</v>
      </c>
      <c r="E2346" s="106"/>
      <c r="F2346" s="103" t="s">
        <v>4678</v>
      </c>
      <c r="G2346" s="103" t="s">
        <v>4679</v>
      </c>
      <c r="H2346" s="103" t="s">
        <v>11804</v>
      </c>
      <c r="I2346" s="103" t="s">
        <v>11805</v>
      </c>
      <c r="J2346" s="104" t="s">
        <v>11806</v>
      </c>
      <c r="K2346" s="105"/>
      <c r="L2346" s="105"/>
    </row>
    <row r="2347">
      <c r="A2347" s="103" t="s">
        <v>4676</v>
      </c>
      <c r="B2347" s="103">
        <v>1.10012336801E11</v>
      </c>
      <c r="C2347" s="105"/>
      <c r="D2347" s="104" t="s">
        <v>11807</v>
      </c>
      <c r="E2347" s="104" t="s">
        <v>11808</v>
      </c>
      <c r="F2347" s="103" t="s">
        <v>4678</v>
      </c>
      <c r="G2347" s="103" t="s">
        <v>4679</v>
      </c>
      <c r="H2347" s="103" t="s">
        <v>11809</v>
      </c>
      <c r="I2347" s="103" t="s">
        <v>11810</v>
      </c>
      <c r="J2347" s="104" t="s">
        <v>11811</v>
      </c>
      <c r="K2347" s="105"/>
      <c r="L2347" s="105"/>
    </row>
    <row r="2348">
      <c r="A2348" s="103" t="s">
        <v>4676</v>
      </c>
      <c r="B2348" s="103">
        <v>1.10012337E9</v>
      </c>
      <c r="C2348" s="105"/>
      <c r="D2348" s="104" t="s">
        <v>11812</v>
      </c>
      <c r="E2348" s="106"/>
      <c r="F2348" s="103" t="s">
        <v>4678</v>
      </c>
      <c r="G2348" s="103" t="s">
        <v>4679</v>
      </c>
      <c r="H2348" s="103" t="s">
        <v>11813</v>
      </c>
      <c r="I2348" s="103" t="s">
        <v>11814</v>
      </c>
      <c r="J2348" s="104" t="s">
        <v>11815</v>
      </c>
      <c r="K2348" s="105"/>
      <c r="L2348" s="105"/>
    </row>
    <row r="2349">
      <c r="A2349" s="103" t="s">
        <v>4676</v>
      </c>
      <c r="B2349" s="103">
        <v>1.10012337001E11</v>
      </c>
      <c r="C2349" s="105"/>
      <c r="D2349" s="104" t="s">
        <v>11816</v>
      </c>
      <c r="E2349" s="104" t="s">
        <v>11817</v>
      </c>
      <c r="F2349" s="103" t="s">
        <v>4678</v>
      </c>
      <c r="G2349" s="103" t="s">
        <v>4679</v>
      </c>
      <c r="H2349" s="103" t="s">
        <v>11813</v>
      </c>
      <c r="I2349" s="103" t="s">
        <v>11814</v>
      </c>
      <c r="J2349" s="104" t="s">
        <v>11815</v>
      </c>
      <c r="K2349" s="105"/>
      <c r="L2349" s="105"/>
    </row>
    <row r="2350">
      <c r="A2350" s="103" t="s">
        <v>4676</v>
      </c>
      <c r="B2350" s="103">
        <v>1.100123371E9</v>
      </c>
      <c r="C2350" s="105"/>
      <c r="D2350" s="104" t="s">
        <v>11818</v>
      </c>
      <c r="E2350" s="106"/>
      <c r="F2350" s="103" t="s">
        <v>4678</v>
      </c>
      <c r="G2350" s="103" t="s">
        <v>4679</v>
      </c>
      <c r="H2350" s="103" t="s">
        <v>11819</v>
      </c>
      <c r="I2350" s="103" t="s">
        <v>11820</v>
      </c>
      <c r="J2350" s="104" t="s">
        <v>11821</v>
      </c>
      <c r="K2350" s="105"/>
      <c r="L2350" s="105"/>
    </row>
    <row r="2351">
      <c r="A2351" s="103" t="s">
        <v>4676</v>
      </c>
      <c r="B2351" s="103">
        <v>1.10012337101E11</v>
      </c>
      <c r="C2351" s="105"/>
      <c r="D2351" s="104" t="s">
        <v>11822</v>
      </c>
      <c r="E2351" s="104" t="s">
        <v>11823</v>
      </c>
      <c r="F2351" s="103" t="s">
        <v>4678</v>
      </c>
      <c r="G2351" s="103" t="s">
        <v>4679</v>
      </c>
      <c r="H2351" s="103" t="s">
        <v>11824</v>
      </c>
      <c r="I2351" s="103" t="s">
        <v>11820</v>
      </c>
      <c r="J2351" s="104" t="s">
        <v>11821</v>
      </c>
      <c r="K2351" s="105"/>
      <c r="L2351" s="105"/>
    </row>
    <row r="2352">
      <c r="A2352" s="103" t="s">
        <v>4676</v>
      </c>
      <c r="B2352" s="103">
        <v>1.10012337105E11</v>
      </c>
      <c r="C2352" s="105"/>
      <c r="D2352" s="104" t="s">
        <v>11825</v>
      </c>
      <c r="E2352" s="104" t="s">
        <v>11823</v>
      </c>
      <c r="F2352" s="103" t="s">
        <v>4678</v>
      </c>
      <c r="G2352" s="103" t="s">
        <v>4679</v>
      </c>
      <c r="H2352" s="103" t="s">
        <v>11826</v>
      </c>
      <c r="I2352" s="103">
        <v>6015111.0</v>
      </c>
      <c r="J2352" s="104" t="s">
        <v>11821</v>
      </c>
      <c r="K2352" s="105"/>
      <c r="L2352" s="105"/>
    </row>
    <row r="2353">
      <c r="A2353" s="103" t="s">
        <v>4676</v>
      </c>
      <c r="B2353" s="103">
        <v>1.10012337106E11</v>
      </c>
      <c r="C2353" s="105"/>
      <c r="D2353" s="104" t="s">
        <v>11827</v>
      </c>
      <c r="E2353" s="104" t="s">
        <v>11823</v>
      </c>
      <c r="F2353" s="103" t="s">
        <v>4678</v>
      </c>
      <c r="G2353" s="103" t="s">
        <v>4679</v>
      </c>
      <c r="H2353" s="103" t="s">
        <v>11828</v>
      </c>
      <c r="I2353" s="103">
        <v>6015111.0</v>
      </c>
      <c r="J2353" s="104" t="s">
        <v>11821</v>
      </c>
      <c r="K2353" s="105"/>
      <c r="L2353" s="105"/>
    </row>
    <row r="2354">
      <c r="A2354" s="103" t="s">
        <v>4676</v>
      </c>
      <c r="B2354" s="103">
        <v>1.10012337107E11</v>
      </c>
      <c r="C2354" s="105"/>
      <c r="D2354" s="104" t="s">
        <v>11829</v>
      </c>
      <c r="E2354" s="104" t="s">
        <v>11823</v>
      </c>
      <c r="F2354" s="103" t="s">
        <v>4678</v>
      </c>
      <c r="G2354" s="103" t="s">
        <v>4679</v>
      </c>
      <c r="H2354" s="103" t="s">
        <v>11830</v>
      </c>
      <c r="I2354" s="103">
        <v>6015111.0</v>
      </c>
      <c r="J2354" s="104" t="s">
        <v>11821</v>
      </c>
      <c r="K2354" s="105"/>
      <c r="L2354" s="105"/>
    </row>
    <row r="2355">
      <c r="A2355" s="103" t="s">
        <v>4676</v>
      </c>
      <c r="B2355" s="103">
        <v>1.100123379E9</v>
      </c>
      <c r="C2355" s="105"/>
      <c r="D2355" s="104" t="s">
        <v>11831</v>
      </c>
      <c r="E2355" s="106"/>
      <c r="F2355" s="103" t="s">
        <v>4678</v>
      </c>
      <c r="G2355" s="103" t="s">
        <v>4679</v>
      </c>
      <c r="H2355" s="103" t="s">
        <v>11832</v>
      </c>
      <c r="I2355" s="103">
        <v>3.222367982E9</v>
      </c>
      <c r="J2355" s="104" t="s">
        <v>11833</v>
      </c>
      <c r="K2355" s="105"/>
      <c r="L2355" s="105"/>
    </row>
    <row r="2356">
      <c r="A2356" s="103" t="s">
        <v>4676</v>
      </c>
      <c r="B2356" s="103">
        <v>1.10012337901E11</v>
      </c>
      <c r="C2356" s="105"/>
      <c r="D2356" s="104" t="s">
        <v>11834</v>
      </c>
      <c r="E2356" s="104" t="s">
        <v>11835</v>
      </c>
      <c r="F2356" s="103" t="s">
        <v>4678</v>
      </c>
      <c r="G2356" s="103" t="s">
        <v>4679</v>
      </c>
      <c r="H2356" s="103" t="s">
        <v>11832</v>
      </c>
      <c r="I2356" s="103">
        <v>6434139.0</v>
      </c>
      <c r="J2356" s="104" t="s">
        <v>11833</v>
      </c>
      <c r="K2356" s="105"/>
      <c r="L2356" s="105"/>
    </row>
    <row r="2357">
      <c r="A2357" s="103" t="s">
        <v>4676</v>
      </c>
      <c r="B2357" s="103">
        <v>1.100123408E9</v>
      </c>
      <c r="C2357" s="105"/>
      <c r="D2357" s="104" t="s">
        <v>11836</v>
      </c>
      <c r="E2357" s="106"/>
      <c r="F2357" s="103" t="s">
        <v>4678</v>
      </c>
      <c r="G2357" s="103" t="s">
        <v>4679</v>
      </c>
      <c r="H2357" s="103" t="s">
        <v>11837</v>
      </c>
      <c r="I2357" s="103">
        <v>2103227.0</v>
      </c>
      <c r="J2357" s="104" t="s">
        <v>11838</v>
      </c>
      <c r="K2357" s="107" t="s">
        <v>11839</v>
      </c>
      <c r="L2357" s="105"/>
    </row>
    <row r="2358">
      <c r="A2358" s="103" t="s">
        <v>4676</v>
      </c>
      <c r="B2358" s="103">
        <v>1.10012340801E11</v>
      </c>
      <c r="C2358" s="105"/>
      <c r="D2358" s="104" t="s">
        <v>11840</v>
      </c>
      <c r="E2358" s="104" t="s">
        <v>11841</v>
      </c>
      <c r="F2358" s="103" t="s">
        <v>4678</v>
      </c>
      <c r="G2358" s="103" t="s">
        <v>4679</v>
      </c>
      <c r="H2358" s="103" t="s">
        <v>11837</v>
      </c>
      <c r="I2358" s="103">
        <v>2103227.0</v>
      </c>
      <c r="J2358" s="104" t="s">
        <v>11838</v>
      </c>
      <c r="K2358" s="105"/>
      <c r="L2358" s="105"/>
    </row>
    <row r="2359">
      <c r="A2359" s="103" t="s">
        <v>4676</v>
      </c>
      <c r="B2359" s="103">
        <v>1.100123471E9</v>
      </c>
      <c r="C2359" s="105"/>
      <c r="D2359" s="104" t="s">
        <v>11842</v>
      </c>
      <c r="E2359" s="106"/>
      <c r="F2359" s="103" t="s">
        <v>4678</v>
      </c>
      <c r="G2359" s="103" t="s">
        <v>4679</v>
      </c>
      <c r="H2359" s="103" t="s">
        <v>11843</v>
      </c>
      <c r="I2359" s="103">
        <v>7460885.0</v>
      </c>
      <c r="J2359" s="104" t="s">
        <v>11844</v>
      </c>
      <c r="K2359" s="105"/>
      <c r="L2359" s="105"/>
    </row>
    <row r="2360">
      <c r="A2360" s="103" t="s">
        <v>4676</v>
      </c>
      <c r="B2360" s="103">
        <v>1.10012347106E11</v>
      </c>
      <c r="C2360" s="105"/>
      <c r="D2360" s="104" t="s">
        <v>11845</v>
      </c>
      <c r="E2360" s="104" t="s">
        <v>11846</v>
      </c>
      <c r="F2360" s="103" t="s">
        <v>4678</v>
      </c>
      <c r="G2360" s="103" t="s">
        <v>4679</v>
      </c>
      <c r="H2360" s="103" t="s">
        <v>11847</v>
      </c>
      <c r="I2360" s="103">
        <v>7460885.0</v>
      </c>
      <c r="J2360" s="104" t="s">
        <v>11844</v>
      </c>
      <c r="K2360" s="105"/>
      <c r="L2360" s="105"/>
    </row>
    <row r="2361">
      <c r="A2361" s="103" t="s">
        <v>4676</v>
      </c>
      <c r="B2361" s="103">
        <v>1.10012347108E11</v>
      </c>
      <c r="C2361" s="105"/>
      <c r="D2361" s="104" t="s">
        <v>11848</v>
      </c>
      <c r="E2361" s="104" t="s">
        <v>11846</v>
      </c>
      <c r="F2361" s="103" t="s">
        <v>4678</v>
      </c>
      <c r="G2361" s="103" t="s">
        <v>4679</v>
      </c>
      <c r="H2361" s="103" t="s">
        <v>11849</v>
      </c>
      <c r="I2361" s="103">
        <v>7460885.0</v>
      </c>
      <c r="J2361" s="104" t="s">
        <v>11844</v>
      </c>
      <c r="K2361" s="105"/>
      <c r="L2361" s="105"/>
    </row>
    <row r="2362">
      <c r="A2362" s="103" t="s">
        <v>4676</v>
      </c>
      <c r="B2362" s="103">
        <v>1.10012347109E11</v>
      </c>
      <c r="C2362" s="105"/>
      <c r="D2362" s="104" t="s">
        <v>11850</v>
      </c>
      <c r="E2362" s="104" t="s">
        <v>11846</v>
      </c>
      <c r="F2362" s="103" t="s">
        <v>4678</v>
      </c>
      <c r="G2362" s="103" t="s">
        <v>4679</v>
      </c>
      <c r="H2362" s="103" t="s">
        <v>11851</v>
      </c>
      <c r="I2362" s="103">
        <v>7460885.0</v>
      </c>
      <c r="J2362" s="104" t="s">
        <v>11844</v>
      </c>
      <c r="K2362" s="105"/>
      <c r="L2362" s="105"/>
    </row>
    <row r="2363">
      <c r="A2363" s="103" t="s">
        <v>4676</v>
      </c>
      <c r="B2363" s="103">
        <v>1.10012347111E11</v>
      </c>
      <c r="C2363" s="105"/>
      <c r="D2363" s="104" t="s">
        <v>11852</v>
      </c>
      <c r="E2363" s="104" t="s">
        <v>11846</v>
      </c>
      <c r="F2363" s="103" t="s">
        <v>4678</v>
      </c>
      <c r="G2363" s="103" t="s">
        <v>4679</v>
      </c>
      <c r="H2363" s="103" t="s">
        <v>11853</v>
      </c>
      <c r="I2363" s="103" t="s">
        <v>11854</v>
      </c>
      <c r="J2363" s="104" t="s">
        <v>11844</v>
      </c>
      <c r="K2363" s="105"/>
      <c r="L2363" s="105"/>
    </row>
    <row r="2364">
      <c r="A2364" s="103" t="s">
        <v>4676</v>
      </c>
      <c r="B2364" s="103">
        <v>1.10012347113E11</v>
      </c>
      <c r="C2364" s="105"/>
      <c r="D2364" s="104" t="s">
        <v>11855</v>
      </c>
      <c r="E2364" s="104" t="s">
        <v>11846</v>
      </c>
      <c r="F2364" s="103" t="s">
        <v>4678</v>
      </c>
      <c r="G2364" s="103" t="s">
        <v>4679</v>
      </c>
      <c r="H2364" s="103" t="s">
        <v>11856</v>
      </c>
      <c r="I2364" s="103">
        <v>7460885.0</v>
      </c>
      <c r="J2364" s="104" t="s">
        <v>11844</v>
      </c>
      <c r="K2364" s="105"/>
      <c r="L2364" s="105"/>
    </row>
    <row r="2365">
      <c r="A2365" s="103" t="s">
        <v>4676</v>
      </c>
      <c r="B2365" s="103">
        <v>1.100123474E9</v>
      </c>
      <c r="C2365" s="105"/>
      <c r="D2365" s="104" t="s">
        <v>11857</v>
      </c>
      <c r="E2365" s="106"/>
      <c r="F2365" s="103" t="s">
        <v>4678</v>
      </c>
      <c r="G2365" s="103" t="s">
        <v>4679</v>
      </c>
      <c r="H2365" s="103" t="s">
        <v>11858</v>
      </c>
      <c r="I2365" s="103">
        <v>3.208998158E9</v>
      </c>
      <c r="J2365" s="104" t="s">
        <v>11859</v>
      </c>
      <c r="K2365" s="105"/>
      <c r="L2365" s="105"/>
    </row>
    <row r="2366">
      <c r="A2366" s="103" t="s">
        <v>4676</v>
      </c>
      <c r="B2366" s="103">
        <v>1.10012347401E11</v>
      </c>
      <c r="C2366" s="105"/>
      <c r="D2366" s="104" t="s">
        <v>11860</v>
      </c>
      <c r="E2366" s="104" t="s">
        <v>11861</v>
      </c>
      <c r="F2366" s="103" t="s">
        <v>4678</v>
      </c>
      <c r="G2366" s="103" t="s">
        <v>4679</v>
      </c>
      <c r="H2366" s="103" t="s">
        <v>11862</v>
      </c>
      <c r="I2366" s="103">
        <v>7424943.0</v>
      </c>
      <c r="J2366" s="104" t="s">
        <v>11859</v>
      </c>
      <c r="K2366" s="105"/>
      <c r="L2366" s="105"/>
    </row>
    <row r="2367">
      <c r="A2367" s="103" t="s">
        <v>4676</v>
      </c>
      <c r="B2367" s="103">
        <v>1.10012347402E11</v>
      </c>
      <c r="C2367" s="105"/>
      <c r="D2367" s="104" t="s">
        <v>11863</v>
      </c>
      <c r="E2367" s="104" t="s">
        <v>11861</v>
      </c>
      <c r="F2367" s="103" t="s">
        <v>4678</v>
      </c>
      <c r="G2367" s="103" t="s">
        <v>4679</v>
      </c>
      <c r="H2367" s="103" t="s">
        <v>11864</v>
      </c>
      <c r="I2367" s="103">
        <v>7457660.0</v>
      </c>
      <c r="J2367" s="104" t="s">
        <v>11859</v>
      </c>
      <c r="K2367" s="105"/>
      <c r="L2367" s="105"/>
    </row>
    <row r="2368">
      <c r="A2368" s="103" t="s">
        <v>4676</v>
      </c>
      <c r="B2368" s="103">
        <v>1.10012347404E11</v>
      </c>
      <c r="C2368" s="105"/>
      <c r="D2368" s="104" t="s">
        <v>11865</v>
      </c>
      <c r="E2368" s="104" t="s">
        <v>11861</v>
      </c>
      <c r="F2368" s="103" t="s">
        <v>4678</v>
      </c>
      <c r="G2368" s="103" t="s">
        <v>4679</v>
      </c>
      <c r="H2368" s="103" t="s">
        <v>11866</v>
      </c>
      <c r="I2368" s="103" t="s">
        <v>11867</v>
      </c>
      <c r="J2368" s="104" t="s">
        <v>11859</v>
      </c>
      <c r="K2368" s="105"/>
      <c r="L2368" s="105"/>
    </row>
    <row r="2369">
      <c r="A2369" s="103" t="s">
        <v>4676</v>
      </c>
      <c r="B2369" s="103">
        <v>1.10012347405E11</v>
      </c>
      <c r="C2369" s="105"/>
      <c r="D2369" s="104" t="s">
        <v>11868</v>
      </c>
      <c r="E2369" s="104" t="s">
        <v>11861</v>
      </c>
      <c r="F2369" s="103" t="s">
        <v>4678</v>
      </c>
      <c r="G2369" s="103" t="s">
        <v>4679</v>
      </c>
      <c r="H2369" s="103" t="s">
        <v>11869</v>
      </c>
      <c r="I2369" s="103">
        <v>3136600.0</v>
      </c>
      <c r="J2369" s="104" t="s">
        <v>11859</v>
      </c>
      <c r="K2369" s="105"/>
      <c r="L2369" s="105"/>
    </row>
    <row r="2370">
      <c r="A2370" s="103" t="s">
        <v>4676</v>
      </c>
      <c r="B2370" s="103">
        <v>1.10012347407E11</v>
      </c>
      <c r="C2370" s="105"/>
      <c r="D2370" s="104" t="s">
        <v>11870</v>
      </c>
      <c r="E2370" s="104" t="s">
        <v>11861</v>
      </c>
      <c r="F2370" s="103" t="s">
        <v>4678</v>
      </c>
      <c r="G2370" s="103" t="s">
        <v>4679</v>
      </c>
      <c r="H2370" s="103" t="s">
        <v>11871</v>
      </c>
      <c r="I2370" s="103">
        <v>5924501.0</v>
      </c>
      <c r="J2370" s="104" t="s">
        <v>11859</v>
      </c>
      <c r="K2370" s="105"/>
      <c r="L2370" s="105"/>
    </row>
    <row r="2371">
      <c r="A2371" s="103" t="s">
        <v>4676</v>
      </c>
      <c r="B2371" s="103">
        <v>1.10012347408E11</v>
      </c>
      <c r="C2371" s="105"/>
      <c r="D2371" s="104" t="s">
        <v>11872</v>
      </c>
      <c r="E2371" s="104" t="s">
        <v>11873</v>
      </c>
      <c r="F2371" s="103" t="s">
        <v>4678</v>
      </c>
      <c r="G2371" s="103" t="s">
        <v>4679</v>
      </c>
      <c r="H2371" s="103" t="s">
        <v>11874</v>
      </c>
      <c r="I2371" s="103">
        <v>8056098.0</v>
      </c>
      <c r="J2371" s="104" t="s">
        <v>11859</v>
      </c>
      <c r="K2371" s="105"/>
      <c r="L2371" s="105"/>
    </row>
    <row r="2372">
      <c r="A2372" s="103" t="s">
        <v>4676</v>
      </c>
      <c r="B2372" s="103">
        <v>1.100123566E9</v>
      </c>
      <c r="C2372" s="105"/>
      <c r="D2372" s="104" t="s">
        <v>11875</v>
      </c>
      <c r="E2372" s="106"/>
      <c r="F2372" s="103" t="s">
        <v>4678</v>
      </c>
      <c r="G2372" s="103" t="s">
        <v>4679</v>
      </c>
      <c r="H2372" s="103" t="s">
        <v>11876</v>
      </c>
      <c r="I2372" s="103" t="s">
        <v>11877</v>
      </c>
      <c r="J2372" s="104" t="s">
        <v>11878</v>
      </c>
      <c r="K2372" s="107" t="s">
        <v>11879</v>
      </c>
      <c r="L2372" s="105"/>
    </row>
    <row r="2373">
      <c r="A2373" s="103" t="s">
        <v>4676</v>
      </c>
      <c r="B2373" s="103">
        <v>1.10012356601E11</v>
      </c>
      <c r="C2373" s="105"/>
      <c r="D2373" s="104" t="s">
        <v>11880</v>
      </c>
      <c r="E2373" s="104" t="s">
        <v>11881</v>
      </c>
      <c r="F2373" s="103" t="s">
        <v>4678</v>
      </c>
      <c r="G2373" s="103" t="s">
        <v>4679</v>
      </c>
      <c r="H2373" s="103" t="s">
        <v>11882</v>
      </c>
      <c r="I2373" s="103" t="s">
        <v>11883</v>
      </c>
      <c r="J2373" s="104" t="s">
        <v>11878</v>
      </c>
      <c r="K2373" s="105"/>
      <c r="L2373" s="105"/>
    </row>
    <row r="2374">
      <c r="A2374" s="103" t="s">
        <v>4676</v>
      </c>
      <c r="B2374" s="103">
        <v>1.100123579E9</v>
      </c>
      <c r="C2374" s="105"/>
      <c r="D2374" s="104" t="s">
        <v>11884</v>
      </c>
      <c r="E2374" s="106"/>
      <c r="F2374" s="103" t="s">
        <v>4678</v>
      </c>
      <c r="G2374" s="103" t="s">
        <v>4679</v>
      </c>
      <c r="H2374" s="103" t="s">
        <v>11885</v>
      </c>
      <c r="I2374" s="103" t="s">
        <v>11886</v>
      </c>
      <c r="J2374" s="104" t="s">
        <v>11887</v>
      </c>
      <c r="K2374" s="107" t="s">
        <v>11888</v>
      </c>
      <c r="L2374" s="105"/>
    </row>
    <row r="2375">
      <c r="A2375" s="103" t="s">
        <v>4676</v>
      </c>
      <c r="B2375" s="103">
        <v>1.10012357902E11</v>
      </c>
      <c r="C2375" s="105"/>
      <c r="D2375" s="104" t="s">
        <v>11889</v>
      </c>
      <c r="E2375" s="104" t="s">
        <v>11890</v>
      </c>
      <c r="F2375" s="103" t="s">
        <v>4678</v>
      </c>
      <c r="G2375" s="103" t="s">
        <v>4679</v>
      </c>
      <c r="H2375" s="103" t="s">
        <v>11885</v>
      </c>
      <c r="I2375" s="103">
        <v>5802828.0</v>
      </c>
      <c r="J2375" s="104" t="s">
        <v>11887</v>
      </c>
      <c r="K2375" s="105"/>
      <c r="L2375" s="105"/>
    </row>
    <row r="2376">
      <c r="A2376" s="103" t="s">
        <v>4676</v>
      </c>
      <c r="B2376" s="103">
        <v>1.100123699E9</v>
      </c>
      <c r="C2376" s="105"/>
      <c r="D2376" s="104" t="s">
        <v>11891</v>
      </c>
      <c r="E2376" s="106"/>
      <c r="F2376" s="103" t="s">
        <v>4678</v>
      </c>
      <c r="G2376" s="103" t="s">
        <v>4679</v>
      </c>
      <c r="H2376" s="103" t="s">
        <v>11892</v>
      </c>
      <c r="I2376" s="103" t="s">
        <v>11893</v>
      </c>
      <c r="J2376" s="104" t="s">
        <v>11894</v>
      </c>
      <c r="K2376" s="107" t="s">
        <v>11895</v>
      </c>
      <c r="L2376" s="105"/>
    </row>
    <row r="2377">
      <c r="A2377" s="103" t="s">
        <v>4676</v>
      </c>
      <c r="B2377" s="103">
        <v>1.10012369901E11</v>
      </c>
      <c r="C2377" s="105"/>
      <c r="D2377" s="104" t="s">
        <v>11891</v>
      </c>
      <c r="E2377" s="104" t="s">
        <v>11896</v>
      </c>
      <c r="F2377" s="103" t="s">
        <v>4678</v>
      </c>
      <c r="G2377" s="103" t="s">
        <v>4679</v>
      </c>
      <c r="H2377" s="103" t="s">
        <v>11897</v>
      </c>
      <c r="I2377" s="103" t="s">
        <v>11893</v>
      </c>
      <c r="J2377" s="104" t="s">
        <v>11894</v>
      </c>
      <c r="K2377" s="105"/>
      <c r="L2377" s="105"/>
    </row>
    <row r="2378">
      <c r="A2378" s="103" t="s">
        <v>4676</v>
      </c>
      <c r="B2378" s="103">
        <v>1.100123765E9</v>
      </c>
      <c r="C2378" s="105"/>
      <c r="D2378" s="104" t="s">
        <v>11898</v>
      </c>
      <c r="E2378" s="106"/>
      <c r="F2378" s="103" t="s">
        <v>4678</v>
      </c>
      <c r="G2378" s="103" t="s">
        <v>4679</v>
      </c>
      <c r="H2378" s="103" t="s">
        <v>11899</v>
      </c>
      <c r="I2378" s="103" t="s">
        <v>11900</v>
      </c>
      <c r="J2378" s="104" t="s">
        <v>11901</v>
      </c>
      <c r="K2378" s="107" t="s">
        <v>11902</v>
      </c>
      <c r="L2378" s="105"/>
    </row>
    <row r="2379">
      <c r="A2379" s="103" t="s">
        <v>4676</v>
      </c>
      <c r="B2379" s="103">
        <v>1.10012376501E11</v>
      </c>
      <c r="C2379" s="105"/>
      <c r="D2379" s="104" t="s">
        <v>11903</v>
      </c>
      <c r="E2379" s="104" t="s">
        <v>11904</v>
      </c>
      <c r="F2379" s="103" t="s">
        <v>4678</v>
      </c>
      <c r="G2379" s="103" t="s">
        <v>4679</v>
      </c>
      <c r="H2379" s="103" t="s">
        <v>11899</v>
      </c>
      <c r="I2379" s="103" t="s">
        <v>11905</v>
      </c>
      <c r="J2379" s="104" t="s">
        <v>11906</v>
      </c>
      <c r="K2379" s="105"/>
      <c r="L2379" s="105"/>
    </row>
    <row r="2380">
      <c r="A2380" s="103" t="s">
        <v>4676</v>
      </c>
      <c r="B2380" s="103">
        <v>1.100123781E9</v>
      </c>
      <c r="C2380" s="105"/>
      <c r="D2380" s="104" t="s">
        <v>11907</v>
      </c>
      <c r="E2380" s="106"/>
      <c r="F2380" s="103" t="s">
        <v>4678</v>
      </c>
      <c r="G2380" s="103" t="s">
        <v>4679</v>
      </c>
      <c r="H2380" s="103" t="s">
        <v>11908</v>
      </c>
      <c r="I2380" s="103" t="s">
        <v>11909</v>
      </c>
      <c r="J2380" s="104" t="s">
        <v>11910</v>
      </c>
      <c r="K2380" s="107" t="s">
        <v>11911</v>
      </c>
      <c r="L2380" s="105"/>
    </row>
    <row r="2381">
      <c r="A2381" s="103" t="s">
        <v>4676</v>
      </c>
      <c r="B2381" s="103">
        <v>1.10012378101E11</v>
      </c>
      <c r="C2381" s="105"/>
      <c r="D2381" s="104" t="s">
        <v>11912</v>
      </c>
      <c r="E2381" s="104" t="s">
        <v>11913</v>
      </c>
      <c r="F2381" s="103" t="s">
        <v>4678</v>
      </c>
      <c r="G2381" s="103" t="s">
        <v>4679</v>
      </c>
      <c r="H2381" s="103" t="s">
        <v>11908</v>
      </c>
      <c r="I2381" s="103" t="s">
        <v>11914</v>
      </c>
      <c r="J2381" s="104" t="s">
        <v>11910</v>
      </c>
      <c r="K2381" s="105"/>
      <c r="L2381" s="105"/>
    </row>
    <row r="2382">
      <c r="A2382" s="103" t="s">
        <v>4676</v>
      </c>
      <c r="B2382" s="103">
        <v>1.100123784E9</v>
      </c>
      <c r="C2382" s="105"/>
      <c r="D2382" s="104" t="s">
        <v>11915</v>
      </c>
      <c r="E2382" s="106"/>
      <c r="F2382" s="103" t="s">
        <v>4678</v>
      </c>
      <c r="G2382" s="103" t="s">
        <v>4679</v>
      </c>
      <c r="H2382" s="103" t="s">
        <v>11916</v>
      </c>
      <c r="I2382" s="103">
        <v>3003602.0</v>
      </c>
      <c r="J2382" s="104" t="s">
        <v>11917</v>
      </c>
      <c r="K2382" s="105"/>
      <c r="L2382" s="105"/>
    </row>
    <row r="2383">
      <c r="A2383" s="103" t="s">
        <v>4676</v>
      </c>
      <c r="B2383" s="103">
        <v>1.10012378401E11</v>
      </c>
      <c r="C2383" s="105"/>
      <c r="D2383" s="104" t="s">
        <v>11915</v>
      </c>
      <c r="E2383" s="104" t="s">
        <v>11918</v>
      </c>
      <c r="F2383" s="103" t="s">
        <v>4678</v>
      </c>
      <c r="G2383" s="103" t="s">
        <v>4679</v>
      </c>
      <c r="H2383" s="103" t="s">
        <v>11919</v>
      </c>
      <c r="I2383" s="103">
        <v>6.015353597E9</v>
      </c>
      <c r="J2383" s="104" t="s">
        <v>11917</v>
      </c>
      <c r="K2383" s="105"/>
      <c r="L2383" s="105"/>
    </row>
    <row r="2384">
      <c r="A2384" s="103" t="s">
        <v>4676</v>
      </c>
      <c r="B2384" s="103">
        <v>1.100123815E9</v>
      </c>
      <c r="C2384" s="105"/>
      <c r="D2384" s="104" t="s">
        <v>11920</v>
      </c>
      <c r="E2384" s="106"/>
      <c r="F2384" s="103" t="s">
        <v>4678</v>
      </c>
      <c r="G2384" s="103" t="s">
        <v>4679</v>
      </c>
      <c r="H2384" s="103" t="s">
        <v>11921</v>
      </c>
      <c r="I2384" s="103">
        <v>6706990.0</v>
      </c>
      <c r="J2384" s="104" t="s">
        <v>11922</v>
      </c>
      <c r="K2384" s="105"/>
      <c r="L2384" s="105"/>
    </row>
    <row r="2385">
      <c r="A2385" s="103" t="s">
        <v>4676</v>
      </c>
      <c r="B2385" s="103">
        <v>1.10012381501E11</v>
      </c>
      <c r="C2385" s="105"/>
      <c r="D2385" s="104" t="s">
        <v>11923</v>
      </c>
      <c r="E2385" s="104" t="s">
        <v>11924</v>
      </c>
      <c r="F2385" s="103" t="s">
        <v>4678</v>
      </c>
      <c r="G2385" s="103" t="s">
        <v>4679</v>
      </c>
      <c r="H2385" s="103" t="s">
        <v>11925</v>
      </c>
      <c r="I2385" s="103">
        <v>6706990.0</v>
      </c>
      <c r="J2385" s="104" t="s">
        <v>11922</v>
      </c>
      <c r="K2385" s="105"/>
      <c r="L2385" s="105"/>
    </row>
    <row r="2386">
      <c r="A2386" s="103" t="s">
        <v>4676</v>
      </c>
      <c r="B2386" s="103">
        <v>1.10012381502E11</v>
      </c>
      <c r="C2386" s="105"/>
      <c r="D2386" s="104" t="s">
        <v>11926</v>
      </c>
      <c r="E2386" s="104" t="s">
        <v>11924</v>
      </c>
      <c r="F2386" s="103" t="s">
        <v>4678</v>
      </c>
      <c r="G2386" s="103" t="s">
        <v>4679</v>
      </c>
      <c r="H2386" s="103" t="s">
        <v>11927</v>
      </c>
      <c r="I2386" s="103">
        <v>6706990.0</v>
      </c>
      <c r="J2386" s="104" t="s">
        <v>11922</v>
      </c>
      <c r="K2386" s="105"/>
      <c r="L2386" s="105"/>
    </row>
    <row r="2387">
      <c r="A2387" s="103" t="s">
        <v>4676</v>
      </c>
      <c r="B2387" s="103">
        <v>1.100123845E9</v>
      </c>
      <c r="C2387" s="105"/>
      <c r="D2387" s="104" t="s">
        <v>11928</v>
      </c>
      <c r="E2387" s="106"/>
      <c r="F2387" s="103" t="s">
        <v>4678</v>
      </c>
      <c r="G2387" s="103" t="s">
        <v>4679</v>
      </c>
      <c r="H2387" s="103" t="s">
        <v>11929</v>
      </c>
      <c r="I2387" s="103">
        <v>3.182404783E9</v>
      </c>
      <c r="J2387" s="104" t="s">
        <v>11930</v>
      </c>
      <c r="K2387" s="107" t="s">
        <v>11931</v>
      </c>
      <c r="L2387" s="105"/>
    </row>
    <row r="2388">
      <c r="A2388" s="103" t="s">
        <v>4676</v>
      </c>
      <c r="B2388" s="103">
        <v>1.10012384501E11</v>
      </c>
      <c r="C2388" s="105"/>
      <c r="D2388" s="104" t="s">
        <v>11932</v>
      </c>
      <c r="E2388" s="104" t="s">
        <v>11933</v>
      </c>
      <c r="F2388" s="103" t="s">
        <v>4678</v>
      </c>
      <c r="G2388" s="103" t="s">
        <v>4679</v>
      </c>
      <c r="H2388" s="103" t="s">
        <v>11934</v>
      </c>
      <c r="I2388" s="103">
        <v>3.175860918E9</v>
      </c>
      <c r="J2388" s="104" t="s">
        <v>11935</v>
      </c>
      <c r="K2388" s="105"/>
      <c r="L2388" s="105"/>
    </row>
    <row r="2389">
      <c r="A2389" s="103" t="s">
        <v>4676</v>
      </c>
      <c r="B2389" s="103">
        <v>1.10012384504E11</v>
      </c>
      <c r="C2389" s="105"/>
      <c r="D2389" s="104" t="s">
        <v>11936</v>
      </c>
      <c r="E2389" s="104" t="s">
        <v>11937</v>
      </c>
      <c r="F2389" s="103" t="s">
        <v>4678</v>
      </c>
      <c r="G2389" s="103" t="s">
        <v>4679</v>
      </c>
      <c r="H2389" s="103" t="s">
        <v>11938</v>
      </c>
      <c r="I2389" s="103">
        <v>3.182404783E9</v>
      </c>
      <c r="J2389" s="104" t="s">
        <v>11930</v>
      </c>
      <c r="K2389" s="105"/>
      <c r="L2389" s="105"/>
    </row>
    <row r="2390">
      <c r="A2390" s="103" t="s">
        <v>4676</v>
      </c>
      <c r="B2390" s="103">
        <v>1.10012384506E11</v>
      </c>
      <c r="C2390" s="105"/>
      <c r="D2390" s="104" t="s">
        <v>11936</v>
      </c>
      <c r="E2390" s="104" t="s">
        <v>11933</v>
      </c>
      <c r="F2390" s="103" t="s">
        <v>4678</v>
      </c>
      <c r="G2390" s="103" t="s">
        <v>4679</v>
      </c>
      <c r="H2390" s="103" t="s">
        <v>11939</v>
      </c>
      <c r="I2390" s="103">
        <v>3.175860918E9</v>
      </c>
      <c r="J2390" s="104" t="s">
        <v>11935</v>
      </c>
      <c r="K2390" s="105"/>
      <c r="L2390" s="105"/>
    </row>
    <row r="2391">
      <c r="A2391" s="103" t="s">
        <v>4676</v>
      </c>
      <c r="B2391" s="103">
        <v>1.10012384508E11</v>
      </c>
      <c r="C2391" s="105"/>
      <c r="D2391" s="104" t="s">
        <v>11936</v>
      </c>
      <c r="E2391" s="104" t="s">
        <v>11933</v>
      </c>
      <c r="F2391" s="103" t="s">
        <v>4678</v>
      </c>
      <c r="G2391" s="103" t="s">
        <v>4679</v>
      </c>
      <c r="H2391" s="103" t="s">
        <v>11940</v>
      </c>
      <c r="I2391" s="103">
        <v>3.182404783E9</v>
      </c>
      <c r="J2391" s="104" t="s">
        <v>11930</v>
      </c>
      <c r="K2391" s="105"/>
      <c r="L2391" s="105"/>
    </row>
    <row r="2392">
      <c r="A2392" s="103" t="s">
        <v>4676</v>
      </c>
      <c r="B2392" s="103">
        <v>1.1001238451E11</v>
      </c>
      <c r="C2392" s="105"/>
      <c r="D2392" s="104" t="s">
        <v>11936</v>
      </c>
      <c r="E2392" s="104" t="s">
        <v>11933</v>
      </c>
      <c r="F2392" s="103" t="s">
        <v>4678</v>
      </c>
      <c r="G2392" s="103" t="s">
        <v>4679</v>
      </c>
      <c r="H2392" s="103" t="s">
        <v>11941</v>
      </c>
      <c r="I2392" s="103">
        <v>3.182404783E9</v>
      </c>
      <c r="J2392" s="104" t="s">
        <v>11930</v>
      </c>
      <c r="K2392" s="105"/>
      <c r="L2392" s="105"/>
    </row>
    <row r="2393">
      <c r="A2393" s="103" t="s">
        <v>4676</v>
      </c>
      <c r="B2393" s="103">
        <v>1.10012384511E11</v>
      </c>
      <c r="C2393" s="105"/>
      <c r="D2393" s="104" t="s">
        <v>11936</v>
      </c>
      <c r="E2393" s="104" t="s">
        <v>11933</v>
      </c>
      <c r="F2393" s="103" t="s">
        <v>4678</v>
      </c>
      <c r="G2393" s="103" t="s">
        <v>4679</v>
      </c>
      <c r="H2393" s="103" t="s">
        <v>11942</v>
      </c>
      <c r="I2393" s="103">
        <v>3.182404783E9</v>
      </c>
      <c r="J2393" s="104" t="s">
        <v>11930</v>
      </c>
      <c r="K2393" s="105"/>
      <c r="L2393" s="105"/>
    </row>
    <row r="2394">
      <c r="A2394" s="103" t="s">
        <v>4676</v>
      </c>
      <c r="B2394" s="103">
        <v>1.10012384512E11</v>
      </c>
      <c r="C2394" s="105"/>
      <c r="D2394" s="104" t="s">
        <v>11936</v>
      </c>
      <c r="E2394" s="104" t="s">
        <v>11933</v>
      </c>
      <c r="F2394" s="103" t="s">
        <v>4678</v>
      </c>
      <c r="G2394" s="103" t="s">
        <v>4679</v>
      </c>
      <c r="H2394" s="103" t="s">
        <v>11943</v>
      </c>
      <c r="I2394" s="103">
        <v>3.182404783E9</v>
      </c>
      <c r="J2394" s="104" t="s">
        <v>11930</v>
      </c>
      <c r="K2394" s="105"/>
      <c r="L2394" s="105"/>
    </row>
    <row r="2395">
      <c r="A2395" s="103" t="s">
        <v>4676</v>
      </c>
      <c r="B2395" s="103">
        <v>1.10012384513E11</v>
      </c>
      <c r="C2395" s="105"/>
      <c r="D2395" s="104" t="s">
        <v>11936</v>
      </c>
      <c r="E2395" s="104" t="s">
        <v>11933</v>
      </c>
      <c r="F2395" s="103" t="s">
        <v>4678</v>
      </c>
      <c r="G2395" s="103" t="s">
        <v>4679</v>
      </c>
      <c r="H2395" s="103" t="s">
        <v>11944</v>
      </c>
      <c r="I2395" s="103">
        <v>3.182404783E9</v>
      </c>
      <c r="J2395" s="104" t="s">
        <v>11930</v>
      </c>
      <c r="K2395" s="105"/>
      <c r="L2395" s="105"/>
    </row>
    <row r="2396">
      <c r="A2396" s="103" t="s">
        <v>4676</v>
      </c>
      <c r="B2396" s="103">
        <v>1.10012384514E11</v>
      </c>
      <c r="C2396" s="105"/>
      <c r="D2396" s="104" t="s">
        <v>11936</v>
      </c>
      <c r="E2396" s="104" t="s">
        <v>11933</v>
      </c>
      <c r="F2396" s="103" t="s">
        <v>4678</v>
      </c>
      <c r="G2396" s="103" t="s">
        <v>4679</v>
      </c>
      <c r="H2396" s="103" t="s">
        <v>11945</v>
      </c>
      <c r="I2396" s="103">
        <v>3.182404783E9</v>
      </c>
      <c r="J2396" s="104" t="s">
        <v>11930</v>
      </c>
      <c r="K2396" s="105"/>
      <c r="L2396" s="105"/>
    </row>
    <row r="2397">
      <c r="A2397" s="103" t="s">
        <v>4676</v>
      </c>
      <c r="B2397" s="103">
        <v>1.10012384516E11</v>
      </c>
      <c r="C2397" s="105"/>
      <c r="D2397" s="104" t="s">
        <v>11936</v>
      </c>
      <c r="E2397" s="104" t="s">
        <v>11933</v>
      </c>
      <c r="F2397" s="103" t="s">
        <v>4678</v>
      </c>
      <c r="G2397" s="103" t="s">
        <v>4679</v>
      </c>
      <c r="H2397" s="103" t="s">
        <v>11946</v>
      </c>
      <c r="I2397" s="103">
        <v>3.182404783E9</v>
      </c>
      <c r="J2397" s="104" t="s">
        <v>11930</v>
      </c>
      <c r="K2397" s="105"/>
      <c r="L2397" s="105"/>
    </row>
    <row r="2398">
      <c r="A2398" s="103" t="s">
        <v>4676</v>
      </c>
      <c r="B2398" s="103">
        <v>1.10012384518E11</v>
      </c>
      <c r="C2398" s="105"/>
      <c r="D2398" s="104" t="s">
        <v>11936</v>
      </c>
      <c r="E2398" s="104" t="s">
        <v>11933</v>
      </c>
      <c r="F2398" s="103" t="s">
        <v>4678</v>
      </c>
      <c r="G2398" s="103" t="s">
        <v>4679</v>
      </c>
      <c r="H2398" s="103" t="s">
        <v>11947</v>
      </c>
      <c r="I2398" s="103">
        <v>3.182404783E9</v>
      </c>
      <c r="J2398" s="104" t="s">
        <v>11930</v>
      </c>
      <c r="K2398" s="105"/>
      <c r="L2398" s="105"/>
    </row>
    <row r="2399">
      <c r="A2399" s="103" t="s">
        <v>4676</v>
      </c>
      <c r="B2399" s="103">
        <v>1.10012384519E11</v>
      </c>
      <c r="C2399" s="105"/>
      <c r="D2399" s="104" t="s">
        <v>11936</v>
      </c>
      <c r="E2399" s="104" t="s">
        <v>11933</v>
      </c>
      <c r="F2399" s="103" t="s">
        <v>4678</v>
      </c>
      <c r="G2399" s="103" t="s">
        <v>4679</v>
      </c>
      <c r="H2399" s="103" t="s">
        <v>11948</v>
      </c>
      <c r="I2399" s="103">
        <v>3.182404783E9</v>
      </c>
      <c r="J2399" s="104" t="s">
        <v>11930</v>
      </c>
      <c r="K2399" s="105"/>
      <c r="L2399" s="105"/>
    </row>
    <row r="2400">
      <c r="A2400" s="103" t="s">
        <v>4676</v>
      </c>
      <c r="B2400" s="103">
        <v>1.10012384522E11</v>
      </c>
      <c r="C2400" s="105"/>
      <c r="D2400" s="104" t="s">
        <v>11936</v>
      </c>
      <c r="E2400" s="104" t="s">
        <v>11933</v>
      </c>
      <c r="F2400" s="103" t="s">
        <v>4678</v>
      </c>
      <c r="G2400" s="103" t="s">
        <v>4679</v>
      </c>
      <c r="H2400" s="103" t="s">
        <v>11949</v>
      </c>
      <c r="I2400" s="103">
        <v>3.182404783E9</v>
      </c>
      <c r="J2400" s="104" t="s">
        <v>11930</v>
      </c>
      <c r="K2400" s="105"/>
      <c r="L2400" s="105"/>
    </row>
    <row r="2401">
      <c r="A2401" s="103" t="s">
        <v>4676</v>
      </c>
      <c r="B2401" s="103">
        <v>1.10012384523E11</v>
      </c>
      <c r="C2401" s="105"/>
      <c r="D2401" s="104" t="s">
        <v>11936</v>
      </c>
      <c r="E2401" s="104" t="s">
        <v>11933</v>
      </c>
      <c r="F2401" s="103" t="s">
        <v>4678</v>
      </c>
      <c r="G2401" s="103" t="s">
        <v>4679</v>
      </c>
      <c r="H2401" s="103" t="s">
        <v>11950</v>
      </c>
      <c r="I2401" s="103">
        <v>3.182404783E9</v>
      </c>
      <c r="J2401" s="104" t="s">
        <v>11930</v>
      </c>
      <c r="K2401" s="105"/>
      <c r="L2401" s="105"/>
    </row>
    <row r="2402">
      <c r="A2402" s="103" t="s">
        <v>4676</v>
      </c>
      <c r="B2402" s="103">
        <v>1.10012384527E11</v>
      </c>
      <c r="C2402" s="105"/>
      <c r="D2402" s="104" t="s">
        <v>11951</v>
      </c>
      <c r="E2402" s="104" t="s">
        <v>11933</v>
      </c>
      <c r="F2402" s="103" t="s">
        <v>4678</v>
      </c>
      <c r="G2402" s="103" t="s">
        <v>4679</v>
      </c>
      <c r="H2402" s="103" t="s">
        <v>11952</v>
      </c>
      <c r="I2402" s="103">
        <v>3.182404783E9</v>
      </c>
      <c r="J2402" s="104" t="s">
        <v>11930</v>
      </c>
      <c r="K2402" s="105"/>
      <c r="L2402" s="105"/>
    </row>
    <row r="2403">
      <c r="A2403" s="103" t="s">
        <v>4676</v>
      </c>
      <c r="B2403" s="103">
        <v>1.1001238453E11</v>
      </c>
      <c r="C2403" s="105"/>
      <c r="D2403" s="104" t="s">
        <v>11953</v>
      </c>
      <c r="E2403" s="104" t="s">
        <v>11933</v>
      </c>
      <c r="F2403" s="103" t="s">
        <v>4678</v>
      </c>
      <c r="G2403" s="103" t="s">
        <v>4679</v>
      </c>
      <c r="H2403" s="103" t="s">
        <v>11954</v>
      </c>
      <c r="I2403" s="103">
        <v>3.182404783E9</v>
      </c>
      <c r="J2403" s="104" t="s">
        <v>11930</v>
      </c>
      <c r="K2403" s="105"/>
      <c r="L2403" s="105"/>
    </row>
    <row r="2404">
      <c r="A2404" s="103" t="s">
        <v>4676</v>
      </c>
      <c r="B2404" s="103">
        <v>1.10012384533E11</v>
      </c>
      <c r="C2404" s="105"/>
      <c r="D2404" s="104" t="s">
        <v>11936</v>
      </c>
      <c r="E2404" s="104" t="s">
        <v>11933</v>
      </c>
      <c r="F2404" s="103" t="s">
        <v>4678</v>
      </c>
      <c r="G2404" s="103" t="s">
        <v>4679</v>
      </c>
      <c r="H2404" s="103" t="s">
        <v>11955</v>
      </c>
      <c r="I2404" s="103">
        <v>3.182404783E9</v>
      </c>
      <c r="J2404" s="104" t="s">
        <v>11930</v>
      </c>
      <c r="K2404" s="105"/>
      <c r="L2404" s="105"/>
    </row>
    <row r="2405">
      <c r="A2405" s="103" t="s">
        <v>4676</v>
      </c>
      <c r="B2405" s="103">
        <v>1.10012384534E11</v>
      </c>
      <c r="C2405" s="105"/>
      <c r="D2405" s="104" t="s">
        <v>11936</v>
      </c>
      <c r="E2405" s="104" t="s">
        <v>11933</v>
      </c>
      <c r="F2405" s="103" t="s">
        <v>4678</v>
      </c>
      <c r="G2405" s="103" t="s">
        <v>4679</v>
      </c>
      <c r="H2405" s="103" t="s">
        <v>11956</v>
      </c>
      <c r="I2405" s="103">
        <v>3.182404783E9</v>
      </c>
      <c r="J2405" s="104" t="s">
        <v>11930</v>
      </c>
      <c r="K2405" s="105"/>
      <c r="L2405" s="105"/>
    </row>
    <row r="2406">
      <c r="A2406" s="103" t="s">
        <v>4676</v>
      </c>
      <c r="B2406" s="103">
        <v>1.10012384535E11</v>
      </c>
      <c r="C2406" s="105"/>
      <c r="D2406" s="104" t="s">
        <v>11936</v>
      </c>
      <c r="E2406" s="104" t="s">
        <v>11933</v>
      </c>
      <c r="F2406" s="103" t="s">
        <v>4678</v>
      </c>
      <c r="G2406" s="103" t="s">
        <v>4679</v>
      </c>
      <c r="H2406" s="103" t="s">
        <v>11957</v>
      </c>
      <c r="I2406" s="103">
        <v>3.182404783E9</v>
      </c>
      <c r="J2406" s="104" t="s">
        <v>11930</v>
      </c>
      <c r="K2406" s="105"/>
      <c r="L2406" s="105"/>
    </row>
    <row r="2407">
      <c r="A2407" s="103" t="s">
        <v>4676</v>
      </c>
      <c r="B2407" s="103">
        <v>1.10012384539E11</v>
      </c>
      <c r="C2407" s="105"/>
      <c r="D2407" s="104" t="s">
        <v>11951</v>
      </c>
      <c r="E2407" s="104" t="s">
        <v>11933</v>
      </c>
      <c r="F2407" s="103" t="s">
        <v>4678</v>
      </c>
      <c r="G2407" s="103" t="s">
        <v>4679</v>
      </c>
      <c r="H2407" s="103" t="s">
        <v>11958</v>
      </c>
      <c r="I2407" s="103">
        <v>3.182404783E9</v>
      </c>
      <c r="J2407" s="104" t="s">
        <v>11930</v>
      </c>
      <c r="K2407" s="105"/>
      <c r="L2407" s="105"/>
    </row>
    <row r="2408">
      <c r="A2408" s="103" t="s">
        <v>4676</v>
      </c>
      <c r="B2408" s="103">
        <v>1.1001238454E11</v>
      </c>
      <c r="C2408" s="105"/>
      <c r="D2408" s="104" t="s">
        <v>11936</v>
      </c>
      <c r="E2408" s="104" t="s">
        <v>11933</v>
      </c>
      <c r="F2408" s="103" t="s">
        <v>4678</v>
      </c>
      <c r="G2408" s="103" t="s">
        <v>4679</v>
      </c>
      <c r="H2408" s="103" t="s">
        <v>11959</v>
      </c>
      <c r="I2408" s="103">
        <v>3.182404783E9</v>
      </c>
      <c r="J2408" s="104" t="s">
        <v>11930</v>
      </c>
      <c r="K2408" s="105"/>
      <c r="L2408" s="105"/>
    </row>
    <row r="2409">
      <c r="A2409" s="103" t="s">
        <v>4676</v>
      </c>
      <c r="B2409" s="103">
        <v>1.10012384542E11</v>
      </c>
      <c r="C2409" s="105"/>
      <c r="D2409" s="104" t="s">
        <v>11936</v>
      </c>
      <c r="E2409" s="104" t="s">
        <v>11933</v>
      </c>
      <c r="F2409" s="103" t="s">
        <v>4678</v>
      </c>
      <c r="G2409" s="103" t="s">
        <v>4679</v>
      </c>
      <c r="H2409" s="103" t="s">
        <v>11960</v>
      </c>
      <c r="I2409" s="103">
        <v>3.182404783E9</v>
      </c>
      <c r="J2409" s="104" t="s">
        <v>11930</v>
      </c>
      <c r="K2409" s="105"/>
      <c r="L2409" s="105"/>
    </row>
    <row r="2410">
      <c r="A2410" s="103" t="s">
        <v>4676</v>
      </c>
      <c r="B2410" s="103">
        <v>1.10012384543E11</v>
      </c>
      <c r="C2410" s="105"/>
      <c r="D2410" s="104" t="s">
        <v>11936</v>
      </c>
      <c r="E2410" s="104" t="s">
        <v>11933</v>
      </c>
      <c r="F2410" s="103" t="s">
        <v>4678</v>
      </c>
      <c r="G2410" s="103" t="s">
        <v>4679</v>
      </c>
      <c r="H2410" s="103" t="s">
        <v>11961</v>
      </c>
      <c r="I2410" s="103">
        <v>3.182404783E9</v>
      </c>
      <c r="J2410" s="104" t="s">
        <v>11930</v>
      </c>
      <c r="K2410" s="105"/>
      <c r="L2410" s="105"/>
    </row>
    <row r="2411">
      <c r="A2411" s="103" t="s">
        <v>4676</v>
      </c>
      <c r="B2411" s="103">
        <v>1.10012384545E11</v>
      </c>
      <c r="C2411" s="105"/>
      <c r="D2411" s="104" t="s">
        <v>11962</v>
      </c>
      <c r="E2411" s="104" t="s">
        <v>11933</v>
      </c>
      <c r="F2411" s="103" t="s">
        <v>4678</v>
      </c>
      <c r="G2411" s="103" t="s">
        <v>4679</v>
      </c>
      <c r="H2411" s="103" t="s">
        <v>11963</v>
      </c>
      <c r="I2411" s="103">
        <v>3.182404783E9</v>
      </c>
      <c r="J2411" s="104" t="s">
        <v>11930</v>
      </c>
      <c r="K2411" s="105"/>
      <c r="L2411" s="105"/>
    </row>
    <row r="2412">
      <c r="A2412" s="103" t="s">
        <v>4676</v>
      </c>
      <c r="B2412" s="103">
        <v>1.10012384552E11</v>
      </c>
      <c r="C2412" s="105"/>
      <c r="D2412" s="104" t="s">
        <v>11951</v>
      </c>
      <c r="E2412" s="104" t="s">
        <v>11933</v>
      </c>
      <c r="F2412" s="103" t="s">
        <v>4678</v>
      </c>
      <c r="G2412" s="103" t="s">
        <v>4679</v>
      </c>
      <c r="H2412" s="103" t="s">
        <v>11964</v>
      </c>
      <c r="I2412" s="103">
        <v>3.182404783E9</v>
      </c>
      <c r="J2412" s="104" t="s">
        <v>11930</v>
      </c>
      <c r="K2412" s="105"/>
      <c r="L2412" s="105"/>
    </row>
    <row r="2413">
      <c r="A2413" s="103" t="s">
        <v>4676</v>
      </c>
      <c r="B2413" s="103">
        <v>1.10012384553E11</v>
      </c>
      <c r="C2413" s="105"/>
      <c r="D2413" s="104" t="s">
        <v>11951</v>
      </c>
      <c r="E2413" s="104" t="s">
        <v>11933</v>
      </c>
      <c r="F2413" s="103" t="s">
        <v>4678</v>
      </c>
      <c r="G2413" s="103" t="s">
        <v>4679</v>
      </c>
      <c r="H2413" s="103" t="s">
        <v>11965</v>
      </c>
      <c r="I2413" s="103">
        <v>3.182404783E9</v>
      </c>
      <c r="J2413" s="104" t="s">
        <v>11930</v>
      </c>
      <c r="K2413" s="105"/>
      <c r="L2413" s="105"/>
    </row>
    <row r="2414">
      <c r="A2414" s="103" t="s">
        <v>4676</v>
      </c>
      <c r="B2414" s="103">
        <v>1.10012384556E11</v>
      </c>
      <c r="C2414" s="105"/>
      <c r="D2414" s="104" t="s">
        <v>11936</v>
      </c>
      <c r="E2414" s="104" t="s">
        <v>11933</v>
      </c>
      <c r="F2414" s="103" t="s">
        <v>4678</v>
      </c>
      <c r="G2414" s="103" t="s">
        <v>4679</v>
      </c>
      <c r="H2414" s="103" t="s">
        <v>11966</v>
      </c>
      <c r="I2414" s="103">
        <v>3.182404783E9</v>
      </c>
      <c r="J2414" s="104" t="s">
        <v>11930</v>
      </c>
      <c r="K2414" s="105"/>
      <c r="L2414" s="105"/>
    </row>
    <row r="2415">
      <c r="A2415" s="103" t="s">
        <v>4676</v>
      </c>
      <c r="B2415" s="103">
        <v>1.10012384558E11</v>
      </c>
      <c r="C2415" s="105"/>
      <c r="D2415" s="104" t="s">
        <v>11936</v>
      </c>
      <c r="E2415" s="104" t="s">
        <v>11933</v>
      </c>
      <c r="F2415" s="103" t="s">
        <v>4678</v>
      </c>
      <c r="G2415" s="103" t="s">
        <v>4679</v>
      </c>
      <c r="H2415" s="103" t="s">
        <v>11967</v>
      </c>
      <c r="I2415" s="103">
        <v>3.182404783E9</v>
      </c>
      <c r="J2415" s="104" t="s">
        <v>11930</v>
      </c>
      <c r="K2415" s="105"/>
      <c r="L2415" s="105"/>
    </row>
    <row r="2416">
      <c r="A2416" s="103" t="s">
        <v>4676</v>
      </c>
      <c r="B2416" s="103">
        <v>1.1001238456E11</v>
      </c>
      <c r="C2416" s="105"/>
      <c r="D2416" s="104" t="s">
        <v>11936</v>
      </c>
      <c r="E2416" s="104" t="s">
        <v>11933</v>
      </c>
      <c r="F2416" s="103" t="s">
        <v>4678</v>
      </c>
      <c r="G2416" s="103" t="s">
        <v>4679</v>
      </c>
      <c r="H2416" s="103" t="s">
        <v>11968</v>
      </c>
      <c r="I2416" s="103">
        <v>3.182404783E9</v>
      </c>
      <c r="J2416" s="104" t="s">
        <v>11930</v>
      </c>
      <c r="K2416" s="105"/>
      <c r="L2416" s="105"/>
    </row>
    <row r="2417">
      <c r="A2417" s="103" t="s">
        <v>4676</v>
      </c>
      <c r="B2417" s="103">
        <v>1.10012384561E11</v>
      </c>
      <c r="C2417" s="105"/>
      <c r="D2417" s="104" t="s">
        <v>11936</v>
      </c>
      <c r="E2417" s="104" t="s">
        <v>11933</v>
      </c>
      <c r="F2417" s="103" t="s">
        <v>4678</v>
      </c>
      <c r="G2417" s="103" t="s">
        <v>4679</v>
      </c>
      <c r="H2417" s="103" t="s">
        <v>11969</v>
      </c>
      <c r="I2417" s="103">
        <v>3.182404783E9</v>
      </c>
      <c r="J2417" s="104" t="s">
        <v>11930</v>
      </c>
      <c r="K2417" s="105"/>
      <c r="L2417" s="105"/>
    </row>
    <row r="2418">
      <c r="A2418" s="103" t="s">
        <v>4676</v>
      </c>
      <c r="B2418" s="103">
        <v>1.10012384562E11</v>
      </c>
      <c r="C2418" s="105"/>
      <c r="D2418" s="104" t="s">
        <v>11951</v>
      </c>
      <c r="E2418" s="104" t="s">
        <v>11970</v>
      </c>
      <c r="F2418" s="103" t="s">
        <v>4678</v>
      </c>
      <c r="G2418" s="103" t="s">
        <v>4679</v>
      </c>
      <c r="H2418" s="103" t="s">
        <v>11971</v>
      </c>
      <c r="I2418" s="103">
        <v>3.182404783E9</v>
      </c>
      <c r="J2418" s="104" t="s">
        <v>11930</v>
      </c>
      <c r="K2418" s="105"/>
      <c r="L2418" s="105"/>
    </row>
    <row r="2419">
      <c r="A2419" s="103" t="s">
        <v>4676</v>
      </c>
      <c r="B2419" s="103">
        <v>1.10012384563E11</v>
      </c>
      <c r="C2419" s="105"/>
      <c r="D2419" s="104" t="s">
        <v>11951</v>
      </c>
      <c r="E2419" s="104" t="s">
        <v>11972</v>
      </c>
      <c r="F2419" s="103" t="s">
        <v>4678</v>
      </c>
      <c r="G2419" s="103" t="s">
        <v>4679</v>
      </c>
      <c r="H2419" s="103" t="s">
        <v>11973</v>
      </c>
      <c r="I2419" s="103">
        <v>3.182404783E9</v>
      </c>
      <c r="J2419" s="104" t="s">
        <v>11930</v>
      </c>
      <c r="K2419" s="105"/>
      <c r="L2419" s="105"/>
    </row>
    <row r="2420">
      <c r="A2420" s="103" t="s">
        <v>4676</v>
      </c>
      <c r="B2420" s="103">
        <v>1.100123846E9</v>
      </c>
      <c r="C2420" s="105"/>
      <c r="D2420" s="104" t="s">
        <v>11974</v>
      </c>
      <c r="E2420" s="106"/>
      <c r="F2420" s="103" t="s">
        <v>4678</v>
      </c>
      <c r="G2420" s="103" t="s">
        <v>4679</v>
      </c>
      <c r="H2420" s="103" t="s">
        <v>11975</v>
      </c>
      <c r="I2420" s="103" t="s">
        <v>11976</v>
      </c>
      <c r="J2420" s="104" t="s">
        <v>11977</v>
      </c>
      <c r="K2420" s="105"/>
      <c r="L2420" s="105"/>
    </row>
    <row r="2421">
      <c r="A2421" s="103" t="s">
        <v>4676</v>
      </c>
      <c r="B2421" s="103">
        <v>1.10012384602E11</v>
      </c>
      <c r="C2421" s="105"/>
      <c r="D2421" s="104" t="s">
        <v>11978</v>
      </c>
      <c r="E2421" s="104" t="s">
        <v>11979</v>
      </c>
      <c r="F2421" s="103" t="s">
        <v>4678</v>
      </c>
      <c r="G2421" s="103" t="s">
        <v>4679</v>
      </c>
      <c r="H2421" s="103" t="s">
        <v>11980</v>
      </c>
      <c r="I2421" s="103" t="s">
        <v>11976</v>
      </c>
      <c r="J2421" s="104" t="s">
        <v>11977</v>
      </c>
      <c r="K2421" s="105"/>
      <c r="L2421" s="105"/>
    </row>
    <row r="2422">
      <c r="A2422" s="103" t="s">
        <v>4676</v>
      </c>
      <c r="B2422" s="103">
        <v>1.100123863E9</v>
      </c>
      <c r="C2422" s="105"/>
      <c r="D2422" s="104" t="s">
        <v>11981</v>
      </c>
      <c r="E2422" s="106"/>
      <c r="F2422" s="103" t="s">
        <v>4678</v>
      </c>
      <c r="G2422" s="103" t="s">
        <v>4679</v>
      </c>
      <c r="H2422" s="103" t="s">
        <v>11982</v>
      </c>
      <c r="I2422" s="103" t="s">
        <v>11983</v>
      </c>
      <c r="J2422" s="104" t="s">
        <v>11984</v>
      </c>
      <c r="K2422" s="107" t="s">
        <v>11985</v>
      </c>
      <c r="L2422" s="105"/>
    </row>
    <row r="2423">
      <c r="A2423" s="103" t="s">
        <v>4676</v>
      </c>
      <c r="B2423" s="103">
        <v>1.10012386303E11</v>
      </c>
      <c r="C2423" s="105"/>
      <c r="D2423" s="104" t="s">
        <v>11981</v>
      </c>
      <c r="E2423" s="104" t="s">
        <v>11986</v>
      </c>
      <c r="F2423" s="103" t="s">
        <v>4678</v>
      </c>
      <c r="G2423" s="103" t="s">
        <v>4679</v>
      </c>
      <c r="H2423" s="103" t="s">
        <v>11987</v>
      </c>
      <c r="I2423" s="103" t="s">
        <v>11983</v>
      </c>
      <c r="J2423" s="104" t="s">
        <v>11984</v>
      </c>
      <c r="K2423" s="105"/>
      <c r="L2423" s="105"/>
    </row>
    <row r="2424">
      <c r="A2424" s="103" t="s">
        <v>4676</v>
      </c>
      <c r="B2424" s="103">
        <v>1.100123884E9</v>
      </c>
      <c r="C2424" s="105"/>
      <c r="D2424" s="104" t="s">
        <v>11988</v>
      </c>
      <c r="E2424" s="106"/>
      <c r="F2424" s="103" t="s">
        <v>4678</v>
      </c>
      <c r="G2424" s="103" t="s">
        <v>4679</v>
      </c>
      <c r="H2424" s="103" t="s">
        <v>11989</v>
      </c>
      <c r="I2424" s="103">
        <v>8059671.0</v>
      </c>
      <c r="J2424" s="104" t="s">
        <v>11990</v>
      </c>
      <c r="K2424" s="105"/>
      <c r="L2424" s="105"/>
    </row>
    <row r="2425">
      <c r="A2425" s="103" t="s">
        <v>4676</v>
      </c>
      <c r="B2425" s="103">
        <v>1.10012388401E11</v>
      </c>
      <c r="C2425" s="105"/>
      <c r="D2425" s="104" t="s">
        <v>11988</v>
      </c>
      <c r="E2425" s="104" t="s">
        <v>11991</v>
      </c>
      <c r="F2425" s="103" t="s">
        <v>4678</v>
      </c>
      <c r="G2425" s="103" t="s">
        <v>4679</v>
      </c>
      <c r="H2425" s="103" t="s">
        <v>11989</v>
      </c>
      <c r="I2425" s="103">
        <v>8059671.0</v>
      </c>
      <c r="J2425" s="104" t="s">
        <v>11990</v>
      </c>
      <c r="K2425" s="105"/>
      <c r="L2425" s="105"/>
    </row>
    <row r="2426">
      <c r="A2426" s="103" t="s">
        <v>4676</v>
      </c>
      <c r="B2426" s="103">
        <v>1.10012389E9</v>
      </c>
      <c r="C2426" s="105"/>
      <c r="D2426" s="104" t="s">
        <v>11992</v>
      </c>
      <c r="E2426" s="106"/>
      <c r="F2426" s="103" t="s">
        <v>4678</v>
      </c>
      <c r="G2426" s="103" t="s">
        <v>4679</v>
      </c>
      <c r="H2426" s="103" t="s">
        <v>11993</v>
      </c>
      <c r="I2426" s="103">
        <v>3.166257556E9</v>
      </c>
      <c r="J2426" s="104" t="s">
        <v>11994</v>
      </c>
      <c r="K2426" s="105"/>
      <c r="L2426" s="105"/>
    </row>
    <row r="2427">
      <c r="A2427" s="103" t="s">
        <v>4676</v>
      </c>
      <c r="B2427" s="103">
        <v>1.10012389001E11</v>
      </c>
      <c r="C2427" s="105"/>
      <c r="D2427" s="104" t="s">
        <v>11992</v>
      </c>
      <c r="E2427" s="104" t="s">
        <v>11995</v>
      </c>
      <c r="F2427" s="103" t="s">
        <v>4678</v>
      </c>
      <c r="G2427" s="103" t="s">
        <v>4679</v>
      </c>
      <c r="H2427" s="103" t="s">
        <v>11993</v>
      </c>
      <c r="I2427" s="103">
        <v>3.166257556E9</v>
      </c>
      <c r="J2427" s="104" t="s">
        <v>11994</v>
      </c>
      <c r="K2427" s="105"/>
      <c r="L2427" s="105"/>
    </row>
    <row r="2428">
      <c r="A2428" s="103" t="s">
        <v>4676</v>
      </c>
      <c r="B2428" s="103">
        <v>1.100123901E9</v>
      </c>
      <c r="C2428" s="105"/>
      <c r="D2428" s="104" t="s">
        <v>11996</v>
      </c>
      <c r="E2428" s="106"/>
      <c r="F2428" s="103" t="s">
        <v>4678</v>
      </c>
      <c r="G2428" s="103" t="s">
        <v>4679</v>
      </c>
      <c r="H2428" s="103" t="s">
        <v>11997</v>
      </c>
      <c r="I2428" s="103" t="s">
        <v>11998</v>
      </c>
      <c r="J2428" s="104" t="s">
        <v>11999</v>
      </c>
      <c r="K2428" s="107" t="s">
        <v>12000</v>
      </c>
      <c r="L2428" s="105"/>
    </row>
    <row r="2429">
      <c r="A2429" s="103" t="s">
        <v>4676</v>
      </c>
      <c r="B2429" s="103">
        <v>1.10012390101E11</v>
      </c>
      <c r="C2429" s="105"/>
      <c r="D2429" s="104" t="s">
        <v>12001</v>
      </c>
      <c r="E2429" s="104" t="s">
        <v>12002</v>
      </c>
      <c r="F2429" s="103" t="s">
        <v>4678</v>
      </c>
      <c r="G2429" s="103" t="s">
        <v>4679</v>
      </c>
      <c r="H2429" s="103" t="s">
        <v>12003</v>
      </c>
      <c r="I2429" s="103" t="s">
        <v>11998</v>
      </c>
      <c r="J2429" s="104" t="s">
        <v>11999</v>
      </c>
      <c r="K2429" s="105"/>
      <c r="L2429" s="105"/>
    </row>
    <row r="2430">
      <c r="A2430" s="103" t="s">
        <v>4676</v>
      </c>
      <c r="B2430" s="103">
        <v>1.100123919E9</v>
      </c>
      <c r="C2430" s="105"/>
      <c r="D2430" s="104" t="s">
        <v>12004</v>
      </c>
      <c r="E2430" s="106"/>
      <c r="F2430" s="103" t="s">
        <v>4678</v>
      </c>
      <c r="G2430" s="103" t="s">
        <v>4679</v>
      </c>
      <c r="H2430" s="103" t="s">
        <v>12005</v>
      </c>
      <c r="I2430" s="103" t="s">
        <v>12006</v>
      </c>
      <c r="J2430" s="104" t="s">
        <v>12007</v>
      </c>
      <c r="K2430" s="105"/>
      <c r="L2430" s="105"/>
    </row>
    <row r="2431">
      <c r="A2431" s="103" t="s">
        <v>4676</v>
      </c>
      <c r="B2431" s="103">
        <v>1.10012391901E11</v>
      </c>
      <c r="C2431" s="105"/>
      <c r="D2431" s="104" t="s">
        <v>12004</v>
      </c>
      <c r="E2431" s="104" t="s">
        <v>12008</v>
      </c>
      <c r="F2431" s="103" t="s">
        <v>4678</v>
      </c>
      <c r="G2431" s="103" t="s">
        <v>4679</v>
      </c>
      <c r="H2431" s="103" t="s">
        <v>12009</v>
      </c>
      <c r="I2431" s="103" t="s">
        <v>12006</v>
      </c>
      <c r="J2431" s="104" t="s">
        <v>12007</v>
      </c>
      <c r="K2431" s="105"/>
      <c r="L2431" s="105"/>
    </row>
    <row r="2432">
      <c r="A2432" s="103" t="s">
        <v>4676</v>
      </c>
      <c r="B2432" s="103">
        <v>1.100123946E9</v>
      </c>
      <c r="C2432" s="105"/>
      <c r="D2432" s="104" t="s">
        <v>12010</v>
      </c>
      <c r="E2432" s="106"/>
      <c r="F2432" s="103" t="s">
        <v>4678</v>
      </c>
      <c r="G2432" s="103" t="s">
        <v>4679</v>
      </c>
      <c r="H2432" s="103" t="s">
        <v>12011</v>
      </c>
      <c r="I2432" s="103">
        <v>5335438.0</v>
      </c>
      <c r="J2432" s="104" t="s">
        <v>12012</v>
      </c>
      <c r="K2432" s="105"/>
      <c r="L2432" s="105"/>
    </row>
    <row r="2433">
      <c r="A2433" s="103" t="s">
        <v>4676</v>
      </c>
      <c r="B2433" s="103">
        <v>1.10012394601E11</v>
      </c>
      <c r="C2433" s="105"/>
      <c r="D2433" s="104" t="s">
        <v>12013</v>
      </c>
      <c r="E2433" s="104" t="s">
        <v>12014</v>
      </c>
      <c r="F2433" s="103" t="s">
        <v>4678</v>
      </c>
      <c r="G2433" s="103" t="s">
        <v>4679</v>
      </c>
      <c r="H2433" s="103" t="s">
        <v>12015</v>
      </c>
      <c r="I2433" s="103" t="s">
        <v>12016</v>
      </c>
      <c r="J2433" s="104" t="s">
        <v>12012</v>
      </c>
      <c r="K2433" s="105"/>
      <c r="L2433" s="105"/>
    </row>
    <row r="2434">
      <c r="A2434" s="103" t="s">
        <v>4676</v>
      </c>
      <c r="B2434" s="103">
        <v>1.100124004E9</v>
      </c>
      <c r="C2434" s="105"/>
      <c r="D2434" s="104" t="s">
        <v>12017</v>
      </c>
      <c r="E2434" s="106"/>
      <c r="F2434" s="103" t="s">
        <v>4678</v>
      </c>
      <c r="G2434" s="103" t="s">
        <v>4679</v>
      </c>
      <c r="H2434" s="103" t="s">
        <v>12018</v>
      </c>
      <c r="I2434" s="103" t="s">
        <v>12019</v>
      </c>
      <c r="J2434" s="104" t="s">
        <v>12020</v>
      </c>
      <c r="K2434" s="107" t="s">
        <v>12021</v>
      </c>
      <c r="L2434" s="105"/>
    </row>
    <row r="2435">
      <c r="A2435" s="103" t="s">
        <v>4676</v>
      </c>
      <c r="B2435" s="103">
        <v>1.10012400401E11</v>
      </c>
      <c r="C2435" s="105"/>
      <c r="D2435" s="104" t="s">
        <v>12022</v>
      </c>
      <c r="E2435" s="104" t="s">
        <v>12023</v>
      </c>
      <c r="F2435" s="103" t="s">
        <v>4678</v>
      </c>
      <c r="G2435" s="103" t="s">
        <v>4679</v>
      </c>
      <c r="H2435" s="103" t="s">
        <v>12024</v>
      </c>
      <c r="I2435" s="103">
        <v>3.116428403E9</v>
      </c>
      <c r="J2435" s="104" t="s">
        <v>12025</v>
      </c>
      <c r="K2435" s="105"/>
      <c r="L2435" s="105"/>
    </row>
    <row r="2436">
      <c r="A2436" s="103" t="s">
        <v>4676</v>
      </c>
      <c r="B2436" s="103">
        <v>1.100124022E9</v>
      </c>
      <c r="C2436" s="105"/>
      <c r="D2436" s="104" t="s">
        <v>12026</v>
      </c>
      <c r="E2436" s="106"/>
      <c r="F2436" s="103" t="s">
        <v>4678</v>
      </c>
      <c r="G2436" s="103" t="s">
        <v>4679</v>
      </c>
      <c r="H2436" s="103" t="s">
        <v>12027</v>
      </c>
      <c r="I2436" s="103" t="s">
        <v>12028</v>
      </c>
      <c r="J2436" s="104" t="s">
        <v>12029</v>
      </c>
      <c r="K2436" s="107" t="s">
        <v>12030</v>
      </c>
      <c r="L2436" s="105"/>
    </row>
    <row r="2437">
      <c r="A2437" s="103" t="s">
        <v>4676</v>
      </c>
      <c r="B2437" s="103">
        <v>1.10012402201E11</v>
      </c>
      <c r="C2437" s="105"/>
      <c r="D2437" s="104" t="s">
        <v>12026</v>
      </c>
      <c r="E2437" s="104" t="s">
        <v>12031</v>
      </c>
      <c r="F2437" s="103" t="s">
        <v>4678</v>
      </c>
      <c r="G2437" s="103" t="s">
        <v>4679</v>
      </c>
      <c r="H2437" s="103" t="s">
        <v>12032</v>
      </c>
      <c r="I2437" s="103" t="s">
        <v>12033</v>
      </c>
      <c r="J2437" s="104" t="s">
        <v>12029</v>
      </c>
      <c r="K2437" s="105"/>
      <c r="L2437" s="105"/>
    </row>
    <row r="2438">
      <c r="A2438" s="103" t="s">
        <v>4676</v>
      </c>
      <c r="B2438" s="103">
        <v>1.10012402202E11</v>
      </c>
      <c r="C2438" s="105"/>
      <c r="D2438" s="104" t="s">
        <v>12026</v>
      </c>
      <c r="E2438" s="104" t="s">
        <v>12031</v>
      </c>
      <c r="F2438" s="103" t="s">
        <v>4678</v>
      </c>
      <c r="G2438" s="103" t="s">
        <v>4679</v>
      </c>
      <c r="H2438" s="103" t="s">
        <v>12034</v>
      </c>
      <c r="I2438" s="103" t="s">
        <v>12035</v>
      </c>
      <c r="J2438" s="104" t="s">
        <v>12029</v>
      </c>
      <c r="K2438" s="105"/>
      <c r="L2438" s="105"/>
    </row>
    <row r="2439">
      <c r="A2439" s="103" t="s">
        <v>4676</v>
      </c>
      <c r="B2439" s="103">
        <v>1.100124086E9</v>
      </c>
      <c r="C2439" s="105"/>
      <c r="D2439" s="104" t="s">
        <v>12036</v>
      </c>
      <c r="E2439" s="106"/>
      <c r="F2439" s="103" t="s">
        <v>4678</v>
      </c>
      <c r="G2439" s="103" t="s">
        <v>4679</v>
      </c>
      <c r="H2439" s="103" t="s">
        <v>12037</v>
      </c>
      <c r="I2439" s="103" t="s">
        <v>12038</v>
      </c>
      <c r="J2439" s="104" t="s">
        <v>12039</v>
      </c>
      <c r="K2439" s="107" t="s">
        <v>12040</v>
      </c>
      <c r="L2439" s="105"/>
    </row>
    <row r="2440">
      <c r="A2440" s="103" t="s">
        <v>4676</v>
      </c>
      <c r="B2440" s="103">
        <v>1.10012408601E11</v>
      </c>
      <c r="C2440" s="105"/>
      <c r="D2440" s="104" t="s">
        <v>12036</v>
      </c>
      <c r="E2440" s="104" t="s">
        <v>12041</v>
      </c>
      <c r="F2440" s="103" t="s">
        <v>4678</v>
      </c>
      <c r="G2440" s="103" t="s">
        <v>4679</v>
      </c>
      <c r="H2440" s="103" t="s">
        <v>12042</v>
      </c>
      <c r="I2440" s="103" t="s">
        <v>12038</v>
      </c>
      <c r="J2440" s="104" t="s">
        <v>12043</v>
      </c>
      <c r="K2440" s="105"/>
      <c r="L2440" s="105"/>
    </row>
    <row r="2441">
      <c r="A2441" s="103" t="s">
        <v>4676</v>
      </c>
      <c r="B2441" s="103">
        <v>1.100124093E9</v>
      </c>
      <c r="C2441" s="105"/>
      <c r="D2441" s="104" t="s">
        <v>12044</v>
      </c>
      <c r="E2441" s="106"/>
      <c r="F2441" s="103" t="s">
        <v>4678</v>
      </c>
      <c r="G2441" s="103" t="s">
        <v>4679</v>
      </c>
      <c r="H2441" s="103" t="s">
        <v>12045</v>
      </c>
      <c r="I2441" s="103">
        <v>3.04603753E9</v>
      </c>
      <c r="J2441" s="104" t="s">
        <v>12046</v>
      </c>
      <c r="K2441" s="107" t="s">
        <v>12047</v>
      </c>
      <c r="L2441" s="105"/>
    </row>
    <row r="2442">
      <c r="A2442" s="103" t="s">
        <v>4676</v>
      </c>
      <c r="B2442" s="103">
        <v>1.10012409301E11</v>
      </c>
      <c r="C2442" s="105"/>
      <c r="D2442" s="104" t="s">
        <v>12048</v>
      </c>
      <c r="E2442" s="104" t="s">
        <v>12049</v>
      </c>
      <c r="F2442" s="103" t="s">
        <v>4678</v>
      </c>
      <c r="G2442" s="103" t="s">
        <v>4679</v>
      </c>
      <c r="H2442" s="103" t="s">
        <v>12045</v>
      </c>
      <c r="I2442" s="103">
        <v>3.202702754E9</v>
      </c>
      <c r="J2442" s="104" t="s">
        <v>12050</v>
      </c>
      <c r="K2442" s="105"/>
      <c r="L2442" s="105"/>
    </row>
    <row r="2443">
      <c r="A2443" s="103" t="s">
        <v>4676</v>
      </c>
      <c r="B2443" s="103">
        <v>1.100124096E9</v>
      </c>
      <c r="C2443" s="105"/>
      <c r="D2443" s="104" t="s">
        <v>12051</v>
      </c>
      <c r="E2443" s="106"/>
      <c r="F2443" s="103" t="s">
        <v>4678</v>
      </c>
      <c r="G2443" s="103" t="s">
        <v>4679</v>
      </c>
      <c r="H2443" s="103" t="s">
        <v>12052</v>
      </c>
      <c r="I2443" s="103" t="s">
        <v>12053</v>
      </c>
      <c r="J2443" s="104" t="s">
        <v>12054</v>
      </c>
      <c r="K2443" s="105"/>
      <c r="L2443" s="105"/>
    </row>
    <row r="2444">
      <c r="A2444" s="103" t="s">
        <v>4676</v>
      </c>
      <c r="B2444" s="103">
        <v>1.10012409601E11</v>
      </c>
      <c r="C2444" s="105"/>
      <c r="D2444" s="104" t="s">
        <v>12051</v>
      </c>
      <c r="E2444" s="104" t="s">
        <v>12055</v>
      </c>
      <c r="F2444" s="103" t="s">
        <v>4678</v>
      </c>
      <c r="G2444" s="103" t="s">
        <v>4679</v>
      </c>
      <c r="H2444" s="103" t="s">
        <v>12052</v>
      </c>
      <c r="I2444" s="103" t="s">
        <v>12053</v>
      </c>
      <c r="J2444" s="104" t="s">
        <v>12054</v>
      </c>
      <c r="K2444" s="105"/>
      <c r="L2444" s="105"/>
    </row>
    <row r="2445">
      <c r="A2445" s="103" t="s">
        <v>4676</v>
      </c>
      <c r="B2445" s="103">
        <v>1.100124162E9</v>
      </c>
      <c r="C2445" s="105"/>
      <c r="D2445" s="104" t="s">
        <v>12056</v>
      </c>
      <c r="E2445" s="106"/>
      <c r="F2445" s="103" t="s">
        <v>4678</v>
      </c>
      <c r="G2445" s="103" t="s">
        <v>4679</v>
      </c>
      <c r="H2445" s="103" t="s">
        <v>12057</v>
      </c>
      <c r="I2445" s="103">
        <v>4339314.0</v>
      </c>
      <c r="J2445" s="104" t="s">
        <v>12058</v>
      </c>
      <c r="K2445" s="105"/>
      <c r="L2445" s="105"/>
    </row>
    <row r="2446">
      <c r="A2446" s="103" t="s">
        <v>4676</v>
      </c>
      <c r="B2446" s="103">
        <v>1.10012416201E11</v>
      </c>
      <c r="C2446" s="105"/>
      <c r="D2446" s="104" t="s">
        <v>12056</v>
      </c>
      <c r="E2446" s="104" t="s">
        <v>12059</v>
      </c>
      <c r="F2446" s="103" t="s">
        <v>4678</v>
      </c>
      <c r="G2446" s="103" t="s">
        <v>4679</v>
      </c>
      <c r="H2446" s="103" t="s">
        <v>12060</v>
      </c>
      <c r="I2446" s="103">
        <v>4339314.0</v>
      </c>
      <c r="J2446" s="104" t="s">
        <v>12058</v>
      </c>
      <c r="K2446" s="105"/>
      <c r="L2446" s="105"/>
    </row>
    <row r="2447">
      <c r="A2447" s="103" t="s">
        <v>4676</v>
      </c>
      <c r="B2447" s="103">
        <v>1.10012421E9</v>
      </c>
      <c r="C2447" s="105"/>
      <c r="D2447" s="104" t="s">
        <v>12061</v>
      </c>
      <c r="E2447" s="106"/>
      <c r="F2447" s="103" t="s">
        <v>4678</v>
      </c>
      <c r="G2447" s="103" t="s">
        <v>4679</v>
      </c>
      <c r="H2447" s="103" t="s">
        <v>12062</v>
      </c>
      <c r="I2447" s="103">
        <v>8050923.0</v>
      </c>
      <c r="J2447" s="104" t="s">
        <v>12063</v>
      </c>
      <c r="K2447" s="105"/>
      <c r="L2447" s="105"/>
    </row>
    <row r="2448">
      <c r="A2448" s="103" t="s">
        <v>4676</v>
      </c>
      <c r="B2448" s="103">
        <v>1.10012421001E11</v>
      </c>
      <c r="C2448" s="105"/>
      <c r="D2448" s="104" t="s">
        <v>12061</v>
      </c>
      <c r="E2448" s="104" t="s">
        <v>12064</v>
      </c>
      <c r="F2448" s="103" t="s">
        <v>4678</v>
      </c>
      <c r="G2448" s="103" t="s">
        <v>4679</v>
      </c>
      <c r="H2448" s="103" t="s">
        <v>12065</v>
      </c>
      <c r="I2448" s="103">
        <v>8050923.0</v>
      </c>
      <c r="J2448" s="104" t="s">
        <v>12063</v>
      </c>
      <c r="K2448" s="105"/>
      <c r="L2448" s="105"/>
    </row>
    <row r="2449">
      <c r="A2449" s="103" t="s">
        <v>4676</v>
      </c>
      <c r="B2449" s="103">
        <v>1.100124244E9</v>
      </c>
      <c r="C2449" s="105"/>
      <c r="D2449" s="104" t="s">
        <v>12066</v>
      </c>
      <c r="E2449" s="106"/>
      <c r="F2449" s="103" t="s">
        <v>4678</v>
      </c>
      <c r="G2449" s="103" t="s">
        <v>4679</v>
      </c>
      <c r="H2449" s="103" t="s">
        <v>12067</v>
      </c>
      <c r="I2449" s="103" t="s">
        <v>12068</v>
      </c>
      <c r="J2449" s="104" t="s">
        <v>12069</v>
      </c>
      <c r="K2449" s="107" t="s">
        <v>12070</v>
      </c>
      <c r="L2449" s="105"/>
    </row>
    <row r="2450">
      <c r="A2450" s="103" t="s">
        <v>4676</v>
      </c>
      <c r="B2450" s="103">
        <v>1.10012424401E11</v>
      </c>
      <c r="C2450" s="105"/>
      <c r="D2450" s="104" t="s">
        <v>12066</v>
      </c>
      <c r="E2450" s="104" t="s">
        <v>12071</v>
      </c>
      <c r="F2450" s="103" t="s">
        <v>4678</v>
      </c>
      <c r="G2450" s="103" t="s">
        <v>4679</v>
      </c>
      <c r="H2450" s="103" t="s">
        <v>12072</v>
      </c>
      <c r="I2450" s="103">
        <v>6316252.0</v>
      </c>
      <c r="J2450" s="104" t="s">
        <v>12069</v>
      </c>
      <c r="K2450" s="105"/>
      <c r="L2450" s="105"/>
    </row>
    <row r="2451">
      <c r="A2451" s="103" t="s">
        <v>4676</v>
      </c>
      <c r="B2451" s="103">
        <v>1.10012424402E11</v>
      </c>
      <c r="C2451" s="105"/>
      <c r="D2451" s="104" t="s">
        <v>12073</v>
      </c>
      <c r="E2451" s="104" t="s">
        <v>12071</v>
      </c>
      <c r="F2451" s="103" t="s">
        <v>4678</v>
      </c>
      <c r="G2451" s="103" t="s">
        <v>4679</v>
      </c>
      <c r="H2451" s="103" t="s">
        <v>12074</v>
      </c>
      <c r="I2451" s="103">
        <v>3.105663088E9</v>
      </c>
      <c r="J2451" s="104" t="s">
        <v>12069</v>
      </c>
      <c r="K2451" s="105"/>
      <c r="L2451" s="105"/>
    </row>
    <row r="2452">
      <c r="A2452" s="103" t="s">
        <v>4676</v>
      </c>
      <c r="B2452" s="103">
        <v>1.100124256E9</v>
      </c>
      <c r="C2452" s="105"/>
      <c r="D2452" s="104" t="s">
        <v>12075</v>
      </c>
      <c r="E2452" s="106"/>
      <c r="F2452" s="103" t="s">
        <v>4678</v>
      </c>
      <c r="G2452" s="103" t="s">
        <v>4679</v>
      </c>
      <c r="H2452" s="103" t="s">
        <v>12076</v>
      </c>
      <c r="I2452" s="103" t="s">
        <v>12077</v>
      </c>
      <c r="J2452" s="104" t="s">
        <v>12078</v>
      </c>
      <c r="K2452" s="107" t="s">
        <v>12079</v>
      </c>
      <c r="L2452" s="105"/>
    </row>
    <row r="2453">
      <c r="A2453" s="103" t="s">
        <v>4676</v>
      </c>
      <c r="B2453" s="103">
        <v>1.10012425601E11</v>
      </c>
      <c r="C2453" s="105"/>
      <c r="D2453" s="104" t="s">
        <v>12080</v>
      </c>
      <c r="E2453" s="104" t="s">
        <v>12081</v>
      </c>
      <c r="F2453" s="103" t="s">
        <v>4678</v>
      </c>
      <c r="G2453" s="103" t="s">
        <v>4679</v>
      </c>
      <c r="H2453" s="103" t="s">
        <v>12076</v>
      </c>
      <c r="I2453" s="103" t="s">
        <v>12082</v>
      </c>
      <c r="J2453" s="104" t="s">
        <v>12083</v>
      </c>
      <c r="K2453" s="105"/>
      <c r="L2453" s="105"/>
    </row>
    <row r="2454">
      <c r="A2454" s="103" t="s">
        <v>4676</v>
      </c>
      <c r="B2454" s="103">
        <v>1.100124279E9</v>
      </c>
      <c r="C2454" s="105"/>
      <c r="D2454" s="104" t="s">
        <v>12084</v>
      </c>
      <c r="E2454" s="106"/>
      <c r="F2454" s="103" t="s">
        <v>4678</v>
      </c>
      <c r="G2454" s="103" t="s">
        <v>4679</v>
      </c>
      <c r="H2454" s="103" t="s">
        <v>12085</v>
      </c>
      <c r="I2454" s="103">
        <v>3.108058422E9</v>
      </c>
      <c r="J2454" s="104" t="s">
        <v>12086</v>
      </c>
      <c r="K2454" s="107" t="s">
        <v>12087</v>
      </c>
      <c r="L2454" s="105"/>
    </row>
    <row r="2455">
      <c r="A2455" s="103" t="s">
        <v>4676</v>
      </c>
      <c r="B2455" s="103">
        <v>1.10012427903E11</v>
      </c>
      <c r="C2455" s="105"/>
      <c r="D2455" s="104" t="s">
        <v>12088</v>
      </c>
      <c r="E2455" s="104" t="s">
        <v>12089</v>
      </c>
      <c r="F2455" s="103" t="s">
        <v>4678</v>
      </c>
      <c r="G2455" s="103" t="s">
        <v>4679</v>
      </c>
      <c r="H2455" s="103" t="s">
        <v>12090</v>
      </c>
      <c r="I2455" s="103">
        <v>3.108058422E9</v>
      </c>
      <c r="J2455" s="104" t="s">
        <v>12086</v>
      </c>
      <c r="K2455" s="105"/>
      <c r="L2455" s="105"/>
    </row>
    <row r="2456">
      <c r="A2456" s="103" t="s">
        <v>4676</v>
      </c>
      <c r="B2456" s="103">
        <v>1.10012427906E11</v>
      </c>
      <c r="C2456" s="105"/>
      <c r="D2456" s="104" t="s">
        <v>12091</v>
      </c>
      <c r="E2456" s="104" t="s">
        <v>12089</v>
      </c>
      <c r="F2456" s="103" t="s">
        <v>4678</v>
      </c>
      <c r="G2456" s="103" t="s">
        <v>4679</v>
      </c>
      <c r="H2456" s="103" t="s">
        <v>12092</v>
      </c>
      <c r="I2456" s="103" t="s">
        <v>12093</v>
      </c>
      <c r="J2456" s="104" t="s">
        <v>12094</v>
      </c>
      <c r="K2456" s="105"/>
      <c r="L2456" s="105"/>
    </row>
    <row r="2457">
      <c r="A2457" s="103" t="s">
        <v>4676</v>
      </c>
      <c r="B2457" s="103">
        <v>1.100124329E9</v>
      </c>
      <c r="C2457" s="105"/>
      <c r="D2457" s="104" t="s">
        <v>12095</v>
      </c>
      <c r="E2457" s="106"/>
      <c r="F2457" s="103" t="s">
        <v>4678</v>
      </c>
      <c r="G2457" s="103" t="s">
        <v>4679</v>
      </c>
      <c r="H2457" s="103" t="s">
        <v>12096</v>
      </c>
      <c r="I2457" s="103">
        <v>3.142069001E9</v>
      </c>
      <c r="J2457" s="104" t="s">
        <v>12097</v>
      </c>
      <c r="K2457" s="105"/>
      <c r="L2457" s="105"/>
    </row>
    <row r="2458">
      <c r="A2458" s="103" t="s">
        <v>4676</v>
      </c>
      <c r="B2458" s="103">
        <v>1.10012432901E11</v>
      </c>
      <c r="C2458" s="105"/>
      <c r="D2458" s="104" t="s">
        <v>12095</v>
      </c>
      <c r="E2458" s="104" t="s">
        <v>12098</v>
      </c>
      <c r="F2458" s="103" t="s">
        <v>4678</v>
      </c>
      <c r="G2458" s="103" t="s">
        <v>4679</v>
      </c>
      <c r="H2458" s="103" t="s">
        <v>12099</v>
      </c>
      <c r="I2458" s="103">
        <v>3.142069001E9</v>
      </c>
      <c r="J2458" s="104" t="s">
        <v>12097</v>
      </c>
      <c r="K2458" s="105"/>
      <c r="L2458" s="105"/>
    </row>
    <row r="2459">
      <c r="A2459" s="103" t="s">
        <v>4676</v>
      </c>
      <c r="B2459" s="103">
        <v>1.100124331E9</v>
      </c>
      <c r="C2459" s="105"/>
      <c r="D2459" s="104" t="s">
        <v>12100</v>
      </c>
      <c r="E2459" s="106"/>
      <c r="F2459" s="103" t="s">
        <v>4678</v>
      </c>
      <c r="G2459" s="103" t="s">
        <v>4679</v>
      </c>
      <c r="H2459" s="103" t="s">
        <v>12101</v>
      </c>
      <c r="I2459" s="103" t="s">
        <v>12102</v>
      </c>
      <c r="J2459" s="104" t="s">
        <v>12103</v>
      </c>
      <c r="K2459" s="107" t="s">
        <v>12104</v>
      </c>
      <c r="L2459" s="105"/>
    </row>
    <row r="2460">
      <c r="A2460" s="103" t="s">
        <v>4676</v>
      </c>
      <c r="B2460" s="103">
        <v>1.10012433101E11</v>
      </c>
      <c r="C2460" s="105"/>
      <c r="D2460" s="104" t="s">
        <v>12105</v>
      </c>
      <c r="E2460" s="104" t="s">
        <v>12106</v>
      </c>
      <c r="F2460" s="103" t="s">
        <v>4678</v>
      </c>
      <c r="G2460" s="103" t="s">
        <v>4679</v>
      </c>
      <c r="H2460" s="103" t="s">
        <v>12107</v>
      </c>
      <c r="I2460" s="103" t="s">
        <v>12102</v>
      </c>
      <c r="J2460" s="104" t="s">
        <v>12103</v>
      </c>
      <c r="K2460" s="105"/>
      <c r="L2460" s="105"/>
    </row>
    <row r="2461">
      <c r="A2461" s="103" t="s">
        <v>4676</v>
      </c>
      <c r="B2461" s="103">
        <v>1.10012433102E11</v>
      </c>
      <c r="C2461" s="105"/>
      <c r="D2461" s="104" t="s">
        <v>12108</v>
      </c>
      <c r="E2461" s="104" t="s">
        <v>12109</v>
      </c>
      <c r="F2461" s="103" t="s">
        <v>4678</v>
      </c>
      <c r="G2461" s="103" t="s">
        <v>4679</v>
      </c>
      <c r="H2461" s="103" t="s">
        <v>12110</v>
      </c>
      <c r="I2461" s="103" t="s">
        <v>12102</v>
      </c>
      <c r="J2461" s="104" t="s">
        <v>12103</v>
      </c>
      <c r="K2461" s="105"/>
      <c r="L2461" s="105"/>
    </row>
    <row r="2462">
      <c r="A2462" s="103" t="s">
        <v>4676</v>
      </c>
      <c r="B2462" s="103">
        <v>1.100124333E9</v>
      </c>
      <c r="C2462" s="105"/>
      <c r="D2462" s="104" t="s">
        <v>12111</v>
      </c>
      <c r="E2462" s="106"/>
      <c r="F2462" s="103" t="s">
        <v>4678</v>
      </c>
      <c r="G2462" s="103" t="s">
        <v>4679</v>
      </c>
      <c r="H2462" s="103" t="s">
        <v>12112</v>
      </c>
      <c r="I2462" s="103" t="s">
        <v>12113</v>
      </c>
      <c r="J2462" s="104" t="s">
        <v>12114</v>
      </c>
      <c r="K2462" s="105"/>
      <c r="L2462" s="105"/>
    </row>
    <row r="2463">
      <c r="A2463" s="103" t="s">
        <v>4676</v>
      </c>
      <c r="B2463" s="103">
        <v>1.10012433301E11</v>
      </c>
      <c r="C2463" s="105"/>
      <c r="D2463" s="104" t="s">
        <v>12111</v>
      </c>
      <c r="E2463" s="104" t="s">
        <v>12115</v>
      </c>
      <c r="F2463" s="103" t="s">
        <v>4678</v>
      </c>
      <c r="G2463" s="103" t="s">
        <v>4679</v>
      </c>
      <c r="H2463" s="103" t="s">
        <v>12116</v>
      </c>
      <c r="I2463" s="103" t="s">
        <v>12117</v>
      </c>
      <c r="J2463" s="104" t="s">
        <v>12114</v>
      </c>
      <c r="K2463" s="105"/>
      <c r="L2463" s="105"/>
    </row>
    <row r="2464">
      <c r="A2464" s="103" t="s">
        <v>4676</v>
      </c>
      <c r="B2464" s="103">
        <v>1.10012433302E11</v>
      </c>
      <c r="C2464" s="105"/>
      <c r="D2464" s="104" t="s">
        <v>12118</v>
      </c>
      <c r="E2464" s="104" t="s">
        <v>12119</v>
      </c>
      <c r="F2464" s="103" t="s">
        <v>4678</v>
      </c>
      <c r="G2464" s="103" t="s">
        <v>4679</v>
      </c>
      <c r="H2464" s="103" t="s">
        <v>12120</v>
      </c>
      <c r="I2464" s="103" t="s">
        <v>12121</v>
      </c>
      <c r="J2464" s="104" t="s">
        <v>12122</v>
      </c>
      <c r="K2464" s="105"/>
      <c r="L2464" s="105"/>
    </row>
    <row r="2465">
      <c r="A2465" s="103" t="s">
        <v>4676</v>
      </c>
      <c r="B2465" s="103">
        <v>1.100124339E9</v>
      </c>
      <c r="C2465" s="105"/>
      <c r="D2465" s="104" t="s">
        <v>12123</v>
      </c>
      <c r="E2465" s="106"/>
      <c r="F2465" s="103" t="s">
        <v>4678</v>
      </c>
      <c r="G2465" s="103" t="s">
        <v>4679</v>
      </c>
      <c r="H2465" s="103" t="s">
        <v>12124</v>
      </c>
      <c r="I2465" s="103">
        <v>3.505211627E9</v>
      </c>
      <c r="J2465" s="104" t="s">
        <v>12125</v>
      </c>
      <c r="K2465" s="107" t="s">
        <v>12126</v>
      </c>
      <c r="L2465" s="105"/>
    </row>
    <row r="2466">
      <c r="A2466" s="103" t="s">
        <v>4676</v>
      </c>
      <c r="B2466" s="103">
        <v>1.10012433901E11</v>
      </c>
      <c r="C2466" s="105"/>
      <c r="D2466" s="104" t="s">
        <v>12123</v>
      </c>
      <c r="E2466" s="104" t="s">
        <v>12127</v>
      </c>
      <c r="F2466" s="103" t="s">
        <v>4678</v>
      </c>
      <c r="G2466" s="103" t="s">
        <v>4679</v>
      </c>
      <c r="H2466" s="103" t="s">
        <v>12128</v>
      </c>
      <c r="I2466" s="103">
        <v>3.505211627E9</v>
      </c>
      <c r="J2466" s="104" t="s">
        <v>12125</v>
      </c>
      <c r="K2466" s="105"/>
      <c r="L2466" s="105"/>
    </row>
    <row r="2467">
      <c r="A2467" s="103" t="s">
        <v>4676</v>
      </c>
      <c r="B2467" s="103">
        <v>1.100124352E9</v>
      </c>
      <c r="C2467" s="105"/>
      <c r="D2467" s="104" t="s">
        <v>12129</v>
      </c>
      <c r="E2467" s="106"/>
      <c r="F2467" s="103" t="s">
        <v>4678</v>
      </c>
      <c r="G2467" s="103" t="s">
        <v>4679</v>
      </c>
      <c r="H2467" s="103" t="s">
        <v>12130</v>
      </c>
      <c r="I2467" s="103" t="s">
        <v>12131</v>
      </c>
      <c r="J2467" s="104" t="s">
        <v>12132</v>
      </c>
      <c r="K2467" s="107" t="s">
        <v>12133</v>
      </c>
      <c r="L2467" s="105"/>
    </row>
    <row r="2468">
      <c r="A2468" s="103" t="s">
        <v>4676</v>
      </c>
      <c r="B2468" s="103">
        <v>1.10012435201E11</v>
      </c>
      <c r="C2468" s="105"/>
      <c r="D2468" s="104" t="s">
        <v>12134</v>
      </c>
      <c r="E2468" s="104" t="s">
        <v>12135</v>
      </c>
      <c r="F2468" s="103" t="s">
        <v>4678</v>
      </c>
      <c r="G2468" s="103" t="s">
        <v>4679</v>
      </c>
      <c r="H2468" s="103" t="s">
        <v>12130</v>
      </c>
      <c r="I2468" s="103" t="s">
        <v>12131</v>
      </c>
      <c r="J2468" s="104" t="s">
        <v>12132</v>
      </c>
      <c r="K2468" s="105"/>
      <c r="L2468" s="105"/>
    </row>
    <row r="2469">
      <c r="A2469" s="103" t="s">
        <v>4676</v>
      </c>
      <c r="B2469" s="103">
        <v>1.100124366E9</v>
      </c>
      <c r="C2469" s="105"/>
      <c r="D2469" s="104" t="s">
        <v>12136</v>
      </c>
      <c r="E2469" s="106"/>
      <c r="F2469" s="103" t="s">
        <v>4678</v>
      </c>
      <c r="G2469" s="103" t="s">
        <v>4679</v>
      </c>
      <c r="H2469" s="103" t="s">
        <v>12137</v>
      </c>
      <c r="I2469" s="103">
        <v>6210236.0</v>
      </c>
      <c r="J2469" s="104" t="s">
        <v>12138</v>
      </c>
      <c r="K2469" s="107" t="s">
        <v>12139</v>
      </c>
      <c r="L2469" s="105"/>
    </row>
    <row r="2470">
      <c r="A2470" s="103" t="s">
        <v>4676</v>
      </c>
      <c r="B2470" s="103">
        <v>1.10012436601E11</v>
      </c>
      <c r="C2470" s="105"/>
      <c r="D2470" s="104" t="s">
        <v>12136</v>
      </c>
      <c r="E2470" s="104" t="s">
        <v>12140</v>
      </c>
      <c r="F2470" s="103" t="s">
        <v>4678</v>
      </c>
      <c r="G2470" s="103" t="s">
        <v>4679</v>
      </c>
      <c r="H2470" s="103" t="s">
        <v>12137</v>
      </c>
      <c r="I2470" s="103">
        <v>6210236.0</v>
      </c>
      <c r="J2470" s="104" t="s">
        <v>12138</v>
      </c>
      <c r="K2470" s="105"/>
      <c r="L2470" s="105"/>
    </row>
    <row r="2471">
      <c r="A2471" s="103" t="s">
        <v>4676</v>
      </c>
      <c r="B2471" s="103">
        <v>1.100124369E9</v>
      </c>
      <c r="C2471" s="105"/>
      <c r="D2471" s="104" t="s">
        <v>12141</v>
      </c>
      <c r="E2471" s="106"/>
      <c r="F2471" s="103" t="s">
        <v>4678</v>
      </c>
      <c r="G2471" s="103" t="s">
        <v>4679</v>
      </c>
      <c r="H2471" s="103" t="s">
        <v>12142</v>
      </c>
      <c r="I2471" s="103">
        <v>3.187156522E9</v>
      </c>
      <c r="J2471" s="104" t="s">
        <v>12143</v>
      </c>
      <c r="K2471" s="107" t="s">
        <v>12144</v>
      </c>
      <c r="L2471" s="105"/>
    </row>
    <row r="2472">
      <c r="A2472" s="103" t="s">
        <v>4676</v>
      </c>
      <c r="B2472" s="103">
        <v>1.10012436903E11</v>
      </c>
      <c r="C2472" s="105"/>
      <c r="D2472" s="104" t="s">
        <v>12145</v>
      </c>
      <c r="E2472" s="104" t="s">
        <v>12146</v>
      </c>
      <c r="F2472" s="103" t="s">
        <v>4678</v>
      </c>
      <c r="G2472" s="103" t="s">
        <v>4679</v>
      </c>
      <c r="H2472" s="103" t="s">
        <v>12147</v>
      </c>
      <c r="I2472" s="103">
        <v>7954140.0</v>
      </c>
      <c r="J2472" s="104" t="s">
        <v>12143</v>
      </c>
      <c r="K2472" s="105"/>
      <c r="L2472" s="105"/>
    </row>
    <row r="2473">
      <c r="A2473" s="103" t="s">
        <v>4676</v>
      </c>
      <c r="B2473" s="103">
        <v>1.10012436904E11</v>
      </c>
      <c r="C2473" s="105"/>
      <c r="D2473" s="104" t="s">
        <v>12148</v>
      </c>
      <c r="E2473" s="104" t="s">
        <v>12149</v>
      </c>
      <c r="F2473" s="103" t="s">
        <v>4678</v>
      </c>
      <c r="G2473" s="103" t="s">
        <v>4679</v>
      </c>
      <c r="H2473" s="103" t="s">
        <v>12150</v>
      </c>
      <c r="I2473" s="103" t="s">
        <v>12151</v>
      </c>
      <c r="J2473" s="104" t="s">
        <v>12143</v>
      </c>
      <c r="K2473" s="105"/>
      <c r="L2473" s="105"/>
    </row>
    <row r="2474">
      <c r="A2474" s="103" t="s">
        <v>4676</v>
      </c>
      <c r="B2474" s="103">
        <v>1.10012436905E11</v>
      </c>
      <c r="C2474" s="105"/>
      <c r="D2474" s="104" t="s">
        <v>12152</v>
      </c>
      <c r="E2474" s="104" t="s">
        <v>12153</v>
      </c>
      <c r="F2474" s="103" t="s">
        <v>4678</v>
      </c>
      <c r="G2474" s="103" t="s">
        <v>4679</v>
      </c>
      <c r="H2474" s="103" t="s">
        <v>12154</v>
      </c>
      <c r="I2474" s="103">
        <v>3.15804949E8</v>
      </c>
      <c r="J2474" s="104" t="s">
        <v>12143</v>
      </c>
      <c r="K2474" s="105"/>
      <c r="L2474" s="105"/>
    </row>
    <row r="2475">
      <c r="A2475" s="103" t="s">
        <v>4676</v>
      </c>
      <c r="B2475" s="103">
        <v>1.10012436906E11</v>
      </c>
      <c r="C2475" s="105"/>
      <c r="D2475" s="104" t="s">
        <v>12155</v>
      </c>
      <c r="E2475" s="104" t="s">
        <v>12156</v>
      </c>
      <c r="F2475" s="103" t="s">
        <v>4678</v>
      </c>
      <c r="G2475" s="103" t="s">
        <v>4679</v>
      </c>
      <c r="H2475" s="103" t="s">
        <v>12157</v>
      </c>
      <c r="I2475" s="103">
        <v>3.174672424E9</v>
      </c>
      <c r="J2475" s="104" t="s">
        <v>12143</v>
      </c>
      <c r="K2475" s="105"/>
      <c r="L2475" s="105"/>
    </row>
    <row r="2476">
      <c r="A2476" s="103" t="s">
        <v>4676</v>
      </c>
      <c r="B2476" s="103">
        <v>1.10012436907E11</v>
      </c>
      <c r="C2476" s="105"/>
      <c r="D2476" s="104" t="s">
        <v>12158</v>
      </c>
      <c r="E2476" s="104" t="s">
        <v>12159</v>
      </c>
      <c r="F2476" s="103" t="s">
        <v>4678</v>
      </c>
      <c r="G2476" s="103" t="s">
        <v>4679</v>
      </c>
      <c r="H2476" s="103" t="s">
        <v>12160</v>
      </c>
      <c r="I2476" s="103" t="s">
        <v>12161</v>
      </c>
      <c r="J2476" s="104" t="s">
        <v>12143</v>
      </c>
      <c r="K2476" s="105"/>
      <c r="L2476" s="105"/>
    </row>
    <row r="2477">
      <c r="A2477" s="103" t="s">
        <v>4676</v>
      </c>
      <c r="B2477" s="103">
        <v>1.100124408E9</v>
      </c>
      <c r="C2477" s="105"/>
      <c r="D2477" s="104" t="s">
        <v>12162</v>
      </c>
      <c r="E2477" s="106"/>
      <c r="F2477" s="103" t="s">
        <v>4678</v>
      </c>
      <c r="G2477" s="103" t="s">
        <v>4679</v>
      </c>
      <c r="H2477" s="103" t="s">
        <v>12163</v>
      </c>
      <c r="I2477" s="103" t="s">
        <v>12164</v>
      </c>
      <c r="J2477" s="104" t="s">
        <v>12165</v>
      </c>
      <c r="K2477" s="105"/>
      <c r="L2477" s="105"/>
    </row>
    <row r="2478">
      <c r="A2478" s="103" t="s">
        <v>4676</v>
      </c>
      <c r="B2478" s="103">
        <v>1.10012440801E11</v>
      </c>
      <c r="C2478" s="105"/>
      <c r="D2478" s="104" t="s">
        <v>12162</v>
      </c>
      <c r="E2478" s="104" t="s">
        <v>12166</v>
      </c>
      <c r="F2478" s="103" t="s">
        <v>4678</v>
      </c>
      <c r="G2478" s="103" t="s">
        <v>4679</v>
      </c>
      <c r="H2478" s="103" t="s">
        <v>12163</v>
      </c>
      <c r="I2478" s="103">
        <v>5204377.0</v>
      </c>
      <c r="J2478" s="104" t="s">
        <v>12165</v>
      </c>
      <c r="K2478" s="105"/>
      <c r="L2478" s="105"/>
    </row>
    <row r="2479">
      <c r="A2479" s="103" t="s">
        <v>4676</v>
      </c>
      <c r="B2479" s="103">
        <v>1.100124493E9</v>
      </c>
      <c r="C2479" s="105"/>
      <c r="D2479" s="104" t="s">
        <v>12167</v>
      </c>
      <c r="E2479" s="106"/>
      <c r="F2479" s="103" t="s">
        <v>4678</v>
      </c>
      <c r="G2479" s="103" t="s">
        <v>4679</v>
      </c>
      <c r="H2479" s="103" t="s">
        <v>12168</v>
      </c>
      <c r="I2479" s="103" t="s">
        <v>12169</v>
      </c>
      <c r="J2479" s="104" t="s">
        <v>12170</v>
      </c>
      <c r="K2479" s="107" t="s">
        <v>12171</v>
      </c>
      <c r="L2479" s="105"/>
    </row>
    <row r="2480">
      <c r="A2480" s="103" t="s">
        <v>4676</v>
      </c>
      <c r="B2480" s="103">
        <v>1.10012449301E11</v>
      </c>
      <c r="C2480" s="105"/>
      <c r="D2480" s="104" t="s">
        <v>12167</v>
      </c>
      <c r="E2480" s="104" t="s">
        <v>12172</v>
      </c>
      <c r="F2480" s="103" t="s">
        <v>4678</v>
      </c>
      <c r="G2480" s="103" t="s">
        <v>4679</v>
      </c>
      <c r="H2480" s="103" t="s">
        <v>12173</v>
      </c>
      <c r="I2480" s="103" t="s">
        <v>12169</v>
      </c>
      <c r="J2480" s="104" t="s">
        <v>12170</v>
      </c>
      <c r="K2480" s="105"/>
      <c r="L2480" s="105"/>
    </row>
    <row r="2481">
      <c r="A2481" s="103" t="s">
        <v>4676</v>
      </c>
      <c r="B2481" s="103">
        <v>1.10012449302E11</v>
      </c>
      <c r="C2481" s="105"/>
      <c r="D2481" s="104" t="s">
        <v>12174</v>
      </c>
      <c r="E2481" s="104" t="s">
        <v>12175</v>
      </c>
      <c r="F2481" s="103" t="s">
        <v>4678</v>
      </c>
      <c r="G2481" s="103" t="s">
        <v>4679</v>
      </c>
      <c r="H2481" s="103" t="s">
        <v>12176</v>
      </c>
      <c r="I2481" s="103">
        <v>6313942.0</v>
      </c>
      <c r="J2481" s="104" t="s">
        <v>12170</v>
      </c>
      <c r="K2481" s="105"/>
      <c r="L2481" s="105"/>
    </row>
    <row r="2482">
      <c r="A2482" s="103" t="s">
        <v>4676</v>
      </c>
      <c r="B2482" s="103">
        <v>1.100124513E9</v>
      </c>
      <c r="C2482" s="105"/>
      <c r="D2482" s="104" t="s">
        <v>12177</v>
      </c>
      <c r="E2482" s="106"/>
      <c r="F2482" s="103" t="s">
        <v>4678</v>
      </c>
      <c r="G2482" s="103" t="s">
        <v>4679</v>
      </c>
      <c r="H2482" s="103" t="s">
        <v>12178</v>
      </c>
      <c r="I2482" s="103" t="s">
        <v>12179</v>
      </c>
      <c r="J2482" s="104" t="s">
        <v>12180</v>
      </c>
      <c r="K2482" s="105"/>
      <c r="L2482" s="105"/>
    </row>
    <row r="2483">
      <c r="A2483" s="103" t="s">
        <v>4676</v>
      </c>
      <c r="B2483" s="103">
        <v>1.10012451301E11</v>
      </c>
      <c r="C2483" s="105"/>
      <c r="D2483" s="104" t="s">
        <v>12181</v>
      </c>
      <c r="E2483" s="104" t="s">
        <v>12182</v>
      </c>
      <c r="F2483" s="103" t="s">
        <v>4678</v>
      </c>
      <c r="G2483" s="103" t="s">
        <v>4679</v>
      </c>
      <c r="H2483" s="103" t="s">
        <v>12178</v>
      </c>
      <c r="I2483" s="103">
        <v>8857879.0</v>
      </c>
      <c r="J2483" s="104" t="s">
        <v>12183</v>
      </c>
      <c r="K2483" s="105"/>
      <c r="L2483" s="105"/>
    </row>
    <row r="2484">
      <c r="A2484" s="103" t="s">
        <v>4676</v>
      </c>
      <c r="B2484" s="103">
        <v>1.100124526E9</v>
      </c>
      <c r="C2484" s="105"/>
      <c r="D2484" s="104" t="s">
        <v>12184</v>
      </c>
      <c r="E2484" s="106"/>
      <c r="F2484" s="103" t="s">
        <v>4678</v>
      </c>
      <c r="G2484" s="103" t="s">
        <v>4679</v>
      </c>
      <c r="H2484" s="103" t="s">
        <v>12185</v>
      </c>
      <c r="I2484" s="103" t="s">
        <v>12186</v>
      </c>
      <c r="J2484" s="104" t="s">
        <v>12187</v>
      </c>
      <c r="K2484" s="105"/>
      <c r="L2484" s="105"/>
    </row>
    <row r="2485">
      <c r="A2485" s="103" t="s">
        <v>4676</v>
      </c>
      <c r="B2485" s="103">
        <v>1.10012452601E11</v>
      </c>
      <c r="C2485" s="105"/>
      <c r="D2485" s="104" t="s">
        <v>12188</v>
      </c>
      <c r="E2485" s="104" t="s">
        <v>12189</v>
      </c>
      <c r="F2485" s="103" t="s">
        <v>4678</v>
      </c>
      <c r="G2485" s="103" t="s">
        <v>4679</v>
      </c>
      <c r="H2485" s="103" t="s">
        <v>12190</v>
      </c>
      <c r="I2485" s="103" t="s">
        <v>12186</v>
      </c>
      <c r="J2485" s="104" t="s">
        <v>12191</v>
      </c>
      <c r="K2485" s="105"/>
      <c r="L2485" s="105"/>
    </row>
    <row r="2486">
      <c r="A2486" s="103" t="s">
        <v>4676</v>
      </c>
      <c r="B2486" s="103">
        <v>1.10012452603E11</v>
      </c>
      <c r="C2486" s="105"/>
      <c r="D2486" s="104" t="s">
        <v>12192</v>
      </c>
      <c r="E2486" s="104" t="s">
        <v>12189</v>
      </c>
      <c r="F2486" s="103" t="s">
        <v>4678</v>
      </c>
      <c r="G2486" s="103" t="s">
        <v>4679</v>
      </c>
      <c r="H2486" s="103" t="s">
        <v>12193</v>
      </c>
      <c r="I2486" s="103" t="s">
        <v>12186</v>
      </c>
      <c r="J2486" s="104" t="s">
        <v>12191</v>
      </c>
      <c r="K2486" s="105"/>
      <c r="L2486" s="105"/>
    </row>
    <row r="2487">
      <c r="A2487" s="103" t="s">
        <v>4676</v>
      </c>
      <c r="B2487" s="103">
        <v>1.100124548E9</v>
      </c>
      <c r="C2487" s="105"/>
      <c r="D2487" s="104" t="s">
        <v>12194</v>
      </c>
      <c r="E2487" s="106"/>
      <c r="F2487" s="103" t="s">
        <v>4678</v>
      </c>
      <c r="G2487" s="103" t="s">
        <v>4679</v>
      </c>
      <c r="H2487" s="103" t="s">
        <v>12195</v>
      </c>
      <c r="I2487" s="103">
        <v>3.175156113E9</v>
      </c>
      <c r="J2487" s="104" t="s">
        <v>12196</v>
      </c>
      <c r="K2487" s="105"/>
      <c r="L2487" s="105"/>
    </row>
    <row r="2488">
      <c r="A2488" s="103" t="s">
        <v>4676</v>
      </c>
      <c r="B2488" s="103">
        <v>1.10012454801E11</v>
      </c>
      <c r="C2488" s="105"/>
      <c r="D2488" s="104" t="s">
        <v>12197</v>
      </c>
      <c r="E2488" s="104" t="s">
        <v>12198</v>
      </c>
      <c r="F2488" s="103" t="s">
        <v>4678</v>
      </c>
      <c r="G2488" s="103" t="s">
        <v>4679</v>
      </c>
      <c r="H2488" s="103" t="s">
        <v>12195</v>
      </c>
      <c r="I2488" s="103">
        <v>3.175156113E9</v>
      </c>
      <c r="J2488" s="104" t="s">
        <v>12196</v>
      </c>
      <c r="K2488" s="105"/>
      <c r="L2488" s="105"/>
    </row>
    <row r="2489">
      <c r="A2489" s="103" t="s">
        <v>4676</v>
      </c>
      <c r="B2489" s="103">
        <v>1.10012454802E11</v>
      </c>
      <c r="C2489" s="105"/>
      <c r="D2489" s="104" t="s">
        <v>12199</v>
      </c>
      <c r="E2489" s="104" t="s">
        <v>12200</v>
      </c>
      <c r="F2489" s="103" t="s">
        <v>4678</v>
      </c>
      <c r="G2489" s="103" t="s">
        <v>4679</v>
      </c>
      <c r="H2489" s="103" t="s">
        <v>12201</v>
      </c>
      <c r="I2489" s="103" t="s">
        <v>12202</v>
      </c>
      <c r="J2489" s="104" t="s">
        <v>12203</v>
      </c>
      <c r="K2489" s="105"/>
      <c r="L2489" s="105"/>
    </row>
    <row r="2490">
      <c r="A2490" s="103" t="s">
        <v>4676</v>
      </c>
      <c r="B2490" s="103">
        <v>1.10012454803E11</v>
      </c>
      <c r="C2490" s="105"/>
      <c r="D2490" s="104" t="s">
        <v>12204</v>
      </c>
      <c r="E2490" s="104" t="s">
        <v>12205</v>
      </c>
      <c r="F2490" s="103" t="s">
        <v>4678</v>
      </c>
      <c r="G2490" s="103" t="s">
        <v>4679</v>
      </c>
      <c r="H2490" s="103" t="s">
        <v>12206</v>
      </c>
      <c r="I2490" s="103">
        <v>3.045694667E9</v>
      </c>
      <c r="J2490" s="104" t="s">
        <v>12196</v>
      </c>
      <c r="K2490" s="105"/>
      <c r="L2490" s="105"/>
    </row>
    <row r="2491">
      <c r="A2491" s="103" t="s">
        <v>4676</v>
      </c>
      <c r="B2491" s="103">
        <v>1.100124552E9</v>
      </c>
      <c r="C2491" s="105"/>
      <c r="D2491" s="104" t="s">
        <v>12207</v>
      </c>
      <c r="E2491" s="106"/>
      <c r="F2491" s="103" t="s">
        <v>4678</v>
      </c>
      <c r="G2491" s="103" t="s">
        <v>4679</v>
      </c>
      <c r="H2491" s="103" t="s">
        <v>12208</v>
      </c>
      <c r="I2491" s="103">
        <v>3.107630637E9</v>
      </c>
      <c r="J2491" s="104" t="s">
        <v>12209</v>
      </c>
      <c r="K2491" s="105"/>
      <c r="L2491" s="105"/>
    </row>
    <row r="2492">
      <c r="A2492" s="103" t="s">
        <v>4676</v>
      </c>
      <c r="B2492" s="103">
        <v>1.10012455201E11</v>
      </c>
      <c r="C2492" s="105"/>
      <c r="D2492" s="104" t="s">
        <v>12207</v>
      </c>
      <c r="E2492" s="104" t="s">
        <v>12210</v>
      </c>
      <c r="F2492" s="103" t="s">
        <v>4678</v>
      </c>
      <c r="G2492" s="103" t="s">
        <v>4679</v>
      </c>
      <c r="H2492" s="103" t="s">
        <v>12211</v>
      </c>
      <c r="I2492" s="103">
        <v>3.107630637E9</v>
      </c>
      <c r="J2492" s="104" t="s">
        <v>12209</v>
      </c>
      <c r="K2492" s="105"/>
      <c r="L2492" s="105"/>
    </row>
    <row r="2493">
      <c r="A2493" s="103" t="s">
        <v>4676</v>
      </c>
      <c r="B2493" s="103">
        <v>1.100124564E9</v>
      </c>
      <c r="C2493" s="105"/>
      <c r="D2493" s="104" t="s">
        <v>12212</v>
      </c>
      <c r="E2493" s="106"/>
      <c r="F2493" s="103" t="s">
        <v>4678</v>
      </c>
      <c r="G2493" s="103" t="s">
        <v>4679</v>
      </c>
      <c r="H2493" s="103" t="s">
        <v>12213</v>
      </c>
      <c r="I2493" s="103">
        <v>7711138.0</v>
      </c>
      <c r="J2493" s="104" t="s">
        <v>12214</v>
      </c>
      <c r="K2493" s="105"/>
      <c r="L2493" s="105"/>
    </row>
    <row r="2494">
      <c r="A2494" s="103" t="s">
        <v>4676</v>
      </c>
      <c r="B2494" s="103">
        <v>1.10012456401E11</v>
      </c>
      <c r="C2494" s="105"/>
      <c r="D2494" s="104" t="s">
        <v>12212</v>
      </c>
      <c r="E2494" s="104" t="s">
        <v>12215</v>
      </c>
      <c r="F2494" s="103" t="s">
        <v>4678</v>
      </c>
      <c r="G2494" s="103" t="s">
        <v>4679</v>
      </c>
      <c r="H2494" s="103" t="s">
        <v>12213</v>
      </c>
      <c r="I2494" s="103" t="s">
        <v>12216</v>
      </c>
      <c r="J2494" s="104" t="s">
        <v>12214</v>
      </c>
      <c r="K2494" s="105"/>
      <c r="L2494" s="105"/>
    </row>
    <row r="2495">
      <c r="A2495" s="103" t="s">
        <v>4676</v>
      </c>
      <c r="B2495" s="103">
        <v>1.100124571E9</v>
      </c>
      <c r="C2495" s="105"/>
      <c r="D2495" s="104" t="s">
        <v>12217</v>
      </c>
      <c r="E2495" s="106"/>
      <c r="F2495" s="103" t="s">
        <v>4678</v>
      </c>
      <c r="G2495" s="103" t="s">
        <v>4679</v>
      </c>
      <c r="H2495" s="103" t="s">
        <v>12218</v>
      </c>
      <c r="I2495" s="103" t="s">
        <v>12219</v>
      </c>
      <c r="J2495" s="104" t="s">
        <v>12220</v>
      </c>
      <c r="K2495" s="105"/>
      <c r="L2495" s="105"/>
    </row>
    <row r="2496">
      <c r="A2496" s="103" t="s">
        <v>4676</v>
      </c>
      <c r="B2496" s="103">
        <v>1.10012457101E11</v>
      </c>
      <c r="C2496" s="105"/>
      <c r="D2496" s="104" t="s">
        <v>12221</v>
      </c>
      <c r="E2496" s="104" t="s">
        <v>12222</v>
      </c>
      <c r="F2496" s="103" t="s">
        <v>4678</v>
      </c>
      <c r="G2496" s="103" t="s">
        <v>4679</v>
      </c>
      <c r="H2496" s="103" t="s">
        <v>12218</v>
      </c>
      <c r="I2496" s="103" t="s">
        <v>12223</v>
      </c>
      <c r="J2496" s="104" t="s">
        <v>12224</v>
      </c>
      <c r="K2496" s="105"/>
      <c r="L2496" s="105"/>
    </row>
    <row r="2497">
      <c r="A2497" s="103" t="s">
        <v>4676</v>
      </c>
      <c r="B2497" s="103">
        <v>1.100124608E9</v>
      </c>
      <c r="C2497" s="105"/>
      <c r="D2497" s="104" t="s">
        <v>12225</v>
      </c>
      <c r="E2497" s="106"/>
      <c r="F2497" s="103" t="s">
        <v>4678</v>
      </c>
      <c r="G2497" s="103" t="s">
        <v>4679</v>
      </c>
      <c r="H2497" s="103" t="s">
        <v>12226</v>
      </c>
      <c r="I2497" s="103">
        <v>2551663.0</v>
      </c>
      <c r="J2497" s="104" t="s">
        <v>12227</v>
      </c>
      <c r="K2497" s="105"/>
      <c r="L2497" s="105"/>
    </row>
    <row r="2498">
      <c r="A2498" s="103" t="s">
        <v>4676</v>
      </c>
      <c r="B2498" s="103">
        <v>1.10012460802E11</v>
      </c>
      <c r="C2498" s="105"/>
      <c r="D2498" s="104" t="s">
        <v>12228</v>
      </c>
      <c r="E2498" s="104" t="s">
        <v>12229</v>
      </c>
      <c r="F2498" s="103" t="s">
        <v>4678</v>
      </c>
      <c r="G2498" s="103" t="s">
        <v>4679</v>
      </c>
      <c r="H2498" s="103" t="s">
        <v>12230</v>
      </c>
      <c r="I2498" s="103">
        <v>2551663.0</v>
      </c>
      <c r="J2498" s="104" t="s">
        <v>12227</v>
      </c>
      <c r="K2498" s="105"/>
      <c r="L2498" s="105"/>
    </row>
    <row r="2499">
      <c r="A2499" s="103" t="s">
        <v>4676</v>
      </c>
      <c r="B2499" s="103">
        <v>1.10012461E9</v>
      </c>
      <c r="C2499" s="105"/>
      <c r="D2499" s="104" t="s">
        <v>12231</v>
      </c>
      <c r="E2499" s="106"/>
      <c r="F2499" s="103" t="s">
        <v>4678</v>
      </c>
      <c r="G2499" s="103" t="s">
        <v>4679</v>
      </c>
      <c r="H2499" s="103" t="s">
        <v>12232</v>
      </c>
      <c r="I2499" s="103" t="s">
        <v>12233</v>
      </c>
      <c r="J2499" s="104" t="s">
        <v>12234</v>
      </c>
      <c r="K2499" s="105"/>
      <c r="L2499" s="105"/>
    </row>
    <row r="2500">
      <c r="A2500" s="103" t="s">
        <v>4676</v>
      </c>
      <c r="B2500" s="103">
        <v>1.10012461002E11</v>
      </c>
      <c r="C2500" s="105"/>
      <c r="D2500" s="104" t="s">
        <v>12235</v>
      </c>
      <c r="E2500" s="104" t="s">
        <v>12236</v>
      </c>
      <c r="F2500" s="103" t="s">
        <v>4678</v>
      </c>
      <c r="G2500" s="103" t="s">
        <v>4679</v>
      </c>
      <c r="H2500" s="103" t="s">
        <v>12237</v>
      </c>
      <c r="I2500" s="103" t="s">
        <v>12238</v>
      </c>
      <c r="J2500" s="104" t="s">
        <v>12234</v>
      </c>
      <c r="K2500" s="105"/>
      <c r="L2500" s="105"/>
    </row>
    <row r="2501">
      <c r="A2501" s="103" t="s">
        <v>4676</v>
      </c>
      <c r="B2501" s="103">
        <v>1.100124732E9</v>
      </c>
      <c r="C2501" s="105"/>
      <c r="D2501" s="104" t="s">
        <v>12239</v>
      </c>
      <c r="E2501" s="106"/>
      <c r="F2501" s="103" t="s">
        <v>4678</v>
      </c>
      <c r="G2501" s="103" t="s">
        <v>4679</v>
      </c>
      <c r="H2501" s="103" t="s">
        <v>12240</v>
      </c>
      <c r="I2501" s="103">
        <v>4525520.0</v>
      </c>
      <c r="J2501" s="104" t="s">
        <v>12241</v>
      </c>
      <c r="K2501" s="105"/>
      <c r="L2501" s="105"/>
    </row>
    <row r="2502">
      <c r="A2502" s="103" t="s">
        <v>4676</v>
      </c>
      <c r="B2502" s="103">
        <v>1.10012473201E11</v>
      </c>
      <c r="C2502" s="105"/>
      <c r="D2502" s="104" t="s">
        <v>12242</v>
      </c>
      <c r="E2502" s="104" t="s">
        <v>12243</v>
      </c>
      <c r="F2502" s="103" t="s">
        <v>4678</v>
      </c>
      <c r="G2502" s="103" t="s">
        <v>4679</v>
      </c>
      <c r="H2502" s="103" t="s">
        <v>12240</v>
      </c>
      <c r="I2502" s="103">
        <v>4525520.0</v>
      </c>
      <c r="J2502" s="104" t="s">
        <v>12241</v>
      </c>
      <c r="K2502" s="105"/>
      <c r="L2502" s="105"/>
    </row>
    <row r="2503">
      <c r="A2503" s="103" t="s">
        <v>4676</v>
      </c>
      <c r="B2503" s="103">
        <v>1.100124762E9</v>
      </c>
      <c r="C2503" s="105"/>
      <c r="D2503" s="104" t="s">
        <v>12244</v>
      </c>
      <c r="E2503" s="106"/>
      <c r="F2503" s="103" t="s">
        <v>4678</v>
      </c>
      <c r="G2503" s="103" t="s">
        <v>4679</v>
      </c>
      <c r="H2503" s="103" t="s">
        <v>12245</v>
      </c>
      <c r="I2503" s="103" t="s">
        <v>12246</v>
      </c>
      <c r="J2503" s="104" t="s">
        <v>12247</v>
      </c>
      <c r="K2503" s="105"/>
      <c r="L2503" s="105"/>
    </row>
    <row r="2504">
      <c r="A2504" s="103" t="s">
        <v>4676</v>
      </c>
      <c r="B2504" s="103">
        <v>1.10012476201E11</v>
      </c>
      <c r="C2504" s="105"/>
      <c r="D2504" s="104" t="s">
        <v>12244</v>
      </c>
      <c r="E2504" s="104" t="s">
        <v>12248</v>
      </c>
      <c r="F2504" s="103" t="s">
        <v>4678</v>
      </c>
      <c r="G2504" s="103" t="s">
        <v>4679</v>
      </c>
      <c r="H2504" s="103" t="s">
        <v>12249</v>
      </c>
      <c r="I2504" s="103" t="s">
        <v>12246</v>
      </c>
      <c r="J2504" s="104" t="s">
        <v>12250</v>
      </c>
      <c r="K2504" s="105"/>
      <c r="L2504" s="105"/>
    </row>
    <row r="2505">
      <c r="A2505" s="103" t="s">
        <v>4676</v>
      </c>
      <c r="B2505" s="103">
        <v>1.10012482E9</v>
      </c>
      <c r="C2505" s="105"/>
      <c r="D2505" s="104" t="s">
        <v>12251</v>
      </c>
      <c r="E2505" s="106"/>
      <c r="F2505" s="103" t="s">
        <v>4678</v>
      </c>
      <c r="G2505" s="103" t="s">
        <v>4679</v>
      </c>
      <c r="H2505" s="103" t="s">
        <v>12252</v>
      </c>
      <c r="I2505" s="103" t="s">
        <v>12253</v>
      </c>
      <c r="J2505" s="104" t="s">
        <v>12254</v>
      </c>
      <c r="K2505" s="105"/>
      <c r="L2505" s="105"/>
    </row>
    <row r="2506">
      <c r="A2506" s="103" t="s">
        <v>4676</v>
      </c>
      <c r="B2506" s="103">
        <v>1.10012482001E11</v>
      </c>
      <c r="C2506" s="105"/>
      <c r="D2506" s="104" t="s">
        <v>12255</v>
      </c>
      <c r="E2506" s="104" t="s">
        <v>12256</v>
      </c>
      <c r="F2506" s="103" t="s">
        <v>4678</v>
      </c>
      <c r="G2506" s="103" t="s">
        <v>4679</v>
      </c>
      <c r="H2506" s="103" t="s">
        <v>12257</v>
      </c>
      <c r="I2506" s="103" t="s">
        <v>12253</v>
      </c>
      <c r="J2506" s="104" t="s">
        <v>12254</v>
      </c>
      <c r="K2506" s="105"/>
      <c r="L2506" s="105"/>
    </row>
    <row r="2507">
      <c r="A2507" s="103" t="s">
        <v>4676</v>
      </c>
      <c r="B2507" s="103">
        <v>1.100124822E9</v>
      </c>
      <c r="C2507" s="105"/>
      <c r="D2507" s="104" t="s">
        <v>12258</v>
      </c>
      <c r="E2507" s="106"/>
      <c r="F2507" s="103" t="s">
        <v>4678</v>
      </c>
      <c r="G2507" s="103" t="s">
        <v>4679</v>
      </c>
      <c r="H2507" s="103" t="s">
        <v>12259</v>
      </c>
      <c r="I2507" s="103" t="s">
        <v>12260</v>
      </c>
      <c r="J2507" s="104" t="s">
        <v>12261</v>
      </c>
      <c r="K2507" s="107" t="s">
        <v>12262</v>
      </c>
      <c r="L2507" s="105"/>
    </row>
    <row r="2508">
      <c r="A2508" s="103" t="s">
        <v>4676</v>
      </c>
      <c r="B2508" s="103">
        <v>1.10012482201E11</v>
      </c>
      <c r="C2508" s="105"/>
      <c r="D2508" s="104" t="s">
        <v>12258</v>
      </c>
      <c r="E2508" s="104" t="s">
        <v>12263</v>
      </c>
      <c r="F2508" s="103" t="s">
        <v>4678</v>
      </c>
      <c r="G2508" s="103" t="s">
        <v>4679</v>
      </c>
      <c r="H2508" s="103" t="s">
        <v>12264</v>
      </c>
      <c r="I2508" s="103" t="s">
        <v>12260</v>
      </c>
      <c r="J2508" s="104" t="s">
        <v>12261</v>
      </c>
      <c r="K2508" s="105"/>
      <c r="L2508" s="105"/>
    </row>
    <row r="2509">
      <c r="A2509" s="103" t="s">
        <v>4676</v>
      </c>
      <c r="B2509" s="103">
        <v>1.10012485E9</v>
      </c>
      <c r="C2509" s="105"/>
      <c r="D2509" s="104" t="s">
        <v>12265</v>
      </c>
      <c r="E2509" s="106"/>
      <c r="F2509" s="103" t="s">
        <v>4678</v>
      </c>
      <c r="G2509" s="103" t="s">
        <v>4679</v>
      </c>
      <c r="H2509" s="103" t="s">
        <v>12266</v>
      </c>
      <c r="I2509" s="103" t="s">
        <v>12267</v>
      </c>
      <c r="J2509" s="104" t="s">
        <v>12268</v>
      </c>
      <c r="K2509" s="105"/>
      <c r="L2509" s="105"/>
    </row>
    <row r="2510">
      <c r="A2510" s="103" t="s">
        <v>4676</v>
      </c>
      <c r="B2510" s="103">
        <v>1.10012485001E11</v>
      </c>
      <c r="C2510" s="105"/>
      <c r="D2510" s="104" t="s">
        <v>12265</v>
      </c>
      <c r="E2510" s="104" t="s">
        <v>12269</v>
      </c>
      <c r="F2510" s="103" t="s">
        <v>4678</v>
      </c>
      <c r="G2510" s="103" t="s">
        <v>4679</v>
      </c>
      <c r="H2510" s="103" t="s">
        <v>12266</v>
      </c>
      <c r="I2510" s="103" t="s">
        <v>12267</v>
      </c>
      <c r="J2510" s="104" t="s">
        <v>12268</v>
      </c>
      <c r="K2510" s="105"/>
      <c r="L2510" s="105"/>
    </row>
    <row r="2511">
      <c r="A2511" s="103" t="s">
        <v>4676</v>
      </c>
      <c r="B2511" s="103">
        <v>1.10012485002E11</v>
      </c>
      <c r="C2511" s="105"/>
      <c r="D2511" s="104" t="s">
        <v>12270</v>
      </c>
      <c r="E2511" s="104" t="s">
        <v>12269</v>
      </c>
      <c r="F2511" s="103" t="s">
        <v>4678</v>
      </c>
      <c r="G2511" s="103" t="s">
        <v>4679</v>
      </c>
      <c r="H2511" s="103" t="s">
        <v>12271</v>
      </c>
      <c r="I2511" s="103" t="s">
        <v>12267</v>
      </c>
      <c r="J2511" s="104" t="s">
        <v>12268</v>
      </c>
      <c r="K2511" s="105"/>
      <c r="L2511" s="105"/>
    </row>
    <row r="2512">
      <c r="A2512" s="103" t="s">
        <v>4676</v>
      </c>
      <c r="B2512" s="103">
        <v>1.100124874E9</v>
      </c>
      <c r="C2512" s="105"/>
      <c r="D2512" s="104" t="s">
        <v>12272</v>
      </c>
      <c r="E2512" s="106"/>
      <c r="F2512" s="103" t="s">
        <v>4678</v>
      </c>
      <c r="G2512" s="103" t="s">
        <v>4679</v>
      </c>
      <c r="H2512" s="103" t="s">
        <v>12273</v>
      </c>
      <c r="I2512" s="103" t="s">
        <v>12274</v>
      </c>
      <c r="J2512" s="104" t="s">
        <v>12275</v>
      </c>
      <c r="K2512" s="105"/>
      <c r="L2512" s="105"/>
    </row>
    <row r="2513">
      <c r="A2513" s="103" t="s">
        <v>4676</v>
      </c>
      <c r="B2513" s="103">
        <v>1.10012487401E11</v>
      </c>
      <c r="C2513" s="105"/>
      <c r="D2513" s="104" t="s">
        <v>12272</v>
      </c>
      <c r="E2513" s="104" t="s">
        <v>12276</v>
      </c>
      <c r="F2513" s="103" t="s">
        <v>4678</v>
      </c>
      <c r="G2513" s="103" t="s">
        <v>4679</v>
      </c>
      <c r="H2513" s="103" t="s">
        <v>12277</v>
      </c>
      <c r="I2513" s="103" t="s">
        <v>12278</v>
      </c>
      <c r="J2513" s="104" t="s">
        <v>12275</v>
      </c>
      <c r="K2513" s="105"/>
      <c r="L2513" s="105"/>
    </row>
    <row r="2514">
      <c r="A2514" s="103" t="s">
        <v>4676</v>
      </c>
      <c r="B2514" s="103">
        <v>1.100124885E9</v>
      </c>
      <c r="C2514" s="105"/>
      <c r="D2514" s="104" t="s">
        <v>12279</v>
      </c>
      <c r="E2514" s="106"/>
      <c r="F2514" s="103" t="s">
        <v>4678</v>
      </c>
      <c r="G2514" s="103" t="s">
        <v>4679</v>
      </c>
      <c r="H2514" s="103" t="s">
        <v>12280</v>
      </c>
      <c r="I2514" s="103">
        <v>3507851.0</v>
      </c>
      <c r="J2514" s="104" t="s">
        <v>12281</v>
      </c>
      <c r="K2514" s="105"/>
      <c r="L2514" s="105"/>
    </row>
    <row r="2515">
      <c r="A2515" s="103" t="s">
        <v>4676</v>
      </c>
      <c r="B2515" s="103">
        <v>1.10012488501E11</v>
      </c>
      <c r="C2515" s="105"/>
      <c r="D2515" s="104" t="s">
        <v>12279</v>
      </c>
      <c r="E2515" s="104" t="s">
        <v>12282</v>
      </c>
      <c r="F2515" s="103" t="s">
        <v>4678</v>
      </c>
      <c r="G2515" s="103" t="s">
        <v>4679</v>
      </c>
      <c r="H2515" s="103" t="s">
        <v>12280</v>
      </c>
      <c r="I2515" s="103">
        <v>3507851.0</v>
      </c>
      <c r="J2515" s="104" t="s">
        <v>12281</v>
      </c>
      <c r="K2515" s="105"/>
      <c r="L2515" s="105"/>
    </row>
    <row r="2516">
      <c r="A2516" s="103" t="s">
        <v>4676</v>
      </c>
      <c r="B2516" s="103">
        <v>1.100124907E9</v>
      </c>
      <c r="C2516" s="105"/>
      <c r="D2516" s="104" t="s">
        <v>12283</v>
      </c>
      <c r="E2516" s="106"/>
      <c r="F2516" s="103" t="s">
        <v>4678</v>
      </c>
      <c r="G2516" s="103" t="s">
        <v>4679</v>
      </c>
      <c r="H2516" s="103" t="s">
        <v>12284</v>
      </c>
      <c r="I2516" s="103">
        <v>6.017610013E9</v>
      </c>
      <c r="J2516" s="104" t="s">
        <v>12285</v>
      </c>
      <c r="K2516" s="105"/>
      <c r="L2516" s="105"/>
    </row>
    <row r="2517">
      <c r="A2517" s="103" t="s">
        <v>4676</v>
      </c>
      <c r="B2517" s="103">
        <v>1.10012490701E11</v>
      </c>
      <c r="C2517" s="105"/>
      <c r="D2517" s="104" t="s">
        <v>12286</v>
      </c>
      <c r="E2517" s="104" t="s">
        <v>12287</v>
      </c>
      <c r="F2517" s="103" t="s">
        <v>4678</v>
      </c>
      <c r="G2517" s="103" t="s">
        <v>4679</v>
      </c>
      <c r="H2517" s="103" t="s">
        <v>12284</v>
      </c>
      <c r="I2517" s="103" t="s">
        <v>12288</v>
      </c>
      <c r="J2517" s="104" t="s">
        <v>12289</v>
      </c>
      <c r="K2517" s="105"/>
      <c r="L2517" s="105"/>
    </row>
    <row r="2518">
      <c r="A2518" s="103" t="s">
        <v>4676</v>
      </c>
      <c r="B2518" s="103">
        <v>1.100124918E9</v>
      </c>
      <c r="C2518" s="105"/>
      <c r="D2518" s="104" t="s">
        <v>12290</v>
      </c>
      <c r="E2518" s="106"/>
      <c r="F2518" s="103" t="s">
        <v>4678</v>
      </c>
      <c r="G2518" s="103" t="s">
        <v>4679</v>
      </c>
      <c r="H2518" s="103" t="s">
        <v>12291</v>
      </c>
      <c r="I2518" s="103">
        <v>2294872.0</v>
      </c>
      <c r="J2518" s="104" t="s">
        <v>12292</v>
      </c>
      <c r="K2518" s="105"/>
      <c r="L2518" s="105"/>
    </row>
    <row r="2519">
      <c r="A2519" s="103" t="s">
        <v>4676</v>
      </c>
      <c r="B2519" s="103">
        <v>1.10012491801E11</v>
      </c>
      <c r="C2519" s="105"/>
      <c r="D2519" s="104" t="s">
        <v>12293</v>
      </c>
      <c r="E2519" s="104" t="s">
        <v>12294</v>
      </c>
      <c r="F2519" s="103" t="s">
        <v>4678</v>
      </c>
      <c r="G2519" s="103" t="s">
        <v>4679</v>
      </c>
      <c r="H2519" s="103" t="s">
        <v>12291</v>
      </c>
      <c r="I2519" s="103">
        <v>2294872.0</v>
      </c>
      <c r="J2519" s="104" t="s">
        <v>12292</v>
      </c>
      <c r="K2519" s="105"/>
      <c r="L2519" s="105"/>
    </row>
    <row r="2520">
      <c r="A2520" s="103" t="s">
        <v>4676</v>
      </c>
      <c r="B2520" s="103">
        <v>1.10012491802E11</v>
      </c>
      <c r="C2520" s="105"/>
      <c r="D2520" s="104" t="s">
        <v>12295</v>
      </c>
      <c r="E2520" s="104" t="s">
        <v>12294</v>
      </c>
      <c r="F2520" s="103" t="s">
        <v>4678</v>
      </c>
      <c r="G2520" s="103" t="s">
        <v>4679</v>
      </c>
      <c r="H2520" s="103" t="s">
        <v>12296</v>
      </c>
      <c r="I2520" s="103">
        <v>6376794.0</v>
      </c>
      <c r="J2520" s="104" t="s">
        <v>12292</v>
      </c>
      <c r="K2520" s="105"/>
      <c r="L2520" s="105"/>
    </row>
    <row r="2521">
      <c r="A2521" s="103" t="s">
        <v>4676</v>
      </c>
      <c r="B2521" s="103">
        <v>1.10012491803E11</v>
      </c>
      <c r="C2521" s="105"/>
      <c r="D2521" s="104" t="s">
        <v>12297</v>
      </c>
      <c r="E2521" s="104" t="s">
        <v>12294</v>
      </c>
      <c r="F2521" s="103" t="s">
        <v>4678</v>
      </c>
      <c r="G2521" s="103" t="s">
        <v>4679</v>
      </c>
      <c r="H2521" s="103" t="s">
        <v>12298</v>
      </c>
      <c r="I2521" s="103">
        <v>6.017312785E9</v>
      </c>
      <c r="J2521" s="104" t="s">
        <v>12299</v>
      </c>
      <c r="K2521" s="105"/>
      <c r="L2521" s="105"/>
    </row>
    <row r="2522">
      <c r="A2522" s="103" t="s">
        <v>4676</v>
      </c>
      <c r="B2522" s="103">
        <v>1.100124934E9</v>
      </c>
      <c r="C2522" s="105"/>
      <c r="D2522" s="104" t="s">
        <v>12300</v>
      </c>
      <c r="E2522" s="106"/>
      <c r="F2522" s="103" t="s">
        <v>4678</v>
      </c>
      <c r="G2522" s="103" t="s">
        <v>4679</v>
      </c>
      <c r="H2522" s="103" t="s">
        <v>12301</v>
      </c>
      <c r="I2522" s="103">
        <v>2143700.0</v>
      </c>
      <c r="J2522" s="104" t="s">
        <v>12302</v>
      </c>
      <c r="K2522" s="105"/>
      <c r="L2522" s="105"/>
    </row>
    <row r="2523">
      <c r="A2523" s="103" t="s">
        <v>4676</v>
      </c>
      <c r="B2523" s="103">
        <v>1.10012493401E11</v>
      </c>
      <c r="C2523" s="105"/>
      <c r="D2523" s="104" t="s">
        <v>12300</v>
      </c>
      <c r="E2523" s="104" t="s">
        <v>12303</v>
      </c>
      <c r="F2523" s="103" t="s">
        <v>4678</v>
      </c>
      <c r="G2523" s="103" t="s">
        <v>4679</v>
      </c>
      <c r="H2523" s="103" t="s">
        <v>12301</v>
      </c>
      <c r="I2523" s="103">
        <v>2143700.0</v>
      </c>
      <c r="J2523" s="104" t="s">
        <v>12302</v>
      </c>
      <c r="K2523" s="105"/>
      <c r="L2523" s="105"/>
    </row>
    <row r="2524">
      <c r="A2524" s="103" t="s">
        <v>4676</v>
      </c>
      <c r="B2524" s="103">
        <v>1.100124959E9</v>
      </c>
      <c r="C2524" s="105"/>
      <c r="D2524" s="104" t="s">
        <v>12304</v>
      </c>
      <c r="E2524" s="106"/>
      <c r="F2524" s="103" t="s">
        <v>4678</v>
      </c>
      <c r="G2524" s="103" t="s">
        <v>4679</v>
      </c>
      <c r="H2524" s="103" t="s">
        <v>12305</v>
      </c>
      <c r="I2524" s="103" t="s">
        <v>12306</v>
      </c>
      <c r="J2524" s="104" t="s">
        <v>12307</v>
      </c>
      <c r="K2524" s="105"/>
      <c r="L2524" s="105"/>
    </row>
    <row r="2525">
      <c r="A2525" s="103" t="s">
        <v>4676</v>
      </c>
      <c r="B2525" s="103">
        <v>1.10012495901E11</v>
      </c>
      <c r="C2525" s="105"/>
      <c r="D2525" s="104" t="s">
        <v>12304</v>
      </c>
      <c r="E2525" s="104" t="s">
        <v>12308</v>
      </c>
      <c r="F2525" s="103" t="s">
        <v>4678</v>
      </c>
      <c r="G2525" s="103" t="s">
        <v>4679</v>
      </c>
      <c r="H2525" s="103" t="s">
        <v>12309</v>
      </c>
      <c r="I2525" s="103" t="s">
        <v>12310</v>
      </c>
      <c r="J2525" s="104" t="s">
        <v>12307</v>
      </c>
      <c r="K2525" s="105"/>
      <c r="L2525" s="105"/>
    </row>
    <row r="2526">
      <c r="A2526" s="103" t="s">
        <v>4676</v>
      </c>
      <c r="B2526" s="103">
        <v>1.10012495902E11</v>
      </c>
      <c r="C2526" s="105"/>
      <c r="D2526" s="104" t="s">
        <v>12311</v>
      </c>
      <c r="E2526" s="104" t="s">
        <v>12308</v>
      </c>
      <c r="F2526" s="103" t="s">
        <v>4678</v>
      </c>
      <c r="G2526" s="103" t="s">
        <v>4679</v>
      </c>
      <c r="H2526" s="103" t="s">
        <v>12312</v>
      </c>
      <c r="I2526" s="103">
        <v>3.174014001E9</v>
      </c>
      <c r="J2526" s="104" t="s">
        <v>12307</v>
      </c>
      <c r="K2526" s="105"/>
      <c r="L2526" s="105"/>
    </row>
    <row r="2527">
      <c r="A2527" s="103" t="s">
        <v>4676</v>
      </c>
      <c r="B2527" s="103">
        <v>1.10012495903E11</v>
      </c>
      <c r="C2527" s="105"/>
      <c r="D2527" s="104" t="s">
        <v>12313</v>
      </c>
      <c r="E2527" s="104" t="s">
        <v>12308</v>
      </c>
      <c r="F2527" s="103" t="s">
        <v>4678</v>
      </c>
      <c r="G2527" s="103" t="s">
        <v>4679</v>
      </c>
      <c r="H2527" s="103" t="s">
        <v>12314</v>
      </c>
      <c r="I2527" s="103" t="s">
        <v>12315</v>
      </c>
      <c r="J2527" s="104" t="s">
        <v>12307</v>
      </c>
      <c r="K2527" s="105"/>
      <c r="L2527" s="105"/>
    </row>
    <row r="2528">
      <c r="A2528" s="103" t="s">
        <v>4676</v>
      </c>
      <c r="B2528" s="103">
        <v>1.100124967E9</v>
      </c>
      <c r="C2528" s="105"/>
      <c r="D2528" s="104" t="s">
        <v>12316</v>
      </c>
      <c r="E2528" s="106"/>
      <c r="F2528" s="103" t="s">
        <v>4678</v>
      </c>
      <c r="G2528" s="103" t="s">
        <v>4679</v>
      </c>
      <c r="H2528" s="103" t="s">
        <v>12317</v>
      </c>
      <c r="I2528" s="103" t="s">
        <v>12318</v>
      </c>
      <c r="J2528" s="104" t="s">
        <v>11397</v>
      </c>
      <c r="K2528" s="107" t="s">
        <v>12319</v>
      </c>
      <c r="L2528" s="105"/>
    </row>
    <row r="2529">
      <c r="A2529" s="103" t="s">
        <v>4676</v>
      </c>
      <c r="B2529" s="103">
        <v>1.10012496701E11</v>
      </c>
      <c r="C2529" s="105"/>
      <c r="D2529" s="104" t="s">
        <v>12320</v>
      </c>
      <c r="E2529" s="104" t="s">
        <v>11403</v>
      </c>
      <c r="F2529" s="103" t="s">
        <v>4678</v>
      </c>
      <c r="G2529" s="103" t="s">
        <v>4679</v>
      </c>
      <c r="H2529" s="103" t="s">
        <v>12321</v>
      </c>
      <c r="I2529" s="103" t="s">
        <v>12318</v>
      </c>
      <c r="J2529" s="104" t="s">
        <v>11397</v>
      </c>
      <c r="K2529" s="105"/>
      <c r="L2529" s="105"/>
    </row>
    <row r="2530">
      <c r="A2530" s="103" t="s">
        <v>4676</v>
      </c>
      <c r="B2530" s="103">
        <v>1.100124982E9</v>
      </c>
      <c r="C2530" s="105"/>
      <c r="D2530" s="104" t="s">
        <v>12322</v>
      </c>
      <c r="E2530" s="106"/>
      <c r="F2530" s="103" t="s">
        <v>4678</v>
      </c>
      <c r="G2530" s="103" t="s">
        <v>4679</v>
      </c>
      <c r="H2530" s="103" t="s">
        <v>12323</v>
      </c>
      <c r="I2530" s="103" t="s">
        <v>12324</v>
      </c>
      <c r="J2530" s="104" t="s">
        <v>12325</v>
      </c>
      <c r="K2530" s="107" t="s">
        <v>12326</v>
      </c>
      <c r="L2530" s="105"/>
    </row>
    <row r="2531">
      <c r="A2531" s="103" t="s">
        <v>4676</v>
      </c>
      <c r="B2531" s="103">
        <v>1.10012498201E11</v>
      </c>
      <c r="C2531" s="105"/>
      <c r="D2531" s="104" t="s">
        <v>12322</v>
      </c>
      <c r="E2531" s="104" t="s">
        <v>12327</v>
      </c>
      <c r="F2531" s="103" t="s">
        <v>4678</v>
      </c>
      <c r="G2531" s="103" t="s">
        <v>4679</v>
      </c>
      <c r="H2531" s="103" t="s">
        <v>12323</v>
      </c>
      <c r="I2531" s="103" t="s">
        <v>12324</v>
      </c>
      <c r="J2531" s="104" t="s">
        <v>12325</v>
      </c>
      <c r="K2531" s="105"/>
      <c r="L2531" s="105"/>
    </row>
    <row r="2532">
      <c r="A2532" s="103" t="s">
        <v>4676</v>
      </c>
      <c r="B2532" s="103">
        <v>1.100125003E9</v>
      </c>
      <c r="C2532" s="105"/>
      <c r="D2532" s="104" t="s">
        <v>12328</v>
      </c>
      <c r="E2532" s="106"/>
      <c r="F2532" s="103" t="s">
        <v>4678</v>
      </c>
      <c r="G2532" s="103" t="s">
        <v>4679</v>
      </c>
      <c r="H2532" s="103" t="s">
        <v>12329</v>
      </c>
      <c r="I2532" s="103" t="s">
        <v>12330</v>
      </c>
      <c r="J2532" s="104" t="s">
        <v>12331</v>
      </c>
      <c r="K2532" s="105"/>
      <c r="L2532" s="105"/>
    </row>
    <row r="2533">
      <c r="A2533" s="103" t="s">
        <v>4676</v>
      </c>
      <c r="B2533" s="103">
        <v>1.10012500301E11</v>
      </c>
      <c r="C2533" s="105"/>
      <c r="D2533" s="104" t="s">
        <v>12332</v>
      </c>
      <c r="E2533" s="104" t="s">
        <v>12333</v>
      </c>
      <c r="F2533" s="103" t="s">
        <v>4678</v>
      </c>
      <c r="G2533" s="103" t="s">
        <v>4679</v>
      </c>
      <c r="H2533" s="103" t="s">
        <v>12329</v>
      </c>
      <c r="I2533" s="103" t="s">
        <v>12334</v>
      </c>
      <c r="J2533" s="104" t="s">
        <v>12331</v>
      </c>
      <c r="K2533" s="105"/>
      <c r="L2533" s="105"/>
    </row>
    <row r="2534">
      <c r="A2534" s="103" t="s">
        <v>4676</v>
      </c>
      <c r="B2534" s="103">
        <v>1.100125016E9</v>
      </c>
      <c r="C2534" s="105"/>
      <c r="D2534" s="104" t="s">
        <v>12335</v>
      </c>
      <c r="E2534" s="106"/>
      <c r="F2534" s="103" t="s">
        <v>4678</v>
      </c>
      <c r="G2534" s="103" t="s">
        <v>4679</v>
      </c>
      <c r="H2534" s="103" t="s">
        <v>12336</v>
      </c>
      <c r="I2534" s="103" t="s">
        <v>12337</v>
      </c>
      <c r="J2534" s="104" t="s">
        <v>12338</v>
      </c>
      <c r="K2534" s="105"/>
      <c r="L2534" s="105"/>
    </row>
    <row r="2535">
      <c r="A2535" s="103" t="s">
        <v>4676</v>
      </c>
      <c r="B2535" s="103">
        <v>1.10012501601E11</v>
      </c>
      <c r="C2535" s="105"/>
      <c r="D2535" s="104" t="s">
        <v>12339</v>
      </c>
      <c r="E2535" s="104" t="s">
        <v>12340</v>
      </c>
      <c r="F2535" s="103" t="s">
        <v>4678</v>
      </c>
      <c r="G2535" s="103" t="s">
        <v>4679</v>
      </c>
      <c r="H2535" s="103" t="s">
        <v>12336</v>
      </c>
      <c r="I2535" s="103" t="s">
        <v>12337</v>
      </c>
      <c r="J2535" s="104" t="s">
        <v>12341</v>
      </c>
      <c r="K2535" s="105"/>
      <c r="L2535" s="105"/>
    </row>
    <row r="2536">
      <c r="A2536" s="103" t="s">
        <v>4676</v>
      </c>
      <c r="B2536" s="103">
        <v>1.10012507E9</v>
      </c>
      <c r="C2536" s="105"/>
      <c r="D2536" s="104" t="s">
        <v>12342</v>
      </c>
      <c r="E2536" s="106"/>
      <c r="F2536" s="103" t="s">
        <v>4678</v>
      </c>
      <c r="G2536" s="103" t="s">
        <v>4679</v>
      </c>
      <c r="H2536" s="103" t="s">
        <v>12343</v>
      </c>
      <c r="I2536" s="103">
        <v>6.013905355E9</v>
      </c>
      <c r="J2536" s="104" t="s">
        <v>12344</v>
      </c>
      <c r="K2536" s="107" t="s">
        <v>12345</v>
      </c>
      <c r="L2536" s="105"/>
    </row>
    <row r="2537">
      <c r="A2537" s="103" t="s">
        <v>4676</v>
      </c>
      <c r="B2537" s="103">
        <v>1.10012507001E11</v>
      </c>
      <c r="C2537" s="105"/>
      <c r="D2537" s="104" t="s">
        <v>12342</v>
      </c>
      <c r="E2537" s="104" t="s">
        <v>7943</v>
      </c>
      <c r="F2537" s="103" t="s">
        <v>4678</v>
      </c>
      <c r="G2537" s="103" t="s">
        <v>4679</v>
      </c>
      <c r="H2537" s="103" t="s">
        <v>12343</v>
      </c>
      <c r="I2537" s="103">
        <v>6.013905355E9</v>
      </c>
      <c r="J2537" s="104" t="s">
        <v>12344</v>
      </c>
      <c r="K2537" s="105"/>
      <c r="L2537" s="105"/>
    </row>
    <row r="2538">
      <c r="A2538" s="103" t="s">
        <v>4676</v>
      </c>
      <c r="B2538" s="103">
        <v>1.10012507002E11</v>
      </c>
      <c r="C2538" s="105"/>
      <c r="D2538" s="104" t="s">
        <v>12346</v>
      </c>
      <c r="E2538" s="104" t="s">
        <v>7943</v>
      </c>
      <c r="F2538" s="103" t="s">
        <v>4678</v>
      </c>
      <c r="G2538" s="103" t="s">
        <v>4679</v>
      </c>
      <c r="H2538" s="103" t="s">
        <v>12347</v>
      </c>
      <c r="I2538" s="103">
        <v>6.013905355E9</v>
      </c>
      <c r="J2538" s="104" t="s">
        <v>12344</v>
      </c>
      <c r="K2538" s="105"/>
      <c r="L2538" s="105"/>
    </row>
    <row r="2539">
      <c r="A2539" s="103" t="s">
        <v>4676</v>
      </c>
      <c r="B2539" s="103">
        <v>1.10012507003E11</v>
      </c>
      <c r="C2539" s="105"/>
      <c r="D2539" s="104" t="s">
        <v>12348</v>
      </c>
      <c r="E2539" s="104" t="s">
        <v>7943</v>
      </c>
      <c r="F2539" s="103" t="s">
        <v>4678</v>
      </c>
      <c r="G2539" s="103" t="s">
        <v>4679</v>
      </c>
      <c r="H2539" s="103" t="s">
        <v>12349</v>
      </c>
      <c r="I2539" s="103">
        <v>6.013905355E9</v>
      </c>
      <c r="J2539" s="104" t="s">
        <v>12344</v>
      </c>
      <c r="K2539" s="105"/>
      <c r="L2539" s="105"/>
    </row>
    <row r="2540">
      <c r="A2540" s="103" t="s">
        <v>4676</v>
      </c>
      <c r="B2540" s="103">
        <v>1.10012507004E11</v>
      </c>
      <c r="C2540" s="105"/>
      <c r="D2540" s="104" t="s">
        <v>12350</v>
      </c>
      <c r="E2540" s="104" t="s">
        <v>7943</v>
      </c>
      <c r="F2540" s="103" t="s">
        <v>4678</v>
      </c>
      <c r="G2540" s="103" t="s">
        <v>4679</v>
      </c>
      <c r="H2540" s="103" t="s">
        <v>12351</v>
      </c>
      <c r="I2540" s="103">
        <v>6.013905355E9</v>
      </c>
      <c r="J2540" s="104" t="s">
        <v>12344</v>
      </c>
      <c r="K2540" s="105"/>
      <c r="L2540" s="105"/>
    </row>
    <row r="2541">
      <c r="A2541" s="103" t="s">
        <v>4676</v>
      </c>
      <c r="B2541" s="103">
        <v>1.100125093E9</v>
      </c>
      <c r="C2541" s="105"/>
      <c r="D2541" s="104" t="s">
        <v>12352</v>
      </c>
      <c r="E2541" s="106"/>
      <c r="F2541" s="103" t="s">
        <v>4678</v>
      </c>
      <c r="G2541" s="103" t="s">
        <v>4679</v>
      </c>
      <c r="H2541" s="103" t="s">
        <v>12353</v>
      </c>
      <c r="I2541" s="103" t="s">
        <v>12354</v>
      </c>
      <c r="J2541" s="104" t="s">
        <v>12355</v>
      </c>
      <c r="K2541" s="105"/>
      <c r="L2541" s="105"/>
    </row>
    <row r="2542">
      <c r="A2542" s="103" t="s">
        <v>4676</v>
      </c>
      <c r="B2542" s="103">
        <v>1.10012509301E11</v>
      </c>
      <c r="C2542" s="105"/>
      <c r="D2542" s="104" t="s">
        <v>12356</v>
      </c>
      <c r="E2542" s="104" t="s">
        <v>12357</v>
      </c>
      <c r="F2542" s="103" t="s">
        <v>4678</v>
      </c>
      <c r="G2542" s="103" t="s">
        <v>4679</v>
      </c>
      <c r="H2542" s="103" t="s">
        <v>12358</v>
      </c>
      <c r="I2542" s="103" t="s">
        <v>12359</v>
      </c>
      <c r="J2542" s="104" t="s">
        <v>12360</v>
      </c>
      <c r="K2542" s="105"/>
      <c r="L2542" s="105"/>
    </row>
    <row r="2543">
      <c r="A2543" s="103" t="s">
        <v>4676</v>
      </c>
      <c r="B2543" s="103">
        <v>1.10012509303E11</v>
      </c>
      <c r="C2543" s="105"/>
      <c r="D2543" s="104" t="s">
        <v>12361</v>
      </c>
      <c r="E2543" s="104" t="s">
        <v>12357</v>
      </c>
      <c r="F2543" s="103" t="s">
        <v>4678</v>
      </c>
      <c r="G2543" s="103" t="s">
        <v>4679</v>
      </c>
      <c r="H2543" s="103" t="s">
        <v>12362</v>
      </c>
      <c r="I2543" s="103">
        <v>3000930.0</v>
      </c>
      <c r="J2543" s="104" t="s">
        <v>12360</v>
      </c>
      <c r="K2543" s="105"/>
      <c r="L2543" s="105"/>
    </row>
    <row r="2544">
      <c r="A2544" s="103" t="s">
        <v>4676</v>
      </c>
      <c r="B2544" s="103">
        <v>1.10012509304E11</v>
      </c>
      <c r="C2544" s="105"/>
      <c r="D2544" s="104" t="s">
        <v>12363</v>
      </c>
      <c r="E2544" s="104" t="s">
        <v>12357</v>
      </c>
      <c r="F2544" s="103" t="s">
        <v>4678</v>
      </c>
      <c r="G2544" s="103" t="s">
        <v>4679</v>
      </c>
      <c r="H2544" s="103" t="s">
        <v>12364</v>
      </c>
      <c r="I2544" s="103" t="s">
        <v>12365</v>
      </c>
      <c r="J2544" s="104" t="s">
        <v>12355</v>
      </c>
      <c r="K2544" s="105"/>
      <c r="L2544" s="105"/>
    </row>
    <row r="2545">
      <c r="A2545" s="103" t="s">
        <v>4676</v>
      </c>
      <c r="B2545" s="103">
        <v>1.10012509305E11</v>
      </c>
      <c r="C2545" s="105"/>
      <c r="D2545" s="104" t="s">
        <v>12366</v>
      </c>
      <c r="E2545" s="104" t="s">
        <v>12357</v>
      </c>
      <c r="F2545" s="103" t="s">
        <v>4678</v>
      </c>
      <c r="G2545" s="103" t="s">
        <v>4679</v>
      </c>
      <c r="H2545" s="103" t="s">
        <v>12367</v>
      </c>
      <c r="I2545" s="103" t="s">
        <v>12365</v>
      </c>
      <c r="J2545" s="104" t="s">
        <v>12368</v>
      </c>
      <c r="K2545" s="105"/>
      <c r="L2545" s="105"/>
    </row>
    <row r="2546">
      <c r="A2546" s="103" t="s">
        <v>4676</v>
      </c>
      <c r="B2546" s="103">
        <v>1.100125095E9</v>
      </c>
      <c r="C2546" s="105"/>
      <c r="D2546" s="104" t="s">
        <v>12369</v>
      </c>
      <c r="E2546" s="106"/>
      <c r="F2546" s="103" t="s">
        <v>4678</v>
      </c>
      <c r="G2546" s="103" t="s">
        <v>4679</v>
      </c>
      <c r="H2546" s="103" t="s">
        <v>12370</v>
      </c>
      <c r="I2546" s="103" t="s">
        <v>12371</v>
      </c>
      <c r="J2546" s="104" t="s">
        <v>12372</v>
      </c>
      <c r="K2546" s="105"/>
      <c r="L2546" s="105"/>
    </row>
    <row r="2547">
      <c r="A2547" s="103" t="s">
        <v>4676</v>
      </c>
      <c r="B2547" s="103">
        <v>1.10012509501E11</v>
      </c>
      <c r="C2547" s="105"/>
      <c r="D2547" s="104" t="s">
        <v>12369</v>
      </c>
      <c r="E2547" s="104" t="s">
        <v>12373</v>
      </c>
      <c r="F2547" s="103" t="s">
        <v>4678</v>
      </c>
      <c r="G2547" s="103" t="s">
        <v>4679</v>
      </c>
      <c r="H2547" s="103" t="s">
        <v>12370</v>
      </c>
      <c r="I2547" s="103" t="s">
        <v>12371</v>
      </c>
      <c r="J2547" s="104" t="s">
        <v>12372</v>
      </c>
      <c r="K2547" s="105"/>
      <c r="L2547" s="105"/>
    </row>
    <row r="2548">
      <c r="A2548" s="103" t="s">
        <v>4676</v>
      </c>
      <c r="B2548" s="103">
        <v>1.100125125E9</v>
      </c>
      <c r="C2548" s="105"/>
      <c r="D2548" s="104" t="s">
        <v>12374</v>
      </c>
      <c r="E2548" s="106"/>
      <c r="F2548" s="103" t="s">
        <v>4678</v>
      </c>
      <c r="G2548" s="103" t="s">
        <v>4679</v>
      </c>
      <c r="H2548" s="103" t="s">
        <v>12375</v>
      </c>
      <c r="I2548" s="103">
        <v>3.11259979E9</v>
      </c>
      <c r="J2548" s="104" t="s">
        <v>12376</v>
      </c>
      <c r="K2548" s="105"/>
      <c r="L2548" s="105"/>
    </row>
    <row r="2549">
      <c r="A2549" s="103" t="s">
        <v>4676</v>
      </c>
      <c r="B2549" s="103">
        <v>1.10012512501E11</v>
      </c>
      <c r="C2549" s="105"/>
      <c r="D2549" s="104" t="s">
        <v>12374</v>
      </c>
      <c r="E2549" s="104" t="s">
        <v>12377</v>
      </c>
      <c r="F2549" s="103" t="s">
        <v>4678</v>
      </c>
      <c r="G2549" s="103" t="s">
        <v>4679</v>
      </c>
      <c r="H2549" s="103" t="s">
        <v>12378</v>
      </c>
      <c r="I2549" s="103">
        <v>3.11259979E9</v>
      </c>
      <c r="J2549" s="104" t="s">
        <v>12376</v>
      </c>
      <c r="K2549" s="105"/>
      <c r="L2549" s="105"/>
    </row>
    <row r="2550">
      <c r="A2550" s="103" t="s">
        <v>4676</v>
      </c>
      <c r="B2550" s="103">
        <v>1.100125128E9</v>
      </c>
      <c r="C2550" s="105"/>
      <c r="D2550" s="104" t="s">
        <v>12379</v>
      </c>
      <c r="E2550" s="106"/>
      <c r="F2550" s="103" t="s">
        <v>4678</v>
      </c>
      <c r="G2550" s="103" t="s">
        <v>4679</v>
      </c>
      <c r="H2550" s="103" t="s">
        <v>12380</v>
      </c>
      <c r="I2550" s="103" t="s">
        <v>12381</v>
      </c>
      <c r="J2550" s="104" t="s">
        <v>12382</v>
      </c>
      <c r="K2550" s="105"/>
      <c r="L2550" s="105"/>
    </row>
    <row r="2551">
      <c r="A2551" s="103" t="s">
        <v>4676</v>
      </c>
      <c r="B2551" s="103">
        <v>1.10012512801E11</v>
      </c>
      <c r="C2551" s="105"/>
      <c r="D2551" s="104" t="s">
        <v>12383</v>
      </c>
      <c r="E2551" s="104" t="s">
        <v>12384</v>
      </c>
      <c r="F2551" s="103" t="s">
        <v>4678</v>
      </c>
      <c r="G2551" s="103" t="s">
        <v>4679</v>
      </c>
      <c r="H2551" s="103" t="s">
        <v>12385</v>
      </c>
      <c r="I2551" s="103">
        <v>2841040.0</v>
      </c>
      <c r="J2551" s="104" t="s">
        <v>12382</v>
      </c>
      <c r="K2551" s="105"/>
      <c r="L2551" s="105"/>
    </row>
    <row r="2552">
      <c r="A2552" s="103" t="s">
        <v>4676</v>
      </c>
      <c r="B2552" s="103">
        <v>1.10012512802E11</v>
      </c>
      <c r="C2552" s="105"/>
      <c r="D2552" s="104" t="s">
        <v>12386</v>
      </c>
      <c r="E2552" s="104" t="s">
        <v>12384</v>
      </c>
      <c r="F2552" s="103" t="s">
        <v>4678</v>
      </c>
      <c r="G2552" s="103" t="s">
        <v>4679</v>
      </c>
      <c r="H2552" s="103" t="s">
        <v>12387</v>
      </c>
      <c r="I2552" s="103">
        <v>3424664.0</v>
      </c>
      <c r="J2552" s="104" t="s">
        <v>12382</v>
      </c>
      <c r="K2552" s="105"/>
      <c r="L2552" s="105"/>
    </row>
    <row r="2553">
      <c r="A2553" s="103" t="s">
        <v>4676</v>
      </c>
      <c r="B2553" s="103">
        <v>1.10012512803E11</v>
      </c>
      <c r="C2553" s="105"/>
      <c r="D2553" s="104" t="s">
        <v>12388</v>
      </c>
      <c r="E2553" s="104" t="s">
        <v>12384</v>
      </c>
      <c r="F2553" s="103" t="s">
        <v>4678</v>
      </c>
      <c r="G2553" s="103" t="s">
        <v>4679</v>
      </c>
      <c r="H2553" s="103" t="s">
        <v>12389</v>
      </c>
      <c r="I2553" s="103">
        <v>2812399.0</v>
      </c>
      <c r="J2553" s="104" t="s">
        <v>12382</v>
      </c>
      <c r="K2553" s="105"/>
      <c r="L2553" s="105"/>
    </row>
    <row r="2554">
      <c r="A2554" s="103" t="s">
        <v>4676</v>
      </c>
      <c r="B2554" s="103">
        <v>1.10012512805E11</v>
      </c>
      <c r="C2554" s="105"/>
      <c r="D2554" s="104" t="s">
        <v>12390</v>
      </c>
      <c r="E2554" s="104" t="s">
        <v>12384</v>
      </c>
      <c r="F2554" s="103" t="s">
        <v>4678</v>
      </c>
      <c r="G2554" s="103" t="s">
        <v>4679</v>
      </c>
      <c r="H2554" s="103" t="s">
        <v>12391</v>
      </c>
      <c r="I2554" s="103">
        <v>2825123.0</v>
      </c>
      <c r="J2554" s="104" t="s">
        <v>12382</v>
      </c>
      <c r="K2554" s="105"/>
      <c r="L2554" s="105"/>
    </row>
    <row r="2555">
      <c r="A2555" s="103" t="s">
        <v>4676</v>
      </c>
      <c r="B2555" s="103">
        <v>1.10012512806E11</v>
      </c>
      <c r="C2555" s="105"/>
      <c r="D2555" s="104" t="s">
        <v>12379</v>
      </c>
      <c r="E2555" s="104" t="s">
        <v>12384</v>
      </c>
      <c r="F2555" s="103" t="s">
        <v>4678</v>
      </c>
      <c r="G2555" s="103" t="s">
        <v>4679</v>
      </c>
      <c r="H2555" s="103" t="s">
        <v>12392</v>
      </c>
      <c r="I2555" s="103">
        <v>2841369.0</v>
      </c>
      <c r="J2555" s="104" t="s">
        <v>12382</v>
      </c>
      <c r="K2555" s="105"/>
      <c r="L2555" s="105"/>
    </row>
    <row r="2556">
      <c r="A2556" s="103" t="s">
        <v>4676</v>
      </c>
      <c r="B2556" s="103">
        <v>1.100125162E9</v>
      </c>
      <c r="C2556" s="105"/>
      <c r="D2556" s="104" t="s">
        <v>12393</v>
      </c>
      <c r="E2556" s="106"/>
      <c r="F2556" s="103" t="s">
        <v>4678</v>
      </c>
      <c r="G2556" s="103" t="s">
        <v>4679</v>
      </c>
      <c r="H2556" s="103" t="s">
        <v>12394</v>
      </c>
      <c r="I2556" s="103" t="s">
        <v>12395</v>
      </c>
      <c r="J2556" s="104" t="s">
        <v>12396</v>
      </c>
      <c r="K2556" s="105"/>
      <c r="L2556" s="105"/>
    </row>
    <row r="2557">
      <c r="A2557" s="103" t="s">
        <v>4676</v>
      </c>
      <c r="B2557" s="103">
        <v>1.10012516201E11</v>
      </c>
      <c r="C2557" s="105"/>
      <c r="D2557" s="104" t="s">
        <v>12393</v>
      </c>
      <c r="E2557" s="104" t="s">
        <v>12397</v>
      </c>
      <c r="F2557" s="103" t="s">
        <v>4678</v>
      </c>
      <c r="G2557" s="103" t="s">
        <v>4679</v>
      </c>
      <c r="H2557" s="103" t="s">
        <v>12394</v>
      </c>
      <c r="I2557" s="103" t="s">
        <v>12395</v>
      </c>
      <c r="J2557" s="104" t="s">
        <v>12396</v>
      </c>
      <c r="K2557" s="105"/>
      <c r="L2557" s="105"/>
    </row>
    <row r="2558">
      <c r="A2558" s="103" t="s">
        <v>4676</v>
      </c>
      <c r="B2558" s="103">
        <v>1.100125177E9</v>
      </c>
      <c r="C2558" s="105"/>
      <c r="D2558" s="104" t="s">
        <v>12398</v>
      </c>
      <c r="E2558" s="106"/>
      <c r="F2558" s="103" t="s">
        <v>4678</v>
      </c>
      <c r="G2558" s="103" t="s">
        <v>4679</v>
      </c>
      <c r="H2558" s="103" t="s">
        <v>12399</v>
      </c>
      <c r="I2558" s="103" t="s">
        <v>12400</v>
      </c>
      <c r="J2558" s="104" t="s">
        <v>12401</v>
      </c>
      <c r="K2558" s="105"/>
      <c r="L2558" s="105"/>
    </row>
    <row r="2559">
      <c r="A2559" s="103" t="s">
        <v>4676</v>
      </c>
      <c r="B2559" s="103">
        <v>1.10012517701E11</v>
      </c>
      <c r="C2559" s="105"/>
      <c r="D2559" s="104" t="s">
        <v>12402</v>
      </c>
      <c r="E2559" s="104" t="s">
        <v>12403</v>
      </c>
      <c r="F2559" s="103" t="s">
        <v>4678</v>
      </c>
      <c r="G2559" s="103" t="s">
        <v>4679</v>
      </c>
      <c r="H2559" s="103" t="s">
        <v>12399</v>
      </c>
      <c r="I2559" s="103">
        <v>3.13227784E9</v>
      </c>
      <c r="J2559" s="104" t="s">
        <v>12401</v>
      </c>
      <c r="K2559" s="105"/>
      <c r="L2559" s="105"/>
    </row>
    <row r="2560">
      <c r="A2560" s="103" t="s">
        <v>4676</v>
      </c>
      <c r="B2560" s="103">
        <v>1.100125179E9</v>
      </c>
      <c r="C2560" s="105"/>
      <c r="D2560" s="104" t="s">
        <v>12404</v>
      </c>
      <c r="E2560" s="106"/>
      <c r="F2560" s="103" t="s">
        <v>4678</v>
      </c>
      <c r="G2560" s="103" t="s">
        <v>4679</v>
      </c>
      <c r="H2560" s="103" t="s">
        <v>12405</v>
      </c>
      <c r="I2560" s="103">
        <v>6098498.0</v>
      </c>
      <c r="J2560" s="104" t="s">
        <v>12406</v>
      </c>
      <c r="K2560" s="105"/>
      <c r="L2560" s="105"/>
    </row>
    <row r="2561">
      <c r="A2561" s="103" t="s">
        <v>4676</v>
      </c>
      <c r="B2561" s="103">
        <v>1.10012517901E11</v>
      </c>
      <c r="C2561" s="105"/>
      <c r="D2561" s="104" t="s">
        <v>12404</v>
      </c>
      <c r="E2561" s="104" t="s">
        <v>12407</v>
      </c>
      <c r="F2561" s="103" t="s">
        <v>4678</v>
      </c>
      <c r="G2561" s="103" t="s">
        <v>4679</v>
      </c>
      <c r="H2561" s="103" t="s">
        <v>12405</v>
      </c>
      <c r="I2561" s="103">
        <v>6098498.0</v>
      </c>
      <c r="J2561" s="104" t="s">
        <v>12406</v>
      </c>
      <c r="K2561" s="105"/>
      <c r="L2561" s="105"/>
    </row>
    <row r="2562">
      <c r="A2562" s="103" t="s">
        <v>4676</v>
      </c>
      <c r="B2562" s="103">
        <v>1.100125185E9</v>
      </c>
      <c r="C2562" s="105"/>
      <c r="D2562" s="104" t="s">
        <v>12408</v>
      </c>
      <c r="E2562" s="106"/>
      <c r="F2562" s="103" t="s">
        <v>4678</v>
      </c>
      <c r="G2562" s="103" t="s">
        <v>4679</v>
      </c>
      <c r="H2562" s="103" t="s">
        <v>12409</v>
      </c>
      <c r="I2562" s="103">
        <v>6.017569914E9</v>
      </c>
      <c r="J2562" s="104" t="s">
        <v>12410</v>
      </c>
      <c r="K2562" s="107" t="s">
        <v>12411</v>
      </c>
      <c r="L2562" s="105"/>
    </row>
    <row r="2563">
      <c r="A2563" s="103" t="s">
        <v>4676</v>
      </c>
      <c r="B2563" s="103">
        <v>1.10012518501E11</v>
      </c>
      <c r="C2563" s="105"/>
      <c r="D2563" s="104" t="s">
        <v>12408</v>
      </c>
      <c r="E2563" s="104" t="s">
        <v>12412</v>
      </c>
      <c r="F2563" s="103" t="s">
        <v>4678</v>
      </c>
      <c r="G2563" s="103" t="s">
        <v>4679</v>
      </c>
      <c r="H2563" s="103" t="s">
        <v>12413</v>
      </c>
      <c r="I2563" s="103">
        <v>6.017569914E9</v>
      </c>
      <c r="J2563" s="104" t="s">
        <v>12410</v>
      </c>
      <c r="K2563" s="105"/>
      <c r="L2563" s="105"/>
    </row>
    <row r="2564">
      <c r="A2564" s="103" t="s">
        <v>4676</v>
      </c>
      <c r="B2564" s="103">
        <v>1.100125223E9</v>
      </c>
      <c r="C2564" s="105"/>
      <c r="D2564" s="104" t="s">
        <v>12414</v>
      </c>
      <c r="E2564" s="106"/>
      <c r="F2564" s="103" t="s">
        <v>4678</v>
      </c>
      <c r="G2564" s="103" t="s">
        <v>4679</v>
      </c>
      <c r="H2564" s="103" t="s">
        <v>12415</v>
      </c>
      <c r="I2564" s="103" t="s">
        <v>12416</v>
      </c>
      <c r="J2564" s="104" t="s">
        <v>12417</v>
      </c>
      <c r="K2564" s="105"/>
      <c r="L2564" s="105"/>
    </row>
    <row r="2565">
      <c r="A2565" s="103" t="s">
        <v>4676</v>
      </c>
      <c r="B2565" s="103">
        <v>1.10012522301E11</v>
      </c>
      <c r="C2565" s="105"/>
      <c r="D2565" s="104" t="s">
        <v>12414</v>
      </c>
      <c r="E2565" s="104" t="s">
        <v>12418</v>
      </c>
      <c r="F2565" s="103" t="s">
        <v>4678</v>
      </c>
      <c r="G2565" s="103" t="s">
        <v>4679</v>
      </c>
      <c r="H2565" s="103" t="s">
        <v>12419</v>
      </c>
      <c r="I2565" s="103">
        <v>6945770.0</v>
      </c>
      <c r="J2565" s="104" t="s">
        <v>12417</v>
      </c>
      <c r="K2565" s="105"/>
      <c r="L2565" s="105"/>
    </row>
    <row r="2566">
      <c r="A2566" s="103" t="s">
        <v>4676</v>
      </c>
      <c r="B2566" s="103">
        <v>1.10012522302E11</v>
      </c>
      <c r="C2566" s="105"/>
      <c r="D2566" s="104" t="s">
        <v>12420</v>
      </c>
      <c r="E2566" s="104" t="s">
        <v>12421</v>
      </c>
      <c r="F2566" s="103" t="s">
        <v>4678</v>
      </c>
      <c r="G2566" s="103" t="s">
        <v>4679</v>
      </c>
      <c r="H2566" s="103" t="s">
        <v>12422</v>
      </c>
      <c r="I2566" s="103" t="s">
        <v>12423</v>
      </c>
      <c r="J2566" s="104" t="s">
        <v>12417</v>
      </c>
      <c r="K2566" s="105"/>
      <c r="L2566" s="105"/>
    </row>
    <row r="2567">
      <c r="A2567" s="103" t="s">
        <v>4676</v>
      </c>
      <c r="B2567" s="103">
        <v>1.100125275E9</v>
      </c>
      <c r="C2567" s="105"/>
      <c r="D2567" s="104" t="s">
        <v>12424</v>
      </c>
      <c r="E2567" s="106"/>
      <c r="F2567" s="103" t="s">
        <v>4678</v>
      </c>
      <c r="G2567" s="103" t="s">
        <v>4679</v>
      </c>
      <c r="H2567" s="103" t="s">
        <v>12425</v>
      </c>
      <c r="I2567" s="103" t="s">
        <v>12426</v>
      </c>
      <c r="J2567" s="104" t="s">
        <v>11127</v>
      </c>
      <c r="K2567" s="107" t="s">
        <v>12427</v>
      </c>
      <c r="L2567" s="105"/>
    </row>
    <row r="2568">
      <c r="A2568" s="103" t="s">
        <v>4676</v>
      </c>
      <c r="B2568" s="103">
        <v>1.10012527504E11</v>
      </c>
      <c r="C2568" s="105"/>
      <c r="D2568" s="104" t="s">
        <v>12428</v>
      </c>
      <c r="E2568" s="104" t="s">
        <v>12429</v>
      </c>
      <c r="F2568" s="103" t="s">
        <v>4678</v>
      </c>
      <c r="G2568" s="103" t="s">
        <v>4679</v>
      </c>
      <c r="H2568" s="103" t="s">
        <v>12430</v>
      </c>
      <c r="I2568" s="103" t="s">
        <v>12426</v>
      </c>
      <c r="J2568" s="104" t="s">
        <v>11127</v>
      </c>
      <c r="K2568" s="105"/>
      <c r="L2568" s="105"/>
    </row>
    <row r="2569">
      <c r="A2569" s="103" t="s">
        <v>4676</v>
      </c>
      <c r="B2569" s="103">
        <v>1.100125297E9</v>
      </c>
      <c r="C2569" s="105"/>
      <c r="D2569" s="104" t="s">
        <v>12431</v>
      </c>
      <c r="E2569" s="106"/>
      <c r="F2569" s="103" t="s">
        <v>4678</v>
      </c>
      <c r="G2569" s="103" t="s">
        <v>4679</v>
      </c>
      <c r="H2569" s="103" t="s">
        <v>12432</v>
      </c>
      <c r="I2569" s="103" t="s">
        <v>12433</v>
      </c>
      <c r="J2569" s="104" t="s">
        <v>12434</v>
      </c>
      <c r="K2569" s="107" t="s">
        <v>12435</v>
      </c>
      <c r="L2569" s="105"/>
    </row>
    <row r="2570">
      <c r="A2570" s="103" t="s">
        <v>4676</v>
      </c>
      <c r="B2570" s="103">
        <v>1.10012529701E11</v>
      </c>
      <c r="C2570" s="105"/>
      <c r="D2570" s="104" t="s">
        <v>12431</v>
      </c>
      <c r="E2570" s="104" t="s">
        <v>12436</v>
      </c>
      <c r="F2570" s="103" t="s">
        <v>4678</v>
      </c>
      <c r="G2570" s="103" t="s">
        <v>4679</v>
      </c>
      <c r="H2570" s="103" t="s">
        <v>12437</v>
      </c>
      <c r="I2570" s="103" t="s">
        <v>12433</v>
      </c>
      <c r="J2570" s="104" t="s">
        <v>12434</v>
      </c>
      <c r="K2570" s="105"/>
      <c r="L2570" s="105"/>
    </row>
    <row r="2571">
      <c r="A2571" s="103" t="s">
        <v>4676</v>
      </c>
      <c r="B2571" s="103">
        <v>1.100125312E9</v>
      </c>
      <c r="C2571" s="105"/>
      <c r="D2571" s="104" t="s">
        <v>12438</v>
      </c>
      <c r="E2571" s="106"/>
      <c r="F2571" s="103" t="s">
        <v>4678</v>
      </c>
      <c r="G2571" s="103" t="s">
        <v>4679</v>
      </c>
      <c r="H2571" s="103" t="s">
        <v>12439</v>
      </c>
      <c r="I2571" s="103">
        <v>3.112319733E9</v>
      </c>
      <c r="J2571" s="104" t="s">
        <v>12440</v>
      </c>
      <c r="K2571" s="105"/>
      <c r="L2571" s="105"/>
    </row>
    <row r="2572">
      <c r="A2572" s="103" t="s">
        <v>4676</v>
      </c>
      <c r="B2572" s="103">
        <v>1.10012531203E11</v>
      </c>
      <c r="C2572" s="105"/>
      <c r="D2572" s="104" t="s">
        <v>12441</v>
      </c>
      <c r="E2572" s="104" t="s">
        <v>12442</v>
      </c>
      <c r="F2572" s="103" t="s">
        <v>4678</v>
      </c>
      <c r="G2572" s="103" t="s">
        <v>4679</v>
      </c>
      <c r="H2572" s="103" t="s">
        <v>12443</v>
      </c>
      <c r="I2572" s="103">
        <v>3.112319733E9</v>
      </c>
      <c r="J2572" s="104" t="s">
        <v>12440</v>
      </c>
      <c r="K2572" s="105"/>
      <c r="L2572" s="105"/>
    </row>
    <row r="2573">
      <c r="A2573" s="103" t="s">
        <v>4676</v>
      </c>
      <c r="B2573" s="103">
        <v>1.100125317E9</v>
      </c>
      <c r="C2573" s="105"/>
      <c r="D2573" s="104" t="s">
        <v>12444</v>
      </c>
      <c r="E2573" s="106"/>
      <c r="F2573" s="103" t="s">
        <v>4678</v>
      </c>
      <c r="G2573" s="103" t="s">
        <v>4679</v>
      </c>
      <c r="H2573" s="103" t="s">
        <v>12445</v>
      </c>
      <c r="I2573" s="103">
        <v>3.213916407E9</v>
      </c>
      <c r="J2573" s="104" t="s">
        <v>12446</v>
      </c>
      <c r="K2573" s="105"/>
      <c r="L2573" s="105"/>
    </row>
    <row r="2574">
      <c r="A2574" s="103" t="s">
        <v>4676</v>
      </c>
      <c r="B2574" s="103">
        <v>1.10012531701E11</v>
      </c>
      <c r="C2574" s="105"/>
      <c r="D2574" s="104" t="s">
        <v>12447</v>
      </c>
      <c r="E2574" s="104" t="s">
        <v>12448</v>
      </c>
      <c r="F2574" s="103" t="s">
        <v>4678</v>
      </c>
      <c r="G2574" s="103" t="s">
        <v>4679</v>
      </c>
      <c r="H2574" s="103" t="s">
        <v>12445</v>
      </c>
      <c r="I2574" s="103">
        <v>3.213916407E9</v>
      </c>
      <c r="J2574" s="104" t="s">
        <v>12446</v>
      </c>
      <c r="K2574" s="105"/>
      <c r="L2574" s="105"/>
    </row>
    <row r="2575">
      <c r="A2575" s="103" t="s">
        <v>4676</v>
      </c>
      <c r="B2575" s="103">
        <v>1.10012532E9</v>
      </c>
      <c r="C2575" s="105"/>
      <c r="D2575" s="104" t="s">
        <v>12449</v>
      </c>
      <c r="E2575" s="106"/>
      <c r="F2575" s="103" t="s">
        <v>4678</v>
      </c>
      <c r="G2575" s="103" t="s">
        <v>4679</v>
      </c>
      <c r="H2575" s="103" t="s">
        <v>12450</v>
      </c>
      <c r="I2575" s="103">
        <v>3.133946509E9</v>
      </c>
      <c r="J2575" s="104" t="s">
        <v>12451</v>
      </c>
      <c r="K2575" s="107" t="s">
        <v>12452</v>
      </c>
      <c r="L2575" s="105"/>
    </row>
    <row r="2576">
      <c r="A2576" s="103" t="s">
        <v>4676</v>
      </c>
      <c r="B2576" s="103">
        <v>1.10012532001E11</v>
      </c>
      <c r="C2576" s="105"/>
      <c r="D2576" s="104" t="s">
        <v>12449</v>
      </c>
      <c r="E2576" s="104" t="s">
        <v>12453</v>
      </c>
      <c r="F2576" s="103" t="s">
        <v>4678</v>
      </c>
      <c r="G2576" s="103" t="s">
        <v>4679</v>
      </c>
      <c r="H2576" s="103" t="s">
        <v>12454</v>
      </c>
      <c r="I2576" s="103">
        <v>6.017629912E9</v>
      </c>
      <c r="J2576" s="104" t="s">
        <v>12451</v>
      </c>
      <c r="K2576" s="105"/>
      <c r="L2576" s="105"/>
    </row>
    <row r="2577">
      <c r="A2577" s="103" t="s">
        <v>4676</v>
      </c>
      <c r="B2577" s="103">
        <v>1.100125339E9</v>
      </c>
      <c r="C2577" s="105"/>
      <c r="D2577" s="104" t="s">
        <v>12455</v>
      </c>
      <c r="E2577" s="106"/>
      <c r="F2577" s="103" t="s">
        <v>4678</v>
      </c>
      <c r="G2577" s="103" t="s">
        <v>4679</v>
      </c>
      <c r="H2577" s="103" t="s">
        <v>12456</v>
      </c>
      <c r="I2577" s="103" t="s">
        <v>12457</v>
      </c>
      <c r="J2577" s="104" t="s">
        <v>12458</v>
      </c>
      <c r="K2577" s="105"/>
      <c r="L2577" s="105"/>
    </row>
    <row r="2578">
      <c r="A2578" s="103" t="s">
        <v>4676</v>
      </c>
      <c r="B2578" s="103">
        <v>1.10012533901E11</v>
      </c>
      <c r="C2578" s="105"/>
      <c r="D2578" s="104" t="s">
        <v>12459</v>
      </c>
      <c r="E2578" s="104" t="s">
        <v>12460</v>
      </c>
      <c r="F2578" s="103" t="s">
        <v>4678</v>
      </c>
      <c r="G2578" s="103" t="s">
        <v>4679</v>
      </c>
      <c r="H2578" s="103" t="s">
        <v>12461</v>
      </c>
      <c r="I2578" s="103">
        <v>2960547.0</v>
      </c>
      <c r="J2578" s="104" t="s">
        <v>12462</v>
      </c>
      <c r="K2578" s="105"/>
      <c r="L2578" s="105"/>
    </row>
    <row r="2579">
      <c r="A2579" s="103" t="s">
        <v>4676</v>
      </c>
      <c r="B2579" s="103">
        <v>1.10012533902E11</v>
      </c>
      <c r="C2579" s="105"/>
      <c r="D2579" s="104" t="s">
        <v>12463</v>
      </c>
      <c r="E2579" s="104" t="s">
        <v>12460</v>
      </c>
      <c r="F2579" s="103" t="s">
        <v>4678</v>
      </c>
      <c r="G2579" s="103" t="s">
        <v>4679</v>
      </c>
      <c r="H2579" s="103" t="s">
        <v>12464</v>
      </c>
      <c r="I2579" s="103">
        <v>2960540.0</v>
      </c>
      <c r="J2579" s="104" t="s">
        <v>12462</v>
      </c>
      <c r="K2579" s="105"/>
      <c r="L2579" s="105"/>
    </row>
    <row r="2580">
      <c r="A2580" s="103" t="s">
        <v>4676</v>
      </c>
      <c r="B2580" s="103">
        <v>1.100125441E9</v>
      </c>
      <c r="C2580" s="105"/>
      <c r="D2580" s="104" t="s">
        <v>12465</v>
      </c>
      <c r="E2580" s="106"/>
      <c r="F2580" s="103" t="s">
        <v>4678</v>
      </c>
      <c r="G2580" s="103" t="s">
        <v>4679</v>
      </c>
      <c r="H2580" s="103" t="s">
        <v>12466</v>
      </c>
      <c r="I2580" s="103" t="s">
        <v>12467</v>
      </c>
      <c r="J2580" s="104" t="s">
        <v>12468</v>
      </c>
      <c r="K2580" s="107" t="s">
        <v>12469</v>
      </c>
      <c r="L2580" s="105"/>
    </row>
    <row r="2581">
      <c r="A2581" s="103" t="s">
        <v>4676</v>
      </c>
      <c r="B2581" s="103">
        <v>1.10012544101E11</v>
      </c>
      <c r="C2581" s="105"/>
      <c r="D2581" s="104" t="s">
        <v>12470</v>
      </c>
      <c r="E2581" s="104" t="s">
        <v>12471</v>
      </c>
      <c r="F2581" s="103" t="s">
        <v>4678</v>
      </c>
      <c r="G2581" s="103" t="s">
        <v>4679</v>
      </c>
      <c r="H2581" s="103" t="s">
        <v>12466</v>
      </c>
      <c r="I2581" s="103" t="s">
        <v>12472</v>
      </c>
      <c r="J2581" s="104" t="s">
        <v>12468</v>
      </c>
      <c r="K2581" s="105"/>
      <c r="L2581" s="105"/>
    </row>
    <row r="2582">
      <c r="A2582" s="103" t="s">
        <v>4676</v>
      </c>
      <c r="B2582" s="103">
        <v>1.100125654E9</v>
      </c>
      <c r="C2582" s="105"/>
      <c r="D2582" s="104" t="s">
        <v>12473</v>
      </c>
      <c r="E2582" s="106"/>
      <c r="F2582" s="103" t="s">
        <v>4678</v>
      </c>
      <c r="G2582" s="103" t="s">
        <v>4679</v>
      </c>
      <c r="H2582" s="103" t="s">
        <v>12474</v>
      </c>
      <c r="I2582" s="103" t="s">
        <v>12475</v>
      </c>
      <c r="J2582" s="104" t="s">
        <v>12476</v>
      </c>
      <c r="K2582" s="105"/>
      <c r="L2582" s="105"/>
    </row>
    <row r="2583">
      <c r="A2583" s="103" t="s">
        <v>4676</v>
      </c>
      <c r="B2583" s="103">
        <v>1.10012565401E11</v>
      </c>
      <c r="C2583" s="105"/>
      <c r="D2583" s="104" t="s">
        <v>12477</v>
      </c>
      <c r="E2583" s="104" t="s">
        <v>12478</v>
      </c>
      <c r="F2583" s="103" t="s">
        <v>4678</v>
      </c>
      <c r="G2583" s="103" t="s">
        <v>4679</v>
      </c>
      <c r="H2583" s="103" t="s">
        <v>12479</v>
      </c>
      <c r="I2583" s="103">
        <v>7456568.0</v>
      </c>
      <c r="J2583" s="104" t="s">
        <v>12480</v>
      </c>
      <c r="K2583" s="105"/>
      <c r="L2583" s="105"/>
    </row>
    <row r="2584">
      <c r="A2584" s="103" t="s">
        <v>4676</v>
      </c>
      <c r="B2584" s="103">
        <v>1.100125693E9</v>
      </c>
      <c r="C2584" s="105"/>
      <c r="D2584" s="104" t="s">
        <v>12481</v>
      </c>
      <c r="E2584" s="106"/>
      <c r="F2584" s="103" t="s">
        <v>4678</v>
      </c>
      <c r="G2584" s="103" t="s">
        <v>4679</v>
      </c>
      <c r="H2584" s="103" t="s">
        <v>12482</v>
      </c>
      <c r="I2584" s="103" t="s">
        <v>12483</v>
      </c>
      <c r="J2584" s="104" t="s">
        <v>12484</v>
      </c>
      <c r="K2584" s="107" t="s">
        <v>12485</v>
      </c>
      <c r="L2584" s="105"/>
    </row>
    <row r="2585">
      <c r="A2585" s="103" t="s">
        <v>4676</v>
      </c>
      <c r="B2585" s="103">
        <v>1.10012569301E11</v>
      </c>
      <c r="C2585" s="105"/>
      <c r="D2585" s="104" t="s">
        <v>12481</v>
      </c>
      <c r="E2585" s="104" t="s">
        <v>12486</v>
      </c>
      <c r="F2585" s="103" t="s">
        <v>4678</v>
      </c>
      <c r="G2585" s="103" t="s">
        <v>4679</v>
      </c>
      <c r="H2585" s="103" t="s">
        <v>12487</v>
      </c>
      <c r="I2585" s="103" t="s">
        <v>12488</v>
      </c>
      <c r="J2585" s="104" t="s">
        <v>12489</v>
      </c>
      <c r="K2585" s="105"/>
      <c r="L2585" s="105"/>
    </row>
    <row r="2586">
      <c r="A2586" s="103" t="s">
        <v>4676</v>
      </c>
      <c r="B2586" s="103">
        <v>1.100125754E9</v>
      </c>
      <c r="C2586" s="105"/>
      <c r="D2586" s="104" t="s">
        <v>12490</v>
      </c>
      <c r="E2586" s="106"/>
      <c r="F2586" s="103" t="s">
        <v>4678</v>
      </c>
      <c r="G2586" s="103" t="s">
        <v>4679</v>
      </c>
      <c r="H2586" s="103" t="s">
        <v>12491</v>
      </c>
      <c r="I2586" s="103">
        <v>3.10473606E9</v>
      </c>
      <c r="J2586" s="104" t="s">
        <v>12492</v>
      </c>
      <c r="K2586" s="107" t="s">
        <v>12493</v>
      </c>
      <c r="L2586" s="105"/>
    </row>
    <row r="2587">
      <c r="A2587" s="103" t="s">
        <v>4676</v>
      </c>
      <c r="B2587" s="103">
        <v>1.10012575401E11</v>
      </c>
      <c r="C2587" s="105"/>
      <c r="D2587" s="104" t="s">
        <v>12494</v>
      </c>
      <c r="E2587" s="104" t="s">
        <v>12495</v>
      </c>
      <c r="F2587" s="103" t="s">
        <v>4678</v>
      </c>
      <c r="G2587" s="103" t="s">
        <v>4679</v>
      </c>
      <c r="H2587" s="103" t="s">
        <v>12496</v>
      </c>
      <c r="I2587" s="103">
        <v>3.10473606E9</v>
      </c>
      <c r="J2587" s="104" t="s">
        <v>12492</v>
      </c>
      <c r="K2587" s="105"/>
      <c r="L2587" s="105"/>
    </row>
    <row r="2588">
      <c r="A2588" s="103" t="s">
        <v>4676</v>
      </c>
      <c r="B2588" s="103">
        <v>1.10012575403E11</v>
      </c>
      <c r="C2588" s="105"/>
      <c r="D2588" s="104" t="s">
        <v>12497</v>
      </c>
      <c r="E2588" s="104" t="s">
        <v>12495</v>
      </c>
      <c r="F2588" s="103" t="s">
        <v>4678</v>
      </c>
      <c r="G2588" s="103" t="s">
        <v>4679</v>
      </c>
      <c r="H2588" s="103" t="s">
        <v>12498</v>
      </c>
      <c r="I2588" s="103">
        <v>3.10473606E9</v>
      </c>
      <c r="J2588" s="104" t="s">
        <v>12492</v>
      </c>
      <c r="K2588" s="105"/>
      <c r="L2588" s="105"/>
    </row>
    <row r="2589">
      <c r="A2589" s="103" t="s">
        <v>4676</v>
      </c>
      <c r="B2589" s="103">
        <v>1.10012575404E11</v>
      </c>
      <c r="C2589" s="105"/>
      <c r="D2589" s="104" t="s">
        <v>12499</v>
      </c>
      <c r="E2589" s="104" t="s">
        <v>12500</v>
      </c>
      <c r="F2589" s="103" t="s">
        <v>4678</v>
      </c>
      <c r="G2589" s="103" t="s">
        <v>4679</v>
      </c>
      <c r="H2589" s="103" t="s">
        <v>12501</v>
      </c>
      <c r="I2589" s="103">
        <v>3.10473606E9</v>
      </c>
      <c r="J2589" s="104" t="s">
        <v>12492</v>
      </c>
      <c r="K2589" s="105"/>
      <c r="L2589" s="105"/>
    </row>
    <row r="2590">
      <c r="A2590" s="103" t="s">
        <v>4676</v>
      </c>
      <c r="B2590" s="103">
        <v>1.100125766E9</v>
      </c>
      <c r="C2590" s="105"/>
      <c r="D2590" s="104" t="s">
        <v>12502</v>
      </c>
      <c r="E2590" s="106"/>
      <c r="F2590" s="103" t="s">
        <v>4678</v>
      </c>
      <c r="G2590" s="103" t="s">
        <v>4679</v>
      </c>
      <c r="H2590" s="103" t="s">
        <v>12503</v>
      </c>
      <c r="I2590" s="103" t="s">
        <v>12504</v>
      </c>
      <c r="J2590" s="104" t="s">
        <v>12505</v>
      </c>
      <c r="K2590" s="105"/>
      <c r="L2590" s="105"/>
    </row>
    <row r="2591">
      <c r="A2591" s="103" t="s">
        <v>4676</v>
      </c>
      <c r="B2591" s="103">
        <v>1.10012576601E11</v>
      </c>
      <c r="C2591" s="105"/>
      <c r="D2591" s="104" t="s">
        <v>12502</v>
      </c>
      <c r="E2591" s="104" t="s">
        <v>12506</v>
      </c>
      <c r="F2591" s="103" t="s">
        <v>4678</v>
      </c>
      <c r="G2591" s="103" t="s">
        <v>4679</v>
      </c>
      <c r="H2591" s="103" t="s">
        <v>12507</v>
      </c>
      <c r="I2591" s="103" t="s">
        <v>12508</v>
      </c>
      <c r="J2591" s="104" t="s">
        <v>12505</v>
      </c>
      <c r="K2591" s="105"/>
      <c r="L2591" s="105"/>
    </row>
    <row r="2592">
      <c r="A2592" s="103" t="s">
        <v>4676</v>
      </c>
      <c r="B2592" s="103">
        <v>1.100125771E9</v>
      </c>
      <c r="C2592" s="105"/>
      <c r="D2592" s="104" t="s">
        <v>12509</v>
      </c>
      <c r="E2592" s="106"/>
      <c r="F2592" s="103" t="s">
        <v>4678</v>
      </c>
      <c r="G2592" s="103" t="s">
        <v>4679</v>
      </c>
      <c r="H2592" s="103" t="s">
        <v>12510</v>
      </c>
      <c r="I2592" s="103" t="s">
        <v>12511</v>
      </c>
      <c r="J2592" s="104" t="s">
        <v>12512</v>
      </c>
      <c r="K2592" s="107" t="s">
        <v>12513</v>
      </c>
      <c r="L2592" s="105"/>
    </row>
    <row r="2593">
      <c r="A2593" s="103" t="s">
        <v>4676</v>
      </c>
      <c r="B2593" s="103">
        <v>1.10012577102E11</v>
      </c>
      <c r="C2593" s="105"/>
      <c r="D2593" s="104" t="s">
        <v>12514</v>
      </c>
      <c r="E2593" s="104" t="s">
        <v>12515</v>
      </c>
      <c r="F2593" s="103" t="s">
        <v>4678</v>
      </c>
      <c r="G2593" s="103" t="s">
        <v>4679</v>
      </c>
      <c r="H2593" s="103" t="s">
        <v>12516</v>
      </c>
      <c r="I2593" s="103" t="s">
        <v>12511</v>
      </c>
      <c r="J2593" s="104" t="s">
        <v>12512</v>
      </c>
      <c r="K2593" s="105"/>
      <c r="L2593" s="105"/>
    </row>
    <row r="2594">
      <c r="A2594" s="103" t="s">
        <v>4676</v>
      </c>
      <c r="B2594" s="103">
        <v>1.100125794E9</v>
      </c>
      <c r="C2594" s="105"/>
      <c r="D2594" s="104" t="s">
        <v>12517</v>
      </c>
      <c r="E2594" s="106"/>
      <c r="F2594" s="103" t="s">
        <v>4678</v>
      </c>
      <c r="G2594" s="103" t="s">
        <v>4679</v>
      </c>
      <c r="H2594" s="103" t="s">
        <v>12518</v>
      </c>
      <c r="I2594" s="103">
        <v>6260751.0</v>
      </c>
      <c r="J2594" s="104" t="s">
        <v>12519</v>
      </c>
      <c r="K2594" s="105"/>
      <c r="L2594" s="105"/>
    </row>
    <row r="2595">
      <c r="A2595" s="103" t="s">
        <v>4676</v>
      </c>
      <c r="B2595" s="103">
        <v>1.10012579401E11</v>
      </c>
      <c r="C2595" s="105"/>
      <c r="D2595" s="104" t="s">
        <v>12520</v>
      </c>
      <c r="E2595" s="104" t="s">
        <v>5499</v>
      </c>
      <c r="F2595" s="103" t="s">
        <v>4678</v>
      </c>
      <c r="G2595" s="103" t="s">
        <v>4679</v>
      </c>
      <c r="H2595" s="103" t="s">
        <v>12521</v>
      </c>
      <c r="I2595" s="103">
        <v>6260751.0</v>
      </c>
      <c r="J2595" s="104" t="s">
        <v>12522</v>
      </c>
      <c r="K2595" s="105"/>
      <c r="L2595" s="105"/>
    </row>
    <row r="2596">
      <c r="A2596" s="103" t="s">
        <v>4676</v>
      </c>
      <c r="B2596" s="103">
        <v>1.100125811E9</v>
      </c>
      <c r="C2596" s="105"/>
      <c r="D2596" s="104" t="s">
        <v>12523</v>
      </c>
      <c r="E2596" s="106"/>
      <c r="F2596" s="103" t="s">
        <v>4678</v>
      </c>
      <c r="G2596" s="103" t="s">
        <v>4679</v>
      </c>
      <c r="H2596" s="103" t="s">
        <v>12524</v>
      </c>
      <c r="I2596" s="103" t="s">
        <v>12525</v>
      </c>
      <c r="J2596" s="104" t="s">
        <v>12526</v>
      </c>
      <c r="K2596" s="105"/>
      <c r="L2596" s="105"/>
    </row>
    <row r="2597">
      <c r="A2597" s="103" t="s">
        <v>4676</v>
      </c>
      <c r="B2597" s="103">
        <v>1.10012581101E11</v>
      </c>
      <c r="C2597" s="105"/>
      <c r="D2597" s="104" t="s">
        <v>12523</v>
      </c>
      <c r="E2597" s="104" t="s">
        <v>12527</v>
      </c>
      <c r="F2597" s="103" t="s">
        <v>4678</v>
      </c>
      <c r="G2597" s="103" t="s">
        <v>4679</v>
      </c>
      <c r="H2597" s="103" t="s">
        <v>12524</v>
      </c>
      <c r="I2597" s="103" t="s">
        <v>12525</v>
      </c>
      <c r="J2597" s="104" t="s">
        <v>12526</v>
      </c>
      <c r="K2597" s="105"/>
      <c r="L2597" s="105"/>
    </row>
    <row r="2598">
      <c r="A2598" s="103" t="s">
        <v>4676</v>
      </c>
      <c r="B2598" s="103">
        <v>1.100125827E9</v>
      </c>
      <c r="C2598" s="105"/>
      <c r="D2598" s="104" t="s">
        <v>12528</v>
      </c>
      <c r="E2598" s="106"/>
      <c r="F2598" s="103" t="s">
        <v>4678</v>
      </c>
      <c r="G2598" s="103" t="s">
        <v>4679</v>
      </c>
      <c r="H2598" s="103" t="s">
        <v>12529</v>
      </c>
      <c r="I2598" s="103">
        <v>2142130.0</v>
      </c>
      <c r="J2598" s="104" t="s">
        <v>12530</v>
      </c>
      <c r="K2598" s="105"/>
      <c r="L2598" s="105"/>
    </row>
    <row r="2599">
      <c r="A2599" s="103" t="s">
        <v>4676</v>
      </c>
      <c r="B2599" s="103">
        <v>1.10012582701E11</v>
      </c>
      <c r="C2599" s="105"/>
      <c r="D2599" s="104" t="s">
        <v>12528</v>
      </c>
      <c r="E2599" s="104" t="s">
        <v>12531</v>
      </c>
      <c r="F2599" s="103" t="s">
        <v>4678</v>
      </c>
      <c r="G2599" s="103" t="s">
        <v>4679</v>
      </c>
      <c r="H2599" s="103" t="s">
        <v>12529</v>
      </c>
      <c r="I2599" s="103">
        <v>2142130.0</v>
      </c>
      <c r="J2599" s="104" t="s">
        <v>12530</v>
      </c>
      <c r="K2599" s="105"/>
      <c r="L2599" s="105"/>
    </row>
    <row r="2600">
      <c r="A2600" s="103" t="s">
        <v>4676</v>
      </c>
      <c r="B2600" s="103">
        <v>1.10012584E9</v>
      </c>
      <c r="C2600" s="105"/>
      <c r="D2600" s="104" t="s">
        <v>12532</v>
      </c>
      <c r="E2600" s="106"/>
      <c r="F2600" s="103" t="s">
        <v>4678</v>
      </c>
      <c r="G2600" s="103" t="s">
        <v>4679</v>
      </c>
      <c r="H2600" s="103" t="s">
        <v>12533</v>
      </c>
      <c r="I2600" s="103">
        <v>3099298.0</v>
      </c>
      <c r="J2600" s="104" t="s">
        <v>12534</v>
      </c>
      <c r="K2600" s="105"/>
      <c r="L2600" s="105"/>
    </row>
    <row r="2601">
      <c r="A2601" s="103" t="s">
        <v>4676</v>
      </c>
      <c r="B2601" s="103">
        <v>1.10012584001E11</v>
      </c>
      <c r="C2601" s="105"/>
      <c r="D2601" s="104" t="s">
        <v>12532</v>
      </c>
      <c r="E2601" s="104" t="s">
        <v>12535</v>
      </c>
      <c r="F2601" s="103" t="s">
        <v>4678</v>
      </c>
      <c r="G2601" s="103" t="s">
        <v>4679</v>
      </c>
      <c r="H2601" s="103" t="s">
        <v>12536</v>
      </c>
      <c r="I2601" s="103">
        <v>3099298.0</v>
      </c>
      <c r="J2601" s="104" t="s">
        <v>12534</v>
      </c>
      <c r="K2601" s="105"/>
      <c r="L2601" s="105"/>
    </row>
    <row r="2602">
      <c r="A2602" s="103" t="s">
        <v>4676</v>
      </c>
      <c r="B2602" s="103">
        <v>1.10012584002E11</v>
      </c>
      <c r="C2602" s="105"/>
      <c r="D2602" s="104" t="s">
        <v>12537</v>
      </c>
      <c r="E2602" s="104" t="s">
        <v>12535</v>
      </c>
      <c r="F2602" s="103" t="s">
        <v>4678</v>
      </c>
      <c r="G2602" s="103" t="s">
        <v>4679</v>
      </c>
      <c r="H2602" s="103" t="s">
        <v>12538</v>
      </c>
      <c r="I2602" s="103" t="s">
        <v>12539</v>
      </c>
      <c r="J2602" s="104" t="s">
        <v>12534</v>
      </c>
      <c r="K2602" s="105"/>
      <c r="L2602" s="105"/>
    </row>
    <row r="2603">
      <c r="A2603" s="103" t="s">
        <v>4676</v>
      </c>
      <c r="B2603" s="103">
        <v>1.100125859E9</v>
      </c>
      <c r="C2603" s="105"/>
      <c r="D2603" s="104" t="s">
        <v>12540</v>
      </c>
      <c r="E2603" s="106"/>
      <c r="F2603" s="103" t="s">
        <v>4678</v>
      </c>
      <c r="G2603" s="103" t="s">
        <v>4679</v>
      </c>
      <c r="H2603" s="103" t="s">
        <v>12541</v>
      </c>
      <c r="I2603" s="103" t="s">
        <v>12542</v>
      </c>
      <c r="J2603" s="104" t="s">
        <v>12543</v>
      </c>
      <c r="K2603" s="105"/>
      <c r="L2603" s="105"/>
    </row>
    <row r="2604">
      <c r="A2604" s="103" t="s">
        <v>4676</v>
      </c>
      <c r="B2604" s="103">
        <v>1.10012585901E11</v>
      </c>
      <c r="C2604" s="105"/>
      <c r="D2604" s="104" t="s">
        <v>12540</v>
      </c>
      <c r="E2604" s="104" t="s">
        <v>12544</v>
      </c>
      <c r="F2604" s="103" t="s">
        <v>4678</v>
      </c>
      <c r="G2604" s="103" t="s">
        <v>4679</v>
      </c>
      <c r="H2604" s="103" t="s">
        <v>12545</v>
      </c>
      <c r="I2604" s="103" t="s">
        <v>12546</v>
      </c>
      <c r="J2604" s="104" t="s">
        <v>12543</v>
      </c>
      <c r="K2604" s="105"/>
      <c r="L2604" s="105"/>
    </row>
    <row r="2605">
      <c r="A2605" s="103" t="s">
        <v>4676</v>
      </c>
      <c r="B2605" s="103">
        <v>1.10012587E9</v>
      </c>
      <c r="C2605" s="105"/>
      <c r="D2605" s="104" t="s">
        <v>12547</v>
      </c>
      <c r="E2605" s="106"/>
      <c r="F2605" s="103" t="s">
        <v>4678</v>
      </c>
      <c r="G2605" s="103" t="s">
        <v>4679</v>
      </c>
      <c r="H2605" s="103" t="s">
        <v>12548</v>
      </c>
      <c r="I2605" s="103" t="s">
        <v>12549</v>
      </c>
      <c r="J2605" s="104" t="s">
        <v>12550</v>
      </c>
      <c r="K2605" s="105"/>
      <c r="L2605" s="105"/>
    </row>
    <row r="2606">
      <c r="A2606" s="103" t="s">
        <v>4676</v>
      </c>
      <c r="B2606" s="103">
        <v>1.10012587001E11</v>
      </c>
      <c r="C2606" s="105"/>
      <c r="D2606" s="104" t="s">
        <v>12547</v>
      </c>
      <c r="E2606" s="104" t="s">
        <v>12551</v>
      </c>
      <c r="F2606" s="103" t="s">
        <v>4678</v>
      </c>
      <c r="G2606" s="103" t="s">
        <v>4679</v>
      </c>
      <c r="H2606" s="103" t="s">
        <v>12552</v>
      </c>
      <c r="I2606" s="103" t="s">
        <v>12553</v>
      </c>
      <c r="J2606" s="104" t="s">
        <v>12554</v>
      </c>
      <c r="K2606" s="105"/>
      <c r="L2606" s="105"/>
    </row>
    <row r="2607">
      <c r="A2607" s="103" t="s">
        <v>4676</v>
      </c>
      <c r="B2607" s="103">
        <v>1.100125872E9</v>
      </c>
      <c r="C2607" s="105"/>
      <c r="D2607" s="104" t="s">
        <v>12555</v>
      </c>
      <c r="E2607" s="106"/>
      <c r="F2607" s="103" t="s">
        <v>4678</v>
      </c>
      <c r="G2607" s="103" t="s">
        <v>4679</v>
      </c>
      <c r="H2607" s="103" t="s">
        <v>12556</v>
      </c>
      <c r="I2607" s="103">
        <v>4005290.0</v>
      </c>
      <c r="J2607" s="104" t="s">
        <v>12557</v>
      </c>
      <c r="K2607" s="105"/>
      <c r="L2607" s="105"/>
    </row>
    <row r="2608">
      <c r="A2608" s="103" t="s">
        <v>4676</v>
      </c>
      <c r="B2608" s="103">
        <v>1.10012587201E11</v>
      </c>
      <c r="C2608" s="105"/>
      <c r="D2608" s="104" t="s">
        <v>12555</v>
      </c>
      <c r="E2608" s="104" t="s">
        <v>12558</v>
      </c>
      <c r="F2608" s="103" t="s">
        <v>4678</v>
      </c>
      <c r="G2608" s="103" t="s">
        <v>4679</v>
      </c>
      <c r="H2608" s="103" t="s">
        <v>12559</v>
      </c>
      <c r="I2608" s="103">
        <v>3.115323265E9</v>
      </c>
      <c r="J2608" s="104" t="s">
        <v>12557</v>
      </c>
      <c r="K2608" s="105"/>
      <c r="L2608" s="105"/>
    </row>
    <row r="2609">
      <c r="A2609" s="103" t="s">
        <v>4676</v>
      </c>
      <c r="B2609" s="103">
        <v>1.100125914E9</v>
      </c>
      <c r="C2609" s="105"/>
      <c r="D2609" s="104" t="s">
        <v>12560</v>
      </c>
      <c r="E2609" s="106"/>
      <c r="F2609" s="103" t="s">
        <v>4678</v>
      </c>
      <c r="G2609" s="103" t="s">
        <v>4679</v>
      </c>
      <c r="H2609" s="103" t="s">
        <v>12561</v>
      </c>
      <c r="I2609" s="103">
        <v>2551440.0</v>
      </c>
      <c r="J2609" s="104" t="s">
        <v>12562</v>
      </c>
      <c r="K2609" s="105"/>
      <c r="L2609" s="105"/>
    </row>
    <row r="2610">
      <c r="A2610" s="103" t="s">
        <v>4676</v>
      </c>
      <c r="B2610" s="103">
        <v>1.10012591401E11</v>
      </c>
      <c r="C2610" s="105"/>
      <c r="D2610" s="104" t="s">
        <v>12560</v>
      </c>
      <c r="E2610" s="104" t="s">
        <v>12563</v>
      </c>
      <c r="F2610" s="103" t="s">
        <v>4678</v>
      </c>
      <c r="G2610" s="103" t="s">
        <v>4679</v>
      </c>
      <c r="H2610" s="103" t="s">
        <v>12561</v>
      </c>
      <c r="I2610" s="103" t="s">
        <v>12564</v>
      </c>
      <c r="J2610" s="104" t="s">
        <v>12562</v>
      </c>
      <c r="K2610" s="105"/>
      <c r="L2610" s="105"/>
    </row>
    <row r="2611">
      <c r="A2611" s="103" t="s">
        <v>4676</v>
      </c>
      <c r="B2611" s="103">
        <v>1.100125924E9</v>
      </c>
      <c r="C2611" s="105"/>
      <c r="D2611" s="104" t="s">
        <v>12565</v>
      </c>
      <c r="E2611" s="106"/>
      <c r="F2611" s="103" t="s">
        <v>4678</v>
      </c>
      <c r="G2611" s="103" t="s">
        <v>4679</v>
      </c>
      <c r="H2611" s="103" t="s">
        <v>12566</v>
      </c>
      <c r="I2611" s="103">
        <v>6.013571364E9</v>
      </c>
      <c r="J2611" s="104" t="s">
        <v>12567</v>
      </c>
      <c r="K2611" s="107" t="s">
        <v>12568</v>
      </c>
      <c r="L2611" s="105"/>
    </row>
    <row r="2612">
      <c r="A2612" s="103" t="s">
        <v>4676</v>
      </c>
      <c r="B2612" s="103">
        <v>1.10012592402E11</v>
      </c>
      <c r="C2612" s="105"/>
      <c r="D2612" s="104" t="s">
        <v>12569</v>
      </c>
      <c r="E2612" s="104" t="s">
        <v>12570</v>
      </c>
      <c r="F2612" s="103" t="s">
        <v>4678</v>
      </c>
      <c r="G2612" s="103" t="s">
        <v>4679</v>
      </c>
      <c r="H2612" s="103" t="s">
        <v>12571</v>
      </c>
      <c r="I2612" s="103">
        <v>6.013571364E9</v>
      </c>
      <c r="J2612" s="104" t="s">
        <v>12567</v>
      </c>
      <c r="K2612" s="105"/>
      <c r="L2612" s="105"/>
    </row>
    <row r="2613">
      <c r="A2613" s="103" t="s">
        <v>4676</v>
      </c>
      <c r="B2613" s="103">
        <v>1.100125928E9</v>
      </c>
      <c r="C2613" s="105"/>
      <c r="D2613" s="104" t="s">
        <v>12572</v>
      </c>
      <c r="E2613" s="106"/>
      <c r="F2613" s="103" t="s">
        <v>4678</v>
      </c>
      <c r="G2613" s="103" t="s">
        <v>4679</v>
      </c>
      <c r="H2613" s="103" t="s">
        <v>12573</v>
      </c>
      <c r="I2613" s="103">
        <v>3.102948583E9</v>
      </c>
      <c r="J2613" s="104" t="s">
        <v>12574</v>
      </c>
      <c r="K2613" s="105"/>
      <c r="L2613" s="105"/>
    </row>
    <row r="2614">
      <c r="A2614" s="103" t="s">
        <v>4676</v>
      </c>
      <c r="B2614" s="103">
        <v>1.10012592801E11</v>
      </c>
      <c r="C2614" s="105"/>
      <c r="D2614" s="104" t="s">
        <v>12575</v>
      </c>
      <c r="E2614" s="104" t="s">
        <v>12576</v>
      </c>
      <c r="F2614" s="103" t="s">
        <v>4678</v>
      </c>
      <c r="G2614" s="103" t="s">
        <v>4679</v>
      </c>
      <c r="H2614" s="103" t="s">
        <v>12577</v>
      </c>
      <c r="I2614" s="103">
        <v>3.102948583E9</v>
      </c>
      <c r="J2614" s="104" t="s">
        <v>12574</v>
      </c>
      <c r="K2614" s="105"/>
      <c r="L2614" s="105"/>
    </row>
    <row r="2615">
      <c r="A2615" s="103" t="s">
        <v>4676</v>
      </c>
      <c r="B2615" s="103">
        <v>1.100125935E9</v>
      </c>
      <c r="C2615" s="105"/>
      <c r="D2615" s="104" t="s">
        <v>12578</v>
      </c>
      <c r="E2615" s="106"/>
      <c r="F2615" s="103" t="s">
        <v>4678</v>
      </c>
      <c r="G2615" s="103" t="s">
        <v>4679</v>
      </c>
      <c r="H2615" s="103" t="s">
        <v>12579</v>
      </c>
      <c r="I2615" s="103" t="s">
        <v>12580</v>
      </c>
      <c r="J2615" s="104" t="s">
        <v>12581</v>
      </c>
      <c r="K2615" s="105"/>
      <c r="L2615" s="105"/>
    </row>
    <row r="2616">
      <c r="A2616" s="103" t="s">
        <v>4676</v>
      </c>
      <c r="B2616" s="103">
        <v>1.10012593501E11</v>
      </c>
      <c r="C2616" s="105"/>
      <c r="D2616" s="104" t="s">
        <v>12578</v>
      </c>
      <c r="E2616" s="104" t="s">
        <v>12582</v>
      </c>
      <c r="F2616" s="103" t="s">
        <v>4678</v>
      </c>
      <c r="G2616" s="103" t="s">
        <v>4679</v>
      </c>
      <c r="H2616" s="103" t="s">
        <v>12583</v>
      </c>
      <c r="I2616" s="103">
        <v>3.118862642E9</v>
      </c>
      <c r="J2616" s="104" t="s">
        <v>12581</v>
      </c>
      <c r="K2616" s="105"/>
      <c r="L2616" s="105"/>
    </row>
    <row r="2617">
      <c r="A2617" s="103" t="s">
        <v>4676</v>
      </c>
      <c r="B2617" s="103">
        <v>1.100125946E9</v>
      </c>
      <c r="C2617" s="105"/>
      <c r="D2617" s="104" t="s">
        <v>12584</v>
      </c>
      <c r="E2617" s="106"/>
      <c r="F2617" s="103" t="s">
        <v>4678</v>
      </c>
      <c r="G2617" s="103" t="s">
        <v>4679</v>
      </c>
      <c r="H2617" s="103" t="s">
        <v>12585</v>
      </c>
      <c r="I2617" s="103" t="s">
        <v>12586</v>
      </c>
      <c r="J2617" s="104" t="s">
        <v>12587</v>
      </c>
      <c r="K2617" s="105"/>
      <c r="L2617" s="105"/>
    </row>
    <row r="2618">
      <c r="A2618" s="103" t="s">
        <v>4676</v>
      </c>
      <c r="B2618" s="103">
        <v>1.10012594601E11</v>
      </c>
      <c r="C2618" s="105"/>
      <c r="D2618" s="104" t="s">
        <v>12584</v>
      </c>
      <c r="E2618" s="104" t="s">
        <v>12588</v>
      </c>
      <c r="F2618" s="103" t="s">
        <v>4678</v>
      </c>
      <c r="G2618" s="103" t="s">
        <v>4679</v>
      </c>
      <c r="H2618" s="103" t="s">
        <v>12585</v>
      </c>
      <c r="I2618" s="103">
        <v>6552604.0</v>
      </c>
      <c r="J2618" s="104" t="s">
        <v>12587</v>
      </c>
      <c r="K2618" s="105"/>
      <c r="L2618" s="105"/>
    </row>
    <row r="2619">
      <c r="A2619" s="103" t="s">
        <v>4676</v>
      </c>
      <c r="B2619" s="103">
        <v>1.10012598E9</v>
      </c>
      <c r="C2619" s="105"/>
      <c r="D2619" s="104" t="s">
        <v>12589</v>
      </c>
      <c r="E2619" s="106"/>
      <c r="F2619" s="103" t="s">
        <v>4678</v>
      </c>
      <c r="G2619" s="103" t="s">
        <v>4679</v>
      </c>
      <c r="H2619" s="103" t="s">
        <v>12590</v>
      </c>
      <c r="I2619" s="103">
        <v>3.203477487E9</v>
      </c>
      <c r="J2619" s="104" t="s">
        <v>12591</v>
      </c>
      <c r="K2619" s="103" t="s">
        <v>12592</v>
      </c>
      <c r="L2619" s="105"/>
    </row>
    <row r="2620">
      <c r="A2620" s="103" t="s">
        <v>4676</v>
      </c>
      <c r="B2620" s="103">
        <v>1.10012598001E11</v>
      </c>
      <c r="C2620" s="105"/>
      <c r="D2620" s="104" t="s">
        <v>12589</v>
      </c>
      <c r="E2620" s="104" t="s">
        <v>12593</v>
      </c>
      <c r="F2620" s="103" t="s">
        <v>4678</v>
      </c>
      <c r="G2620" s="103" t="s">
        <v>4679</v>
      </c>
      <c r="H2620" s="103" t="s">
        <v>12594</v>
      </c>
      <c r="I2620" s="103">
        <v>3.203477487E9</v>
      </c>
      <c r="J2620" s="104" t="s">
        <v>12591</v>
      </c>
      <c r="K2620" s="105"/>
      <c r="L2620" s="105"/>
    </row>
    <row r="2621">
      <c r="A2621" s="103" t="s">
        <v>4676</v>
      </c>
      <c r="B2621" s="103">
        <v>1.100126213E9</v>
      </c>
      <c r="C2621" s="105"/>
      <c r="D2621" s="104" t="s">
        <v>12595</v>
      </c>
      <c r="E2621" s="106"/>
      <c r="F2621" s="103" t="s">
        <v>4678</v>
      </c>
      <c r="G2621" s="103" t="s">
        <v>4679</v>
      </c>
      <c r="H2621" s="103" t="s">
        <v>12596</v>
      </c>
      <c r="I2621" s="103">
        <v>3.227398177E9</v>
      </c>
      <c r="J2621" s="104" t="s">
        <v>12597</v>
      </c>
      <c r="K2621" s="105"/>
      <c r="L2621" s="105"/>
    </row>
    <row r="2622">
      <c r="A2622" s="103" t="s">
        <v>4676</v>
      </c>
      <c r="B2622" s="103">
        <v>1.10012621301E11</v>
      </c>
      <c r="C2622" s="105"/>
      <c r="D2622" s="104" t="s">
        <v>12598</v>
      </c>
      <c r="E2622" s="104" t="s">
        <v>12599</v>
      </c>
      <c r="F2622" s="103" t="s">
        <v>4678</v>
      </c>
      <c r="G2622" s="103" t="s">
        <v>4679</v>
      </c>
      <c r="H2622" s="103" t="s">
        <v>12600</v>
      </c>
      <c r="I2622" s="103" t="s">
        <v>12601</v>
      </c>
      <c r="J2622" s="104" t="s">
        <v>12597</v>
      </c>
      <c r="K2622" s="105"/>
      <c r="L2622" s="105"/>
    </row>
    <row r="2623">
      <c r="A2623" s="103" t="s">
        <v>4676</v>
      </c>
      <c r="B2623" s="103">
        <v>1.10012621302E11</v>
      </c>
      <c r="C2623" s="105"/>
      <c r="D2623" s="104" t="s">
        <v>12602</v>
      </c>
      <c r="E2623" s="104" t="s">
        <v>12603</v>
      </c>
      <c r="F2623" s="103" t="s">
        <v>4678</v>
      </c>
      <c r="G2623" s="103" t="s">
        <v>4679</v>
      </c>
      <c r="H2623" s="103" t="s">
        <v>12604</v>
      </c>
      <c r="I2623" s="103" t="s">
        <v>12605</v>
      </c>
      <c r="J2623" s="104" t="s">
        <v>12606</v>
      </c>
      <c r="K2623" s="105"/>
      <c r="L2623" s="105"/>
    </row>
    <row r="2624">
      <c r="A2624" s="103" t="s">
        <v>4676</v>
      </c>
      <c r="B2624" s="103">
        <v>1.100126221E9</v>
      </c>
      <c r="C2624" s="105"/>
      <c r="D2624" s="104" t="s">
        <v>12607</v>
      </c>
      <c r="E2624" s="106"/>
      <c r="F2624" s="103" t="s">
        <v>4678</v>
      </c>
      <c r="G2624" s="103" t="s">
        <v>4679</v>
      </c>
      <c r="H2624" s="103" t="s">
        <v>12608</v>
      </c>
      <c r="I2624" s="103">
        <v>3003720.0</v>
      </c>
      <c r="J2624" s="104" t="s">
        <v>12609</v>
      </c>
      <c r="K2624" s="107" t="s">
        <v>12610</v>
      </c>
      <c r="L2624" s="105"/>
    </row>
    <row r="2625">
      <c r="A2625" s="103" t="s">
        <v>4676</v>
      </c>
      <c r="B2625" s="103">
        <v>1.10012622101E11</v>
      </c>
      <c r="C2625" s="105"/>
      <c r="D2625" s="104" t="s">
        <v>12611</v>
      </c>
      <c r="E2625" s="104" t="s">
        <v>12612</v>
      </c>
      <c r="F2625" s="103" t="s">
        <v>4678</v>
      </c>
      <c r="G2625" s="103" t="s">
        <v>4679</v>
      </c>
      <c r="H2625" s="103" t="s">
        <v>12608</v>
      </c>
      <c r="I2625" s="103">
        <v>3003720.0</v>
      </c>
      <c r="J2625" s="104" t="s">
        <v>12609</v>
      </c>
      <c r="K2625" s="105"/>
      <c r="L2625" s="105"/>
    </row>
    <row r="2626">
      <c r="A2626" s="103" t="s">
        <v>4676</v>
      </c>
      <c r="B2626" s="103">
        <v>1.100126279E9</v>
      </c>
      <c r="C2626" s="105"/>
      <c r="D2626" s="104" t="s">
        <v>12613</v>
      </c>
      <c r="E2626" s="106"/>
      <c r="F2626" s="103" t="s">
        <v>4678</v>
      </c>
      <c r="G2626" s="103" t="s">
        <v>4679</v>
      </c>
      <c r="H2626" s="103" t="s">
        <v>12614</v>
      </c>
      <c r="I2626" s="103" t="s">
        <v>12615</v>
      </c>
      <c r="J2626" s="104" t="s">
        <v>12616</v>
      </c>
      <c r="K2626" s="107" t="s">
        <v>12617</v>
      </c>
      <c r="L2626" s="105"/>
    </row>
    <row r="2627">
      <c r="A2627" s="103" t="s">
        <v>4676</v>
      </c>
      <c r="B2627" s="103">
        <v>1.10012627901E11</v>
      </c>
      <c r="C2627" s="105"/>
      <c r="D2627" s="104" t="s">
        <v>12613</v>
      </c>
      <c r="E2627" s="104" t="s">
        <v>12618</v>
      </c>
      <c r="F2627" s="103" t="s">
        <v>4678</v>
      </c>
      <c r="G2627" s="103" t="s">
        <v>4679</v>
      </c>
      <c r="H2627" s="103" t="s">
        <v>12619</v>
      </c>
      <c r="I2627" s="103" t="s">
        <v>12615</v>
      </c>
      <c r="J2627" s="104" t="s">
        <v>12616</v>
      </c>
      <c r="K2627" s="105"/>
      <c r="L2627" s="105"/>
    </row>
    <row r="2628">
      <c r="A2628" s="103" t="s">
        <v>4676</v>
      </c>
      <c r="B2628" s="103">
        <v>1.100126288E9</v>
      </c>
      <c r="C2628" s="105"/>
      <c r="D2628" s="104" t="s">
        <v>12620</v>
      </c>
      <c r="E2628" s="106"/>
      <c r="F2628" s="103" t="s">
        <v>4678</v>
      </c>
      <c r="G2628" s="103" t="s">
        <v>4679</v>
      </c>
      <c r="H2628" s="103" t="s">
        <v>12621</v>
      </c>
      <c r="I2628" s="103" t="s">
        <v>12622</v>
      </c>
      <c r="J2628" s="104" t="s">
        <v>12623</v>
      </c>
      <c r="K2628" s="107" t="s">
        <v>12624</v>
      </c>
      <c r="L2628" s="105"/>
    </row>
    <row r="2629">
      <c r="A2629" s="103" t="s">
        <v>4676</v>
      </c>
      <c r="B2629" s="103">
        <v>1.10012628801E11</v>
      </c>
      <c r="C2629" s="105"/>
      <c r="D2629" s="104" t="s">
        <v>12620</v>
      </c>
      <c r="E2629" s="104" t="s">
        <v>12625</v>
      </c>
      <c r="F2629" s="103" t="s">
        <v>4678</v>
      </c>
      <c r="G2629" s="103" t="s">
        <v>4679</v>
      </c>
      <c r="H2629" s="103" t="s">
        <v>12621</v>
      </c>
      <c r="I2629" s="103" t="s">
        <v>12622</v>
      </c>
      <c r="J2629" s="104" t="s">
        <v>12623</v>
      </c>
      <c r="K2629" s="105"/>
      <c r="L2629" s="105"/>
    </row>
    <row r="2630">
      <c r="A2630" s="103" t="s">
        <v>4676</v>
      </c>
      <c r="B2630" s="103">
        <v>1.100126361E9</v>
      </c>
      <c r="C2630" s="105"/>
      <c r="D2630" s="104" t="s">
        <v>12626</v>
      </c>
      <c r="E2630" s="106"/>
      <c r="F2630" s="103" t="s">
        <v>4678</v>
      </c>
      <c r="G2630" s="103" t="s">
        <v>4679</v>
      </c>
      <c r="H2630" s="103" t="s">
        <v>12627</v>
      </c>
      <c r="I2630" s="103" t="s">
        <v>12628</v>
      </c>
      <c r="J2630" s="104" t="s">
        <v>12629</v>
      </c>
      <c r="K2630" s="105"/>
      <c r="L2630" s="105"/>
    </row>
    <row r="2631">
      <c r="A2631" s="103" t="s">
        <v>4676</v>
      </c>
      <c r="B2631" s="103">
        <v>1.10012636101E11</v>
      </c>
      <c r="C2631" s="105"/>
      <c r="D2631" s="104" t="s">
        <v>12630</v>
      </c>
      <c r="E2631" s="104" t="s">
        <v>12631</v>
      </c>
      <c r="F2631" s="103" t="s">
        <v>4678</v>
      </c>
      <c r="G2631" s="103" t="s">
        <v>4679</v>
      </c>
      <c r="H2631" s="103" t="s">
        <v>12627</v>
      </c>
      <c r="I2631" s="103" t="s">
        <v>12628</v>
      </c>
      <c r="J2631" s="104" t="s">
        <v>12629</v>
      </c>
      <c r="K2631" s="105"/>
      <c r="L2631" s="105"/>
    </row>
    <row r="2632">
      <c r="A2632" s="103" t="s">
        <v>4676</v>
      </c>
      <c r="B2632" s="103">
        <v>1.100126377E9</v>
      </c>
      <c r="C2632" s="105"/>
      <c r="D2632" s="104" t="s">
        <v>12632</v>
      </c>
      <c r="E2632" s="106"/>
      <c r="F2632" s="103" t="s">
        <v>4678</v>
      </c>
      <c r="G2632" s="103" t="s">
        <v>4679</v>
      </c>
      <c r="H2632" s="103" t="s">
        <v>12633</v>
      </c>
      <c r="I2632" s="103">
        <v>7046061.0</v>
      </c>
      <c r="J2632" s="104" t="s">
        <v>12634</v>
      </c>
      <c r="K2632" s="105"/>
      <c r="L2632" s="105"/>
    </row>
    <row r="2633">
      <c r="A2633" s="103" t="s">
        <v>4676</v>
      </c>
      <c r="B2633" s="103">
        <v>1.10012637701E11</v>
      </c>
      <c r="C2633" s="105"/>
      <c r="D2633" s="104" t="s">
        <v>12635</v>
      </c>
      <c r="E2633" s="104" t="s">
        <v>12636</v>
      </c>
      <c r="F2633" s="103" t="s">
        <v>4678</v>
      </c>
      <c r="G2633" s="103" t="s">
        <v>4679</v>
      </c>
      <c r="H2633" s="103" t="s">
        <v>12633</v>
      </c>
      <c r="I2633" s="103">
        <v>7046061.0</v>
      </c>
      <c r="J2633" s="104" t="s">
        <v>12634</v>
      </c>
      <c r="K2633" s="105"/>
      <c r="L2633" s="105"/>
    </row>
    <row r="2634">
      <c r="A2634" s="103" t="s">
        <v>4676</v>
      </c>
      <c r="B2634" s="103">
        <v>1.100126412E9</v>
      </c>
      <c r="C2634" s="105"/>
      <c r="D2634" s="104" t="s">
        <v>12637</v>
      </c>
      <c r="E2634" s="106"/>
      <c r="F2634" s="103" t="s">
        <v>4678</v>
      </c>
      <c r="G2634" s="103" t="s">
        <v>4679</v>
      </c>
      <c r="H2634" s="103" t="s">
        <v>12638</v>
      </c>
      <c r="I2634" s="103" t="s">
        <v>12639</v>
      </c>
      <c r="J2634" s="104" t="s">
        <v>12640</v>
      </c>
      <c r="K2634" s="105"/>
      <c r="L2634" s="105"/>
    </row>
    <row r="2635">
      <c r="A2635" s="103" t="s">
        <v>4676</v>
      </c>
      <c r="B2635" s="103">
        <v>1.10012641201E11</v>
      </c>
      <c r="C2635" s="105"/>
      <c r="D2635" s="104" t="s">
        <v>12637</v>
      </c>
      <c r="E2635" s="104" t="s">
        <v>12641</v>
      </c>
      <c r="F2635" s="103" t="s">
        <v>4678</v>
      </c>
      <c r="G2635" s="103" t="s">
        <v>4679</v>
      </c>
      <c r="H2635" s="103" t="s">
        <v>12638</v>
      </c>
      <c r="I2635" s="103" t="s">
        <v>12639</v>
      </c>
      <c r="J2635" s="104" t="s">
        <v>12640</v>
      </c>
      <c r="K2635" s="105"/>
      <c r="L2635" s="105"/>
    </row>
    <row r="2636">
      <c r="A2636" s="103" t="s">
        <v>4676</v>
      </c>
      <c r="B2636" s="103">
        <v>1.100126445E9</v>
      </c>
      <c r="C2636" s="105"/>
      <c r="D2636" s="104" t="s">
        <v>12642</v>
      </c>
      <c r="E2636" s="106"/>
      <c r="F2636" s="103" t="s">
        <v>4678</v>
      </c>
      <c r="G2636" s="103" t="s">
        <v>4679</v>
      </c>
      <c r="H2636" s="103" t="s">
        <v>12643</v>
      </c>
      <c r="I2636" s="103" t="s">
        <v>12644</v>
      </c>
      <c r="J2636" s="104" t="s">
        <v>12645</v>
      </c>
      <c r="K2636" s="105"/>
      <c r="L2636" s="105"/>
    </row>
    <row r="2637">
      <c r="A2637" s="103" t="s">
        <v>4676</v>
      </c>
      <c r="B2637" s="103">
        <v>1.10012644501E11</v>
      </c>
      <c r="C2637" s="105"/>
      <c r="D2637" s="104" t="s">
        <v>12646</v>
      </c>
      <c r="E2637" s="104" t="s">
        <v>12647</v>
      </c>
      <c r="F2637" s="103" t="s">
        <v>4678</v>
      </c>
      <c r="G2637" s="103" t="s">
        <v>4679</v>
      </c>
      <c r="H2637" s="103" t="s">
        <v>12648</v>
      </c>
      <c r="I2637" s="103" t="s">
        <v>12644</v>
      </c>
      <c r="J2637" s="104" t="s">
        <v>12645</v>
      </c>
      <c r="K2637" s="105"/>
      <c r="L2637" s="105"/>
    </row>
    <row r="2638">
      <c r="A2638" s="103" t="s">
        <v>4676</v>
      </c>
      <c r="B2638" s="103">
        <v>1.10012649E9</v>
      </c>
      <c r="C2638" s="105"/>
      <c r="D2638" s="104" t="s">
        <v>12649</v>
      </c>
      <c r="E2638" s="106"/>
      <c r="F2638" s="103" t="s">
        <v>4678</v>
      </c>
      <c r="G2638" s="103" t="s">
        <v>4679</v>
      </c>
      <c r="H2638" s="103" t="s">
        <v>12650</v>
      </c>
      <c r="I2638" s="103" t="s">
        <v>12651</v>
      </c>
      <c r="J2638" s="104" t="s">
        <v>12652</v>
      </c>
      <c r="K2638" s="105"/>
      <c r="L2638" s="105"/>
    </row>
    <row r="2639">
      <c r="A2639" s="103" t="s">
        <v>4676</v>
      </c>
      <c r="B2639" s="103">
        <v>1.10012649001E11</v>
      </c>
      <c r="C2639" s="105"/>
      <c r="D2639" s="104" t="s">
        <v>12649</v>
      </c>
      <c r="E2639" s="104" t="s">
        <v>12653</v>
      </c>
      <c r="F2639" s="103" t="s">
        <v>4678</v>
      </c>
      <c r="G2639" s="103" t="s">
        <v>4679</v>
      </c>
      <c r="H2639" s="103" t="s">
        <v>12650</v>
      </c>
      <c r="I2639" s="103" t="s">
        <v>12654</v>
      </c>
      <c r="J2639" s="104" t="s">
        <v>12652</v>
      </c>
      <c r="K2639" s="105"/>
      <c r="L2639" s="105"/>
    </row>
    <row r="2640">
      <c r="A2640" s="103" t="s">
        <v>4676</v>
      </c>
      <c r="B2640" s="103">
        <v>1.100126585E9</v>
      </c>
      <c r="C2640" s="105"/>
      <c r="D2640" s="104" t="s">
        <v>12655</v>
      </c>
      <c r="E2640" s="106"/>
      <c r="F2640" s="103" t="s">
        <v>4678</v>
      </c>
      <c r="G2640" s="103" t="s">
        <v>4679</v>
      </c>
      <c r="H2640" s="103" t="s">
        <v>12656</v>
      </c>
      <c r="I2640" s="103">
        <v>3.133568237E9</v>
      </c>
      <c r="J2640" s="104" t="s">
        <v>12657</v>
      </c>
      <c r="K2640" s="105"/>
      <c r="L2640" s="105"/>
    </row>
    <row r="2641">
      <c r="A2641" s="103" t="s">
        <v>4676</v>
      </c>
      <c r="B2641" s="103">
        <v>1.10012658501E11</v>
      </c>
      <c r="C2641" s="105"/>
      <c r="D2641" s="104" t="s">
        <v>12658</v>
      </c>
      <c r="E2641" s="104" t="s">
        <v>12659</v>
      </c>
      <c r="F2641" s="103" t="s">
        <v>4678</v>
      </c>
      <c r="G2641" s="103" t="s">
        <v>4679</v>
      </c>
      <c r="H2641" s="103" t="s">
        <v>12656</v>
      </c>
      <c r="I2641" s="103">
        <v>3.133568237E9</v>
      </c>
      <c r="J2641" s="104" t="s">
        <v>12657</v>
      </c>
      <c r="K2641" s="105"/>
      <c r="L2641" s="105"/>
    </row>
    <row r="2642">
      <c r="A2642" s="103" t="s">
        <v>4676</v>
      </c>
      <c r="B2642" s="103">
        <v>1.1001266E9</v>
      </c>
      <c r="C2642" s="105"/>
      <c r="D2642" s="104" t="s">
        <v>12660</v>
      </c>
      <c r="E2642" s="106"/>
      <c r="F2642" s="103" t="s">
        <v>4678</v>
      </c>
      <c r="G2642" s="103" t="s">
        <v>4679</v>
      </c>
      <c r="H2642" s="103" t="s">
        <v>12661</v>
      </c>
      <c r="I2642" s="103" t="s">
        <v>12662</v>
      </c>
      <c r="J2642" s="104" t="s">
        <v>12663</v>
      </c>
      <c r="K2642" s="105"/>
      <c r="L2642" s="105"/>
    </row>
    <row r="2643">
      <c r="A2643" s="103" t="s">
        <v>4676</v>
      </c>
      <c r="B2643" s="103">
        <v>1.10012660001E11</v>
      </c>
      <c r="C2643" s="105"/>
      <c r="D2643" s="104" t="s">
        <v>12660</v>
      </c>
      <c r="E2643" s="104" t="s">
        <v>12664</v>
      </c>
      <c r="F2643" s="103" t="s">
        <v>4678</v>
      </c>
      <c r="G2643" s="103" t="s">
        <v>4679</v>
      </c>
      <c r="H2643" s="103" t="s">
        <v>12661</v>
      </c>
      <c r="I2643" s="103" t="s">
        <v>12662</v>
      </c>
      <c r="J2643" s="104" t="s">
        <v>12663</v>
      </c>
      <c r="K2643" s="105"/>
      <c r="L2643" s="105"/>
    </row>
    <row r="2644">
      <c r="A2644" s="103" t="s">
        <v>4676</v>
      </c>
      <c r="B2644" s="103">
        <v>1.100126656E9</v>
      </c>
      <c r="C2644" s="105"/>
      <c r="D2644" s="104" t="s">
        <v>12665</v>
      </c>
      <c r="E2644" s="106"/>
      <c r="F2644" s="103" t="s">
        <v>4678</v>
      </c>
      <c r="G2644" s="103" t="s">
        <v>4679</v>
      </c>
      <c r="H2644" s="103" t="s">
        <v>12666</v>
      </c>
      <c r="I2644" s="103" t="s">
        <v>12667</v>
      </c>
      <c r="J2644" s="104" t="s">
        <v>12668</v>
      </c>
      <c r="K2644" s="105"/>
      <c r="L2644" s="105"/>
    </row>
    <row r="2645">
      <c r="A2645" s="103" t="s">
        <v>4676</v>
      </c>
      <c r="B2645" s="103">
        <v>1.10012665601E11</v>
      </c>
      <c r="C2645" s="105"/>
      <c r="D2645" s="104" t="s">
        <v>12669</v>
      </c>
      <c r="E2645" s="104" t="s">
        <v>12670</v>
      </c>
      <c r="F2645" s="103" t="s">
        <v>4678</v>
      </c>
      <c r="G2645" s="103" t="s">
        <v>4679</v>
      </c>
      <c r="H2645" s="103" t="s">
        <v>12671</v>
      </c>
      <c r="I2645" s="103" t="s">
        <v>12667</v>
      </c>
      <c r="J2645" s="104" t="s">
        <v>12668</v>
      </c>
      <c r="K2645" s="105"/>
      <c r="L2645" s="105"/>
    </row>
    <row r="2646">
      <c r="A2646" s="103" t="s">
        <v>4676</v>
      </c>
      <c r="B2646" s="103">
        <v>1.100126672E9</v>
      </c>
      <c r="C2646" s="105"/>
      <c r="D2646" s="104" t="s">
        <v>12672</v>
      </c>
      <c r="E2646" s="106"/>
      <c r="F2646" s="103" t="s">
        <v>4678</v>
      </c>
      <c r="G2646" s="103" t="s">
        <v>4679</v>
      </c>
      <c r="H2646" s="103" t="s">
        <v>12673</v>
      </c>
      <c r="I2646" s="103">
        <v>3.118134483E9</v>
      </c>
      <c r="J2646" s="104" t="s">
        <v>12674</v>
      </c>
      <c r="K2646" s="107" t="s">
        <v>12675</v>
      </c>
      <c r="L2646" s="105"/>
    </row>
    <row r="2647">
      <c r="A2647" s="103" t="s">
        <v>4676</v>
      </c>
      <c r="B2647" s="103">
        <v>1.10012667201E11</v>
      </c>
      <c r="C2647" s="105"/>
      <c r="D2647" s="104" t="s">
        <v>12672</v>
      </c>
      <c r="E2647" s="104" t="s">
        <v>12676</v>
      </c>
      <c r="F2647" s="103" t="s">
        <v>4678</v>
      </c>
      <c r="G2647" s="103" t="s">
        <v>4679</v>
      </c>
      <c r="H2647" s="103" t="s">
        <v>12673</v>
      </c>
      <c r="I2647" s="103">
        <v>3.118134483E9</v>
      </c>
      <c r="J2647" s="104" t="s">
        <v>12674</v>
      </c>
      <c r="K2647" s="105"/>
      <c r="L2647" s="105"/>
    </row>
    <row r="2648">
      <c r="A2648" s="103" t="s">
        <v>4676</v>
      </c>
      <c r="B2648" s="103">
        <v>1.100126674E9</v>
      </c>
      <c r="C2648" s="105"/>
      <c r="D2648" s="104" t="s">
        <v>12677</v>
      </c>
      <c r="E2648" s="106"/>
      <c r="F2648" s="103" t="s">
        <v>4678</v>
      </c>
      <c r="G2648" s="103" t="s">
        <v>4679</v>
      </c>
      <c r="H2648" s="103" t="s">
        <v>12678</v>
      </c>
      <c r="I2648" s="103" t="s">
        <v>12679</v>
      </c>
      <c r="J2648" s="104" t="s">
        <v>12680</v>
      </c>
      <c r="K2648" s="105"/>
      <c r="L2648" s="105"/>
    </row>
    <row r="2649">
      <c r="A2649" s="103" t="s">
        <v>4676</v>
      </c>
      <c r="B2649" s="103">
        <v>1.10012667401E11</v>
      </c>
      <c r="C2649" s="105"/>
      <c r="D2649" s="104" t="s">
        <v>12677</v>
      </c>
      <c r="E2649" s="104" t="s">
        <v>12681</v>
      </c>
      <c r="F2649" s="103" t="s">
        <v>4678</v>
      </c>
      <c r="G2649" s="103" t="s">
        <v>4679</v>
      </c>
      <c r="H2649" s="103" t="s">
        <v>12678</v>
      </c>
      <c r="I2649" s="103" t="s">
        <v>12682</v>
      </c>
      <c r="J2649" s="104" t="s">
        <v>12680</v>
      </c>
      <c r="K2649" s="105"/>
      <c r="L2649" s="105"/>
    </row>
    <row r="2650">
      <c r="A2650" s="103" t="s">
        <v>4676</v>
      </c>
      <c r="B2650" s="103">
        <v>1.100126716E9</v>
      </c>
      <c r="C2650" s="105"/>
      <c r="D2650" s="104" t="s">
        <v>12683</v>
      </c>
      <c r="E2650" s="106"/>
      <c r="F2650" s="103" t="s">
        <v>4678</v>
      </c>
      <c r="G2650" s="103" t="s">
        <v>4679</v>
      </c>
      <c r="H2650" s="103" t="s">
        <v>12684</v>
      </c>
      <c r="I2650" s="103">
        <v>3.183036267E9</v>
      </c>
      <c r="J2650" s="104" t="s">
        <v>12685</v>
      </c>
      <c r="K2650" s="107" t="s">
        <v>12686</v>
      </c>
      <c r="L2650" s="105"/>
    </row>
    <row r="2651">
      <c r="A2651" s="103" t="s">
        <v>4676</v>
      </c>
      <c r="B2651" s="103">
        <v>1.10012671601E11</v>
      </c>
      <c r="C2651" s="105"/>
      <c r="D2651" s="104" t="s">
        <v>12687</v>
      </c>
      <c r="E2651" s="104" t="s">
        <v>12688</v>
      </c>
      <c r="F2651" s="103" t="s">
        <v>4678</v>
      </c>
      <c r="G2651" s="103" t="s">
        <v>4679</v>
      </c>
      <c r="H2651" s="103" t="s">
        <v>12689</v>
      </c>
      <c r="I2651" s="103">
        <v>3.183036267E9</v>
      </c>
      <c r="J2651" s="104" t="s">
        <v>12685</v>
      </c>
      <c r="K2651" s="105"/>
      <c r="L2651" s="105"/>
    </row>
    <row r="2652">
      <c r="A2652" s="103" t="s">
        <v>4676</v>
      </c>
      <c r="B2652" s="103">
        <v>1.100126739E9</v>
      </c>
      <c r="C2652" s="105"/>
      <c r="D2652" s="104" t="s">
        <v>12690</v>
      </c>
      <c r="E2652" s="106"/>
      <c r="F2652" s="103" t="s">
        <v>4678</v>
      </c>
      <c r="G2652" s="103" t="s">
        <v>4679</v>
      </c>
      <c r="H2652" s="103" t="s">
        <v>12691</v>
      </c>
      <c r="I2652" s="103" t="s">
        <v>12692</v>
      </c>
      <c r="J2652" s="104" t="s">
        <v>12693</v>
      </c>
      <c r="K2652" s="105"/>
      <c r="L2652" s="105"/>
    </row>
    <row r="2653">
      <c r="A2653" s="103" t="s">
        <v>4676</v>
      </c>
      <c r="B2653" s="103">
        <v>1.10012673901E11</v>
      </c>
      <c r="C2653" s="105"/>
      <c r="D2653" s="104" t="s">
        <v>12690</v>
      </c>
      <c r="E2653" s="104" t="s">
        <v>12694</v>
      </c>
      <c r="F2653" s="103" t="s">
        <v>4678</v>
      </c>
      <c r="G2653" s="103" t="s">
        <v>4679</v>
      </c>
      <c r="H2653" s="103" t="s">
        <v>12691</v>
      </c>
      <c r="I2653" s="103" t="s">
        <v>12695</v>
      </c>
      <c r="J2653" s="104" t="s">
        <v>12693</v>
      </c>
      <c r="K2653" s="105"/>
      <c r="L2653" s="105"/>
    </row>
    <row r="2654">
      <c r="A2654" s="103" t="s">
        <v>4676</v>
      </c>
      <c r="B2654" s="103">
        <v>1.10012674E9</v>
      </c>
      <c r="C2654" s="105"/>
      <c r="D2654" s="104" t="s">
        <v>12696</v>
      </c>
      <c r="E2654" s="106"/>
      <c r="F2654" s="103" t="s">
        <v>4678</v>
      </c>
      <c r="G2654" s="103" t="s">
        <v>4679</v>
      </c>
      <c r="H2654" s="103" t="s">
        <v>12697</v>
      </c>
      <c r="I2654" s="103">
        <v>7044655.0</v>
      </c>
      <c r="J2654" s="104" t="s">
        <v>12698</v>
      </c>
      <c r="K2654" s="105"/>
      <c r="L2654" s="105"/>
    </row>
    <row r="2655">
      <c r="A2655" s="103" t="s">
        <v>4676</v>
      </c>
      <c r="B2655" s="103">
        <v>1.10012674001E11</v>
      </c>
      <c r="C2655" s="105"/>
      <c r="D2655" s="104" t="s">
        <v>12699</v>
      </c>
      <c r="E2655" s="104" t="s">
        <v>12700</v>
      </c>
      <c r="F2655" s="103" t="s">
        <v>4678</v>
      </c>
      <c r="G2655" s="103" t="s">
        <v>4679</v>
      </c>
      <c r="H2655" s="103" t="s">
        <v>12701</v>
      </c>
      <c r="I2655" s="103">
        <v>4660075.0</v>
      </c>
      <c r="J2655" s="104" t="s">
        <v>12698</v>
      </c>
      <c r="K2655" s="105"/>
      <c r="L2655" s="105"/>
    </row>
    <row r="2656">
      <c r="A2656" s="103" t="s">
        <v>4676</v>
      </c>
      <c r="B2656" s="103">
        <v>1.10012674006E11</v>
      </c>
      <c r="C2656" s="105"/>
      <c r="D2656" s="104" t="s">
        <v>12699</v>
      </c>
      <c r="E2656" s="104" t="s">
        <v>12700</v>
      </c>
      <c r="F2656" s="103" t="s">
        <v>4678</v>
      </c>
      <c r="G2656" s="103" t="s">
        <v>4679</v>
      </c>
      <c r="H2656" s="103" t="s">
        <v>12702</v>
      </c>
      <c r="I2656" s="103">
        <v>8053742.0</v>
      </c>
      <c r="J2656" s="104" t="s">
        <v>12698</v>
      </c>
      <c r="K2656" s="105"/>
      <c r="L2656" s="105"/>
    </row>
    <row r="2657">
      <c r="A2657" s="103" t="s">
        <v>4676</v>
      </c>
      <c r="B2657" s="103">
        <v>1.10012674007E11</v>
      </c>
      <c r="C2657" s="105"/>
      <c r="D2657" s="104" t="s">
        <v>12699</v>
      </c>
      <c r="E2657" s="104" t="s">
        <v>12700</v>
      </c>
      <c r="F2657" s="103" t="s">
        <v>4678</v>
      </c>
      <c r="G2657" s="103" t="s">
        <v>4679</v>
      </c>
      <c r="H2657" s="103" t="s">
        <v>12703</v>
      </c>
      <c r="I2657" s="103">
        <v>7044655.0</v>
      </c>
      <c r="J2657" s="104" t="s">
        <v>12698</v>
      </c>
      <c r="K2657" s="105"/>
      <c r="L2657" s="105"/>
    </row>
    <row r="2658">
      <c r="A2658" s="103" t="s">
        <v>4676</v>
      </c>
      <c r="B2658" s="103">
        <v>1.10012674008E11</v>
      </c>
      <c r="C2658" s="105"/>
      <c r="D2658" s="104" t="s">
        <v>12699</v>
      </c>
      <c r="E2658" s="104" t="s">
        <v>12700</v>
      </c>
      <c r="F2658" s="103" t="s">
        <v>4678</v>
      </c>
      <c r="G2658" s="103" t="s">
        <v>4679</v>
      </c>
      <c r="H2658" s="103" t="s">
        <v>12704</v>
      </c>
      <c r="I2658" s="103">
        <v>7514158.0</v>
      </c>
      <c r="J2658" s="104" t="s">
        <v>12698</v>
      </c>
      <c r="K2658" s="105"/>
      <c r="L2658" s="105"/>
    </row>
    <row r="2659">
      <c r="A2659" s="103" t="s">
        <v>4676</v>
      </c>
      <c r="B2659" s="103">
        <v>1.10012674016E11</v>
      </c>
      <c r="C2659" s="105"/>
      <c r="D2659" s="104" t="s">
        <v>12705</v>
      </c>
      <c r="E2659" s="104" t="s">
        <v>12706</v>
      </c>
      <c r="F2659" s="103" t="s">
        <v>4678</v>
      </c>
      <c r="G2659" s="103" t="s">
        <v>4679</v>
      </c>
      <c r="H2659" s="103" t="s">
        <v>12707</v>
      </c>
      <c r="I2659" s="103">
        <v>7029830.0</v>
      </c>
      <c r="J2659" s="104" t="s">
        <v>12698</v>
      </c>
      <c r="K2659" s="105"/>
      <c r="L2659" s="105"/>
    </row>
    <row r="2660">
      <c r="A2660" s="103" t="s">
        <v>4676</v>
      </c>
      <c r="B2660" s="103">
        <v>1.100126767E9</v>
      </c>
      <c r="C2660" s="105"/>
      <c r="D2660" s="104" t="s">
        <v>12708</v>
      </c>
      <c r="E2660" s="106"/>
      <c r="F2660" s="103" t="s">
        <v>4678</v>
      </c>
      <c r="G2660" s="103" t="s">
        <v>4679</v>
      </c>
      <c r="H2660" s="103" t="s">
        <v>12709</v>
      </c>
      <c r="I2660" s="103" t="s">
        <v>12710</v>
      </c>
      <c r="J2660" s="104" t="s">
        <v>12711</v>
      </c>
      <c r="K2660" s="107" t="s">
        <v>12712</v>
      </c>
      <c r="L2660" s="105"/>
    </row>
    <row r="2661">
      <c r="A2661" s="103" t="s">
        <v>4676</v>
      </c>
      <c r="B2661" s="103">
        <v>1.10012676701E11</v>
      </c>
      <c r="C2661" s="105"/>
      <c r="D2661" s="104" t="s">
        <v>12713</v>
      </c>
      <c r="E2661" s="104" t="s">
        <v>12714</v>
      </c>
      <c r="F2661" s="103" t="s">
        <v>4678</v>
      </c>
      <c r="G2661" s="103" t="s">
        <v>4679</v>
      </c>
      <c r="H2661" s="103" t="s">
        <v>12709</v>
      </c>
      <c r="I2661" s="103" t="s">
        <v>12715</v>
      </c>
      <c r="J2661" s="104" t="s">
        <v>12711</v>
      </c>
      <c r="K2661" s="105"/>
      <c r="L2661" s="105"/>
    </row>
    <row r="2662">
      <c r="A2662" s="103" t="s">
        <v>4676</v>
      </c>
      <c r="B2662" s="103">
        <v>1.100126831E9</v>
      </c>
      <c r="C2662" s="105"/>
      <c r="D2662" s="104" t="s">
        <v>12716</v>
      </c>
      <c r="E2662" s="106"/>
      <c r="F2662" s="103" t="s">
        <v>4678</v>
      </c>
      <c r="G2662" s="103" t="s">
        <v>4679</v>
      </c>
      <c r="H2662" s="103" t="s">
        <v>12717</v>
      </c>
      <c r="I2662" s="103">
        <v>3.223260784E9</v>
      </c>
      <c r="J2662" s="104" t="s">
        <v>12718</v>
      </c>
      <c r="K2662" s="105"/>
      <c r="L2662" s="105"/>
    </row>
    <row r="2663">
      <c r="A2663" s="103" t="s">
        <v>4676</v>
      </c>
      <c r="B2663" s="103">
        <v>1.10012683101E11</v>
      </c>
      <c r="C2663" s="105"/>
      <c r="D2663" s="104" t="s">
        <v>12716</v>
      </c>
      <c r="E2663" s="104" t="s">
        <v>12719</v>
      </c>
      <c r="F2663" s="103" t="s">
        <v>4678</v>
      </c>
      <c r="G2663" s="103" t="s">
        <v>4679</v>
      </c>
      <c r="H2663" s="103" t="s">
        <v>12717</v>
      </c>
      <c r="I2663" s="103">
        <v>3.223260784E9</v>
      </c>
      <c r="J2663" s="104" t="s">
        <v>12718</v>
      </c>
      <c r="K2663" s="105"/>
      <c r="L2663" s="105"/>
    </row>
    <row r="2664">
      <c r="A2664" s="103" t="s">
        <v>4676</v>
      </c>
      <c r="B2664" s="103">
        <v>1.100126859E9</v>
      </c>
      <c r="C2664" s="105"/>
      <c r="D2664" s="104" t="s">
        <v>12720</v>
      </c>
      <c r="E2664" s="106"/>
      <c r="F2664" s="103" t="s">
        <v>4678</v>
      </c>
      <c r="G2664" s="103" t="s">
        <v>4679</v>
      </c>
      <c r="H2664" s="103" t="s">
        <v>12721</v>
      </c>
      <c r="I2664" s="103" t="s">
        <v>12722</v>
      </c>
      <c r="J2664" s="104" t="s">
        <v>12723</v>
      </c>
      <c r="K2664" s="105"/>
      <c r="L2664" s="105"/>
    </row>
    <row r="2665">
      <c r="A2665" s="103" t="s">
        <v>4676</v>
      </c>
      <c r="B2665" s="103">
        <v>1.10012685901E11</v>
      </c>
      <c r="C2665" s="105"/>
      <c r="D2665" s="104" t="s">
        <v>12720</v>
      </c>
      <c r="E2665" s="104" t="s">
        <v>12724</v>
      </c>
      <c r="F2665" s="103" t="s">
        <v>4678</v>
      </c>
      <c r="G2665" s="103" t="s">
        <v>4679</v>
      </c>
      <c r="H2665" s="103" t="s">
        <v>12721</v>
      </c>
      <c r="I2665" s="103" t="s">
        <v>12722</v>
      </c>
      <c r="J2665" s="104" t="s">
        <v>12723</v>
      </c>
      <c r="K2665" s="105"/>
      <c r="L2665" s="105"/>
    </row>
    <row r="2666">
      <c r="A2666" s="103" t="s">
        <v>4676</v>
      </c>
      <c r="B2666" s="103">
        <v>1.100126881E9</v>
      </c>
      <c r="C2666" s="105"/>
      <c r="D2666" s="104" t="s">
        <v>12725</v>
      </c>
      <c r="E2666" s="106"/>
      <c r="F2666" s="103" t="s">
        <v>4678</v>
      </c>
      <c r="G2666" s="103" t="s">
        <v>4679</v>
      </c>
      <c r="H2666" s="103" t="s">
        <v>12726</v>
      </c>
      <c r="I2666" s="103">
        <v>6.014661243E9</v>
      </c>
      <c r="J2666" s="104" t="s">
        <v>12727</v>
      </c>
      <c r="K2666" s="105"/>
      <c r="L2666" s="105"/>
    </row>
    <row r="2667">
      <c r="A2667" s="103" t="s">
        <v>4676</v>
      </c>
      <c r="B2667" s="103">
        <v>1.10012688101E11</v>
      </c>
      <c r="C2667" s="105"/>
      <c r="D2667" s="104" t="s">
        <v>12725</v>
      </c>
      <c r="E2667" s="104" t="s">
        <v>12728</v>
      </c>
      <c r="F2667" s="103" t="s">
        <v>4678</v>
      </c>
      <c r="G2667" s="103" t="s">
        <v>4679</v>
      </c>
      <c r="H2667" s="103" t="s">
        <v>12729</v>
      </c>
      <c r="I2667" s="103">
        <v>6.014661243E9</v>
      </c>
      <c r="J2667" s="104" t="s">
        <v>12727</v>
      </c>
      <c r="K2667" s="105"/>
      <c r="L2667" s="105"/>
    </row>
    <row r="2668">
      <c r="A2668" s="103" t="s">
        <v>4676</v>
      </c>
      <c r="B2668" s="103">
        <v>1.100126887E9</v>
      </c>
      <c r="C2668" s="105"/>
      <c r="D2668" s="104" t="s">
        <v>12730</v>
      </c>
      <c r="E2668" s="106"/>
      <c r="F2668" s="103" t="s">
        <v>4678</v>
      </c>
      <c r="G2668" s="103" t="s">
        <v>4679</v>
      </c>
      <c r="H2668" s="103" t="s">
        <v>12731</v>
      </c>
      <c r="I2668" s="103" t="s">
        <v>12732</v>
      </c>
      <c r="J2668" s="104" t="s">
        <v>12733</v>
      </c>
      <c r="K2668" s="105"/>
      <c r="L2668" s="105"/>
    </row>
    <row r="2669">
      <c r="A2669" s="103" t="s">
        <v>4676</v>
      </c>
      <c r="B2669" s="103">
        <v>1.10012688701E11</v>
      </c>
      <c r="C2669" s="105"/>
      <c r="D2669" s="104" t="s">
        <v>12730</v>
      </c>
      <c r="E2669" s="104" t="s">
        <v>6068</v>
      </c>
      <c r="F2669" s="103" t="s">
        <v>4678</v>
      </c>
      <c r="G2669" s="103" t="s">
        <v>4679</v>
      </c>
      <c r="H2669" s="103" t="s">
        <v>12731</v>
      </c>
      <c r="I2669" s="103" t="s">
        <v>12732</v>
      </c>
      <c r="J2669" s="104" t="s">
        <v>12733</v>
      </c>
      <c r="K2669" s="105"/>
      <c r="L2669" s="105"/>
    </row>
    <row r="2670">
      <c r="A2670" s="103" t="s">
        <v>4676</v>
      </c>
      <c r="B2670" s="103">
        <v>1.100126891E9</v>
      </c>
      <c r="C2670" s="105"/>
      <c r="D2670" s="104" t="s">
        <v>12734</v>
      </c>
      <c r="E2670" s="106"/>
      <c r="F2670" s="103" t="s">
        <v>4678</v>
      </c>
      <c r="G2670" s="103" t="s">
        <v>4679</v>
      </c>
      <c r="H2670" s="103" t="s">
        <v>12735</v>
      </c>
      <c r="I2670" s="103" t="s">
        <v>12736</v>
      </c>
      <c r="J2670" s="104" t="s">
        <v>12737</v>
      </c>
      <c r="K2670" s="105"/>
      <c r="L2670" s="105"/>
    </row>
    <row r="2671">
      <c r="A2671" s="103" t="s">
        <v>4676</v>
      </c>
      <c r="B2671" s="103">
        <v>1.10012689101E11</v>
      </c>
      <c r="C2671" s="105"/>
      <c r="D2671" s="104" t="s">
        <v>12738</v>
      </c>
      <c r="E2671" s="104" t="s">
        <v>12739</v>
      </c>
      <c r="F2671" s="103" t="s">
        <v>4678</v>
      </c>
      <c r="G2671" s="103" t="s">
        <v>4679</v>
      </c>
      <c r="H2671" s="103" t="s">
        <v>12740</v>
      </c>
      <c r="I2671" s="103" t="s">
        <v>12736</v>
      </c>
      <c r="J2671" s="104" t="s">
        <v>12737</v>
      </c>
      <c r="K2671" s="105"/>
      <c r="L2671" s="105"/>
    </row>
    <row r="2672">
      <c r="A2672" s="103" t="s">
        <v>4676</v>
      </c>
      <c r="B2672" s="103">
        <v>1.100126917E9</v>
      </c>
      <c r="C2672" s="105"/>
      <c r="D2672" s="104" t="s">
        <v>12741</v>
      </c>
      <c r="E2672" s="106"/>
      <c r="F2672" s="103" t="s">
        <v>4678</v>
      </c>
      <c r="G2672" s="103" t="s">
        <v>4679</v>
      </c>
      <c r="H2672" s="103" t="s">
        <v>12742</v>
      </c>
      <c r="I2672" s="103" t="s">
        <v>12743</v>
      </c>
      <c r="J2672" s="104" t="s">
        <v>12744</v>
      </c>
      <c r="K2672" s="107" t="s">
        <v>12745</v>
      </c>
      <c r="L2672" s="105"/>
    </row>
    <row r="2673">
      <c r="A2673" s="103" t="s">
        <v>4676</v>
      </c>
      <c r="B2673" s="103">
        <v>1.10012691701E11</v>
      </c>
      <c r="C2673" s="105"/>
      <c r="D2673" s="104" t="s">
        <v>12746</v>
      </c>
      <c r="E2673" s="104" t="s">
        <v>12747</v>
      </c>
      <c r="F2673" s="103" t="s">
        <v>4678</v>
      </c>
      <c r="G2673" s="103" t="s">
        <v>4679</v>
      </c>
      <c r="H2673" s="103" t="s">
        <v>12748</v>
      </c>
      <c r="I2673" s="103" t="s">
        <v>12743</v>
      </c>
      <c r="J2673" s="104" t="s">
        <v>12744</v>
      </c>
      <c r="K2673" s="105"/>
      <c r="L2673" s="105"/>
    </row>
    <row r="2674">
      <c r="A2674" s="103" t="s">
        <v>4676</v>
      </c>
      <c r="B2674" s="103">
        <v>1.10012692E9</v>
      </c>
      <c r="C2674" s="105"/>
      <c r="D2674" s="104" t="s">
        <v>12749</v>
      </c>
      <c r="E2674" s="106"/>
      <c r="F2674" s="103" t="s">
        <v>4678</v>
      </c>
      <c r="G2674" s="103" t="s">
        <v>4679</v>
      </c>
      <c r="H2674" s="103" t="s">
        <v>12750</v>
      </c>
      <c r="I2674" s="103">
        <v>7031333.0</v>
      </c>
      <c r="J2674" s="104" t="s">
        <v>12751</v>
      </c>
      <c r="K2674" s="107" t="s">
        <v>12752</v>
      </c>
      <c r="L2674" s="105"/>
    </row>
    <row r="2675">
      <c r="A2675" s="103" t="s">
        <v>4676</v>
      </c>
      <c r="B2675" s="103">
        <v>1.10012692001E11</v>
      </c>
      <c r="C2675" s="105"/>
      <c r="D2675" s="104" t="s">
        <v>12753</v>
      </c>
      <c r="E2675" s="104" t="s">
        <v>12754</v>
      </c>
      <c r="F2675" s="103" t="s">
        <v>4678</v>
      </c>
      <c r="G2675" s="103" t="s">
        <v>4679</v>
      </c>
      <c r="H2675" s="103" t="s">
        <v>12755</v>
      </c>
      <c r="I2675" s="103">
        <v>7031333.0</v>
      </c>
      <c r="J2675" s="104" t="s">
        <v>12751</v>
      </c>
      <c r="K2675" s="105"/>
      <c r="L2675" s="105"/>
    </row>
    <row r="2676">
      <c r="A2676" s="103" t="s">
        <v>4676</v>
      </c>
      <c r="B2676" s="103">
        <v>1.100127099E9</v>
      </c>
      <c r="C2676" s="105"/>
      <c r="D2676" s="104" t="s">
        <v>12756</v>
      </c>
      <c r="E2676" s="106"/>
      <c r="F2676" s="103" t="s">
        <v>4678</v>
      </c>
      <c r="G2676" s="103" t="s">
        <v>4679</v>
      </c>
      <c r="H2676" s="103" t="s">
        <v>12757</v>
      </c>
      <c r="I2676" s="103" t="s">
        <v>12758</v>
      </c>
      <c r="J2676" s="104" t="s">
        <v>12759</v>
      </c>
      <c r="K2676" s="107" t="s">
        <v>12760</v>
      </c>
      <c r="L2676" s="105"/>
    </row>
    <row r="2677">
      <c r="A2677" s="103" t="s">
        <v>4676</v>
      </c>
      <c r="B2677" s="103">
        <v>1.10012709901E11</v>
      </c>
      <c r="C2677" s="105"/>
      <c r="D2677" s="104" t="s">
        <v>12761</v>
      </c>
      <c r="E2677" s="104" t="s">
        <v>12762</v>
      </c>
      <c r="F2677" s="103" t="s">
        <v>4678</v>
      </c>
      <c r="G2677" s="103" t="s">
        <v>4679</v>
      </c>
      <c r="H2677" s="103" t="s">
        <v>12757</v>
      </c>
      <c r="I2677" s="103" t="s">
        <v>12763</v>
      </c>
      <c r="J2677" s="104" t="s">
        <v>12759</v>
      </c>
      <c r="K2677" s="105"/>
      <c r="L2677" s="105"/>
    </row>
    <row r="2678">
      <c r="A2678" s="103" t="s">
        <v>4676</v>
      </c>
      <c r="B2678" s="103">
        <v>1.100127266E9</v>
      </c>
      <c r="C2678" s="105"/>
      <c r="D2678" s="104" t="s">
        <v>12764</v>
      </c>
      <c r="E2678" s="106"/>
      <c r="F2678" s="103" t="s">
        <v>4678</v>
      </c>
      <c r="G2678" s="103" t="s">
        <v>4679</v>
      </c>
      <c r="H2678" s="103" t="s">
        <v>12765</v>
      </c>
      <c r="I2678" s="103">
        <v>3.105686562E9</v>
      </c>
      <c r="J2678" s="104" t="s">
        <v>12766</v>
      </c>
      <c r="K2678" s="107" t="s">
        <v>12767</v>
      </c>
      <c r="L2678" s="105"/>
    </row>
    <row r="2679">
      <c r="A2679" s="103" t="s">
        <v>4676</v>
      </c>
      <c r="B2679" s="103">
        <v>1.10012726601E11</v>
      </c>
      <c r="C2679" s="105"/>
      <c r="D2679" s="104" t="s">
        <v>12764</v>
      </c>
      <c r="E2679" s="104" t="s">
        <v>12768</v>
      </c>
      <c r="F2679" s="103" t="s">
        <v>4678</v>
      </c>
      <c r="G2679" s="103" t="s">
        <v>4679</v>
      </c>
      <c r="H2679" s="103" t="s">
        <v>12769</v>
      </c>
      <c r="I2679" s="103">
        <v>3.105686562E9</v>
      </c>
      <c r="J2679" s="104" t="s">
        <v>12766</v>
      </c>
      <c r="K2679" s="105"/>
      <c r="L2679" s="105"/>
    </row>
    <row r="2680">
      <c r="A2680" s="103" t="s">
        <v>4676</v>
      </c>
      <c r="B2680" s="103">
        <v>1.100127317E9</v>
      </c>
      <c r="C2680" s="105"/>
      <c r="D2680" s="104" t="s">
        <v>12770</v>
      </c>
      <c r="E2680" s="106"/>
      <c r="F2680" s="103" t="s">
        <v>4678</v>
      </c>
      <c r="G2680" s="103" t="s">
        <v>4679</v>
      </c>
      <c r="H2680" s="103" t="s">
        <v>12771</v>
      </c>
      <c r="I2680" s="103" t="s">
        <v>12772</v>
      </c>
      <c r="J2680" s="104" t="s">
        <v>12773</v>
      </c>
      <c r="K2680" s="105"/>
      <c r="L2680" s="105"/>
    </row>
    <row r="2681">
      <c r="A2681" s="103" t="s">
        <v>4676</v>
      </c>
      <c r="B2681" s="103">
        <v>1.10012731701E11</v>
      </c>
      <c r="C2681" s="105"/>
      <c r="D2681" s="104" t="s">
        <v>12774</v>
      </c>
      <c r="E2681" s="104" t="s">
        <v>12775</v>
      </c>
      <c r="F2681" s="103" t="s">
        <v>4678</v>
      </c>
      <c r="G2681" s="103" t="s">
        <v>4679</v>
      </c>
      <c r="H2681" s="103" t="s">
        <v>12776</v>
      </c>
      <c r="I2681" s="103" t="s">
        <v>12777</v>
      </c>
      <c r="J2681" s="104" t="s">
        <v>12778</v>
      </c>
      <c r="K2681" s="105"/>
      <c r="L2681" s="105"/>
    </row>
    <row r="2682">
      <c r="A2682" s="103" t="s">
        <v>4676</v>
      </c>
      <c r="B2682" s="103">
        <v>1.100127322E9</v>
      </c>
      <c r="C2682" s="105"/>
      <c r="D2682" s="104" t="s">
        <v>12779</v>
      </c>
      <c r="E2682" s="106"/>
      <c r="F2682" s="103" t="s">
        <v>4678</v>
      </c>
      <c r="G2682" s="103" t="s">
        <v>4679</v>
      </c>
      <c r="H2682" s="103" t="s">
        <v>12780</v>
      </c>
      <c r="I2682" s="103" t="s">
        <v>12781</v>
      </c>
      <c r="J2682" s="104" t="s">
        <v>12782</v>
      </c>
      <c r="K2682" s="105"/>
      <c r="L2682" s="105"/>
    </row>
    <row r="2683">
      <c r="A2683" s="103" t="s">
        <v>4676</v>
      </c>
      <c r="B2683" s="103">
        <v>1.10012732201E11</v>
      </c>
      <c r="C2683" s="105"/>
      <c r="D2683" s="104" t="s">
        <v>12779</v>
      </c>
      <c r="E2683" s="104" t="s">
        <v>12783</v>
      </c>
      <c r="F2683" s="103" t="s">
        <v>4678</v>
      </c>
      <c r="G2683" s="103" t="s">
        <v>4679</v>
      </c>
      <c r="H2683" s="103" t="s">
        <v>12784</v>
      </c>
      <c r="I2683" s="103" t="s">
        <v>12781</v>
      </c>
      <c r="J2683" s="104" t="s">
        <v>12782</v>
      </c>
      <c r="K2683" s="105"/>
      <c r="L2683" s="105"/>
    </row>
    <row r="2684">
      <c r="A2684" s="103" t="s">
        <v>4676</v>
      </c>
      <c r="B2684" s="103">
        <v>1.100127344E9</v>
      </c>
      <c r="C2684" s="105"/>
      <c r="D2684" s="104" t="s">
        <v>12785</v>
      </c>
      <c r="E2684" s="106"/>
      <c r="F2684" s="103" t="s">
        <v>4678</v>
      </c>
      <c r="G2684" s="103" t="s">
        <v>4679</v>
      </c>
      <c r="H2684" s="103" t="s">
        <v>12786</v>
      </c>
      <c r="I2684" s="103" t="s">
        <v>12787</v>
      </c>
      <c r="J2684" s="104" t="s">
        <v>12788</v>
      </c>
      <c r="K2684" s="107" t="s">
        <v>12789</v>
      </c>
      <c r="L2684" s="105"/>
    </row>
    <row r="2685">
      <c r="A2685" s="103" t="s">
        <v>4676</v>
      </c>
      <c r="B2685" s="103">
        <v>1.10012734402E11</v>
      </c>
      <c r="C2685" s="105"/>
      <c r="D2685" s="104" t="s">
        <v>12790</v>
      </c>
      <c r="E2685" s="104" t="s">
        <v>12791</v>
      </c>
      <c r="F2685" s="103" t="s">
        <v>4678</v>
      </c>
      <c r="G2685" s="103" t="s">
        <v>4679</v>
      </c>
      <c r="H2685" s="103" t="s">
        <v>12792</v>
      </c>
      <c r="I2685" s="103" t="s">
        <v>12793</v>
      </c>
      <c r="J2685" s="104" t="s">
        <v>12794</v>
      </c>
      <c r="K2685" s="105"/>
      <c r="L2685" s="105"/>
    </row>
    <row r="2686">
      <c r="A2686" s="103" t="s">
        <v>4676</v>
      </c>
      <c r="B2686" s="103">
        <v>1.10012734403E11</v>
      </c>
      <c r="C2686" s="105"/>
      <c r="D2686" s="104" t="s">
        <v>12790</v>
      </c>
      <c r="E2686" s="104" t="s">
        <v>12791</v>
      </c>
      <c r="F2686" s="103" t="s">
        <v>4678</v>
      </c>
      <c r="G2686" s="103" t="s">
        <v>4679</v>
      </c>
      <c r="H2686" s="103" t="s">
        <v>12795</v>
      </c>
      <c r="I2686" s="103" t="s">
        <v>12796</v>
      </c>
      <c r="J2686" s="104" t="s">
        <v>12797</v>
      </c>
      <c r="K2686" s="105"/>
      <c r="L2686" s="105"/>
    </row>
    <row r="2687">
      <c r="A2687" s="103" t="s">
        <v>4676</v>
      </c>
      <c r="B2687" s="103">
        <v>1.100127346E9</v>
      </c>
      <c r="C2687" s="105"/>
      <c r="D2687" s="104" t="s">
        <v>12798</v>
      </c>
      <c r="E2687" s="106"/>
      <c r="F2687" s="103" t="s">
        <v>4678</v>
      </c>
      <c r="G2687" s="103" t="s">
        <v>4679</v>
      </c>
      <c r="H2687" s="103" t="s">
        <v>12799</v>
      </c>
      <c r="I2687" s="103">
        <v>3.155125187E9</v>
      </c>
      <c r="J2687" s="104" t="s">
        <v>12800</v>
      </c>
      <c r="K2687" s="107" t="s">
        <v>12801</v>
      </c>
      <c r="L2687" s="105"/>
    </row>
    <row r="2688">
      <c r="A2688" s="103" t="s">
        <v>4676</v>
      </c>
      <c r="B2688" s="103">
        <v>1.10012734601E11</v>
      </c>
      <c r="C2688" s="105"/>
      <c r="D2688" s="104" t="s">
        <v>12802</v>
      </c>
      <c r="E2688" s="104" t="s">
        <v>12803</v>
      </c>
      <c r="F2688" s="103" t="s">
        <v>4678</v>
      </c>
      <c r="G2688" s="103" t="s">
        <v>4679</v>
      </c>
      <c r="H2688" s="103" t="s">
        <v>12804</v>
      </c>
      <c r="I2688" s="103">
        <v>3.155125187E9</v>
      </c>
      <c r="J2688" s="104" t="s">
        <v>12800</v>
      </c>
      <c r="K2688" s="105"/>
      <c r="L2688" s="105"/>
    </row>
    <row r="2689">
      <c r="A2689" s="103" t="s">
        <v>4676</v>
      </c>
      <c r="B2689" s="103">
        <v>1.10012734602E11</v>
      </c>
      <c r="C2689" s="105"/>
      <c r="D2689" s="104" t="s">
        <v>12805</v>
      </c>
      <c r="E2689" s="104" t="s">
        <v>12806</v>
      </c>
      <c r="F2689" s="103" t="s">
        <v>4678</v>
      </c>
      <c r="G2689" s="103" t="s">
        <v>4679</v>
      </c>
      <c r="H2689" s="103" t="s">
        <v>12807</v>
      </c>
      <c r="I2689" s="103">
        <v>3.155125187E9</v>
      </c>
      <c r="J2689" s="104" t="s">
        <v>12808</v>
      </c>
      <c r="K2689" s="105"/>
      <c r="L2689" s="105"/>
    </row>
    <row r="2690">
      <c r="A2690" s="103" t="s">
        <v>4676</v>
      </c>
      <c r="B2690" s="103">
        <v>1.10012734604E11</v>
      </c>
      <c r="C2690" s="105"/>
      <c r="D2690" s="104" t="s">
        <v>12809</v>
      </c>
      <c r="E2690" s="104" t="s">
        <v>12806</v>
      </c>
      <c r="F2690" s="103" t="s">
        <v>4678</v>
      </c>
      <c r="G2690" s="103" t="s">
        <v>4679</v>
      </c>
      <c r="H2690" s="103" t="s">
        <v>12810</v>
      </c>
      <c r="I2690" s="103" t="s">
        <v>12811</v>
      </c>
      <c r="J2690" s="104" t="s">
        <v>12812</v>
      </c>
      <c r="K2690" s="105"/>
      <c r="L2690" s="105"/>
    </row>
    <row r="2691">
      <c r="A2691" s="103" t="s">
        <v>4676</v>
      </c>
      <c r="B2691" s="103">
        <v>1.100127364E9</v>
      </c>
      <c r="C2691" s="105"/>
      <c r="D2691" s="104" t="s">
        <v>12813</v>
      </c>
      <c r="E2691" s="106"/>
      <c r="F2691" s="103" t="s">
        <v>4678</v>
      </c>
      <c r="G2691" s="103" t="s">
        <v>4679</v>
      </c>
      <c r="H2691" s="103" t="s">
        <v>12814</v>
      </c>
      <c r="I2691" s="103">
        <v>5614385.0</v>
      </c>
      <c r="J2691" s="104" t="s">
        <v>12815</v>
      </c>
      <c r="K2691" s="107" t="s">
        <v>12816</v>
      </c>
      <c r="L2691" s="105"/>
    </row>
    <row r="2692">
      <c r="A2692" s="103" t="s">
        <v>4676</v>
      </c>
      <c r="B2692" s="103">
        <v>1.10012736401E11</v>
      </c>
      <c r="C2692" s="105"/>
      <c r="D2692" s="104" t="s">
        <v>12817</v>
      </c>
      <c r="E2692" s="104" t="s">
        <v>12818</v>
      </c>
      <c r="F2692" s="103" t="s">
        <v>4678</v>
      </c>
      <c r="G2692" s="103" t="s">
        <v>4679</v>
      </c>
      <c r="H2692" s="103" t="s">
        <v>12819</v>
      </c>
      <c r="I2692" s="103">
        <v>5614385.0</v>
      </c>
      <c r="J2692" s="104" t="s">
        <v>12815</v>
      </c>
      <c r="K2692" s="105"/>
      <c r="L2692" s="105"/>
    </row>
    <row r="2693">
      <c r="A2693" s="103" t="s">
        <v>4676</v>
      </c>
      <c r="B2693" s="103">
        <v>1.100127418E9</v>
      </c>
      <c r="C2693" s="105"/>
      <c r="D2693" s="104" t="s">
        <v>12820</v>
      </c>
      <c r="E2693" s="106"/>
      <c r="F2693" s="103" t="s">
        <v>4678</v>
      </c>
      <c r="G2693" s="103" t="s">
        <v>4679</v>
      </c>
      <c r="H2693" s="103" t="s">
        <v>12821</v>
      </c>
      <c r="I2693" s="103" t="s">
        <v>12822</v>
      </c>
      <c r="J2693" s="104" t="s">
        <v>12823</v>
      </c>
      <c r="K2693" s="105"/>
      <c r="L2693" s="105"/>
    </row>
    <row r="2694">
      <c r="A2694" s="103" t="s">
        <v>4676</v>
      </c>
      <c r="B2694" s="103">
        <v>1.10012741801E11</v>
      </c>
      <c r="C2694" s="105"/>
      <c r="D2694" s="104" t="s">
        <v>12820</v>
      </c>
      <c r="E2694" s="104" t="s">
        <v>12824</v>
      </c>
      <c r="F2694" s="103" t="s">
        <v>4678</v>
      </c>
      <c r="G2694" s="103" t="s">
        <v>4679</v>
      </c>
      <c r="H2694" s="103" t="s">
        <v>12821</v>
      </c>
      <c r="I2694" s="103" t="s">
        <v>12822</v>
      </c>
      <c r="J2694" s="104" t="s">
        <v>12823</v>
      </c>
      <c r="K2694" s="105"/>
      <c r="L2694" s="105"/>
    </row>
    <row r="2695">
      <c r="A2695" s="103" t="s">
        <v>4676</v>
      </c>
      <c r="B2695" s="103">
        <v>1.100127426E9</v>
      </c>
      <c r="C2695" s="105"/>
      <c r="D2695" s="104" t="s">
        <v>12825</v>
      </c>
      <c r="E2695" s="106"/>
      <c r="F2695" s="103" t="s">
        <v>4678</v>
      </c>
      <c r="G2695" s="103" t="s">
        <v>4679</v>
      </c>
      <c r="H2695" s="103" t="s">
        <v>12826</v>
      </c>
      <c r="I2695" s="103">
        <v>3.125979067E9</v>
      </c>
      <c r="J2695" s="104" t="s">
        <v>12827</v>
      </c>
      <c r="K2695" s="107" t="s">
        <v>12828</v>
      </c>
      <c r="L2695" s="105"/>
    </row>
    <row r="2696">
      <c r="A2696" s="103" t="s">
        <v>4676</v>
      </c>
      <c r="B2696" s="103">
        <v>1.10012742603E11</v>
      </c>
      <c r="C2696" s="105"/>
      <c r="D2696" s="104" t="s">
        <v>12825</v>
      </c>
      <c r="E2696" s="104" t="s">
        <v>12829</v>
      </c>
      <c r="F2696" s="103" t="s">
        <v>4678</v>
      </c>
      <c r="G2696" s="103" t="s">
        <v>4679</v>
      </c>
      <c r="H2696" s="103" t="s">
        <v>12830</v>
      </c>
      <c r="I2696" s="103">
        <v>3.143906508E9</v>
      </c>
      <c r="J2696" s="104" t="s">
        <v>12827</v>
      </c>
      <c r="K2696" s="105"/>
      <c r="L2696" s="105"/>
    </row>
    <row r="2697">
      <c r="A2697" s="103" t="s">
        <v>4676</v>
      </c>
      <c r="B2697" s="103">
        <v>1.10012742604E11</v>
      </c>
      <c r="C2697" s="105"/>
      <c r="D2697" s="104" t="s">
        <v>12825</v>
      </c>
      <c r="E2697" s="104" t="s">
        <v>12829</v>
      </c>
      <c r="F2697" s="103" t="s">
        <v>4678</v>
      </c>
      <c r="G2697" s="103" t="s">
        <v>4679</v>
      </c>
      <c r="H2697" s="103" t="s">
        <v>12831</v>
      </c>
      <c r="I2697" s="103">
        <v>3.125979067E9</v>
      </c>
      <c r="J2697" s="104" t="s">
        <v>12827</v>
      </c>
      <c r="K2697" s="105"/>
      <c r="L2697" s="105"/>
    </row>
    <row r="2698">
      <c r="A2698" s="103" t="s">
        <v>4676</v>
      </c>
      <c r="B2698" s="103">
        <v>1.100127466E9</v>
      </c>
      <c r="C2698" s="105"/>
      <c r="D2698" s="104" t="s">
        <v>12832</v>
      </c>
      <c r="E2698" s="106"/>
      <c r="F2698" s="103" t="s">
        <v>4678</v>
      </c>
      <c r="G2698" s="103" t="s">
        <v>4679</v>
      </c>
      <c r="H2698" s="103" t="s">
        <v>12833</v>
      </c>
      <c r="I2698" s="103">
        <v>6263712.0</v>
      </c>
      <c r="J2698" s="104" t="s">
        <v>12834</v>
      </c>
      <c r="K2698" s="105"/>
      <c r="L2698" s="105"/>
    </row>
    <row r="2699">
      <c r="A2699" s="103" t="s">
        <v>4676</v>
      </c>
      <c r="B2699" s="103">
        <v>1.10012746601E11</v>
      </c>
      <c r="C2699" s="105"/>
      <c r="D2699" s="104" t="s">
        <v>12835</v>
      </c>
      <c r="E2699" s="104" t="s">
        <v>12836</v>
      </c>
      <c r="F2699" s="103" t="s">
        <v>4678</v>
      </c>
      <c r="G2699" s="103" t="s">
        <v>4679</v>
      </c>
      <c r="H2699" s="103" t="s">
        <v>12833</v>
      </c>
      <c r="I2699" s="103">
        <v>6263712.0</v>
      </c>
      <c r="J2699" s="104" t="s">
        <v>12834</v>
      </c>
      <c r="K2699" s="105"/>
      <c r="L2699" s="105"/>
    </row>
    <row r="2700">
      <c r="A2700" s="103" t="s">
        <v>4676</v>
      </c>
      <c r="B2700" s="103">
        <v>1.10012748E9</v>
      </c>
      <c r="C2700" s="105"/>
      <c r="D2700" s="104" t="s">
        <v>12837</v>
      </c>
      <c r="E2700" s="106"/>
      <c r="F2700" s="103" t="s">
        <v>4678</v>
      </c>
      <c r="G2700" s="103" t="s">
        <v>4679</v>
      </c>
      <c r="H2700" s="103" t="s">
        <v>12838</v>
      </c>
      <c r="I2700" s="103" t="s">
        <v>12839</v>
      </c>
      <c r="J2700" s="104" t="s">
        <v>12840</v>
      </c>
      <c r="K2700" s="105"/>
      <c r="L2700" s="105"/>
    </row>
    <row r="2701">
      <c r="A2701" s="103" t="s">
        <v>4676</v>
      </c>
      <c r="B2701" s="103">
        <v>1.10012748001E11</v>
      </c>
      <c r="C2701" s="105"/>
      <c r="D2701" s="104" t="s">
        <v>12841</v>
      </c>
      <c r="E2701" s="104" t="s">
        <v>12842</v>
      </c>
      <c r="F2701" s="103" t="s">
        <v>4678</v>
      </c>
      <c r="G2701" s="103" t="s">
        <v>4679</v>
      </c>
      <c r="H2701" s="103" t="s">
        <v>12838</v>
      </c>
      <c r="I2701" s="103" t="s">
        <v>12843</v>
      </c>
      <c r="J2701" s="104" t="s">
        <v>12840</v>
      </c>
      <c r="K2701" s="105"/>
      <c r="L2701" s="105"/>
    </row>
    <row r="2702">
      <c r="A2702" s="103" t="s">
        <v>4676</v>
      </c>
      <c r="B2702" s="103">
        <v>1.100127497E9</v>
      </c>
      <c r="C2702" s="105"/>
      <c r="D2702" s="104" t="s">
        <v>12844</v>
      </c>
      <c r="E2702" s="106"/>
      <c r="F2702" s="103" t="s">
        <v>4678</v>
      </c>
      <c r="G2702" s="103" t="s">
        <v>4679</v>
      </c>
      <c r="H2702" s="103" t="s">
        <v>12845</v>
      </c>
      <c r="I2702" s="103" t="s">
        <v>12846</v>
      </c>
      <c r="J2702" s="104" t="s">
        <v>12847</v>
      </c>
      <c r="K2702" s="105"/>
      <c r="L2702" s="105"/>
    </row>
    <row r="2703">
      <c r="A2703" s="103" t="s">
        <v>4676</v>
      </c>
      <c r="B2703" s="103">
        <v>1.10012749701E11</v>
      </c>
      <c r="C2703" s="105"/>
      <c r="D2703" s="104" t="s">
        <v>12844</v>
      </c>
      <c r="E2703" s="104" t="s">
        <v>12848</v>
      </c>
      <c r="F2703" s="103" t="s">
        <v>4678</v>
      </c>
      <c r="G2703" s="103" t="s">
        <v>4679</v>
      </c>
      <c r="H2703" s="103" t="s">
        <v>12849</v>
      </c>
      <c r="I2703" s="103" t="s">
        <v>12850</v>
      </c>
      <c r="J2703" s="104" t="s">
        <v>12847</v>
      </c>
      <c r="K2703" s="105"/>
      <c r="L2703" s="105"/>
    </row>
    <row r="2704">
      <c r="A2704" s="103" t="s">
        <v>4676</v>
      </c>
      <c r="B2704" s="103">
        <v>1.10012751E9</v>
      </c>
      <c r="C2704" s="105"/>
      <c r="D2704" s="104" t="s">
        <v>12851</v>
      </c>
      <c r="E2704" s="106"/>
      <c r="F2704" s="103" t="s">
        <v>4678</v>
      </c>
      <c r="G2704" s="103" t="s">
        <v>4679</v>
      </c>
      <c r="H2704" s="103" t="s">
        <v>12852</v>
      </c>
      <c r="I2704" s="103" t="s">
        <v>12853</v>
      </c>
      <c r="J2704" s="104" t="s">
        <v>12854</v>
      </c>
      <c r="K2704" s="107" t="s">
        <v>12855</v>
      </c>
      <c r="L2704" s="105"/>
    </row>
    <row r="2705">
      <c r="A2705" s="103" t="s">
        <v>4676</v>
      </c>
      <c r="B2705" s="103">
        <v>1.10012751001E11</v>
      </c>
      <c r="C2705" s="105"/>
      <c r="D2705" s="104" t="s">
        <v>12851</v>
      </c>
      <c r="E2705" s="104" t="s">
        <v>12856</v>
      </c>
      <c r="F2705" s="103" t="s">
        <v>4678</v>
      </c>
      <c r="G2705" s="103" t="s">
        <v>4679</v>
      </c>
      <c r="H2705" s="103" t="s">
        <v>12857</v>
      </c>
      <c r="I2705" s="103" t="s">
        <v>12853</v>
      </c>
      <c r="J2705" s="104" t="s">
        <v>12854</v>
      </c>
      <c r="K2705" s="105"/>
      <c r="L2705" s="105"/>
    </row>
    <row r="2706">
      <c r="A2706" s="103" t="s">
        <v>4676</v>
      </c>
      <c r="B2706" s="103">
        <v>1.100127511E9</v>
      </c>
      <c r="C2706" s="105"/>
      <c r="D2706" s="104" t="s">
        <v>12858</v>
      </c>
      <c r="E2706" s="106"/>
      <c r="F2706" s="103" t="s">
        <v>4678</v>
      </c>
      <c r="G2706" s="103" t="s">
        <v>4679</v>
      </c>
      <c r="H2706" s="103" t="s">
        <v>12859</v>
      </c>
      <c r="I2706" s="103">
        <v>6333320.0</v>
      </c>
      <c r="J2706" s="104" t="s">
        <v>12860</v>
      </c>
      <c r="K2706" s="105"/>
      <c r="L2706" s="105"/>
    </row>
    <row r="2707">
      <c r="A2707" s="103" t="s">
        <v>4676</v>
      </c>
      <c r="B2707" s="103">
        <v>1.10012751101E11</v>
      </c>
      <c r="C2707" s="105"/>
      <c r="D2707" s="104" t="s">
        <v>12858</v>
      </c>
      <c r="E2707" s="104" t="s">
        <v>12861</v>
      </c>
      <c r="F2707" s="103" t="s">
        <v>4678</v>
      </c>
      <c r="G2707" s="103" t="s">
        <v>4679</v>
      </c>
      <c r="H2707" s="103" t="s">
        <v>12859</v>
      </c>
      <c r="I2707" s="103">
        <v>6333320.0</v>
      </c>
      <c r="J2707" s="104" t="s">
        <v>12860</v>
      </c>
      <c r="K2707" s="105"/>
      <c r="L2707" s="105"/>
    </row>
    <row r="2708">
      <c r="A2708" s="103" t="s">
        <v>4676</v>
      </c>
      <c r="B2708" s="103">
        <v>1.100127523E9</v>
      </c>
      <c r="C2708" s="105"/>
      <c r="D2708" s="104" t="s">
        <v>12862</v>
      </c>
      <c r="E2708" s="106"/>
      <c r="F2708" s="103" t="s">
        <v>4678</v>
      </c>
      <c r="G2708" s="103" t="s">
        <v>4679</v>
      </c>
      <c r="H2708" s="103" t="s">
        <v>12863</v>
      </c>
      <c r="I2708" s="103" t="s">
        <v>12864</v>
      </c>
      <c r="J2708" s="104" t="s">
        <v>12865</v>
      </c>
      <c r="K2708" s="107" t="s">
        <v>12866</v>
      </c>
      <c r="L2708" s="105"/>
    </row>
    <row r="2709">
      <c r="A2709" s="103" t="s">
        <v>4676</v>
      </c>
      <c r="B2709" s="103">
        <v>1.10012752301E11</v>
      </c>
      <c r="C2709" s="105"/>
      <c r="D2709" s="104" t="s">
        <v>12867</v>
      </c>
      <c r="E2709" s="104" t="s">
        <v>12868</v>
      </c>
      <c r="F2709" s="103" t="s">
        <v>4678</v>
      </c>
      <c r="G2709" s="103" t="s">
        <v>4679</v>
      </c>
      <c r="H2709" s="103" t="s">
        <v>12869</v>
      </c>
      <c r="I2709" s="103" t="s">
        <v>12870</v>
      </c>
      <c r="J2709" s="104" t="s">
        <v>12871</v>
      </c>
      <c r="K2709" s="105"/>
      <c r="L2709" s="105"/>
    </row>
    <row r="2710">
      <c r="A2710" s="103" t="s">
        <v>4676</v>
      </c>
      <c r="B2710" s="103">
        <v>1.100127547E9</v>
      </c>
      <c r="C2710" s="105"/>
      <c r="D2710" s="104" t="s">
        <v>12872</v>
      </c>
      <c r="E2710" s="106"/>
      <c r="F2710" s="103" t="s">
        <v>4678</v>
      </c>
      <c r="G2710" s="103" t="s">
        <v>4679</v>
      </c>
      <c r="H2710" s="103" t="s">
        <v>12873</v>
      </c>
      <c r="I2710" s="103">
        <v>3.124344215E9</v>
      </c>
      <c r="J2710" s="104" t="s">
        <v>12874</v>
      </c>
      <c r="K2710" s="107" t="s">
        <v>12875</v>
      </c>
      <c r="L2710" s="105"/>
    </row>
    <row r="2711">
      <c r="A2711" s="103" t="s">
        <v>4676</v>
      </c>
      <c r="B2711" s="103">
        <v>1.10012754701E11</v>
      </c>
      <c r="C2711" s="105"/>
      <c r="D2711" s="104" t="s">
        <v>12872</v>
      </c>
      <c r="E2711" s="104" t="s">
        <v>12876</v>
      </c>
      <c r="F2711" s="103" t="s">
        <v>4678</v>
      </c>
      <c r="G2711" s="103" t="s">
        <v>4679</v>
      </c>
      <c r="H2711" s="103" t="s">
        <v>12873</v>
      </c>
      <c r="I2711" s="103">
        <v>3.124344215E9</v>
      </c>
      <c r="J2711" s="104" t="s">
        <v>12874</v>
      </c>
      <c r="K2711" s="105"/>
      <c r="L2711" s="105"/>
    </row>
    <row r="2712">
      <c r="A2712" s="103" t="s">
        <v>4676</v>
      </c>
      <c r="B2712" s="103">
        <v>1.100127569E9</v>
      </c>
      <c r="C2712" s="105"/>
      <c r="D2712" s="104" t="s">
        <v>12877</v>
      </c>
      <c r="E2712" s="106"/>
      <c r="F2712" s="103" t="s">
        <v>4678</v>
      </c>
      <c r="G2712" s="103" t="s">
        <v>4679</v>
      </c>
      <c r="H2712" s="103" t="s">
        <v>12878</v>
      </c>
      <c r="I2712" s="103" t="s">
        <v>12879</v>
      </c>
      <c r="J2712" s="104" t="s">
        <v>12880</v>
      </c>
      <c r="K2712" s="105"/>
      <c r="L2712" s="105"/>
    </row>
    <row r="2713">
      <c r="A2713" s="103" t="s">
        <v>4676</v>
      </c>
      <c r="B2713" s="103">
        <v>1.10012756901E11</v>
      </c>
      <c r="C2713" s="105"/>
      <c r="D2713" s="104" t="s">
        <v>12877</v>
      </c>
      <c r="E2713" s="104" t="s">
        <v>12881</v>
      </c>
      <c r="F2713" s="103" t="s">
        <v>4678</v>
      </c>
      <c r="G2713" s="103" t="s">
        <v>4679</v>
      </c>
      <c r="H2713" s="103" t="s">
        <v>12878</v>
      </c>
      <c r="I2713" s="103" t="s">
        <v>12882</v>
      </c>
      <c r="J2713" s="104" t="s">
        <v>12880</v>
      </c>
      <c r="K2713" s="105"/>
      <c r="L2713" s="105"/>
    </row>
    <row r="2714">
      <c r="A2714" s="103" t="s">
        <v>4676</v>
      </c>
      <c r="B2714" s="103">
        <v>1.10012758E9</v>
      </c>
      <c r="C2714" s="105"/>
      <c r="D2714" s="104" t="s">
        <v>12883</v>
      </c>
      <c r="E2714" s="106"/>
      <c r="F2714" s="103" t="s">
        <v>4678</v>
      </c>
      <c r="G2714" s="103" t="s">
        <v>4679</v>
      </c>
      <c r="H2714" s="103" t="s">
        <v>12884</v>
      </c>
      <c r="I2714" s="103" t="s">
        <v>12885</v>
      </c>
      <c r="J2714" s="104" t="s">
        <v>12886</v>
      </c>
      <c r="K2714" s="105"/>
      <c r="L2714" s="105"/>
    </row>
    <row r="2715">
      <c r="A2715" s="103" t="s">
        <v>4676</v>
      </c>
      <c r="B2715" s="103">
        <v>1.10012758001E11</v>
      </c>
      <c r="C2715" s="105"/>
      <c r="D2715" s="104" t="s">
        <v>12887</v>
      </c>
      <c r="E2715" s="104" t="s">
        <v>12888</v>
      </c>
      <c r="F2715" s="103" t="s">
        <v>4678</v>
      </c>
      <c r="G2715" s="103" t="s">
        <v>4679</v>
      </c>
      <c r="H2715" s="103" t="s">
        <v>12884</v>
      </c>
      <c r="I2715" s="103" t="s">
        <v>12885</v>
      </c>
      <c r="J2715" s="104" t="s">
        <v>12886</v>
      </c>
      <c r="K2715" s="105"/>
      <c r="L2715" s="105"/>
    </row>
    <row r="2716">
      <c r="A2716" s="103" t="s">
        <v>4676</v>
      </c>
      <c r="B2716" s="103">
        <v>1.1001276E9</v>
      </c>
      <c r="C2716" s="105"/>
      <c r="D2716" s="104" t="s">
        <v>12889</v>
      </c>
      <c r="E2716" s="106"/>
      <c r="F2716" s="103" t="s">
        <v>4678</v>
      </c>
      <c r="G2716" s="103" t="s">
        <v>4679</v>
      </c>
      <c r="H2716" s="103" t="s">
        <v>12890</v>
      </c>
      <c r="I2716" s="103" t="s">
        <v>12891</v>
      </c>
      <c r="J2716" s="104" t="s">
        <v>12892</v>
      </c>
      <c r="K2716" s="107" t="s">
        <v>12893</v>
      </c>
      <c r="L2716" s="105"/>
    </row>
    <row r="2717">
      <c r="A2717" s="103" t="s">
        <v>4676</v>
      </c>
      <c r="B2717" s="103">
        <v>1.10012760001E11</v>
      </c>
      <c r="C2717" s="105"/>
      <c r="D2717" s="104" t="s">
        <v>12889</v>
      </c>
      <c r="E2717" s="104" t="s">
        <v>12894</v>
      </c>
      <c r="F2717" s="103" t="s">
        <v>4678</v>
      </c>
      <c r="G2717" s="103" t="s">
        <v>4679</v>
      </c>
      <c r="H2717" s="103" t="s">
        <v>12890</v>
      </c>
      <c r="I2717" s="103" t="s">
        <v>12895</v>
      </c>
      <c r="J2717" s="104" t="s">
        <v>12892</v>
      </c>
      <c r="K2717" s="105"/>
      <c r="L2717" s="105"/>
    </row>
    <row r="2718">
      <c r="A2718" s="103" t="s">
        <v>4676</v>
      </c>
      <c r="B2718" s="103">
        <v>1.100127605E9</v>
      </c>
      <c r="C2718" s="105"/>
      <c r="D2718" s="104" t="s">
        <v>12896</v>
      </c>
      <c r="E2718" s="106"/>
      <c r="F2718" s="103" t="s">
        <v>4678</v>
      </c>
      <c r="G2718" s="103" t="s">
        <v>4679</v>
      </c>
      <c r="H2718" s="103" t="s">
        <v>12897</v>
      </c>
      <c r="I2718" s="103" t="s">
        <v>12898</v>
      </c>
      <c r="J2718" s="104" t="s">
        <v>12899</v>
      </c>
      <c r="K2718" s="105"/>
      <c r="L2718" s="105"/>
    </row>
    <row r="2719">
      <c r="A2719" s="103" t="s">
        <v>4676</v>
      </c>
      <c r="B2719" s="103">
        <v>1.10012760501E11</v>
      </c>
      <c r="C2719" s="105"/>
      <c r="D2719" s="104" t="s">
        <v>12900</v>
      </c>
      <c r="E2719" s="104" t="s">
        <v>12901</v>
      </c>
      <c r="F2719" s="103" t="s">
        <v>4678</v>
      </c>
      <c r="G2719" s="103" t="s">
        <v>4679</v>
      </c>
      <c r="H2719" s="103" t="s">
        <v>12902</v>
      </c>
      <c r="I2719" s="103" t="s">
        <v>12903</v>
      </c>
      <c r="J2719" s="104" t="s">
        <v>12899</v>
      </c>
      <c r="K2719" s="105"/>
      <c r="L2719" s="105"/>
    </row>
    <row r="2720">
      <c r="A2720" s="103" t="s">
        <v>4676</v>
      </c>
      <c r="B2720" s="103">
        <v>1.100127636E9</v>
      </c>
      <c r="C2720" s="105"/>
      <c r="D2720" s="104" t="s">
        <v>12904</v>
      </c>
      <c r="E2720" s="106"/>
      <c r="F2720" s="103" t="s">
        <v>4678</v>
      </c>
      <c r="G2720" s="103" t="s">
        <v>4679</v>
      </c>
      <c r="H2720" s="103" t="s">
        <v>12905</v>
      </c>
      <c r="I2720" s="103" t="s">
        <v>12906</v>
      </c>
      <c r="J2720" s="104" t="s">
        <v>12907</v>
      </c>
      <c r="K2720" s="105"/>
      <c r="L2720" s="105"/>
    </row>
    <row r="2721">
      <c r="A2721" s="103" t="s">
        <v>4676</v>
      </c>
      <c r="B2721" s="103">
        <v>1.10012763601E11</v>
      </c>
      <c r="C2721" s="105"/>
      <c r="D2721" s="104" t="s">
        <v>12904</v>
      </c>
      <c r="E2721" s="104" t="s">
        <v>12908</v>
      </c>
      <c r="F2721" s="103" t="s">
        <v>4678</v>
      </c>
      <c r="G2721" s="103" t="s">
        <v>4679</v>
      </c>
      <c r="H2721" s="103" t="s">
        <v>12905</v>
      </c>
      <c r="I2721" s="103" t="s">
        <v>12906</v>
      </c>
      <c r="J2721" s="104" t="s">
        <v>12907</v>
      </c>
      <c r="K2721" s="105"/>
      <c r="L2721" s="105"/>
    </row>
    <row r="2722">
      <c r="A2722" s="103" t="s">
        <v>4676</v>
      </c>
      <c r="B2722" s="103">
        <v>1.100127639E9</v>
      </c>
      <c r="C2722" s="105"/>
      <c r="D2722" s="104" t="s">
        <v>12909</v>
      </c>
      <c r="E2722" s="106"/>
      <c r="F2722" s="103" t="s">
        <v>4678</v>
      </c>
      <c r="G2722" s="103" t="s">
        <v>4679</v>
      </c>
      <c r="H2722" s="103" t="s">
        <v>12910</v>
      </c>
      <c r="I2722" s="103" t="s">
        <v>12911</v>
      </c>
      <c r="J2722" s="104" t="s">
        <v>12912</v>
      </c>
      <c r="K2722" s="107" t="s">
        <v>12913</v>
      </c>
      <c r="L2722" s="105"/>
    </row>
    <row r="2723">
      <c r="A2723" s="103" t="s">
        <v>4676</v>
      </c>
      <c r="B2723" s="103">
        <v>1.10012763901E11</v>
      </c>
      <c r="C2723" s="105"/>
      <c r="D2723" s="104" t="s">
        <v>12914</v>
      </c>
      <c r="E2723" s="104" t="s">
        <v>12915</v>
      </c>
      <c r="F2723" s="103" t="s">
        <v>4678</v>
      </c>
      <c r="G2723" s="103" t="s">
        <v>4679</v>
      </c>
      <c r="H2723" s="103" t="s">
        <v>12916</v>
      </c>
      <c r="I2723" s="103" t="s">
        <v>12917</v>
      </c>
      <c r="J2723" s="104" t="s">
        <v>12912</v>
      </c>
      <c r="K2723" s="105"/>
      <c r="L2723" s="105"/>
    </row>
    <row r="2724">
      <c r="A2724" s="103" t="s">
        <v>4676</v>
      </c>
      <c r="B2724" s="103">
        <v>1.100127709E9</v>
      </c>
      <c r="C2724" s="105"/>
      <c r="D2724" s="104" t="s">
        <v>12918</v>
      </c>
      <c r="E2724" s="106"/>
      <c r="F2724" s="103" t="s">
        <v>4678</v>
      </c>
      <c r="G2724" s="103" t="s">
        <v>4679</v>
      </c>
      <c r="H2724" s="103" t="s">
        <v>12919</v>
      </c>
      <c r="I2724" s="103">
        <v>7456556.0</v>
      </c>
      <c r="J2724" s="104" t="s">
        <v>12920</v>
      </c>
      <c r="K2724" s="105"/>
      <c r="L2724" s="105"/>
    </row>
    <row r="2725">
      <c r="A2725" s="103" t="s">
        <v>4676</v>
      </c>
      <c r="B2725" s="103">
        <v>1.10012770901E11</v>
      </c>
      <c r="C2725" s="105"/>
      <c r="D2725" s="104" t="s">
        <v>12918</v>
      </c>
      <c r="E2725" s="104" t="s">
        <v>12921</v>
      </c>
      <c r="F2725" s="103" t="s">
        <v>4678</v>
      </c>
      <c r="G2725" s="103" t="s">
        <v>4679</v>
      </c>
      <c r="H2725" s="103" t="s">
        <v>12919</v>
      </c>
      <c r="I2725" s="103">
        <v>7456556.0</v>
      </c>
      <c r="J2725" s="104" t="s">
        <v>12920</v>
      </c>
      <c r="K2725" s="105"/>
      <c r="L2725" s="105"/>
    </row>
    <row r="2726">
      <c r="A2726" s="103" t="s">
        <v>4676</v>
      </c>
      <c r="B2726" s="103">
        <v>1.100127905E9</v>
      </c>
      <c r="C2726" s="105"/>
      <c r="D2726" s="104" t="s">
        <v>12922</v>
      </c>
      <c r="E2726" s="106"/>
      <c r="F2726" s="103" t="s">
        <v>4678</v>
      </c>
      <c r="G2726" s="103" t="s">
        <v>4679</v>
      </c>
      <c r="H2726" s="103" t="s">
        <v>12923</v>
      </c>
      <c r="I2726" s="103">
        <v>3.156033463E9</v>
      </c>
      <c r="J2726" s="104" t="s">
        <v>12924</v>
      </c>
      <c r="K2726" s="107" t="s">
        <v>12925</v>
      </c>
      <c r="L2726" s="105"/>
    </row>
    <row r="2727">
      <c r="A2727" s="103" t="s">
        <v>4676</v>
      </c>
      <c r="B2727" s="103">
        <v>1.10012790502E11</v>
      </c>
      <c r="C2727" s="105"/>
      <c r="D2727" s="104" t="s">
        <v>12926</v>
      </c>
      <c r="E2727" s="104" t="s">
        <v>12927</v>
      </c>
      <c r="F2727" s="103" t="s">
        <v>4678</v>
      </c>
      <c r="G2727" s="103" t="s">
        <v>4679</v>
      </c>
      <c r="H2727" s="103" t="s">
        <v>12928</v>
      </c>
      <c r="I2727" s="103">
        <v>3.156033463E9</v>
      </c>
      <c r="J2727" s="104" t="s">
        <v>12924</v>
      </c>
      <c r="K2727" s="105"/>
      <c r="L2727" s="105"/>
    </row>
    <row r="2728">
      <c r="A2728" s="103" t="s">
        <v>4676</v>
      </c>
      <c r="B2728" s="103">
        <v>1.10012790503E11</v>
      </c>
      <c r="C2728" s="105"/>
      <c r="D2728" s="104" t="s">
        <v>12929</v>
      </c>
      <c r="E2728" s="104" t="s">
        <v>12927</v>
      </c>
      <c r="F2728" s="103" t="s">
        <v>4678</v>
      </c>
      <c r="G2728" s="103" t="s">
        <v>4679</v>
      </c>
      <c r="H2728" s="103" t="s">
        <v>12930</v>
      </c>
      <c r="I2728" s="103">
        <v>3.156033463E9</v>
      </c>
      <c r="J2728" s="104" t="s">
        <v>12924</v>
      </c>
      <c r="K2728" s="105"/>
      <c r="L2728" s="105"/>
    </row>
    <row r="2729">
      <c r="A2729" s="103" t="s">
        <v>4676</v>
      </c>
      <c r="B2729" s="103">
        <v>1.10012790504E11</v>
      </c>
      <c r="C2729" s="105"/>
      <c r="D2729" s="104" t="s">
        <v>12931</v>
      </c>
      <c r="E2729" s="104" t="s">
        <v>12932</v>
      </c>
      <c r="F2729" s="103" t="s">
        <v>4678</v>
      </c>
      <c r="G2729" s="103" t="s">
        <v>4679</v>
      </c>
      <c r="H2729" s="103" t="s">
        <v>12933</v>
      </c>
      <c r="I2729" s="103">
        <v>3.156033463E9</v>
      </c>
      <c r="J2729" s="104" t="s">
        <v>12924</v>
      </c>
      <c r="K2729" s="105"/>
      <c r="L2729" s="105"/>
    </row>
    <row r="2730">
      <c r="A2730" s="103" t="s">
        <v>4676</v>
      </c>
      <c r="B2730" s="103">
        <v>1.10012790505E11</v>
      </c>
      <c r="C2730" s="105"/>
      <c r="D2730" s="104" t="s">
        <v>12934</v>
      </c>
      <c r="E2730" s="104" t="s">
        <v>12927</v>
      </c>
      <c r="F2730" s="103" t="s">
        <v>4678</v>
      </c>
      <c r="G2730" s="103" t="s">
        <v>4679</v>
      </c>
      <c r="H2730" s="103" t="s">
        <v>12935</v>
      </c>
      <c r="I2730" s="103">
        <v>3.156033463E9</v>
      </c>
      <c r="J2730" s="104" t="s">
        <v>12924</v>
      </c>
      <c r="K2730" s="105"/>
      <c r="L2730" s="105"/>
    </row>
    <row r="2731">
      <c r="A2731" s="103" t="s">
        <v>4676</v>
      </c>
      <c r="B2731" s="103">
        <v>1.10012790506E11</v>
      </c>
      <c r="C2731" s="105"/>
      <c r="D2731" s="104" t="s">
        <v>12936</v>
      </c>
      <c r="E2731" s="104" t="s">
        <v>12932</v>
      </c>
      <c r="F2731" s="103" t="s">
        <v>4678</v>
      </c>
      <c r="G2731" s="103" t="s">
        <v>4679</v>
      </c>
      <c r="H2731" s="103" t="s">
        <v>12937</v>
      </c>
      <c r="I2731" s="103">
        <v>3.156033463E9</v>
      </c>
      <c r="J2731" s="104" t="s">
        <v>12924</v>
      </c>
      <c r="K2731" s="105"/>
      <c r="L2731" s="105"/>
    </row>
    <row r="2732">
      <c r="A2732" s="103" t="s">
        <v>4676</v>
      </c>
      <c r="B2732" s="103">
        <v>1.10012790508E11</v>
      </c>
      <c r="C2732" s="105"/>
      <c r="D2732" s="104" t="s">
        <v>12938</v>
      </c>
      <c r="E2732" s="104" t="s">
        <v>12932</v>
      </c>
      <c r="F2732" s="103" t="s">
        <v>4678</v>
      </c>
      <c r="G2732" s="103" t="s">
        <v>4679</v>
      </c>
      <c r="H2732" s="103" t="s">
        <v>12939</v>
      </c>
      <c r="I2732" s="103">
        <v>3.156033463E9</v>
      </c>
      <c r="J2732" s="104" t="s">
        <v>12924</v>
      </c>
      <c r="K2732" s="105"/>
      <c r="L2732" s="105"/>
    </row>
    <row r="2733">
      <c r="A2733" s="103" t="s">
        <v>4676</v>
      </c>
      <c r="B2733" s="103">
        <v>1.10012790509E11</v>
      </c>
      <c r="C2733" s="105"/>
      <c r="D2733" s="104" t="s">
        <v>12940</v>
      </c>
      <c r="E2733" s="104" t="s">
        <v>12927</v>
      </c>
      <c r="F2733" s="103" t="s">
        <v>4678</v>
      </c>
      <c r="G2733" s="103" t="s">
        <v>4679</v>
      </c>
      <c r="H2733" s="103" t="s">
        <v>12941</v>
      </c>
      <c r="I2733" s="103">
        <v>3.156033463E9</v>
      </c>
      <c r="J2733" s="104" t="s">
        <v>12924</v>
      </c>
      <c r="K2733" s="105"/>
      <c r="L2733" s="105"/>
    </row>
    <row r="2734">
      <c r="A2734" s="103" t="s">
        <v>4676</v>
      </c>
      <c r="B2734" s="103">
        <v>1.1001279051E11</v>
      </c>
      <c r="C2734" s="105"/>
      <c r="D2734" s="104" t="s">
        <v>12942</v>
      </c>
      <c r="E2734" s="104" t="s">
        <v>12927</v>
      </c>
      <c r="F2734" s="103" t="s">
        <v>4678</v>
      </c>
      <c r="G2734" s="103" t="s">
        <v>4679</v>
      </c>
      <c r="H2734" s="103" t="s">
        <v>12943</v>
      </c>
      <c r="I2734" s="103">
        <v>3.156033463E9</v>
      </c>
      <c r="J2734" s="104" t="s">
        <v>12924</v>
      </c>
      <c r="K2734" s="105"/>
      <c r="L2734" s="105"/>
    </row>
    <row r="2735">
      <c r="A2735" s="103" t="s">
        <v>4676</v>
      </c>
      <c r="B2735" s="103">
        <v>1.10012790511E11</v>
      </c>
      <c r="C2735" s="105"/>
      <c r="D2735" s="104" t="s">
        <v>12944</v>
      </c>
      <c r="E2735" s="104" t="s">
        <v>12932</v>
      </c>
      <c r="F2735" s="103" t="s">
        <v>4678</v>
      </c>
      <c r="G2735" s="103" t="s">
        <v>4679</v>
      </c>
      <c r="H2735" s="103" t="s">
        <v>12945</v>
      </c>
      <c r="I2735" s="103">
        <v>3.156033463E9</v>
      </c>
      <c r="J2735" s="104" t="s">
        <v>12924</v>
      </c>
      <c r="K2735" s="105"/>
      <c r="L2735" s="105"/>
    </row>
    <row r="2736">
      <c r="A2736" s="103" t="s">
        <v>4676</v>
      </c>
      <c r="B2736" s="103">
        <v>1.10012790512E11</v>
      </c>
      <c r="C2736" s="105"/>
      <c r="D2736" s="104" t="s">
        <v>12946</v>
      </c>
      <c r="E2736" s="104" t="s">
        <v>12932</v>
      </c>
      <c r="F2736" s="103" t="s">
        <v>4678</v>
      </c>
      <c r="G2736" s="103" t="s">
        <v>4679</v>
      </c>
      <c r="H2736" s="103" t="s">
        <v>12947</v>
      </c>
      <c r="I2736" s="103">
        <v>3.156033463E9</v>
      </c>
      <c r="J2736" s="104" t="s">
        <v>12924</v>
      </c>
      <c r="K2736" s="105"/>
      <c r="L2736" s="105"/>
    </row>
    <row r="2737">
      <c r="A2737" s="103" t="s">
        <v>4676</v>
      </c>
      <c r="B2737" s="103">
        <v>1.10012790513E11</v>
      </c>
      <c r="C2737" s="105"/>
      <c r="D2737" s="104" t="s">
        <v>12948</v>
      </c>
      <c r="E2737" s="104" t="s">
        <v>12927</v>
      </c>
      <c r="F2737" s="103" t="s">
        <v>4678</v>
      </c>
      <c r="G2737" s="103" t="s">
        <v>4679</v>
      </c>
      <c r="H2737" s="103" t="s">
        <v>12949</v>
      </c>
      <c r="I2737" s="103">
        <v>3.156033463E9</v>
      </c>
      <c r="J2737" s="104" t="s">
        <v>12924</v>
      </c>
      <c r="K2737" s="105"/>
      <c r="L2737" s="105"/>
    </row>
    <row r="2738">
      <c r="A2738" s="103" t="s">
        <v>4676</v>
      </c>
      <c r="B2738" s="103">
        <v>1.10012790514E11</v>
      </c>
      <c r="C2738" s="105"/>
      <c r="D2738" s="104" t="s">
        <v>12950</v>
      </c>
      <c r="E2738" s="104" t="s">
        <v>12927</v>
      </c>
      <c r="F2738" s="103" t="s">
        <v>4678</v>
      </c>
      <c r="G2738" s="103" t="s">
        <v>4679</v>
      </c>
      <c r="H2738" s="103" t="s">
        <v>12951</v>
      </c>
      <c r="I2738" s="103">
        <v>3.156033463E9</v>
      </c>
      <c r="J2738" s="104" t="s">
        <v>12924</v>
      </c>
      <c r="K2738" s="105"/>
      <c r="L2738" s="105"/>
    </row>
    <row r="2739">
      <c r="A2739" s="103" t="s">
        <v>4676</v>
      </c>
      <c r="B2739" s="103">
        <v>1.10012790516E11</v>
      </c>
      <c r="C2739" s="105"/>
      <c r="D2739" s="104" t="s">
        <v>12952</v>
      </c>
      <c r="E2739" s="104" t="s">
        <v>12953</v>
      </c>
      <c r="F2739" s="103" t="s">
        <v>4678</v>
      </c>
      <c r="G2739" s="103" t="s">
        <v>4679</v>
      </c>
      <c r="H2739" s="103" t="s">
        <v>12954</v>
      </c>
      <c r="I2739" s="103">
        <v>3.156033463E9</v>
      </c>
      <c r="J2739" s="104" t="s">
        <v>12924</v>
      </c>
      <c r="K2739" s="105"/>
      <c r="L2739" s="105"/>
    </row>
    <row r="2740">
      <c r="A2740" s="103" t="s">
        <v>4676</v>
      </c>
      <c r="B2740" s="103">
        <v>1.10012790517E11</v>
      </c>
      <c r="C2740" s="105"/>
      <c r="D2740" s="104" t="s">
        <v>12955</v>
      </c>
      <c r="E2740" s="104" t="s">
        <v>12927</v>
      </c>
      <c r="F2740" s="103" t="s">
        <v>4678</v>
      </c>
      <c r="G2740" s="103" t="s">
        <v>4679</v>
      </c>
      <c r="H2740" s="103" t="s">
        <v>12956</v>
      </c>
      <c r="I2740" s="103">
        <v>3.156033463E9</v>
      </c>
      <c r="J2740" s="104" t="s">
        <v>12924</v>
      </c>
      <c r="K2740" s="105"/>
      <c r="L2740" s="105"/>
    </row>
    <row r="2741">
      <c r="A2741" s="103" t="s">
        <v>4676</v>
      </c>
      <c r="B2741" s="103">
        <v>1.10012790518E11</v>
      </c>
      <c r="C2741" s="105"/>
      <c r="D2741" s="104" t="s">
        <v>12957</v>
      </c>
      <c r="E2741" s="104" t="s">
        <v>12927</v>
      </c>
      <c r="F2741" s="103" t="s">
        <v>4678</v>
      </c>
      <c r="G2741" s="103" t="s">
        <v>4679</v>
      </c>
      <c r="H2741" s="103" t="s">
        <v>12958</v>
      </c>
      <c r="I2741" s="103">
        <v>3.156033463E9</v>
      </c>
      <c r="J2741" s="104" t="s">
        <v>12924</v>
      </c>
      <c r="K2741" s="105"/>
      <c r="L2741" s="105"/>
    </row>
    <row r="2742">
      <c r="A2742" s="103" t="s">
        <v>4676</v>
      </c>
      <c r="B2742" s="103">
        <v>1.10012790519E11</v>
      </c>
      <c r="C2742" s="105"/>
      <c r="D2742" s="104" t="s">
        <v>12959</v>
      </c>
      <c r="E2742" s="104" t="s">
        <v>12927</v>
      </c>
      <c r="F2742" s="103" t="s">
        <v>4678</v>
      </c>
      <c r="G2742" s="103" t="s">
        <v>4679</v>
      </c>
      <c r="H2742" s="103" t="s">
        <v>12960</v>
      </c>
      <c r="I2742" s="103">
        <v>3.156033463E9</v>
      </c>
      <c r="J2742" s="104" t="s">
        <v>12924</v>
      </c>
      <c r="K2742" s="105"/>
      <c r="L2742" s="105"/>
    </row>
    <row r="2743">
      <c r="A2743" s="103" t="s">
        <v>4676</v>
      </c>
      <c r="B2743" s="103">
        <v>1.1001279052E11</v>
      </c>
      <c r="C2743" s="105"/>
      <c r="D2743" s="104" t="s">
        <v>12961</v>
      </c>
      <c r="E2743" s="104" t="s">
        <v>12927</v>
      </c>
      <c r="F2743" s="103" t="s">
        <v>4678</v>
      </c>
      <c r="G2743" s="103" t="s">
        <v>4679</v>
      </c>
      <c r="H2743" s="103" t="s">
        <v>12962</v>
      </c>
      <c r="I2743" s="103">
        <v>3.156033463E9</v>
      </c>
      <c r="J2743" s="104" t="s">
        <v>12924</v>
      </c>
      <c r="K2743" s="105"/>
      <c r="L2743" s="105"/>
    </row>
    <row r="2744">
      <c r="A2744" s="103" t="s">
        <v>4676</v>
      </c>
      <c r="B2744" s="103">
        <v>1.10012790523E11</v>
      </c>
      <c r="C2744" s="105"/>
      <c r="D2744" s="104" t="s">
        <v>12963</v>
      </c>
      <c r="E2744" s="104" t="s">
        <v>12927</v>
      </c>
      <c r="F2744" s="103" t="s">
        <v>4678</v>
      </c>
      <c r="G2744" s="103" t="s">
        <v>4679</v>
      </c>
      <c r="H2744" s="103" t="s">
        <v>12964</v>
      </c>
      <c r="I2744" s="103">
        <v>3.156033463E9</v>
      </c>
      <c r="J2744" s="104" t="s">
        <v>12924</v>
      </c>
      <c r="K2744" s="105"/>
      <c r="L2744" s="105"/>
    </row>
    <row r="2745">
      <c r="A2745" s="103" t="s">
        <v>4676</v>
      </c>
      <c r="B2745" s="103">
        <v>1.10012790524E11</v>
      </c>
      <c r="C2745" s="105"/>
      <c r="D2745" s="104" t="s">
        <v>12965</v>
      </c>
      <c r="E2745" s="104" t="s">
        <v>12927</v>
      </c>
      <c r="F2745" s="103" t="s">
        <v>4678</v>
      </c>
      <c r="G2745" s="103" t="s">
        <v>4679</v>
      </c>
      <c r="H2745" s="103" t="s">
        <v>12966</v>
      </c>
      <c r="I2745" s="103">
        <v>3.156033463E9</v>
      </c>
      <c r="J2745" s="104" t="s">
        <v>12924</v>
      </c>
      <c r="K2745" s="105"/>
      <c r="L2745" s="105"/>
    </row>
    <row r="2746">
      <c r="A2746" s="103" t="s">
        <v>4676</v>
      </c>
      <c r="B2746" s="103">
        <v>1.100127957E9</v>
      </c>
      <c r="C2746" s="105"/>
      <c r="D2746" s="104" t="s">
        <v>12967</v>
      </c>
      <c r="E2746" s="106"/>
      <c r="F2746" s="103" t="s">
        <v>4678</v>
      </c>
      <c r="G2746" s="103" t="s">
        <v>4679</v>
      </c>
      <c r="H2746" s="103" t="s">
        <v>12968</v>
      </c>
      <c r="I2746" s="103">
        <v>3.002667624E9</v>
      </c>
      <c r="J2746" s="104" t="s">
        <v>12969</v>
      </c>
      <c r="K2746" s="103" t="s">
        <v>12970</v>
      </c>
      <c r="L2746" s="105"/>
    </row>
    <row r="2747">
      <c r="A2747" s="103" t="s">
        <v>4676</v>
      </c>
      <c r="B2747" s="103">
        <v>1.10012795701E11</v>
      </c>
      <c r="C2747" s="105"/>
      <c r="D2747" s="104" t="s">
        <v>12971</v>
      </c>
      <c r="E2747" s="104" t="s">
        <v>12972</v>
      </c>
      <c r="F2747" s="103" t="s">
        <v>4678</v>
      </c>
      <c r="G2747" s="103" t="s">
        <v>4679</v>
      </c>
      <c r="H2747" s="103" t="s">
        <v>12973</v>
      </c>
      <c r="I2747" s="103">
        <v>3.002667624E9</v>
      </c>
      <c r="J2747" s="104" t="s">
        <v>12969</v>
      </c>
      <c r="K2747" s="105"/>
      <c r="L2747" s="105"/>
    </row>
    <row r="2748">
      <c r="A2748" s="103" t="s">
        <v>4676</v>
      </c>
      <c r="B2748" s="103">
        <v>1.10012795704E11</v>
      </c>
      <c r="C2748" s="105"/>
      <c r="D2748" s="104" t="s">
        <v>12974</v>
      </c>
      <c r="E2748" s="104" t="s">
        <v>12972</v>
      </c>
      <c r="F2748" s="103" t="s">
        <v>4678</v>
      </c>
      <c r="G2748" s="103" t="s">
        <v>4679</v>
      </c>
      <c r="H2748" s="103" t="s">
        <v>12975</v>
      </c>
      <c r="I2748" s="103">
        <v>3.002667624E9</v>
      </c>
      <c r="J2748" s="104" t="s">
        <v>12969</v>
      </c>
      <c r="K2748" s="105"/>
      <c r="L2748" s="105"/>
    </row>
    <row r="2749">
      <c r="A2749" s="103" t="s">
        <v>4676</v>
      </c>
      <c r="B2749" s="103">
        <v>1.10012795705E11</v>
      </c>
      <c r="C2749" s="105"/>
      <c r="D2749" s="104" t="s">
        <v>12971</v>
      </c>
      <c r="E2749" s="104" t="s">
        <v>12972</v>
      </c>
      <c r="F2749" s="103" t="s">
        <v>4678</v>
      </c>
      <c r="G2749" s="103" t="s">
        <v>4679</v>
      </c>
      <c r="H2749" s="103" t="s">
        <v>12976</v>
      </c>
      <c r="I2749" s="103">
        <v>3.002667624E9</v>
      </c>
      <c r="J2749" s="104" t="s">
        <v>12969</v>
      </c>
      <c r="K2749" s="105"/>
      <c r="L2749" s="105"/>
    </row>
    <row r="2750">
      <c r="A2750" s="103" t="s">
        <v>4676</v>
      </c>
      <c r="B2750" s="103">
        <v>1.100128009E9</v>
      </c>
      <c r="C2750" s="105"/>
      <c r="D2750" s="104" t="s">
        <v>12977</v>
      </c>
      <c r="E2750" s="106"/>
      <c r="F2750" s="103" t="s">
        <v>4678</v>
      </c>
      <c r="G2750" s="103" t="s">
        <v>4679</v>
      </c>
      <c r="H2750" s="103" t="s">
        <v>12978</v>
      </c>
      <c r="I2750" s="103">
        <v>4107912.0</v>
      </c>
      <c r="J2750" s="104" t="s">
        <v>12979</v>
      </c>
      <c r="K2750" s="105"/>
      <c r="L2750" s="105"/>
    </row>
    <row r="2751">
      <c r="A2751" s="103" t="s">
        <v>4676</v>
      </c>
      <c r="B2751" s="103">
        <v>1.10012800901E11</v>
      </c>
      <c r="C2751" s="105"/>
      <c r="D2751" s="104" t="s">
        <v>12977</v>
      </c>
      <c r="E2751" s="104" t="s">
        <v>12980</v>
      </c>
      <c r="F2751" s="103" t="s">
        <v>4678</v>
      </c>
      <c r="G2751" s="103" t="s">
        <v>4679</v>
      </c>
      <c r="H2751" s="103" t="s">
        <v>12978</v>
      </c>
      <c r="I2751" s="103">
        <v>4107912.0</v>
      </c>
      <c r="J2751" s="104" t="s">
        <v>12979</v>
      </c>
      <c r="K2751" s="105"/>
      <c r="L2751" s="105"/>
    </row>
    <row r="2752">
      <c r="A2752" s="103" t="s">
        <v>4676</v>
      </c>
      <c r="B2752" s="103">
        <v>1.100128023E9</v>
      </c>
      <c r="C2752" s="105"/>
      <c r="D2752" s="104" t="s">
        <v>12981</v>
      </c>
      <c r="E2752" s="106"/>
      <c r="F2752" s="103" t="s">
        <v>4678</v>
      </c>
      <c r="G2752" s="103" t="s">
        <v>4679</v>
      </c>
      <c r="H2752" s="103" t="s">
        <v>12982</v>
      </c>
      <c r="I2752" s="103">
        <v>3.173816515E9</v>
      </c>
      <c r="J2752" s="104" t="s">
        <v>12983</v>
      </c>
      <c r="K2752" s="105"/>
      <c r="L2752" s="105"/>
    </row>
    <row r="2753">
      <c r="A2753" s="103" t="s">
        <v>4676</v>
      </c>
      <c r="B2753" s="103">
        <v>1.10012802301E11</v>
      </c>
      <c r="C2753" s="105"/>
      <c r="D2753" s="104" t="s">
        <v>12981</v>
      </c>
      <c r="E2753" s="104" t="s">
        <v>12984</v>
      </c>
      <c r="F2753" s="103" t="s">
        <v>4678</v>
      </c>
      <c r="G2753" s="103" t="s">
        <v>4679</v>
      </c>
      <c r="H2753" s="103" t="s">
        <v>12982</v>
      </c>
      <c r="I2753" s="103" t="s">
        <v>12985</v>
      </c>
      <c r="J2753" s="104" t="s">
        <v>12983</v>
      </c>
      <c r="K2753" s="105"/>
      <c r="L2753" s="105"/>
    </row>
    <row r="2754">
      <c r="A2754" s="103" t="s">
        <v>4676</v>
      </c>
      <c r="B2754" s="103">
        <v>1.100128064E9</v>
      </c>
      <c r="C2754" s="105"/>
      <c r="D2754" s="104" t="s">
        <v>12986</v>
      </c>
      <c r="E2754" s="106"/>
      <c r="F2754" s="103" t="s">
        <v>4678</v>
      </c>
      <c r="G2754" s="103" t="s">
        <v>4679</v>
      </c>
      <c r="H2754" s="103" t="s">
        <v>12987</v>
      </c>
      <c r="I2754" s="103">
        <v>3.016260266E9</v>
      </c>
      <c r="J2754" s="104" t="s">
        <v>12988</v>
      </c>
      <c r="K2754" s="107" t="s">
        <v>12989</v>
      </c>
      <c r="L2754" s="105"/>
    </row>
    <row r="2755">
      <c r="A2755" s="103" t="s">
        <v>4676</v>
      </c>
      <c r="B2755" s="103">
        <v>1.10012806401E11</v>
      </c>
      <c r="C2755" s="105"/>
      <c r="D2755" s="104" t="s">
        <v>12986</v>
      </c>
      <c r="E2755" s="104" t="s">
        <v>12990</v>
      </c>
      <c r="F2755" s="103" t="s">
        <v>4678</v>
      </c>
      <c r="G2755" s="103" t="s">
        <v>4679</v>
      </c>
      <c r="H2755" s="103" t="s">
        <v>12991</v>
      </c>
      <c r="I2755" s="103">
        <v>3.016260266E9</v>
      </c>
      <c r="J2755" s="104" t="s">
        <v>12988</v>
      </c>
      <c r="K2755" s="105"/>
      <c r="L2755" s="105"/>
    </row>
    <row r="2756">
      <c r="A2756" s="103" t="s">
        <v>4676</v>
      </c>
      <c r="B2756" s="103">
        <v>1.10012811E9</v>
      </c>
      <c r="C2756" s="105"/>
      <c r="D2756" s="104" t="s">
        <v>12992</v>
      </c>
      <c r="E2756" s="106"/>
      <c r="F2756" s="103" t="s">
        <v>4678</v>
      </c>
      <c r="G2756" s="103" t="s">
        <v>4679</v>
      </c>
      <c r="H2756" s="103" t="s">
        <v>12993</v>
      </c>
      <c r="I2756" s="103" t="s">
        <v>12994</v>
      </c>
      <c r="J2756" s="104" t="s">
        <v>12995</v>
      </c>
      <c r="K2756" s="107" t="s">
        <v>12996</v>
      </c>
      <c r="L2756" s="105"/>
    </row>
    <row r="2757">
      <c r="A2757" s="103" t="s">
        <v>4676</v>
      </c>
      <c r="B2757" s="103">
        <v>1.10012811001E11</v>
      </c>
      <c r="C2757" s="105"/>
      <c r="D2757" s="104" t="s">
        <v>12992</v>
      </c>
      <c r="E2757" s="104" t="s">
        <v>12997</v>
      </c>
      <c r="F2757" s="103" t="s">
        <v>4678</v>
      </c>
      <c r="G2757" s="103" t="s">
        <v>4679</v>
      </c>
      <c r="H2757" s="103" t="s">
        <v>12993</v>
      </c>
      <c r="I2757" s="103" t="s">
        <v>12998</v>
      </c>
      <c r="J2757" s="104" t="s">
        <v>12995</v>
      </c>
      <c r="K2757" s="105"/>
      <c r="L2757" s="105"/>
    </row>
    <row r="2758">
      <c r="A2758" s="103" t="s">
        <v>4676</v>
      </c>
      <c r="B2758" s="103">
        <v>1.100128137E9</v>
      </c>
      <c r="C2758" s="105"/>
      <c r="D2758" s="104" t="s">
        <v>12999</v>
      </c>
      <c r="E2758" s="106"/>
      <c r="F2758" s="103" t="s">
        <v>4678</v>
      </c>
      <c r="G2758" s="103" t="s">
        <v>4679</v>
      </c>
      <c r="H2758" s="103" t="s">
        <v>13000</v>
      </c>
      <c r="I2758" s="103" t="s">
        <v>13001</v>
      </c>
      <c r="J2758" s="104" t="s">
        <v>13002</v>
      </c>
      <c r="K2758" s="107" t="s">
        <v>13003</v>
      </c>
      <c r="L2758" s="105"/>
    </row>
    <row r="2759">
      <c r="A2759" s="103" t="s">
        <v>4676</v>
      </c>
      <c r="B2759" s="103">
        <v>1.10012813701E11</v>
      </c>
      <c r="C2759" s="105"/>
      <c r="D2759" s="104" t="s">
        <v>12999</v>
      </c>
      <c r="E2759" s="104" t="s">
        <v>13004</v>
      </c>
      <c r="F2759" s="103" t="s">
        <v>4678</v>
      </c>
      <c r="G2759" s="103" t="s">
        <v>4679</v>
      </c>
      <c r="H2759" s="103" t="s">
        <v>13005</v>
      </c>
      <c r="I2759" s="103" t="s">
        <v>13001</v>
      </c>
      <c r="J2759" s="104" t="s">
        <v>13002</v>
      </c>
      <c r="K2759" s="105"/>
      <c r="L2759" s="105"/>
    </row>
    <row r="2760">
      <c r="A2760" s="103" t="s">
        <v>4676</v>
      </c>
      <c r="B2760" s="103">
        <v>1.100128144E9</v>
      </c>
      <c r="C2760" s="105"/>
      <c r="D2760" s="104" t="s">
        <v>13006</v>
      </c>
      <c r="E2760" s="106"/>
      <c r="F2760" s="103" t="s">
        <v>4678</v>
      </c>
      <c r="G2760" s="103" t="s">
        <v>4679</v>
      </c>
      <c r="H2760" s="103" t="s">
        <v>13007</v>
      </c>
      <c r="I2760" s="103" t="s">
        <v>13008</v>
      </c>
      <c r="J2760" s="104" t="s">
        <v>13009</v>
      </c>
      <c r="K2760" s="105"/>
      <c r="L2760" s="105"/>
    </row>
    <row r="2761">
      <c r="A2761" s="103" t="s">
        <v>4676</v>
      </c>
      <c r="B2761" s="103">
        <v>1.10012814401E11</v>
      </c>
      <c r="C2761" s="105"/>
      <c r="D2761" s="104" t="s">
        <v>13010</v>
      </c>
      <c r="E2761" s="104" t="s">
        <v>13011</v>
      </c>
      <c r="F2761" s="103" t="s">
        <v>4678</v>
      </c>
      <c r="G2761" s="103" t="s">
        <v>4679</v>
      </c>
      <c r="H2761" s="103" t="s">
        <v>13012</v>
      </c>
      <c r="I2761" s="103" t="s">
        <v>13013</v>
      </c>
      <c r="J2761" s="104" t="s">
        <v>13014</v>
      </c>
      <c r="K2761" s="105"/>
      <c r="L2761" s="105"/>
    </row>
    <row r="2762">
      <c r="A2762" s="103" t="s">
        <v>4676</v>
      </c>
      <c r="B2762" s="103">
        <v>1.100128149E9</v>
      </c>
      <c r="C2762" s="105"/>
      <c r="D2762" s="104" t="s">
        <v>13015</v>
      </c>
      <c r="E2762" s="106"/>
      <c r="F2762" s="103" t="s">
        <v>4678</v>
      </c>
      <c r="G2762" s="103" t="s">
        <v>4679</v>
      </c>
      <c r="H2762" s="103" t="s">
        <v>13016</v>
      </c>
      <c r="I2762" s="103" t="s">
        <v>13017</v>
      </c>
      <c r="J2762" s="104" t="s">
        <v>13018</v>
      </c>
      <c r="K2762" s="107" t="s">
        <v>13019</v>
      </c>
      <c r="L2762" s="105"/>
    </row>
    <row r="2763">
      <c r="A2763" s="103" t="s">
        <v>4676</v>
      </c>
      <c r="B2763" s="103">
        <v>1.10012814901E11</v>
      </c>
      <c r="C2763" s="105"/>
      <c r="D2763" s="104" t="s">
        <v>13015</v>
      </c>
      <c r="E2763" s="104" t="s">
        <v>13020</v>
      </c>
      <c r="F2763" s="103" t="s">
        <v>4678</v>
      </c>
      <c r="G2763" s="103" t="s">
        <v>4679</v>
      </c>
      <c r="H2763" s="103" t="s">
        <v>13021</v>
      </c>
      <c r="I2763" s="103" t="s">
        <v>13017</v>
      </c>
      <c r="J2763" s="104" t="s">
        <v>13022</v>
      </c>
      <c r="K2763" s="105"/>
      <c r="L2763" s="105"/>
    </row>
    <row r="2764">
      <c r="A2764" s="103" t="s">
        <v>4676</v>
      </c>
      <c r="B2764" s="103">
        <v>1.100128152E9</v>
      </c>
      <c r="C2764" s="105"/>
      <c r="D2764" s="104" t="s">
        <v>13023</v>
      </c>
      <c r="E2764" s="106"/>
      <c r="F2764" s="103" t="s">
        <v>4678</v>
      </c>
      <c r="G2764" s="103" t="s">
        <v>4679</v>
      </c>
      <c r="H2764" s="103" t="s">
        <v>13024</v>
      </c>
      <c r="I2764" s="103" t="s">
        <v>13025</v>
      </c>
      <c r="J2764" s="104" t="s">
        <v>13026</v>
      </c>
      <c r="K2764" s="107" t="s">
        <v>13027</v>
      </c>
      <c r="L2764" s="105"/>
    </row>
    <row r="2765">
      <c r="A2765" s="103" t="s">
        <v>4676</v>
      </c>
      <c r="B2765" s="103">
        <v>1.10012815201E11</v>
      </c>
      <c r="C2765" s="105"/>
      <c r="D2765" s="104" t="s">
        <v>13023</v>
      </c>
      <c r="E2765" s="104" t="s">
        <v>13028</v>
      </c>
      <c r="F2765" s="103" t="s">
        <v>4678</v>
      </c>
      <c r="G2765" s="103" t="s">
        <v>4679</v>
      </c>
      <c r="H2765" s="103" t="s">
        <v>13024</v>
      </c>
      <c r="I2765" s="103" t="s">
        <v>13025</v>
      </c>
      <c r="J2765" s="104" t="s">
        <v>13026</v>
      </c>
      <c r="K2765" s="105"/>
      <c r="L2765" s="105"/>
    </row>
    <row r="2766">
      <c r="A2766" s="103" t="s">
        <v>4676</v>
      </c>
      <c r="B2766" s="103">
        <v>1.100128154E9</v>
      </c>
      <c r="C2766" s="105"/>
      <c r="D2766" s="104" t="s">
        <v>13029</v>
      </c>
      <c r="E2766" s="106"/>
      <c r="F2766" s="103" t="s">
        <v>4678</v>
      </c>
      <c r="G2766" s="103" t="s">
        <v>4679</v>
      </c>
      <c r="H2766" s="103" t="s">
        <v>13030</v>
      </c>
      <c r="I2766" s="103" t="s">
        <v>13031</v>
      </c>
      <c r="J2766" s="104" t="s">
        <v>13032</v>
      </c>
      <c r="K2766" s="107" t="s">
        <v>13033</v>
      </c>
      <c r="L2766" s="105"/>
    </row>
    <row r="2767">
      <c r="A2767" s="103" t="s">
        <v>4676</v>
      </c>
      <c r="B2767" s="103">
        <v>1.10012815401E11</v>
      </c>
      <c r="C2767" s="105"/>
      <c r="D2767" s="104" t="s">
        <v>13034</v>
      </c>
      <c r="E2767" s="104" t="s">
        <v>13035</v>
      </c>
      <c r="F2767" s="103" t="s">
        <v>4678</v>
      </c>
      <c r="G2767" s="103" t="s">
        <v>4679</v>
      </c>
      <c r="H2767" s="103" t="s">
        <v>13030</v>
      </c>
      <c r="I2767" s="103" t="s">
        <v>13031</v>
      </c>
      <c r="J2767" s="104" t="s">
        <v>13032</v>
      </c>
      <c r="K2767" s="105"/>
      <c r="L2767" s="105"/>
    </row>
    <row r="2768">
      <c r="A2768" s="103" t="s">
        <v>4676</v>
      </c>
      <c r="B2768" s="103">
        <v>1.100128173E9</v>
      </c>
      <c r="C2768" s="105"/>
      <c r="D2768" s="104" t="s">
        <v>13036</v>
      </c>
      <c r="E2768" s="106"/>
      <c r="F2768" s="103" t="s">
        <v>4678</v>
      </c>
      <c r="G2768" s="103" t="s">
        <v>4679</v>
      </c>
      <c r="H2768" s="103" t="s">
        <v>13037</v>
      </c>
      <c r="I2768" s="103" t="s">
        <v>13038</v>
      </c>
      <c r="J2768" s="104" t="s">
        <v>13039</v>
      </c>
      <c r="K2768" s="105"/>
      <c r="L2768" s="105"/>
    </row>
    <row r="2769">
      <c r="A2769" s="103" t="s">
        <v>4676</v>
      </c>
      <c r="B2769" s="103">
        <v>1.10012817301E11</v>
      </c>
      <c r="C2769" s="105"/>
      <c r="D2769" s="104" t="s">
        <v>13040</v>
      </c>
      <c r="E2769" s="104" t="s">
        <v>13041</v>
      </c>
      <c r="F2769" s="103" t="s">
        <v>4678</v>
      </c>
      <c r="G2769" s="103" t="s">
        <v>4679</v>
      </c>
      <c r="H2769" s="103" t="s">
        <v>13042</v>
      </c>
      <c r="I2769" s="103" t="s">
        <v>13038</v>
      </c>
      <c r="J2769" s="104" t="s">
        <v>13043</v>
      </c>
      <c r="K2769" s="105"/>
      <c r="L2769" s="105"/>
    </row>
    <row r="2770">
      <c r="A2770" s="103" t="s">
        <v>4676</v>
      </c>
      <c r="B2770" s="103">
        <v>1.100128174E9</v>
      </c>
      <c r="C2770" s="105"/>
      <c r="D2770" s="104" t="s">
        <v>13044</v>
      </c>
      <c r="E2770" s="106"/>
      <c r="F2770" s="103" t="s">
        <v>4678</v>
      </c>
      <c r="G2770" s="103" t="s">
        <v>4679</v>
      </c>
      <c r="H2770" s="103" t="s">
        <v>13045</v>
      </c>
      <c r="I2770" s="103">
        <v>3.157056255E9</v>
      </c>
      <c r="J2770" s="104" t="s">
        <v>13046</v>
      </c>
      <c r="K2770" s="105"/>
      <c r="L2770" s="105"/>
    </row>
    <row r="2771">
      <c r="A2771" s="103" t="s">
        <v>4676</v>
      </c>
      <c r="B2771" s="103">
        <v>1.10012817401E11</v>
      </c>
      <c r="C2771" s="105"/>
      <c r="D2771" s="104" t="s">
        <v>13044</v>
      </c>
      <c r="E2771" s="104" t="s">
        <v>13047</v>
      </c>
      <c r="F2771" s="103" t="s">
        <v>4678</v>
      </c>
      <c r="G2771" s="103" t="s">
        <v>4679</v>
      </c>
      <c r="H2771" s="103" t="s">
        <v>13048</v>
      </c>
      <c r="I2771" s="103">
        <v>3.157056255E9</v>
      </c>
      <c r="J2771" s="104" t="s">
        <v>13046</v>
      </c>
      <c r="K2771" s="105"/>
      <c r="L2771" s="105"/>
    </row>
    <row r="2772">
      <c r="A2772" s="103" t="s">
        <v>4676</v>
      </c>
      <c r="B2772" s="103">
        <v>1.10012817402E11</v>
      </c>
      <c r="C2772" s="105"/>
      <c r="D2772" s="104" t="s">
        <v>13049</v>
      </c>
      <c r="E2772" s="104" t="s">
        <v>13050</v>
      </c>
      <c r="F2772" s="103" t="s">
        <v>4678</v>
      </c>
      <c r="G2772" s="103" t="s">
        <v>4679</v>
      </c>
      <c r="H2772" s="103" t="s">
        <v>13051</v>
      </c>
      <c r="I2772" s="103">
        <v>3.157056255E9</v>
      </c>
      <c r="J2772" s="104" t="s">
        <v>13046</v>
      </c>
      <c r="K2772" s="105"/>
      <c r="L2772" s="105"/>
    </row>
    <row r="2773">
      <c r="A2773" s="103" t="s">
        <v>4676</v>
      </c>
      <c r="B2773" s="103">
        <v>1.10012817403E11</v>
      </c>
      <c r="C2773" s="105"/>
      <c r="D2773" s="104" t="s">
        <v>13052</v>
      </c>
      <c r="E2773" s="104" t="s">
        <v>13053</v>
      </c>
      <c r="F2773" s="103" t="s">
        <v>4678</v>
      </c>
      <c r="G2773" s="103" t="s">
        <v>4679</v>
      </c>
      <c r="H2773" s="103" t="s">
        <v>13054</v>
      </c>
      <c r="I2773" s="103">
        <v>3.157056255E9</v>
      </c>
      <c r="J2773" s="104" t="s">
        <v>13046</v>
      </c>
      <c r="K2773" s="105"/>
      <c r="L2773" s="105"/>
    </row>
    <row r="2774">
      <c r="A2774" s="103" t="s">
        <v>4676</v>
      </c>
      <c r="B2774" s="103">
        <v>1.100128192E9</v>
      </c>
      <c r="C2774" s="105"/>
      <c r="D2774" s="104" t="s">
        <v>13055</v>
      </c>
      <c r="E2774" s="106"/>
      <c r="F2774" s="103" t="s">
        <v>4678</v>
      </c>
      <c r="G2774" s="103" t="s">
        <v>4679</v>
      </c>
      <c r="H2774" s="103" t="s">
        <v>13056</v>
      </c>
      <c r="I2774" s="103" t="s">
        <v>13057</v>
      </c>
      <c r="J2774" s="104" t="s">
        <v>13058</v>
      </c>
      <c r="K2774" s="105"/>
      <c r="L2774" s="105"/>
    </row>
    <row r="2775">
      <c r="A2775" s="103" t="s">
        <v>4676</v>
      </c>
      <c r="B2775" s="103">
        <v>1.10012819201E11</v>
      </c>
      <c r="C2775" s="105"/>
      <c r="D2775" s="104" t="s">
        <v>13059</v>
      </c>
      <c r="E2775" s="104" t="s">
        <v>13060</v>
      </c>
      <c r="F2775" s="103" t="s">
        <v>4678</v>
      </c>
      <c r="G2775" s="103" t="s">
        <v>4679</v>
      </c>
      <c r="H2775" s="103" t="s">
        <v>13056</v>
      </c>
      <c r="I2775" s="103" t="s">
        <v>13057</v>
      </c>
      <c r="J2775" s="104" t="s">
        <v>13058</v>
      </c>
      <c r="K2775" s="105"/>
      <c r="L2775" s="105"/>
    </row>
    <row r="2776">
      <c r="A2776" s="103" t="s">
        <v>4676</v>
      </c>
      <c r="B2776" s="103">
        <v>1.100128225E9</v>
      </c>
      <c r="C2776" s="105"/>
      <c r="D2776" s="104" t="s">
        <v>13061</v>
      </c>
      <c r="E2776" s="106"/>
      <c r="F2776" s="103" t="s">
        <v>4678</v>
      </c>
      <c r="G2776" s="103" t="s">
        <v>4679</v>
      </c>
      <c r="H2776" s="103" t="s">
        <v>13062</v>
      </c>
      <c r="I2776" s="103" t="s">
        <v>13063</v>
      </c>
      <c r="J2776" s="104" t="s">
        <v>13064</v>
      </c>
      <c r="K2776" s="105"/>
      <c r="L2776" s="105"/>
    </row>
    <row r="2777">
      <c r="A2777" s="103" t="s">
        <v>4676</v>
      </c>
      <c r="B2777" s="103">
        <v>1.10012822501E11</v>
      </c>
      <c r="C2777" s="105"/>
      <c r="D2777" s="104" t="s">
        <v>13065</v>
      </c>
      <c r="E2777" s="104" t="s">
        <v>13066</v>
      </c>
      <c r="F2777" s="103" t="s">
        <v>4678</v>
      </c>
      <c r="G2777" s="103" t="s">
        <v>4679</v>
      </c>
      <c r="H2777" s="103" t="s">
        <v>13062</v>
      </c>
      <c r="I2777" s="103" t="s">
        <v>13063</v>
      </c>
      <c r="J2777" s="104" t="s">
        <v>13064</v>
      </c>
      <c r="K2777" s="105"/>
      <c r="L2777" s="105"/>
    </row>
    <row r="2778">
      <c r="A2778" s="103" t="s">
        <v>4676</v>
      </c>
      <c r="B2778" s="103">
        <v>1.100128228E9</v>
      </c>
      <c r="C2778" s="105"/>
      <c r="D2778" s="104" t="s">
        <v>13067</v>
      </c>
      <c r="E2778" s="106"/>
      <c r="F2778" s="103" t="s">
        <v>4678</v>
      </c>
      <c r="G2778" s="103" t="s">
        <v>4679</v>
      </c>
      <c r="H2778" s="103" t="s">
        <v>13068</v>
      </c>
      <c r="I2778" s="103">
        <v>7433754.0</v>
      </c>
      <c r="J2778" s="104" t="s">
        <v>13069</v>
      </c>
      <c r="K2778" s="107" t="s">
        <v>13070</v>
      </c>
      <c r="L2778" s="105"/>
    </row>
    <row r="2779">
      <c r="A2779" s="103" t="s">
        <v>4676</v>
      </c>
      <c r="B2779" s="103">
        <v>1.10012822801E11</v>
      </c>
      <c r="C2779" s="105"/>
      <c r="D2779" s="104" t="s">
        <v>13071</v>
      </c>
      <c r="E2779" s="104" t="s">
        <v>13072</v>
      </c>
      <c r="F2779" s="103" t="s">
        <v>4678</v>
      </c>
      <c r="G2779" s="103" t="s">
        <v>4679</v>
      </c>
      <c r="H2779" s="103" t="s">
        <v>13068</v>
      </c>
      <c r="I2779" s="103">
        <v>7431303.0</v>
      </c>
      <c r="J2779" s="104" t="s">
        <v>13073</v>
      </c>
      <c r="K2779" s="105"/>
      <c r="L2779" s="105"/>
    </row>
    <row r="2780">
      <c r="A2780" s="103" t="s">
        <v>4676</v>
      </c>
      <c r="B2780" s="103">
        <v>1.100128291E9</v>
      </c>
      <c r="C2780" s="105"/>
      <c r="D2780" s="104" t="s">
        <v>13074</v>
      </c>
      <c r="E2780" s="106"/>
      <c r="F2780" s="103" t="s">
        <v>4678</v>
      </c>
      <c r="G2780" s="103" t="s">
        <v>4679</v>
      </c>
      <c r="H2780" s="103" t="s">
        <v>13075</v>
      </c>
      <c r="I2780" s="103">
        <v>3.133279685E9</v>
      </c>
      <c r="J2780" s="104" t="s">
        <v>13076</v>
      </c>
      <c r="K2780" s="105"/>
      <c r="L2780" s="105"/>
    </row>
    <row r="2781">
      <c r="A2781" s="103" t="s">
        <v>4676</v>
      </c>
      <c r="B2781" s="103">
        <v>1.10012829102E11</v>
      </c>
      <c r="C2781" s="105"/>
      <c r="D2781" s="104" t="s">
        <v>13077</v>
      </c>
      <c r="E2781" s="104" t="s">
        <v>13078</v>
      </c>
      <c r="F2781" s="103" t="s">
        <v>4678</v>
      </c>
      <c r="G2781" s="103" t="s">
        <v>4679</v>
      </c>
      <c r="H2781" s="103" t="s">
        <v>13079</v>
      </c>
      <c r="I2781" s="103">
        <v>3.133279685E9</v>
      </c>
      <c r="J2781" s="104" t="s">
        <v>13076</v>
      </c>
      <c r="K2781" s="105"/>
      <c r="L2781" s="105"/>
    </row>
    <row r="2782">
      <c r="A2782" s="103" t="s">
        <v>4676</v>
      </c>
      <c r="B2782" s="103">
        <v>1.10012829103E11</v>
      </c>
      <c r="C2782" s="105"/>
      <c r="D2782" s="104" t="s">
        <v>13080</v>
      </c>
      <c r="E2782" s="104" t="s">
        <v>13081</v>
      </c>
      <c r="F2782" s="103" t="s">
        <v>4678</v>
      </c>
      <c r="G2782" s="103" t="s">
        <v>4679</v>
      </c>
      <c r="H2782" s="103" t="s">
        <v>13082</v>
      </c>
      <c r="I2782" s="103">
        <v>3.133279685E9</v>
      </c>
      <c r="J2782" s="104" t="s">
        <v>13076</v>
      </c>
      <c r="K2782" s="105"/>
      <c r="L2782" s="105"/>
    </row>
    <row r="2783">
      <c r="A2783" s="103" t="s">
        <v>4676</v>
      </c>
      <c r="B2783" s="103">
        <v>1.100128321E9</v>
      </c>
      <c r="C2783" s="105"/>
      <c r="D2783" s="104" t="s">
        <v>13083</v>
      </c>
      <c r="E2783" s="106"/>
      <c r="F2783" s="103" t="s">
        <v>4678</v>
      </c>
      <c r="G2783" s="103" t="s">
        <v>4679</v>
      </c>
      <c r="H2783" s="103" t="s">
        <v>11611</v>
      </c>
      <c r="I2783" s="103">
        <v>3632717.0</v>
      </c>
      <c r="J2783" s="104" t="s">
        <v>13084</v>
      </c>
      <c r="K2783" s="105"/>
      <c r="L2783" s="105"/>
    </row>
    <row r="2784">
      <c r="A2784" s="103" t="s">
        <v>4676</v>
      </c>
      <c r="B2784" s="103">
        <v>1.10012832101E11</v>
      </c>
      <c r="C2784" s="105"/>
      <c r="D2784" s="104" t="s">
        <v>13085</v>
      </c>
      <c r="E2784" s="104" t="s">
        <v>11615</v>
      </c>
      <c r="F2784" s="103" t="s">
        <v>4678</v>
      </c>
      <c r="G2784" s="103" t="s">
        <v>4679</v>
      </c>
      <c r="H2784" s="103" t="s">
        <v>13086</v>
      </c>
      <c r="I2784" s="103">
        <v>3632717.0</v>
      </c>
      <c r="J2784" s="104" t="s">
        <v>13084</v>
      </c>
      <c r="K2784" s="105"/>
      <c r="L2784" s="105"/>
    </row>
    <row r="2785">
      <c r="A2785" s="103" t="s">
        <v>4676</v>
      </c>
      <c r="B2785" s="103">
        <v>1.10012832102E11</v>
      </c>
      <c r="C2785" s="105"/>
      <c r="D2785" s="104" t="s">
        <v>13087</v>
      </c>
      <c r="E2785" s="104" t="s">
        <v>11615</v>
      </c>
      <c r="F2785" s="103" t="s">
        <v>4678</v>
      </c>
      <c r="G2785" s="103" t="s">
        <v>4679</v>
      </c>
      <c r="H2785" s="103" t="s">
        <v>13088</v>
      </c>
      <c r="I2785" s="103">
        <v>3639887.0</v>
      </c>
      <c r="J2785" s="104" t="s">
        <v>13084</v>
      </c>
      <c r="K2785" s="105"/>
      <c r="L2785" s="105"/>
    </row>
    <row r="2786">
      <c r="A2786" s="103" t="s">
        <v>4676</v>
      </c>
      <c r="B2786" s="103">
        <v>1.10012832103E11</v>
      </c>
      <c r="C2786" s="105"/>
      <c r="D2786" s="104" t="s">
        <v>13089</v>
      </c>
      <c r="E2786" s="104" t="s">
        <v>11615</v>
      </c>
      <c r="F2786" s="103" t="s">
        <v>4678</v>
      </c>
      <c r="G2786" s="103" t="s">
        <v>4679</v>
      </c>
      <c r="H2786" s="103" t="s">
        <v>13090</v>
      </c>
      <c r="I2786" s="103">
        <v>2825621.0</v>
      </c>
      <c r="J2786" s="104" t="s">
        <v>13084</v>
      </c>
      <c r="K2786" s="105"/>
      <c r="L2786" s="105"/>
    </row>
    <row r="2787">
      <c r="A2787" s="103" t="s">
        <v>4676</v>
      </c>
      <c r="B2787" s="103">
        <v>1.100128337E9</v>
      </c>
      <c r="C2787" s="105"/>
      <c r="D2787" s="104" t="s">
        <v>13091</v>
      </c>
      <c r="E2787" s="106"/>
      <c r="F2787" s="103" t="s">
        <v>4678</v>
      </c>
      <c r="G2787" s="103" t="s">
        <v>4679</v>
      </c>
      <c r="H2787" s="103" t="s">
        <v>13092</v>
      </c>
      <c r="I2787" s="103" t="s">
        <v>13093</v>
      </c>
      <c r="J2787" s="104" t="s">
        <v>13094</v>
      </c>
      <c r="K2787" s="107" t="s">
        <v>13095</v>
      </c>
      <c r="L2787" s="105"/>
    </row>
    <row r="2788">
      <c r="A2788" s="103" t="s">
        <v>4676</v>
      </c>
      <c r="B2788" s="103">
        <v>1.10012833701E11</v>
      </c>
      <c r="C2788" s="105"/>
      <c r="D2788" s="104" t="s">
        <v>13096</v>
      </c>
      <c r="E2788" s="104" t="s">
        <v>13097</v>
      </c>
      <c r="F2788" s="103" t="s">
        <v>4678</v>
      </c>
      <c r="G2788" s="103" t="s">
        <v>4679</v>
      </c>
      <c r="H2788" s="103" t="s">
        <v>13092</v>
      </c>
      <c r="I2788" s="103" t="s">
        <v>13098</v>
      </c>
      <c r="J2788" s="104" t="s">
        <v>13094</v>
      </c>
      <c r="K2788" s="105"/>
      <c r="L2788" s="105"/>
    </row>
    <row r="2789">
      <c r="A2789" s="103" t="s">
        <v>4676</v>
      </c>
      <c r="B2789" s="103">
        <v>1.100128342E9</v>
      </c>
      <c r="C2789" s="105"/>
      <c r="D2789" s="104" t="s">
        <v>13099</v>
      </c>
      <c r="E2789" s="106"/>
      <c r="F2789" s="103" t="s">
        <v>4678</v>
      </c>
      <c r="G2789" s="103" t="s">
        <v>4679</v>
      </c>
      <c r="H2789" s="103" t="s">
        <v>13100</v>
      </c>
      <c r="I2789" s="103">
        <v>2579955.0</v>
      </c>
      <c r="J2789" s="104" t="s">
        <v>13101</v>
      </c>
      <c r="K2789" s="105"/>
      <c r="L2789" s="105"/>
    </row>
    <row r="2790">
      <c r="A2790" s="103" t="s">
        <v>4676</v>
      </c>
      <c r="B2790" s="103">
        <v>1.10012834201E11</v>
      </c>
      <c r="C2790" s="105"/>
      <c r="D2790" s="104" t="s">
        <v>13102</v>
      </c>
      <c r="E2790" s="104" t="s">
        <v>13103</v>
      </c>
      <c r="F2790" s="103" t="s">
        <v>4678</v>
      </c>
      <c r="G2790" s="103" t="s">
        <v>4679</v>
      </c>
      <c r="H2790" s="103" t="s">
        <v>13104</v>
      </c>
      <c r="I2790" s="103">
        <v>2579955.0</v>
      </c>
      <c r="J2790" s="104" t="s">
        <v>13101</v>
      </c>
      <c r="K2790" s="105"/>
      <c r="L2790" s="105"/>
    </row>
    <row r="2791">
      <c r="A2791" s="103" t="s">
        <v>4676</v>
      </c>
      <c r="B2791" s="103">
        <v>1.100128345E9</v>
      </c>
      <c r="C2791" s="105"/>
      <c r="D2791" s="104" t="s">
        <v>13105</v>
      </c>
      <c r="E2791" s="106"/>
      <c r="F2791" s="103" t="s">
        <v>4678</v>
      </c>
      <c r="G2791" s="103" t="s">
        <v>4679</v>
      </c>
      <c r="H2791" s="103" t="s">
        <v>13106</v>
      </c>
      <c r="I2791" s="103" t="s">
        <v>13107</v>
      </c>
      <c r="J2791" s="104" t="s">
        <v>13108</v>
      </c>
      <c r="K2791" s="107" t="s">
        <v>13109</v>
      </c>
      <c r="L2791" s="105"/>
    </row>
    <row r="2792">
      <c r="A2792" s="103" t="s">
        <v>4676</v>
      </c>
      <c r="B2792" s="103">
        <v>1.10012834501E11</v>
      </c>
      <c r="C2792" s="105"/>
      <c r="D2792" s="104" t="s">
        <v>13110</v>
      </c>
      <c r="E2792" s="104" t="s">
        <v>13111</v>
      </c>
      <c r="F2792" s="103" t="s">
        <v>4678</v>
      </c>
      <c r="G2792" s="103" t="s">
        <v>4679</v>
      </c>
      <c r="H2792" s="103" t="s">
        <v>13112</v>
      </c>
      <c r="I2792" s="103" t="s">
        <v>13107</v>
      </c>
      <c r="J2792" s="104" t="s">
        <v>13108</v>
      </c>
      <c r="K2792" s="105"/>
      <c r="L2792" s="105"/>
    </row>
    <row r="2793">
      <c r="A2793" s="103" t="s">
        <v>4676</v>
      </c>
      <c r="B2793" s="103">
        <v>1.100128366E9</v>
      </c>
      <c r="C2793" s="105"/>
      <c r="D2793" s="104" t="s">
        <v>13113</v>
      </c>
      <c r="E2793" s="106"/>
      <c r="F2793" s="103" t="s">
        <v>4678</v>
      </c>
      <c r="G2793" s="103" t="s">
        <v>4679</v>
      </c>
      <c r="H2793" s="103" t="s">
        <v>13114</v>
      </c>
      <c r="I2793" s="103">
        <v>3.134634564E9</v>
      </c>
      <c r="J2793" s="104" t="s">
        <v>13115</v>
      </c>
      <c r="K2793" s="105"/>
      <c r="L2793" s="105"/>
    </row>
    <row r="2794">
      <c r="A2794" s="103" t="s">
        <v>4676</v>
      </c>
      <c r="B2794" s="103">
        <v>1.10012836601E11</v>
      </c>
      <c r="C2794" s="105"/>
      <c r="D2794" s="104" t="s">
        <v>13113</v>
      </c>
      <c r="E2794" s="104" t="s">
        <v>13116</v>
      </c>
      <c r="F2794" s="103" t="s">
        <v>4678</v>
      </c>
      <c r="G2794" s="103" t="s">
        <v>4679</v>
      </c>
      <c r="H2794" s="103" t="s">
        <v>13117</v>
      </c>
      <c r="I2794" s="103" t="s">
        <v>13118</v>
      </c>
      <c r="J2794" s="104" t="s">
        <v>13119</v>
      </c>
      <c r="K2794" s="105"/>
      <c r="L2794" s="105"/>
    </row>
    <row r="2795">
      <c r="A2795" s="103" t="s">
        <v>4676</v>
      </c>
      <c r="B2795" s="103">
        <v>1.100128373E9</v>
      </c>
      <c r="C2795" s="105"/>
      <c r="D2795" s="104" t="s">
        <v>13120</v>
      </c>
      <c r="E2795" s="106"/>
      <c r="F2795" s="103" t="s">
        <v>4678</v>
      </c>
      <c r="G2795" s="103" t="s">
        <v>4679</v>
      </c>
      <c r="H2795" s="103" t="s">
        <v>13121</v>
      </c>
      <c r="I2795" s="103">
        <v>3003279.0</v>
      </c>
      <c r="J2795" s="104" t="s">
        <v>13122</v>
      </c>
      <c r="K2795" s="105"/>
      <c r="L2795" s="105"/>
    </row>
    <row r="2796">
      <c r="A2796" s="103" t="s">
        <v>4676</v>
      </c>
      <c r="B2796" s="103">
        <v>1.10012837301E11</v>
      </c>
      <c r="C2796" s="105"/>
      <c r="D2796" s="104" t="s">
        <v>13120</v>
      </c>
      <c r="E2796" s="104" t="s">
        <v>13123</v>
      </c>
      <c r="F2796" s="103" t="s">
        <v>4678</v>
      </c>
      <c r="G2796" s="103" t="s">
        <v>4679</v>
      </c>
      <c r="H2796" s="103" t="s">
        <v>13121</v>
      </c>
      <c r="I2796" s="103">
        <v>3003279.0</v>
      </c>
      <c r="J2796" s="104" t="s">
        <v>13124</v>
      </c>
      <c r="K2796" s="105"/>
      <c r="L2796" s="105"/>
    </row>
    <row r="2797">
      <c r="A2797" s="103" t="s">
        <v>4676</v>
      </c>
      <c r="B2797" s="103">
        <v>1.100128384E9</v>
      </c>
      <c r="C2797" s="105"/>
      <c r="D2797" s="104" t="s">
        <v>13125</v>
      </c>
      <c r="E2797" s="106"/>
      <c r="F2797" s="103" t="s">
        <v>4678</v>
      </c>
      <c r="G2797" s="103" t="s">
        <v>4679</v>
      </c>
      <c r="H2797" s="103" t="s">
        <v>13126</v>
      </c>
      <c r="I2797" s="103">
        <v>3.15628471E9</v>
      </c>
      <c r="J2797" s="104" t="s">
        <v>13127</v>
      </c>
      <c r="K2797" s="105"/>
      <c r="L2797" s="105"/>
    </row>
    <row r="2798">
      <c r="A2798" s="103" t="s">
        <v>4676</v>
      </c>
      <c r="B2798" s="103">
        <v>1.10012838402E11</v>
      </c>
      <c r="C2798" s="105"/>
      <c r="D2798" s="104" t="s">
        <v>13125</v>
      </c>
      <c r="E2798" s="104" t="s">
        <v>13128</v>
      </c>
      <c r="F2798" s="103" t="s">
        <v>4678</v>
      </c>
      <c r="G2798" s="103" t="s">
        <v>4679</v>
      </c>
      <c r="H2798" s="103" t="s">
        <v>13129</v>
      </c>
      <c r="I2798" s="103">
        <v>3.15628471E9</v>
      </c>
      <c r="J2798" s="104" t="s">
        <v>13127</v>
      </c>
      <c r="K2798" s="105"/>
      <c r="L2798" s="105"/>
    </row>
    <row r="2799">
      <c r="A2799" s="103" t="s">
        <v>4676</v>
      </c>
      <c r="B2799" s="103">
        <v>1.100128442E9</v>
      </c>
      <c r="C2799" s="105"/>
      <c r="D2799" s="104" t="s">
        <v>13130</v>
      </c>
      <c r="E2799" s="106"/>
      <c r="F2799" s="103" t="s">
        <v>4678</v>
      </c>
      <c r="G2799" s="103" t="s">
        <v>4679</v>
      </c>
      <c r="H2799" s="103" t="s">
        <v>13131</v>
      </c>
      <c r="I2799" s="103" t="s">
        <v>13132</v>
      </c>
      <c r="J2799" s="104" t="s">
        <v>13133</v>
      </c>
      <c r="K2799" s="107" t="s">
        <v>13134</v>
      </c>
      <c r="L2799" s="105"/>
    </row>
    <row r="2800">
      <c r="A2800" s="103" t="s">
        <v>4676</v>
      </c>
      <c r="B2800" s="103">
        <v>1.10012844201E11</v>
      </c>
      <c r="C2800" s="105"/>
      <c r="D2800" s="104" t="s">
        <v>13130</v>
      </c>
      <c r="E2800" s="104" t="s">
        <v>13135</v>
      </c>
      <c r="F2800" s="103" t="s">
        <v>4678</v>
      </c>
      <c r="G2800" s="103" t="s">
        <v>4679</v>
      </c>
      <c r="H2800" s="103" t="s">
        <v>13136</v>
      </c>
      <c r="I2800" s="103" t="s">
        <v>13132</v>
      </c>
      <c r="J2800" s="104" t="s">
        <v>13133</v>
      </c>
      <c r="K2800" s="105"/>
      <c r="L2800" s="105"/>
    </row>
    <row r="2801">
      <c r="A2801" s="103" t="s">
        <v>4676</v>
      </c>
      <c r="B2801" s="103">
        <v>1.100128443E9</v>
      </c>
      <c r="C2801" s="105"/>
      <c r="D2801" s="104" t="s">
        <v>13137</v>
      </c>
      <c r="E2801" s="106"/>
      <c r="F2801" s="103" t="s">
        <v>4678</v>
      </c>
      <c r="G2801" s="103" t="s">
        <v>4679</v>
      </c>
      <c r="H2801" s="103" t="s">
        <v>13138</v>
      </c>
      <c r="I2801" s="103">
        <v>3906321.0</v>
      </c>
      <c r="J2801" s="104" t="s">
        <v>13139</v>
      </c>
      <c r="K2801" s="107" t="s">
        <v>13140</v>
      </c>
      <c r="L2801" s="105"/>
    </row>
    <row r="2802">
      <c r="A2802" s="103" t="s">
        <v>4676</v>
      </c>
      <c r="B2802" s="103">
        <v>1.10012844301E11</v>
      </c>
      <c r="C2802" s="105"/>
      <c r="D2802" s="104" t="s">
        <v>13137</v>
      </c>
      <c r="E2802" s="104" t="s">
        <v>13141</v>
      </c>
      <c r="F2802" s="103" t="s">
        <v>4678</v>
      </c>
      <c r="G2802" s="103" t="s">
        <v>4679</v>
      </c>
      <c r="H2802" s="103" t="s">
        <v>13142</v>
      </c>
      <c r="I2802" s="103">
        <v>3906321.0</v>
      </c>
      <c r="J2802" s="104" t="s">
        <v>13143</v>
      </c>
      <c r="K2802" s="105"/>
      <c r="L2802" s="105"/>
    </row>
    <row r="2803">
      <c r="A2803" s="103" t="s">
        <v>4676</v>
      </c>
      <c r="B2803" s="103">
        <v>1.100128484E9</v>
      </c>
      <c r="C2803" s="105"/>
      <c r="D2803" s="104" t="s">
        <v>13144</v>
      </c>
      <c r="E2803" s="106"/>
      <c r="F2803" s="103" t="s">
        <v>4678</v>
      </c>
      <c r="G2803" s="103" t="s">
        <v>4679</v>
      </c>
      <c r="H2803" s="103" t="s">
        <v>13145</v>
      </c>
      <c r="I2803" s="103" t="s">
        <v>13146</v>
      </c>
      <c r="J2803" s="104" t="s">
        <v>13147</v>
      </c>
      <c r="K2803" s="107" t="s">
        <v>13148</v>
      </c>
      <c r="L2803" s="105"/>
    </row>
    <row r="2804">
      <c r="A2804" s="103" t="s">
        <v>4676</v>
      </c>
      <c r="B2804" s="103">
        <v>1.10012848401E11</v>
      </c>
      <c r="C2804" s="105"/>
      <c r="D2804" s="104" t="s">
        <v>13149</v>
      </c>
      <c r="E2804" s="104" t="s">
        <v>13150</v>
      </c>
      <c r="F2804" s="103" t="s">
        <v>4678</v>
      </c>
      <c r="G2804" s="103" t="s">
        <v>4679</v>
      </c>
      <c r="H2804" s="103" t="s">
        <v>13151</v>
      </c>
      <c r="I2804" s="103" t="s">
        <v>13146</v>
      </c>
      <c r="J2804" s="104" t="s">
        <v>13152</v>
      </c>
      <c r="K2804" s="105"/>
      <c r="L2804" s="105"/>
    </row>
    <row r="2805">
      <c r="A2805" s="103" t="s">
        <v>4676</v>
      </c>
      <c r="B2805" s="103">
        <v>1.100128489E9</v>
      </c>
      <c r="C2805" s="105"/>
      <c r="D2805" s="104" t="s">
        <v>13153</v>
      </c>
      <c r="E2805" s="106"/>
      <c r="F2805" s="103" t="s">
        <v>4678</v>
      </c>
      <c r="G2805" s="103" t="s">
        <v>4679</v>
      </c>
      <c r="H2805" s="103" t="s">
        <v>13154</v>
      </c>
      <c r="I2805" s="103" t="s">
        <v>13155</v>
      </c>
      <c r="J2805" s="104" t="s">
        <v>13156</v>
      </c>
      <c r="K2805" s="105"/>
      <c r="L2805" s="105"/>
    </row>
    <row r="2806">
      <c r="A2806" s="103" t="s">
        <v>4676</v>
      </c>
      <c r="B2806" s="103">
        <v>1.10012848901E11</v>
      </c>
      <c r="C2806" s="105"/>
      <c r="D2806" s="104" t="s">
        <v>13153</v>
      </c>
      <c r="E2806" s="104" t="s">
        <v>13157</v>
      </c>
      <c r="F2806" s="103" t="s">
        <v>4678</v>
      </c>
      <c r="G2806" s="103" t="s">
        <v>4679</v>
      </c>
      <c r="H2806" s="103" t="s">
        <v>13154</v>
      </c>
      <c r="I2806" s="103" t="s">
        <v>13155</v>
      </c>
      <c r="J2806" s="104" t="s">
        <v>13156</v>
      </c>
      <c r="K2806" s="105"/>
      <c r="L2806" s="105"/>
    </row>
    <row r="2807">
      <c r="A2807" s="103" t="s">
        <v>4676</v>
      </c>
      <c r="B2807" s="103">
        <v>1.100128532E9</v>
      </c>
      <c r="C2807" s="105"/>
      <c r="D2807" s="104" t="s">
        <v>13158</v>
      </c>
      <c r="E2807" s="106"/>
      <c r="F2807" s="103" t="s">
        <v>4678</v>
      </c>
      <c r="G2807" s="103" t="s">
        <v>4679</v>
      </c>
      <c r="H2807" s="103" t="s">
        <v>13159</v>
      </c>
      <c r="I2807" s="103" t="s">
        <v>13160</v>
      </c>
      <c r="J2807" s="104" t="s">
        <v>13161</v>
      </c>
      <c r="K2807" s="107" t="s">
        <v>13162</v>
      </c>
      <c r="L2807" s="105"/>
    </row>
    <row r="2808">
      <c r="A2808" s="103" t="s">
        <v>4676</v>
      </c>
      <c r="B2808" s="103">
        <v>1.10012853201E11</v>
      </c>
      <c r="C2808" s="105"/>
      <c r="D2808" s="104" t="s">
        <v>13158</v>
      </c>
      <c r="E2808" s="104" t="s">
        <v>13163</v>
      </c>
      <c r="F2808" s="103" t="s">
        <v>4678</v>
      </c>
      <c r="G2808" s="103" t="s">
        <v>4679</v>
      </c>
      <c r="H2808" s="103" t="s">
        <v>13164</v>
      </c>
      <c r="I2808" s="103">
        <v>3.214523353E9</v>
      </c>
      <c r="J2808" s="104" t="s">
        <v>13161</v>
      </c>
      <c r="K2808" s="105"/>
      <c r="L2808" s="105"/>
    </row>
    <row r="2809">
      <c r="A2809" s="103" t="s">
        <v>4676</v>
      </c>
      <c r="B2809" s="103">
        <v>1.100128551E9</v>
      </c>
      <c r="C2809" s="105"/>
      <c r="D2809" s="104" t="s">
        <v>13165</v>
      </c>
      <c r="E2809" s="106"/>
      <c r="F2809" s="103" t="s">
        <v>4678</v>
      </c>
      <c r="G2809" s="103" t="s">
        <v>4679</v>
      </c>
      <c r="H2809" s="103" t="s">
        <v>13166</v>
      </c>
      <c r="I2809" s="103">
        <v>6054849.0</v>
      </c>
      <c r="J2809" s="104" t="s">
        <v>13167</v>
      </c>
      <c r="K2809" s="107" t="s">
        <v>13168</v>
      </c>
      <c r="L2809" s="105"/>
    </row>
    <row r="2810">
      <c r="A2810" s="103" t="s">
        <v>4676</v>
      </c>
      <c r="B2810" s="103">
        <v>1.10012855101E11</v>
      </c>
      <c r="C2810" s="105"/>
      <c r="D2810" s="104" t="s">
        <v>13169</v>
      </c>
      <c r="E2810" s="104" t="s">
        <v>13170</v>
      </c>
      <c r="F2810" s="103" t="s">
        <v>4678</v>
      </c>
      <c r="G2810" s="103" t="s">
        <v>4679</v>
      </c>
      <c r="H2810" s="103" t="s">
        <v>13166</v>
      </c>
      <c r="I2810" s="103">
        <v>6054849.0</v>
      </c>
      <c r="J2810" s="104" t="s">
        <v>13167</v>
      </c>
      <c r="K2810" s="105"/>
      <c r="L2810" s="105"/>
    </row>
    <row r="2811">
      <c r="A2811" s="103" t="s">
        <v>4676</v>
      </c>
      <c r="B2811" s="103">
        <v>1.100128563E9</v>
      </c>
      <c r="C2811" s="105"/>
      <c r="D2811" s="104" t="s">
        <v>13171</v>
      </c>
      <c r="E2811" s="106"/>
      <c r="F2811" s="103" t="s">
        <v>4678</v>
      </c>
      <c r="G2811" s="103" t="s">
        <v>4679</v>
      </c>
      <c r="H2811" s="103" t="s">
        <v>13172</v>
      </c>
      <c r="I2811" s="103" t="s">
        <v>13173</v>
      </c>
      <c r="J2811" s="104" t="s">
        <v>13174</v>
      </c>
      <c r="K2811" s="105"/>
      <c r="L2811" s="105"/>
    </row>
    <row r="2812">
      <c r="A2812" s="103" t="s">
        <v>4676</v>
      </c>
      <c r="B2812" s="103">
        <v>1.10012856301E11</v>
      </c>
      <c r="C2812" s="105"/>
      <c r="D2812" s="104" t="s">
        <v>13171</v>
      </c>
      <c r="E2812" s="104" t="s">
        <v>13175</v>
      </c>
      <c r="F2812" s="103" t="s">
        <v>4678</v>
      </c>
      <c r="G2812" s="103" t="s">
        <v>4679</v>
      </c>
      <c r="H2812" s="103" t="s">
        <v>13172</v>
      </c>
      <c r="I2812" s="103" t="s">
        <v>13176</v>
      </c>
      <c r="J2812" s="104" t="s">
        <v>13174</v>
      </c>
      <c r="K2812" s="105"/>
      <c r="L2812" s="105"/>
    </row>
    <row r="2813">
      <c r="A2813" s="103" t="s">
        <v>4676</v>
      </c>
      <c r="B2813" s="103">
        <v>1.100128592E9</v>
      </c>
      <c r="C2813" s="105"/>
      <c r="D2813" s="104" t="s">
        <v>13177</v>
      </c>
      <c r="E2813" s="106"/>
      <c r="F2813" s="103" t="s">
        <v>4678</v>
      </c>
      <c r="G2813" s="103" t="s">
        <v>4679</v>
      </c>
      <c r="H2813" s="103" t="s">
        <v>13178</v>
      </c>
      <c r="I2813" s="103">
        <v>3.187358139E9</v>
      </c>
      <c r="J2813" s="104" t="s">
        <v>13179</v>
      </c>
      <c r="K2813" s="107" t="s">
        <v>13180</v>
      </c>
      <c r="L2813" s="105"/>
    </row>
    <row r="2814">
      <c r="A2814" s="103" t="s">
        <v>4676</v>
      </c>
      <c r="B2814" s="103">
        <v>1.10012859201E11</v>
      </c>
      <c r="C2814" s="105"/>
      <c r="D2814" s="104" t="s">
        <v>13177</v>
      </c>
      <c r="E2814" s="104" t="s">
        <v>13181</v>
      </c>
      <c r="F2814" s="103" t="s">
        <v>4678</v>
      </c>
      <c r="G2814" s="103" t="s">
        <v>4679</v>
      </c>
      <c r="H2814" s="103" t="s">
        <v>13182</v>
      </c>
      <c r="I2814" s="103">
        <v>3.187358139E9</v>
      </c>
      <c r="J2814" s="104" t="s">
        <v>13179</v>
      </c>
      <c r="K2814" s="105"/>
      <c r="L2814" s="105"/>
    </row>
    <row r="2815">
      <c r="A2815" s="103" t="s">
        <v>4676</v>
      </c>
      <c r="B2815" s="103">
        <v>1.100128646E9</v>
      </c>
      <c r="C2815" s="105"/>
      <c r="D2815" s="104" t="s">
        <v>13183</v>
      </c>
      <c r="E2815" s="106"/>
      <c r="F2815" s="103" t="s">
        <v>4678</v>
      </c>
      <c r="G2815" s="103" t="s">
        <v>4679</v>
      </c>
      <c r="H2815" s="103" t="s">
        <v>13184</v>
      </c>
      <c r="I2815" s="103" t="s">
        <v>13185</v>
      </c>
      <c r="J2815" s="104" t="s">
        <v>13186</v>
      </c>
      <c r="K2815" s="107" t="s">
        <v>13187</v>
      </c>
      <c r="L2815" s="105"/>
    </row>
    <row r="2816">
      <c r="A2816" s="103" t="s">
        <v>4676</v>
      </c>
      <c r="B2816" s="103">
        <v>1.10012864601E11</v>
      </c>
      <c r="C2816" s="105"/>
      <c r="D2816" s="104" t="s">
        <v>13183</v>
      </c>
      <c r="E2816" s="104" t="s">
        <v>13188</v>
      </c>
      <c r="F2816" s="103" t="s">
        <v>4678</v>
      </c>
      <c r="G2816" s="103" t="s">
        <v>4679</v>
      </c>
      <c r="H2816" s="103" t="s">
        <v>13184</v>
      </c>
      <c r="I2816" s="103" t="s">
        <v>13185</v>
      </c>
      <c r="J2816" s="104" t="s">
        <v>13186</v>
      </c>
      <c r="K2816" s="105"/>
      <c r="L2816" s="105"/>
    </row>
    <row r="2817">
      <c r="A2817" s="103" t="s">
        <v>4676</v>
      </c>
      <c r="B2817" s="103">
        <v>1.100128678E9</v>
      </c>
      <c r="C2817" s="105"/>
      <c r="D2817" s="104" t="s">
        <v>13189</v>
      </c>
      <c r="E2817" s="106"/>
      <c r="F2817" s="103" t="s">
        <v>4678</v>
      </c>
      <c r="G2817" s="103" t="s">
        <v>4679</v>
      </c>
      <c r="H2817" s="103" t="s">
        <v>13190</v>
      </c>
      <c r="I2817" s="103" t="s">
        <v>13191</v>
      </c>
      <c r="J2817" s="104" t="s">
        <v>13192</v>
      </c>
      <c r="K2817" s="105"/>
      <c r="L2817" s="105"/>
    </row>
    <row r="2818">
      <c r="A2818" s="103" t="s">
        <v>4676</v>
      </c>
      <c r="B2818" s="103">
        <v>1.10012867802E11</v>
      </c>
      <c r="C2818" s="105"/>
      <c r="D2818" s="104" t="s">
        <v>13193</v>
      </c>
      <c r="E2818" s="104" t="s">
        <v>13194</v>
      </c>
      <c r="F2818" s="103" t="s">
        <v>4678</v>
      </c>
      <c r="G2818" s="103" t="s">
        <v>4679</v>
      </c>
      <c r="H2818" s="103" t="s">
        <v>13195</v>
      </c>
      <c r="I2818" s="103" t="s">
        <v>13191</v>
      </c>
      <c r="J2818" s="104" t="s">
        <v>13192</v>
      </c>
      <c r="K2818" s="105"/>
      <c r="L2818" s="105"/>
    </row>
    <row r="2819">
      <c r="A2819" s="103" t="s">
        <v>4676</v>
      </c>
      <c r="B2819" s="103">
        <v>1.100128757E9</v>
      </c>
      <c r="C2819" s="105"/>
      <c r="D2819" s="104" t="s">
        <v>13196</v>
      </c>
      <c r="E2819" s="106"/>
      <c r="F2819" s="103" t="s">
        <v>4678</v>
      </c>
      <c r="G2819" s="103" t="s">
        <v>4679</v>
      </c>
      <c r="H2819" s="103" t="s">
        <v>13197</v>
      </c>
      <c r="I2819" s="103" t="s">
        <v>13198</v>
      </c>
      <c r="J2819" s="104" t="s">
        <v>13199</v>
      </c>
      <c r="K2819" s="107" t="s">
        <v>13200</v>
      </c>
      <c r="L2819" s="105"/>
    </row>
    <row r="2820">
      <c r="A2820" s="103" t="s">
        <v>4676</v>
      </c>
      <c r="B2820" s="103">
        <v>1.10012875701E11</v>
      </c>
      <c r="C2820" s="105"/>
      <c r="D2820" s="104" t="s">
        <v>13201</v>
      </c>
      <c r="E2820" s="104" t="s">
        <v>13202</v>
      </c>
      <c r="F2820" s="103" t="s">
        <v>4678</v>
      </c>
      <c r="G2820" s="103" t="s">
        <v>4679</v>
      </c>
      <c r="H2820" s="103" t="s">
        <v>13197</v>
      </c>
      <c r="I2820" s="103" t="s">
        <v>13203</v>
      </c>
      <c r="J2820" s="104" t="s">
        <v>13199</v>
      </c>
      <c r="K2820" s="105"/>
      <c r="L2820" s="105"/>
    </row>
    <row r="2821">
      <c r="A2821" s="103" t="s">
        <v>4676</v>
      </c>
      <c r="B2821" s="103">
        <v>1.10012876E9</v>
      </c>
      <c r="C2821" s="105"/>
      <c r="D2821" s="104" t="s">
        <v>13204</v>
      </c>
      <c r="E2821" s="106"/>
      <c r="F2821" s="103" t="s">
        <v>4678</v>
      </c>
      <c r="G2821" s="103" t="s">
        <v>4679</v>
      </c>
      <c r="H2821" s="103" t="s">
        <v>13205</v>
      </c>
      <c r="I2821" s="103" t="s">
        <v>13206</v>
      </c>
      <c r="J2821" s="104" t="s">
        <v>13207</v>
      </c>
      <c r="K2821" s="105"/>
      <c r="L2821" s="105"/>
    </row>
    <row r="2822">
      <c r="A2822" s="103" t="s">
        <v>4676</v>
      </c>
      <c r="B2822" s="103">
        <v>1.10012876001E11</v>
      </c>
      <c r="C2822" s="105"/>
      <c r="D2822" s="104" t="s">
        <v>13204</v>
      </c>
      <c r="E2822" s="104" t="s">
        <v>13208</v>
      </c>
      <c r="F2822" s="103" t="s">
        <v>4678</v>
      </c>
      <c r="G2822" s="103" t="s">
        <v>4679</v>
      </c>
      <c r="H2822" s="103" t="s">
        <v>13205</v>
      </c>
      <c r="I2822" s="103" t="s">
        <v>13209</v>
      </c>
      <c r="J2822" s="104" t="s">
        <v>13207</v>
      </c>
      <c r="K2822" s="105"/>
      <c r="L2822" s="105"/>
    </row>
    <row r="2823">
      <c r="A2823" s="103" t="s">
        <v>4676</v>
      </c>
      <c r="B2823" s="103">
        <v>1.100128773E9</v>
      </c>
      <c r="C2823" s="105"/>
      <c r="D2823" s="104" t="s">
        <v>13210</v>
      </c>
      <c r="E2823" s="106"/>
      <c r="F2823" s="103" t="s">
        <v>4678</v>
      </c>
      <c r="G2823" s="103" t="s">
        <v>4679</v>
      </c>
      <c r="H2823" s="103" t="s">
        <v>13211</v>
      </c>
      <c r="I2823" s="103" t="s">
        <v>13212</v>
      </c>
      <c r="J2823" s="104" t="s">
        <v>13213</v>
      </c>
      <c r="K2823" s="105"/>
      <c r="L2823" s="105"/>
    </row>
    <row r="2824">
      <c r="A2824" s="103" t="s">
        <v>4676</v>
      </c>
      <c r="B2824" s="103">
        <v>1.10012877301E11</v>
      </c>
      <c r="C2824" s="105"/>
      <c r="D2824" s="104" t="s">
        <v>13214</v>
      </c>
      <c r="E2824" s="104" t="s">
        <v>13215</v>
      </c>
      <c r="F2824" s="103" t="s">
        <v>4678</v>
      </c>
      <c r="G2824" s="103" t="s">
        <v>4679</v>
      </c>
      <c r="H2824" s="103" t="s">
        <v>13211</v>
      </c>
      <c r="I2824" s="103" t="s">
        <v>13212</v>
      </c>
      <c r="J2824" s="104" t="s">
        <v>13213</v>
      </c>
      <c r="K2824" s="105"/>
      <c r="L2824" s="105"/>
    </row>
    <row r="2825">
      <c r="A2825" s="103" t="s">
        <v>4676</v>
      </c>
      <c r="B2825" s="103">
        <v>1.100128774E9</v>
      </c>
      <c r="C2825" s="105"/>
      <c r="D2825" s="104" t="s">
        <v>13216</v>
      </c>
      <c r="E2825" s="106"/>
      <c r="F2825" s="103" t="s">
        <v>4678</v>
      </c>
      <c r="G2825" s="103" t="s">
        <v>4679</v>
      </c>
      <c r="H2825" s="103" t="s">
        <v>13217</v>
      </c>
      <c r="I2825" s="103" t="s">
        <v>13218</v>
      </c>
      <c r="J2825" s="104" t="s">
        <v>13219</v>
      </c>
      <c r="K2825" s="107" t="s">
        <v>13220</v>
      </c>
      <c r="L2825" s="105"/>
    </row>
    <row r="2826">
      <c r="A2826" s="103" t="s">
        <v>4676</v>
      </c>
      <c r="B2826" s="103">
        <v>1.10012877401E11</v>
      </c>
      <c r="C2826" s="105"/>
      <c r="D2826" s="104" t="s">
        <v>13216</v>
      </c>
      <c r="E2826" s="104" t="s">
        <v>13221</v>
      </c>
      <c r="F2826" s="103" t="s">
        <v>4678</v>
      </c>
      <c r="G2826" s="103" t="s">
        <v>4679</v>
      </c>
      <c r="H2826" s="103" t="s">
        <v>13222</v>
      </c>
      <c r="I2826" s="103" t="s">
        <v>13223</v>
      </c>
      <c r="J2826" s="104" t="s">
        <v>13219</v>
      </c>
      <c r="K2826" s="105"/>
      <c r="L2826" s="105"/>
    </row>
    <row r="2827">
      <c r="A2827" s="103" t="s">
        <v>4676</v>
      </c>
      <c r="B2827" s="103">
        <v>1.10012877402E11</v>
      </c>
      <c r="C2827" s="105"/>
      <c r="D2827" s="104" t="s">
        <v>13224</v>
      </c>
      <c r="E2827" s="104" t="s">
        <v>13225</v>
      </c>
      <c r="F2827" s="103" t="s">
        <v>4678</v>
      </c>
      <c r="G2827" s="103" t="s">
        <v>4679</v>
      </c>
      <c r="H2827" s="103" t="s">
        <v>13226</v>
      </c>
      <c r="I2827" s="103" t="s">
        <v>13218</v>
      </c>
      <c r="J2827" s="104" t="s">
        <v>13219</v>
      </c>
      <c r="K2827" s="105"/>
      <c r="L2827" s="105"/>
    </row>
    <row r="2828">
      <c r="A2828" s="103" t="s">
        <v>4676</v>
      </c>
      <c r="B2828" s="103">
        <v>1.100128783E9</v>
      </c>
      <c r="C2828" s="105"/>
      <c r="D2828" s="104" t="s">
        <v>13227</v>
      </c>
      <c r="E2828" s="106"/>
      <c r="F2828" s="103" t="s">
        <v>4678</v>
      </c>
      <c r="G2828" s="103" t="s">
        <v>4679</v>
      </c>
      <c r="H2828" s="103" t="s">
        <v>13228</v>
      </c>
      <c r="I2828" s="103">
        <v>3.107658829E9</v>
      </c>
      <c r="J2828" s="104" t="s">
        <v>13229</v>
      </c>
      <c r="K2828" s="105"/>
      <c r="L2828" s="105"/>
    </row>
    <row r="2829">
      <c r="A2829" s="103" t="s">
        <v>4676</v>
      </c>
      <c r="B2829" s="103">
        <v>1.10012878301E11</v>
      </c>
      <c r="C2829" s="105"/>
      <c r="D2829" s="104" t="s">
        <v>13230</v>
      </c>
      <c r="E2829" s="104" t="s">
        <v>13231</v>
      </c>
      <c r="F2829" s="103" t="s">
        <v>4678</v>
      </c>
      <c r="G2829" s="103" t="s">
        <v>4679</v>
      </c>
      <c r="H2829" s="103" t="s">
        <v>13232</v>
      </c>
      <c r="I2829" s="103">
        <v>3.107658829E9</v>
      </c>
      <c r="J2829" s="104" t="s">
        <v>13233</v>
      </c>
      <c r="K2829" s="105"/>
      <c r="L2829" s="105"/>
    </row>
    <row r="2830">
      <c r="A2830" s="103" t="s">
        <v>4676</v>
      </c>
      <c r="B2830" s="103">
        <v>1.10012878303E11</v>
      </c>
      <c r="C2830" s="105"/>
      <c r="D2830" s="104" t="s">
        <v>13234</v>
      </c>
      <c r="E2830" s="104" t="s">
        <v>13231</v>
      </c>
      <c r="F2830" s="103" t="s">
        <v>4678</v>
      </c>
      <c r="G2830" s="103" t="s">
        <v>4679</v>
      </c>
      <c r="H2830" s="103" t="s">
        <v>13235</v>
      </c>
      <c r="I2830" s="103" t="s">
        <v>13236</v>
      </c>
      <c r="J2830" s="104" t="s">
        <v>13229</v>
      </c>
      <c r="K2830" s="105"/>
      <c r="L2830" s="105"/>
    </row>
    <row r="2831">
      <c r="A2831" s="103" t="s">
        <v>4676</v>
      </c>
      <c r="B2831" s="103">
        <v>1.100128817E9</v>
      </c>
      <c r="C2831" s="105"/>
      <c r="D2831" s="104" t="s">
        <v>13237</v>
      </c>
      <c r="E2831" s="106"/>
      <c r="F2831" s="103" t="s">
        <v>4678</v>
      </c>
      <c r="G2831" s="103" t="s">
        <v>4679</v>
      </c>
      <c r="H2831" s="103" t="s">
        <v>13238</v>
      </c>
      <c r="I2831" s="103" t="s">
        <v>13239</v>
      </c>
      <c r="J2831" s="104" t="s">
        <v>13240</v>
      </c>
      <c r="K2831" s="105"/>
      <c r="L2831" s="105"/>
    </row>
    <row r="2832">
      <c r="A2832" s="103" t="s">
        <v>4676</v>
      </c>
      <c r="B2832" s="103">
        <v>1.10012881701E11</v>
      </c>
      <c r="C2832" s="105"/>
      <c r="D2832" s="104" t="s">
        <v>13237</v>
      </c>
      <c r="E2832" s="104" t="s">
        <v>13241</v>
      </c>
      <c r="F2832" s="103" t="s">
        <v>4678</v>
      </c>
      <c r="G2832" s="103" t="s">
        <v>4679</v>
      </c>
      <c r="H2832" s="103" t="s">
        <v>13238</v>
      </c>
      <c r="I2832" s="103" t="s">
        <v>13239</v>
      </c>
      <c r="J2832" s="104" t="s">
        <v>13240</v>
      </c>
      <c r="K2832" s="105"/>
      <c r="L2832" s="105"/>
    </row>
    <row r="2833">
      <c r="A2833" s="103" t="s">
        <v>4676</v>
      </c>
      <c r="B2833" s="103">
        <v>1.100128828E9</v>
      </c>
      <c r="C2833" s="105"/>
      <c r="D2833" s="104" t="s">
        <v>13242</v>
      </c>
      <c r="E2833" s="106"/>
      <c r="F2833" s="103" t="s">
        <v>4678</v>
      </c>
      <c r="G2833" s="103" t="s">
        <v>4679</v>
      </c>
      <c r="H2833" s="103" t="s">
        <v>13243</v>
      </c>
      <c r="I2833" s="103">
        <v>3.165390107E9</v>
      </c>
      <c r="J2833" s="104" t="s">
        <v>13244</v>
      </c>
      <c r="K2833" s="105"/>
      <c r="L2833" s="105"/>
    </row>
    <row r="2834">
      <c r="A2834" s="103" t="s">
        <v>4676</v>
      </c>
      <c r="B2834" s="103">
        <v>1.10012882801E11</v>
      </c>
      <c r="C2834" s="105"/>
      <c r="D2834" s="104" t="s">
        <v>13245</v>
      </c>
      <c r="E2834" s="104" t="s">
        <v>13246</v>
      </c>
      <c r="F2834" s="103" t="s">
        <v>4678</v>
      </c>
      <c r="G2834" s="103" t="s">
        <v>4679</v>
      </c>
      <c r="H2834" s="103" t="s">
        <v>13247</v>
      </c>
      <c r="I2834" s="103">
        <v>7139326.0</v>
      </c>
      <c r="J2834" s="104" t="s">
        <v>13244</v>
      </c>
      <c r="K2834" s="105"/>
      <c r="L2834" s="105"/>
    </row>
    <row r="2835">
      <c r="A2835" s="103" t="s">
        <v>4676</v>
      </c>
      <c r="B2835" s="103">
        <v>1.10012884E9</v>
      </c>
      <c r="C2835" s="105"/>
      <c r="D2835" s="104" t="s">
        <v>13248</v>
      </c>
      <c r="E2835" s="106"/>
      <c r="F2835" s="103" t="s">
        <v>4678</v>
      </c>
      <c r="G2835" s="103" t="s">
        <v>4679</v>
      </c>
      <c r="H2835" s="103" t="s">
        <v>13249</v>
      </c>
      <c r="I2835" s="103" t="s">
        <v>13250</v>
      </c>
      <c r="J2835" s="104" t="s">
        <v>13251</v>
      </c>
      <c r="K2835" s="107" t="s">
        <v>13252</v>
      </c>
      <c r="L2835" s="105"/>
    </row>
    <row r="2836">
      <c r="A2836" s="103" t="s">
        <v>4676</v>
      </c>
      <c r="B2836" s="103">
        <v>1.10012884001E11</v>
      </c>
      <c r="C2836" s="105"/>
      <c r="D2836" s="104" t="s">
        <v>13253</v>
      </c>
      <c r="E2836" s="104" t="s">
        <v>13254</v>
      </c>
      <c r="F2836" s="103" t="s">
        <v>4678</v>
      </c>
      <c r="G2836" s="103" t="s">
        <v>4679</v>
      </c>
      <c r="H2836" s="103" t="s">
        <v>13255</v>
      </c>
      <c r="I2836" s="103" t="s">
        <v>13250</v>
      </c>
      <c r="J2836" s="104" t="s">
        <v>13251</v>
      </c>
      <c r="K2836" s="105"/>
      <c r="L2836" s="105"/>
    </row>
    <row r="2837">
      <c r="A2837" s="103" t="s">
        <v>4676</v>
      </c>
      <c r="B2837" s="103">
        <v>1.10012884003E11</v>
      </c>
      <c r="C2837" s="105"/>
      <c r="D2837" s="104" t="s">
        <v>13256</v>
      </c>
      <c r="E2837" s="104" t="s">
        <v>13257</v>
      </c>
      <c r="F2837" s="103" t="s">
        <v>4678</v>
      </c>
      <c r="G2837" s="103" t="s">
        <v>4679</v>
      </c>
      <c r="H2837" s="103" t="s">
        <v>13258</v>
      </c>
      <c r="I2837" s="103">
        <v>3.183270729E9</v>
      </c>
      <c r="J2837" s="104" t="s">
        <v>13251</v>
      </c>
      <c r="K2837" s="105"/>
      <c r="L2837" s="105"/>
    </row>
    <row r="2838">
      <c r="A2838" s="103" t="s">
        <v>4676</v>
      </c>
      <c r="B2838" s="103">
        <v>1.100128858E9</v>
      </c>
      <c r="C2838" s="105"/>
      <c r="D2838" s="104" t="s">
        <v>13259</v>
      </c>
      <c r="E2838" s="106"/>
      <c r="F2838" s="103" t="s">
        <v>4678</v>
      </c>
      <c r="G2838" s="103" t="s">
        <v>4679</v>
      </c>
      <c r="H2838" s="103" t="s">
        <v>13260</v>
      </c>
      <c r="I2838" s="103" t="s">
        <v>13261</v>
      </c>
      <c r="J2838" s="104" t="s">
        <v>13262</v>
      </c>
      <c r="K2838" s="107" t="s">
        <v>13263</v>
      </c>
      <c r="L2838" s="105"/>
    </row>
    <row r="2839">
      <c r="A2839" s="103" t="s">
        <v>4676</v>
      </c>
      <c r="B2839" s="103">
        <v>1.10012885801E11</v>
      </c>
      <c r="C2839" s="105"/>
      <c r="D2839" s="104" t="s">
        <v>13259</v>
      </c>
      <c r="E2839" s="104" t="s">
        <v>13264</v>
      </c>
      <c r="F2839" s="103" t="s">
        <v>4678</v>
      </c>
      <c r="G2839" s="103" t="s">
        <v>4679</v>
      </c>
      <c r="H2839" s="103" t="s">
        <v>13265</v>
      </c>
      <c r="I2839" s="103" t="s">
        <v>13261</v>
      </c>
      <c r="J2839" s="104" t="s">
        <v>13262</v>
      </c>
      <c r="K2839" s="105"/>
      <c r="L2839" s="105"/>
    </row>
    <row r="2840">
      <c r="A2840" s="103" t="s">
        <v>4676</v>
      </c>
      <c r="B2840" s="103">
        <v>1.100128862E9</v>
      </c>
      <c r="C2840" s="105"/>
      <c r="D2840" s="104" t="s">
        <v>13266</v>
      </c>
      <c r="E2840" s="106"/>
      <c r="F2840" s="103" t="s">
        <v>4678</v>
      </c>
      <c r="G2840" s="103" t="s">
        <v>4679</v>
      </c>
      <c r="H2840" s="103" t="s">
        <v>13267</v>
      </c>
      <c r="I2840" s="103" t="s">
        <v>13268</v>
      </c>
      <c r="J2840" s="104" t="s">
        <v>13269</v>
      </c>
      <c r="K2840" s="107" t="s">
        <v>13270</v>
      </c>
      <c r="L2840" s="105"/>
    </row>
    <row r="2841">
      <c r="A2841" s="103" t="s">
        <v>4676</v>
      </c>
      <c r="B2841" s="103">
        <v>1.10012886201E11</v>
      </c>
      <c r="C2841" s="105"/>
      <c r="D2841" s="104" t="s">
        <v>13271</v>
      </c>
      <c r="E2841" s="104" t="s">
        <v>13272</v>
      </c>
      <c r="F2841" s="103" t="s">
        <v>4678</v>
      </c>
      <c r="G2841" s="103" t="s">
        <v>4679</v>
      </c>
      <c r="H2841" s="103" t="s">
        <v>13267</v>
      </c>
      <c r="I2841" s="103" t="s">
        <v>13273</v>
      </c>
      <c r="J2841" s="104" t="s">
        <v>13269</v>
      </c>
      <c r="K2841" s="105"/>
      <c r="L2841" s="105"/>
    </row>
    <row r="2842">
      <c r="A2842" s="103" t="s">
        <v>4676</v>
      </c>
      <c r="B2842" s="103">
        <v>1.10012886202E11</v>
      </c>
      <c r="C2842" s="105"/>
      <c r="D2842" s="104" t="s">
        <v>13274</v>
      </c>
      <c r="E2842" s="104" t="s">
        <v>13275</v>
      </c>
      <c r="F2842" s="103" t="s">
        <v>4678</v>
      </c>
      <c r="G2842" s="103" t="s">
        <v>4679</v>
      </c>
      <c r="H2842" s="103" t="s">
        <v>13276</v>
      </c>
      <c r="I2842" s="103" t="s">
        <v>13273</v>
      </c>
      <c r="J2842" s="104" t="s">
        <v>13269</v>
      </c>
      <c r="K2842" s="105"/>
      <c r="L2842" s="105"/>
    </row>
    <row r="2843">
      <c r="A2843" s="103" t="s">
        <v>4676</v>
      </c>
      <c r="B2843" s="103">
        <v>1.100128871E9</v>
      </c>
      <c r="C2843" s="105"/>
      <c r="D2843" s="104" t="s">
        <v>13277</v>
      </c>
      <c r="E2843" s="106"/>
      <c r="F2843" s="103" t="s">
        <v>4678</v>
      </c>
      <c r="G2843" s="103" t="s">
        <v>4679</v>
      </c>
      <c r="H2843" s="103" t="s">
        <v>13278</v>
      </c>
      <c r="I2843" s="103">
        <v>6.013227118E9</v>
      </c>
      <c r="J2843" s="104" t="s">
        <v>13279</v>
      </c>
      <c r="K2843" s="103" t="s">
        <v>13280</v>
      </c>
      <c r="L2843" s="105"/>
    </row>
    <row r="2844">
      <c r="A2844" s="103" t="s">
        <v>4676</v>
      </c>
      <c r="B2844" s="103">
        <v>1.10012887101E11</v>
      </c>
      <c r="C2844" s="105"/>
      <c r="D2844" s="104" t="s">
        <v>13277</v>
      </c>
      <c r="E2844" s="104" t="s">
        <v>13281</v>
      </c>
      <c r="F2844" s="103" t="s">
        <v>4678</v>
      </c>
      <c r="G2844" s="103" t="s">
        <v>4679</v>
      </c>
      <c r="H2844" s="103" t="s">
        <v>13282</v>
      </c>
      <c r="I2844" s="103">
        <v>6.013227118E9</v>
      </c>
      <c r="J2844" s="104" t="s">
        <v>13283</v>
      </c>
      <c r="K2844" s="105"/>
      <c r="L2844" s="105"/>
    </row>
    <row r="2845">
      <c r="A2845" s="103" t="s">
        <v>4676</v>
      </c>
      <c r="B2845" s="103">
        <v>1.100128908E9</v>
      </c>
      <c r="C2845" s="105"/>
      <c r="D2845" s="104" t="s">
        <v>13284</v>
      </c>
      <c r="E2845" s="106"/>
      <c r="F2845" s="103" t="s">
        <v>4678</v>
      </c>
      <c r="G2845" s="103" t="s">
        <v>4679</v>
      </c>
      <c r="H2845" s="103" t="s">
        <v>13285</v>
      </c>
      <c r="I2845" s="103">
        <v>2582881.0</v>
      </c>
      <c r="J2845" s="104" t="s">
        <v>13286</v>
      </c>
      <c r="K2845" s="107" t="s">
        <v>13287</v>
      </c>
      <c r="L2845" s="105"/>
    </row>
    <row r="2846">
      <c r="A2846" s="103" t="s">
        <v>4676</v>
      </c>
      <c r="B2846" s="103">
        <v>1.10012890801E11</v>
      </c>
      <c r="C2846" s="105"/>
      <c r="D2846" s="104" t="s">
        <v>13284</v>
      </c>
      <c r="E2846" s="104" t="s">
        <v>13288</v>
      </c>
      <c r="F2846" s="103" t="s">
        <v>4678</v>
      </c>
      <c r="G2846" s="103" t="s">
        <v>4679</v>
      </c>
      <c r="H2846" s="103" t="s">
        <v>13289</v>
      </c>
      <c r="I2846" s="103">
        <v>2582881.0</v>
      </c>
      <c r="J2846" s="104" t="s">
        <v>13290</v>
      </c>
      <c r="K2846" s="105"/>
      <c r="L2846" s="105"/>
    </row>
    <row r="2847">
      <c r="A2847" s="103" t="s">
        <v>4676</v>
      </c>
      <c r="B2847" s="103">
        <v>1.100128911E9</v>
      </c>
      <c r="C2847" s="105"/>
      <c r="D2847" s="104" t="s">
        <v>13291</v>
      </c>
      <c r="E2847" s="106"/>
      <c r="F2847" s="103" t="s">
        <v>4678</v>
      </c>
      <c r="G2847" s="103" t="s">
        <v>4679</v>
      </c>
      <c r="H2847" s="103" t="s">
        <v>13292</v>
      </c>
      <c r="I2847" s="103">
        <v>3.202749492E9</v>
      </c>
      <c r="J2847" s="104" t="s">
        <v>13293</v>
      </c>
      <c r="K2847" s="105"/>
      <c r="L2847" s="105"/>
    </row>
    <row r="2848">
      <c r="A2848" s="103" t="s">
        <v>4676</v>
      </c>
      <c r="B2848" s="103">
        <v>1.10012891101E11</v>
      </c>
      <c r="C2848" s="105"/>
      <c r="D2848" s="104" t="s">
        <v>13291</v>
      </c>
      <c r="E2848" s="104" t="s">
        <v>13294</v>
      </c>
      <c r="F2848" s="103" t="s">
        <v>4678</v>
      </c>
      <c r="G2848" s="103" t="s">
        <v>4679</v>
      </c>
      <c r="H2848" s="103" t="s">
        <v>13295</v>
      </c>
      <c r="I2848" s="103">
        <v>3.202749492E9</v>
      </c>
      <c r="J2848" s="104" t="s">
        <v>13293</v>
      </c>
      <c r="K2848" s="105"/>
      <c r="L2848" s="105"/>
    </row>
    <row r="2849">
      <c r="A2849" s="103" t="s">
        <v>4676</v>
      </c>
      <c r="B2849" s="103">
        <v>1.100128923E9</v>
      </c>
      <c r="C2849" s="105"/>
      <c r="D2849" s="104" t="s">
        <v>13296</v>
      </c>
      <c r="E2849" s="106"/>
      <c r="F2849" s="103" t="s">
        <v>4678</v>
      </c>
      <c r="G2849" s="103" t="s">
        <v>4679</v>
      </c>
      <c r="H2849" s="103" t="s">
        <v>13297</v>
      </c>
      <c r="I2849" s="103">
        <v>3.114491214E9</v>
      </c>
      <c r="J2849" s="104" t="s">
        <v>13298</v>
      </c>
      <c r="K2849" s="105"/>
      <c r="L2849" s="105"/>
    </row>
    <row r="2850">
      <c r="A2850" s="103" t="s">
        <v>4676</v>
      </c>
      <c r="B2850" s="103">
        <v>1.10012892301E11</v>
      </c>
      <c r="C2850" s="105"/>
      <c r="D2850" s="104" t="s">
        <v>13296</v>
      </c>
      <c r="E2850" s="104" t="s">
        <v>13299</v>
      </c>
      <c r="F2850" s="103" t="s">
        <v>4678</v>
      </c>
      <c r="G2850" s="103" t="s">
        <v>4679</v>
      </c>
      <c r="H2850" s="103" t="s">
        <v>13300</v>
      </c>
      <c r="I2850" s="103">
        <v>3.114491214E9</v>
      </c>
      <c r="J2850" s="104" t="s">
        <v>13301</v>
      </c>
      <c r="K2850" s="105"/>
      <c r="L2850" s="105"/>
    </row>
    <row r="2851">
      <c r="A2851" s="103" t="s">
        <v>4676</v>
      </c>
      <c r="B2851" s="103">
        <v>1.100128942E9</v>
      </c>
      <c r="C2851" s="105"/>
      <c r="D2851" s="104" t="s">
        <v>13302</v>
      </c>
      <c r="E2851" s="106"/>
      <c r="F2851" s="103" t="s">
        <v>4678</v>
      </c>
      <c r="G2851" s="103" t="s">
        <v>4679</v>
      </c>
      <c r="H2851" s="103" t="s">
        <v>13303</v>
      </c>
      <c r="I2851" s="103">
        <v>3.009121102E9</v>
      </c>
      <c r="J2851" s="104" t="s">
        <v>13304</v>
      </c>
      <c r="K2851" s="107" t="s">
        <v>13305</v>
      </c>
      <c r="L2851" s="105"/>
    </row>
    <row r="2852">
      <c r="A2852" s="103" t="s">
        <v>4676</v>
      </c>
      <c r="B2852" s="103">
        <v>1.10012894202E11</v>
      </c>
      <c r="C2852" s="105"/>
      <c r="D2852" s="104" t="s">
        <v>13306</v>
      </c>
      <c r="E2852" s="104" t="s">
        <v>13307</v>
      </c>
      <c r="F2852" s="103" t="s">
        <v>4678</v>
      </c>
      <c r="G2852" s="103" t="s">
        <v>4679</v>
      </c>
      <c r="H2852" s="103" t="s">
        <v>13308</v>
      </c>
      <c r="I2852" s="103">
        <v>3.009121102E9</v>
      </c>
      <c r="J2852" s="104" t="s">
        <v>13304</v>
      </c>
      <c r="K2852" s="105"/>
      <c r="L2852" s="105"/>
    </row>
    <row r="2853">
      <c r="A2853" s="103" t="s">
        <v>4676</v>
      </c>
      <c r="B2853" s="103">
        <v>1.10012894204E11</v>
      </c>
      <c r="C2853" s="105"/>
      <c r="D2853" s="104" t="s">
        <v>13309</v>
      </c>
      <c r="E2853" s="104" t="s">
        <v>13310</v>
      </c>
      <c r="F2853" s="103" t="s">
        <v>4678</v>
      </c>
      <c r="G2853" s="103" t="s">
        <v>4679</v>
      </c>
      <c r="H2853" s="103" t="s">
        <v>13311</v>
      </c>
      <c r="I2853" s="103">
        <v>3.009121102E9</v>
      </c>
      <c r="J2853" s="104" t="s">
        <v>13304</v>
      </c>
      <c r="K2853" s="105"/>
      <c r="L2853" s="105"/>
    </row>
    <row r="2854">
      <c r="A2854" s="103" t="s">
        <v>4676</v>
      </c>
      <c r="B2854" s="103">
        <v>1.10012894205E11</v>
      </c>
      <c r="C2854" s="105"/>
      <c r="D2854" s="104" t="s">
        <v>13312</v>
      </c>
      <c r="E2854" s="104" t="s">
        <v>13310</v>
      </c>
      <c r="F2854" s="103" t="s">
        <v>4678</v>
      </c>
      <c r="G2854" s="103" t="s">
        <v>4679</v>
      </c>
      <c r="H2854" s="103" t="s">
        <v>13313</v>
      </c>
      <c r="I2854" s="103">
        <v>3.009121102E9</v>
      </c>
      <c r="J2854" s="104" t="s">
        <v>13304</v>
      </c>
      <c r="K2854" s="105"/>
      <c r="L2854" s="105"/>
    </row>
    <row r="2855">
      <c r="A2855" s="103" t="s">
        <v>4676</v>
      </c>
      <c r="B2855" s="103">
        <v>1.10012894208E11</v>
      </c>
      <c r="C2855" s="105"/>
      <c r="D2855" s="104" t="s">
        <v>13314</v>
      </c>
      <c r="E2855" s="104" t="s">
        <v>13310</v>
      </c>
      <c r="F2855" s="103" t="s">
        <v>4678</v>
      </c>
      <c r="G2855" s="103" t="s">
        <v>4679</v>
      </c>
      <c r="H2855" s="103" t="s">
        <v>13315</v>
      </c>
      <c r="I2855" s="103">
        <v>3.009121102E9</v>
      </c>
      <c r="J2855" s="104" t="s">
        <v>13304</v>
      </c>
      <c r="K2855" s="105"/>
      <c r="L2855" s="105"/>
    </row>
    <row r="2856">
      <c r="A2856" s="103" t="s">
        <v>4676</v>
      </c>
      <c r="B2856" s="103">
        <v>1.10012894209E11</v>
      </c>
      <c r="C2856" s="105"/>
      <c r="D2856" s="104" t="s">
        <v>13316</v>
      </c>
      <c r="E2856" s="104" t="s">
        <v>13310</v>
      </c>
      <c r="F2856" s="103" t="s">
        <v>4678</v>
      </c>
      <c r="G2856" s="103" t="s">
        <v>4679</v>
      </c>
      <c r="H2856" s="103" t="s">
        <v>13317</v>
      </c>
      <c r="I2856" s="103">
        <v>3.009121102E9</v>
      </c>
      <c r="J2856" s="104" t="s">
        <v>13304</v>
      </c>
      <c r="K2856" s="105"/>
      <c r="L2856" s="105"/>
    </row>
    <row r="2857">
      <c r="A2857" s="103" t="s">
        <v>4676</v>
      </c>
      <c r="B2857" s="103">
        <v>1.1001289421E11</v>
      </c>
      <c r="C2857" s="105"/>
      <c r="D2857" s="104" t="s">
        <v>13318</v>
      </c>
      <c r="E2857" s="104" t="s">
        <v>13319</v>
      </c>
      <c r="F2857" s="103" t="s">
        <v>4678</v>
      </c>
      <c r="G2857" s="103" t="s">
        <v>4679</v>
      </c>
      <c r="H2857" s="103" t="s">
        <v>13320</v>
      </c>
      <c r="I2857" s="103">
        <v>3.009121102E9</v>
      </c>
      <c r="J2857" s="104" t="s">
        <v>13304</v>
      </c>
      <c r="K2857" s="105"/>
      <c r="L2857" s="105"/>
    </row>
    <row r="2858">
      <c r="A2858" s="103" t="s">
        <v>4676</v>
      </c>
      <c r="B2858" s="103">
        <v>1.10012894211E11</v>
      </c>
      <c r="C2858" s="105"/>
      <c r="D2858" s="104" t="s">
        <v>13321</v>
      </c>
      <c r="E2858" s="104" t="s">
        <v>13322</v>
      </c>
      <c r="F2858" s="103" t="s">
        <v>4678</v>
      </c>
      <c r="G2858" s="103" t="s">
        <v>4679</v>
      </c>
      <c r="H2858" s="103" t="s">
        <v>13323</v>
      </c>
      <c r="I2858" s="103">
        <v>3.009121102E9</v>
      </c>
      <c r="J2858" s="104" t="s">
        <v>13304</v>
      </c>
      <c r="K2858" s="105"/>
      <c r="L2858" s="105"/>
    </row>
    <row r="2859">
      <c r="A2859" s="103" t="s">
        <v>4676</v>
      </c>
      <c r="B2859" s="103">
        <v>1.100129003E9</v>
      </c>
      <c r="C2859" s="105"/>
      <c r="D2859" s="104" t="s">
        <v>13324</v>
      </c>
      <c r="E2859" s="106"/>
      <c r="F2859" s="103" t="s">
        <v>4678</v>
      </c>
      <c r="G2859" s="103" t="s">
        <v>4679</v>
      </c>
      <c r="H2859" s="103" t="s">
        <v>13325</v>
      </c>
      <c r="I2859" s="103" t="s">
        <v>13326</v>
      </c>
      <c r="J2859" s="104" t="s">
        <v>13327</v>
      </c>
      <c r="K2859" s="105"/>
      <c r="L2859" s="105"/>
    </row>
    <row r="2860">
      <c r="A2860" s="103" t="s">
        <v>4676</v>
      </c>
      <c r="B2860" s="103">
        <v>1.10012900301E11</v>
      </c>
      <c r="C2860" s="105"/>
      <c r="D2860" s="104" t="s">
        <v>13328</v>
      </c>
      <c r="E2860" s="104" t="s">
        <v>13329</v>
      </c>
      <c r="F2860" s="103" t="s">
        <v>4678</v>
      </c>
      <c r="G2860" s="103" t="s">
        <v>4679</v>
      </c>
      <c r="H2860" s="103" t="s">
        <v>13325</v>
      </c>
      <c r="I2860" s="103" t="s">
        <v>13326</v>
      </c>
      <c r="J2860" s="104" t="s">
        <v>13327</v>
      </c>
      <c r="K2860" s="105"/>
      <c r="L2860" s="105"/>
    </row>
    <row r="2861">
      <c r="A2861" s="103" t="s">
        <v>4676</v>
      </c>
      <c r="B2861" s="103">
        <v>1.100129009E9</v>
      </c>
      <c r="C2861" s="105"/>
      <c r="D2861" s="104" t="s">
        <v>13330</v>
      </c>
      <c r="E2861" s="106"/>
      <c r="F2861" s="103" t="s">
        <v>4678</v>
      </c>
      <c r="G2861" s="103" t="s">
        <v>4679</v>
      </c>
      <c r="H2861" s="103" t="s">
        <v>13331</v>
      </c>
      <c r="I2861" s="103" t="s">
        <v>13332</v>
      </c>
      <c r="J2861" s="104" t="s">
        <v>13333</v>
      </c>
      <c r="K2861" s="105"/>
      <c r="L2861" s="105"/>
    </row>
    <row r="2862">
      <c r="A2862" s="103" t="s">
        <v>4676</v>
      </c>
      <c r="B2862" s="103">
        <v>1.10012900901E11</v>
      </c>
      <c r="C2862" s="105"/>
      <c r="D2862" s="104" t="s">
        <v>13330</v>
      </c>
      <c r="E2862" s="104" t="s">
        <v>13334</v>
      </c>
      <c r="F2862" s="103" t="s">
        <v>4678</v>
      </c>
      <c r="G2862" s="103" t="s">
        <v>4679</v>
      </c>
      <c r="H2862" s="103" t="s">
        <v>13335</v>
      </c>
      <c r="I2862" s="103" t="s">
        <v>13336</v>
      </c>
      <c r="J2862" s="104" t="s">
        <v>13333</v>
      </c>
      <c r="K2862" s="105"/>
      <c r="L2862" s="105"/>
    </row>
    <row r="2863">
      <c r="A2863" s="103" t="s">
        <v>4676</v>
      </c>
      <c r="B2863" s="103">
        <v>1.100129015E9</v>
      </c>
      <c r="C2863" s="105"/>
      <c r="D2863" s="104" t="s">
        <v>13337</v>
      </c>
      <c r="E2863" s="106"/>
      <c r="F2863" s="103" t="s">
        <v>4678</v>
      </c>
      <c r="G2863" s="103" t="s">
        <v>4679</v>
      </c>
      <c r="H2863" s="103" t="s">
        <v>13338</v>
      </c>
      <c r="I2863" s="103" t="s">
        <v>13339</v>
      </c>
      <c r="J2863" s="104" t="s">
        <v>13340</v>
      </c>
      <c r="K2863" s="105"/>
      <c r="L2863" s="105"/>
    </row>
    <row r="2864">
      <c r="A2864" s="103" t="s">
        <v>4676</v>
      </c>
      <c r="B2864" s="103">
        <v>1.10012901501E11</v>
      </c>
      <c r="C2864" s="105"/>
      <c r="D2864" s="104" t="s">
        <v>13337</v>
      </c>
      <c r="E2864" s="104" t="s">
        <v>13341</v>
      </c>
      <c r="F2864" s="103" t="s">
        <v>4678</v>
      </c>
      <c r="G2864" s="103" t="s">
        <v>4679</v>
      </c>
      <c r="H2864" s="103" t="s">
        <v>13342</v>
      </c>
      <c r="I2864" s="103" t="s">
        <v>13339</v>
      </c>
      <c r="J2864" s="104" t="s">
        <v>13340</v>
      </c>
      <c r="K2864" s="105"/>
      <c r="L2864" s="105"/>
    </row>
    <row r="2865">
      <c r="A2865" s="103" t="s">
        <v>4676</v>
      </c>
      <c r="B2865" s="103">
        <v>1.100129057E9</v>
      </c>
      <c r="C2865" s="105"/>
      <c r="D2865" s="104" t="s">
        <v>13343</v>
      </c>
      <c r="E2865" s="106"/>
      <c r="F2865" s="103" t="s">
        <v>4678</v>
      </c>
      <c r="G2865" s="103" t="s">
        <v>4679</v>
      </c>
      <c r="H2865" s="103" t="s">
        <v>13344</v>
      </c>
      <c r="I2865" s="103">
        <v>3.125860518E9</v>
      </c>
      <c r="J2865" s="104" t="s">
        <v>13345</v>
      </c>
      <c r="K2865" s="105"/>
      <c r="L2865" s="105"/>
    </row>
    <row r="2866">
      <c r="A2866" s="103" t="s">
        <v>4676</v>
      </c>
      <c r="B2866" s="103">
        <v>1.10012905701E11</v>
      </c>
      <c r="C2866" s="105"/>
      <c r="D2866" s="104" t="s">
        <v>13346</v>
      </c>
      <c r="E2866" s="104" t="s">
        <v>13347</v>
      </c>
      <c r="F2866" s="103" t="s">
        <v>4678</v>
      </c>
      <c r="G2866" s="103" t="s">
        <v>4679</v>
      </c>
      <c r="H2866" s="103" t="s">
        <v>13344</v>
      </c>
      <c r="I2866" s="103">
        <v>3.115860518E9</v>
      </c>
      <c r="J2866" s="104" t="s">
        <v>13345</v>
      </c>
      <c r="K2866" s="105"/>
      <c r="L2866" s="105"/>
    </row>
    <row r="2867">
      <c r="A2867" s="103" t="s">
        <v>4676</v>
      </c>
      <c r="B2867" s="103">
        <v>1.10012906E9</v>
      </c>
      <c r="C2867" s="105"/>
      <c r="D2867" s="104" t="s">
        <v>13348</v>
      </c>
      <c r="E2867" s="106"/>
      <c r="F2867" s="103" t="s">
        <v>4678</v>
      </c>
      <c r="G2867" s="103" t="s">
        <v>4679</v>
      </c>
      <c r="H2867" s="103" t="s">
        <v>13349</v>
      </c>
      <c r="I2867" s="103">
        <v>3.206164968E9</v>
      </c>
      <c r="J2867" s="104" t="s">
        <v>13350</v>
      </c>
      <c r="K2867" s="105"/>
      <c r="L2867" s="105"/>
    </row>
    <row r="2868">
      <c r="A2868" s="103" t="s">
        <v>4676</v>
      </c>
      <c r="B2868" s="103">
        <v>1.10012906001E11</v>
      </c>
      <c r="C2868" s="105"/>
      <c r="D2868" s="104" t="s">
        <v>13348</v>
      </c>
      <c r="E2868" s="104" t="s">
        <v>10967</v>
      </c>
      <c r="F2868" s="103" t="s">
        <v>4678</v>
      </c>
      <c r="G2868" s="103" t="s">
        <v>4679</v>
      </c>
      <c r="H2868" s="103" t="s">
        <v>13351</v>
      </c>
      <c r="I2868" s="103">
        <v>3.206164968E9</v>
      </c>
      <c r="J2868" s="104" t="s">
        <v>13350</v>
      </c>
      <c r="K2868" s="105"/>
      <c r="L2868" s="105"/>
    </row>
    <row r="2869">
      <c r="A2869" s="103" t="s">
        <v>4676</v>
      </c>
      <c r="B2869" s="103">
        <v>1.100129069E9</v>
      </c>
      <c r="C2869" s="105"/>
      <c r="D2869" s="104" t="s">
        <v>13352</v>
      </c>
      <c r="E2869" s="106"/>
      <c r="F2869" s="103" t="s">
        <v>4678</v>
      </c>
      <c r="G2869" s="103" t="s">
        <v>4679</v>
      </c>
      <c r="H2869" s="103" t="s">
        <v>13353</v>
      </c>
      <c r="I2869" s="103" t="s">
        <v>13354</v>
      </c>
      <c r="J2869" s="104" t="s">
        <v>13355</v>
      </c>
      <c r="K2869" s="105"/>
      <c r="L2869" s="105"/>
    </row>
    <row r="2870">
      <c r="A2870" s="103" t="s">
        <v>4676</v>
      </c>
      <c r="B2870" s="103">
        <v>1.10012906903E11</v>
      </c>
      <c r="C2870" s="105"/>
      <c r="D2870" s="104" t="s">
        <v>13356</v>
      </c>
      <c r="E2870" s="104" t="s">
        <v>13357</v>
      </c>
      <c r="F2870" s="103" t="s">
        <v>4678</v>
      </c>
      <c r="G2870" s="103" t="s">
        <v>4679</v>
      </c>
      <c r="H2870" s="103" t="s">
        <v>13358</v>
      </c>
      <c r="I2870" s="103" t="s">
        <v>13359</v>
      </c>
      <c r="J2870" s="104" t="s">
        <v>13355</v>
      </c>
      <c r="K2870" s="105"/>
      <c r="L2870" s="105"/>
    </row>
    <row r="2871">
      <c r="A2871" s="103" t="s">
        <v>4676</v>
      </c>
      <c r="B2871" s="103">
        <v>1.100129079E9</v>
      </c>
      <c r="C2871" s="105"/>
      <c r="D2871" s="104" t="s">
        <v>13360</v>
      </c>
      <c r="E2871" s="106"/>
      <c r="F2871" s="103" t="s">
        <v>4678</v>
      </c>
      <c r="G2871" s="103" t="s">
        <v>4679</v>
      </c>
      <c r="H2871" s="103" t="s">
        <v>13361</v>
      </c>
      <c r="I2871" s="103" t="s">
        <v>13362</v>
      </c>
      <c r="J2871" s="104" t="s">
        <v>13363</v>
      </c>
      <c r="K2871" s="107" t="s">
        <v>13364</v>
      </c>
      <c r="L2871" s="105"/>
    </row>
    <row r="2872">
      <c r="A2872" s="103" t="s">
        <v>4676</v>
      </c>
      <c r="B2872" s="103">
        <v>1.10012907901E11</v>
      </c>
      <c r="C2872" s="105"/>
      <c r="D2872" s="104" t="s">
        <v>13360</v>
      </c>
      <c r="E2872" s="104" t="s">
        <v>13365</v>
      </c>
      <c r="F2872" s="103" t="s">
        <v>4678</v>
      </c>
      <c r="G2872" s="103" t="s">
        <v>4679</v>
      </c>
      <c r="H2872" s="103" t="s">
        <v>13361</v>
      </c>
      <c r="I2872" s="103" t="s">
        <v>13362</v>
      </c>
      <c r="J2872" s="104" t="s">
        <v>13366</v>
      </c>
      <c r="K2872" s="105"/>
      <c r="L2872" s="105"/>
    </row>
    <row r="2873">
      <c r="A2873" s="103" t="s">
        <v>4676</v>
      </c>
      <c r="B2873" s="103">
        <v>1.100129085E9</v>
      </c>
      <c r="C2873" s="105"/>
      <c r="D2873" s="104" t="s">
        <v>13367</v>
      </c>
      <c r="E2873" s="106"/>
      <c r="F2873" s="103" t="s">
        <v>4678</v>
      </c>
      <c r="G2873" s="103" t="s">
        <v>4679</v>
      </c>
      <c r="H2873" s="103" t="s">
        <v>13368</v>
      </c>
      <c r="I2873" s="103">
        <v>4673391.0</v>
      </c>
      <c r="J2873" s="104" t="s">
        <v>13369</v>
      </c>
      <c r="K2873" s="107" t="s">
        <v>13370</v>
      </c>
      <c r="L2873" s="105"/>
    </row>
    <row r="2874">
      <c r="A2874" s="103" t="s">
        <v>4676</v>
      </c>
      <c r="B2874" s="103">
        <v>1.10012908501E11</v>
      </c>
      <c r="C2874" s="105"/>
      <c r="D2874" s="104" t="s">
        <v>13371</v>
      </c>
      <c r="E2874" s="104" t="s">
        <v>13372</v>
      </c>
      <c r="F2874" s="103" t="s">
        <v>4678</v>
      </c>
      <c r="G2874" s="103" t="s">
        <v>4679</v>
      </c>
      <c r="H2874" s="103" t="s">
        <v>13368</v>
      </c>
      <c r="I2874" s="103">
        <v>4673391.0</v>
      </c>
      <c r="J2874" s="104" t="s">
        <v>13369</v>
      </c>
      <c r="K2874" s="105"/>
      <c r="L2874" s="105"/>
    </row>
    <row r="2875">
      <c r="A2875" s="103" t="s">
        <v>4676</v>
      </c>
      <c r="B2875" s="103">
        <v>1.100129087E9</v>
      </c>
      <c r="C2875" s="105"/>
      <c r="D2875" s="104" t="s">
        <v>13373</v>
      </c>
      <c r="E2875" s="106"/>
      <c r="F2875" s="103" t="s">
        <v>4678</v>
      </c>
      <c r="G2875" s="103" t="s">
        <v>4679</v>
      </c>
      <c r="H2875" s="103" t="s">
        <v>13374</v>
      </c>
      <c r="I2875" s="103" t="s">
        <v>13375</v>
      </c>
      <c r="J2875" s="104" t="s">
        <v>13376</v>
      </c>
      <c r="K2875" s="107" t="s">
        <v>13377</v>
      </c>
      <c r="L2875" s="105"/>
    </row>
    <row r="2876">
      <c r="A2876" s="103" t="s">
        <v>4676</v>
      </c>
      <c r="B2876" s="103">
        <v>1.10012908701E11</v>
      </c>
      <c r="C2876" s="105"/>
      <c r="D2876" s="104" t="s">
        <v>13378</v>
      </c>
      <c r="E2876" s="104" t="s">
        <v>13379</v>
      </c>
      <c r="F2876" s="103" t="s">
        <v>4678</v>
      </c>
      <c r="G2876" s="103" t="s">
        <v>4679</v>
      </c>
      <c r="H2876" s="103" t="s">
        <v>13380</v>
      </c>
      <c r="I2876" s="103" t="s">
        <v>13375</v>
      </c>
      <c r="J2876" s="104" t="s">
        <v>13376</v>
      </c>
      <c r="K2876" s="105"/>
      <c r="L2876" s="105"/>
    </row>
    <row r="2877">
      <c r="A2877" s="103" t="s">
        <v>4676</v>
      </c>
      <c r="B2877" s="103">
        <v>1.10012909E9</v>
      </c>
      <c r="C2877" s="105"/>
      <c r="D2877" s="104" t="s">
        <v>13381</v>
      </c>
      <c r="E2877" s="106"/>
      <c r="F2877" s="103" t="s">
        <v>4678</v>
      </c>
      <c r="G2877" s="103" t="s">
        <v>4679</v>
      </c>
      <c r="H2877" s="103" t="s">
        <v>13382</v>
      </c>
      <c r="I2877" s="103" t="s">
        <v>13383</v>
      </c>
      <c r="J2877" s="104" t="s">
        <v>13384</v>
      </c>
      <c r="K2877" s="105"/>
      <c r="L2877" s="105"/>
    </row>
    <row r="2878">
      <c r="A2878" s="103" t="s">
        <v>4676</v>
      </c>
      <c r="B2878" s="103">
        <v>1.10012909001E11</v>
      </c>
      <c r="C2878" s="105"/>
      <c r="D2878" s="104" t="s">
        <v>13381</v>
      </c>
      <c r="E2878" s="104" t="s">
        <v>13385</v>
      </c>
      <c r="F2878" s="103" t="s">
        <v>4678</v>
      </c>
      <c r="G2878" s="103" t="s">
        <v>4679</v>
      </c>
      <c r="H2878" s="103" t="s">
        <v>13386</v>
      </c>
      <c r="I2878" s="103" t="s">
        <v>13387</v>
      </c>
      <c r="J2878" s="104" t="s">
        <v>13384</v>
      </c>
      <c r="K2878" s="105"/>
      <c r="L2878" s="105"/>
    </row>
    <row r="2879">
      <c r="A2879" s="103" t="s">
        <v>4676</v>
      </c>
      <c r="B2879" s="103">
        <v>1.100129163E9</v>
      </c>
      <c r="C2879" s="105"/>
      <c r="D2879" s="104" t="s">
        <v>13388</v>
      </c>
      <c r="E2879" s="106"/>
      <c r="F2879" s="103" t="s">
        <v>4678</v>
      </c>
      <c r="G2879" s="103" t="s">
        <v>4679</v>
      </c>
      <c r="H2879" s="103" t="s">
        <v>13389</v>
      </c>
      <c r="I2879" s="103" t="s">
        <v>13390</v>
      </c>
      <c r="J2879" s="104" t="s">
        <v>13391</v>
      </c>
      <c r="K2879" s="105"/>
      <c r="L2879" s="105"/>
    </row>
    <row r="2880">
      <c r="A2880" s="103" t="s">
        <v>4676</v>
      </c>
      <c r="B2880" s="103">
        <v>1.10012916301E11</v>
      </c>
      <c r="C2880" s="105"/>
      <c r="D2880" s="104" t="s">
        <v>13392</v>
      </c>
      <c r="E2880" s="104" t="s">
        <v>13393</v>
      </c>
      <c r="F2880" s="103" t="s">
        <v>4678</v>
      </c>
      <c r="G2880" s="103" t="s">
        <v>4679</v>
      </c>
      <c r="H2880" s="103" t="s">
        <v>13394</v>
      </c>
      <c r="I2880" s="103" t="s">
        <v>13390</v>
      </c>
      <c r="J2880" s="104" t="s">
        <v>13395</v>
      </c>
      <c r="K2880" s="105"/>
      <c r="L2880" s="105"/>
    </row>
    <row r="2881">
      <c r="A2881" s="103" t="s">
        <v>4676</v>
      </c>
      <c r="B2881" s="103">
        <v>1.100129178E9</v>
      </c>
      <c r="C2881" s="105"/>
      <c r="D2881" s="104" t="s">
        <v>13396</v>
      </c>
      <c r="E2881" s="106"/>
      <c r="F2881" s="103" t="s">
        <v>4678</v>
      </c>
      <c r="G2881" s="103" t="s">
        <v>4679</v>
      </c>
      <c r="H2881" s="103" t="s">
        <v>13397</v>
      </c>
      <c r="I2881" s="103">
        <v>6161019.0</v>
      </c>
      <c r="J2881" s="104" t="s">
        <v>13398</v>
      </c>
      <c r="K2881" s="105"/>
      <c r="L2881" s="105"/>
    </row>
    <row r="2882">
      <c r="A2882" s="103" t="s">
        <v>4676</v>
      </c>
      <c r="B2882" s="103">
        <v>1.10012917801E11</v>
      </c>
      <c r="C2882" s="105"/>
      <c r="D2882" s="104" t="s">
        <v>13399</v>
      </c>
      <c r="E2882" s="104" t="s">
        <v>13400</v>
      </c>
      <c r="F2882" s="103" t="s">
        <v>4678</v>
      </c>
      <c r="G2882" s="103" t="s">
        <v>4679</v>
      </c>
      <c r="H2882" s="103" t="s">
        <v>13401</v>
      </c>
      <c r="I2882" s="103">
        <v>6161019.0</v>
      </c>
      <c r="J2882" s="104" t="s">
        <v>13398</v>
      </c>
      <c r="K2882" s="105"/>
      <c r="L2882" s="105"/>
    </row>
    <row r="2883">
      <c r="A2883" s="103" t="s">
        <v>4676</v>
      </c>
      <c r="B2883" s="103">
        <v>1.100129189E9</v>
      </c>
      <c r="C2883" s="105"/>
      <c r="D2883" s="104" t="s">
        <v>13402</v>
      </c>
      <c r="E2883" s="106"/>
      <c r="F2883" s="103" t="s">
        <v>4678</v>
      </c>
      <c r="G2883" s="103" t="s">
        <v>4679</v>
      </c>
      <c r="H2883" s="103" t="s">
        <v>13403</v>
      </c>
      <c r="I2883" s="103" t="s">
        <v>13404</v>
      </c>
      <c r="J2883" s="104" t="s">
        <v>13405</v>
      </c>
      <c r="K2883" s="107" t="s">
        <v>13406</v>
      </c>
      <c r="L2883" s="105"/>
    </row>
    <row r="2884">
      <c r="A2884" s="103" t="s">
        <v>4676</v>
      </c>
      <c r="B2884" s="103">
        <v>1.10012918901E11</v>
      </c>
      <c r="C2884" s="105"/>
      <c r="D2884" s="104" t="s">
        <v>13402</v>
      </c>
      <c r="E2884" s="104" t="s">
        <v>13407</v>
      </c>
      <c r="F2884" s="103" t="s">
        <v>4678</v>
      </c>
      <c r="G2884" s="103" t="s">
        <v>4679</v>
      </c>
      <c r="H2884" s="103" t="s">
        <v>13408</v>
      </c>
      <c r="I2884" s="103">
        <v>3.173170981E9</v>
      </c>
      <c r="J2884" s="104" t="s">
        <v>13405</v>
      </c>
      <c r="K2884" s="105"/>
      <c r="L2884" s="105"/>
    </row>
    <row r="2885">
      <c r="A2885" s="103" t="s">
        <v>4676</v>
      </c>
      <c r="B2885" s="103">
        <v>1.100129214E9</v>
      </c>
      <c r="C2885" s="105"/>
      <c r="D2885" s="104" t="s">
        <v>13409</v>
      </c>
      <c r="E2885" s="106"/>
      <c r="F2885" s="103" t="s">
        <v>4678</v>
      </c>
      <c r="G2885" s="103" t="s">
        <v>4679</v>
      </c>
      <c r="H2885" s="103" t="s">
        <v>13410</v>
      </c>
      <c r="I2885" s="103">
        <v>3.122689863E9</v>
      </c>
      <c r="J2885" s="104" t="s">
        <v>13411</v>
      </c>
      <c r="K2885" s="105"/>
      <c r="L2885" s="105"/>
    </row>
    <row r="2886">
      <c r="A2886" s="103" t="s">
        <v>4676</v>
      </c>
      <c r="B2886" s="103">
        <v>1.10012921401E11</v>
      </c>
      <c r="C2886" s="105"/>
      <c r="D2886" s="104" t="s">
        <v>13409</v>
      </c>
      <c r="E2886" s="104" t="s">
        <v>13412</v>
      </c>
      <c r="F2886" s="103" t="s">
        <v>4678</v>
      </c>
      <c r="G2886" s="103" t="s">
        <v>4679</v>
      </c>
      <c r="H2886" s="103" t="s">
        <v>13410</v>
      </c>
      <c r="I2886" s="103">
        <v>3.122689863E9</v>
      </c>
      <c r="J2886" s="104" t="s">
        <v>13411</v>
      </c>
      <c r="K2886" s="105"/>
      <c r="L2886" s="105"/>
    </row>
    <row r="2887">
      <c r="A2887" s="103" t="s">
        <v>4676</v>
      </c>
      <c r="B2887" s="103">
        <v>1.100129238E9</v>
      </c>
      <c r="C2887" s="105"/>
      <c r="D2887" s="104" t="s">
        <v>13413</v>
      </c>
      <c r="E2887" s="106"/>
      <c r="F2887" s="103" t="s">
        <v>4678</v>
      </c>
      <c r="G2887" s="103" t="s">
        <v>4679</v>
      </c>
      <c r="H2887" s="103" t="s">
        <v>13414</v>
      </c>
      <c r="I2887" s="103" t="s">
        <v>13415</v>
      </c>
      <c r="J2887" s="104" t="s">
        <v>13416</v>
      </c>
      <c r="K2887" s="107" t="s">
        <v>13417</v>
      </c>
      <c r="L2887" s="105"/>
    </row>
    <row r="2888">
      <c r="A2888" s="103" t="s">
        <v>4676</v>
      </c>
      <c r="B2888" s="103">
        <v>1.10012923801E11</v>
      </c>
      <c r="C2888" s="105"/>
      <c r="D2888" s="104" t="s">
        <v>13413</v>
      </c>
      <c r="E2888" s="104" t="s">
        <v>13418</v>
      </c>
      <c r="F2888" s="103" t="s">
        <v>4678</v>
      </c>
      <c r="G2888" s="103" t="s">
        <v>4679</v>
      </c>
      <c r="H2888" s="103" t="s">
        <v>13414</v>
      </c>
      <c r="I2888" s="103" t="s">
        <v>13415</v>
      </c>
      <c r="J2888" s="104" t="s">
        <v>13416</v>
      </c>
      <c r="K2888" s="105"/>
      <c r="L2888" s="105"/>
    </row>
    <row r="2889">
      <c r="A2889" s="103" t="s">
        <v>4676</v>
      </c>
      <c r="B2889" s="103">
        <v>1.100129297E9</v>
      </c>
      <c r="C2889" s="105"/>
      <c r="D2889" s="104" t="s">
        <v>13419</v>
      </c>
      <c r="E2889" s="106"/>
      <c r="F2889" s="103" t="s">
        <v>4678</v>
      </c>
      <c r="G2889" s="103" t="s">
        <v>4679</v>
      </c>
      <c r="H2889" s="103" t="s">
        <v>13420</v>
      </c>
      <c r="I2889" s="103" t="s">
        <v>13421</v>
      </c>
      <c r="J2889" s="104" t="s">
        <v>13422</v>
      </c>
      <c r="K2889" s="107" t="s">
        <v>13423</v>
      </c>
      <c r="L2889" s="105"/>
    </row>
    <row r="2890">
      <c r="A2890" s="103" t="s">
        <v>4676</v>
      </c>
      <c r="B2890" s="103">
        <v>1.10012929703E11</v>
      </c>
      <c r="C2890" s="105"/>
      <c r="D2890" s="104" t="s">
        <v>13424</v>
      </c>
      <c r="E2890" s="104" t="s">
        <v>13425</v>
      </c>
      <c r="F2890" s="103" t="s">
        <v>4678</v>
      </c>
      <c r="G2890" s="103" t="s">
        <v>4679</v>
      </c>
      <c r="H2890" s="103" t="s">
        <v>13426</v>
      </c>
      <c r="I2890" s="103" t="s">
        <v>13427</v>
      </c>
      <c r="J2890" s="104" t="s">
        <v>13428</v>
      </c>
      <c r="K2890" s="105"/>
      <c r="L2890" s="105"/>
    </row>
    <row r="2891">
      <c r="A2891" s="103" t="s">
        <v>4676</v>
      </c>
      <c r="B2891" s="103">
        <v>1.100129374E9</v>
      </c>
      <c r="C2891" s="105"/>
      <c r="D2891" s="104" t="s">
        <v>13429</v>
      </c>
      <c r="E2891" s="106"/>
      <c r="F2891" s="103" t="s">
        <v>4678</v>
      </c>
      <c r="G2891" s="103" t="s">
        <v>4679</v>
      </c>
      <c r="H2891" s="103" t="s">
        <v>13430</v>
      </c>
      <c r="I2891" s="103" t="s">
        <v>13431</v>
      </c>
      <c r="J2891" s="104" t="s">
        <v>13432</v>
      </c>
      <c r="K2891" s="107" t="s">
        <v>13433</v>
      </c>
      <c r="L2891" s="105"/>
    </row>
    <row r="2892">
      <c r="A2892" s="103" t="s">
        <v>4676</v>
      </c>
      <c r="B2892" s="103">
        <v>1.10012937401E11</v>
      </c>
      <c r="C2892" s="105"/>
      <c r="D2892" s="104" t="s">
        <v>13434</v>
      </c>
      <c r="E2892" s="104" t="s">
        <v>13435</v>
      </c>
      <c r="F2892" s="103" t="s">
        <v>4678</v>
      </c>
      <c r="G2892" s="103" t="s">
        <v>4679</v>
      </c>
      <c r="H2892" s="103" t="s">
        <v>13430</v>
      </c>
      <c r="I2892" s="103" t="s">
        <v>13431</v>
      </c>
      <c r="J2892" s="104" t="s">
        <v>13432</v>
      </c>
      <c r="K2892" s="105"/>
      <c r="L2892" s="105"/>
    </row>
    <row r="2893">
      <c r="A2893" s="103" t="s">
        <v>4676</v>
      </c>
      <c r="B2893" s="103">
        <v>1.100129408E9</v>
      </c>
      <c r="C2893" s="105"/>
      <c r="D2893" s="104" t="s">
        <v>13436</v>
      </c>
      <c r="E2893" s="106"/>
      <c r="F2893" s="103" t="s">
        <v>4678</v>
      </c>
      <c r="G2893" s="103" t="s">
        <v>4679</v>
      </c>
      <c r="H2893" s="103" t="s">
        <v>13437</v>
      </c>
      <c r="I2893" s="103" t="s">
        <v>13438</v>
      </c>
      <c r="J2893" s="104" t="s">
        <v>13439</v>
      </c>
      <c r="K2893" s="105"/>
      <c r="L2893" s="105"/>
    </row>
    <row r="2894">
      <c r="A2894" s="103" t="s">
        <v>4676</v>
      </c>
      <c r="B2894" s="103">
        <v>1.10012940801E11</v>
      </c>
      <c r="C2894" s="105"/>
      <c r="D2894" s="104" t="s">
        <v>13436</v>
      </c>
      <c r="E2894" s="104" t="s">
        <v>13347</v>
      </c>
      <c r="F2894" s="103" t="s">
        <v>4678</v>
      </c>
      <c r="G2894" s="103" t="s">
        <v>4679</v>
      </c>
      <c r="H2894" s="103" t="s">
        <v>13440</v>
      </c>
      <c r="I2894" s="103">
        <v>3.134324033E9</v>
      </c>
      <c r="J2894" s="104" t="s">
        <v>13441</v>
      </c>
      <c r="K2894" s="105"/>
      <c r="L2894" s="105"/>
    </row>
    <row r="2895">
      <c r="A2895" s="103" t="s">
        <v>4676</v>
      </c>
      <c r="B2895" s="103">
        <v>1.100129425E9</v>
      </c>
      <c r="C2895" s="105"/>
      <c r="D2895" s="104" t="s">
        <v>13442</v>
      </c>
      <c r="E2895" s="106"/>
      <c r="F2895" s="103" t="s">
        <v>4678</v>
      </c>
      <c r="G2895" s="103" t="s">
        <v>4679</v>
      </c>
      <c r="H2895" s="103" t="s">
        <v>13443</v>
      </c>
      <c r="I2895" s="103" t="s">
        <v>13444</v>
      </c>
      <c r="J2895" s="104" t="s">
        <v>13445</v>
      </c>
      <c r="K2895" s="107" t="s">
        <v>13446</v>
      </c>
      <c r="L2895" s="105"/>
    </row>
    <row r="2896">
      <c r="A2896" s="103" t="s">
        <v>4676</v>
      </c>
      <c r="B2896" s="103">
        <v>1.10012942501E11</v>
      </c>
      <c r="C2896" s="105"/>
      <c r="D2896" s="104" t="s">
        <v>13442</v>
      </c>
      <c r="E2896" s="104" t="s">
        <v>13447</v>
      </c>
      <c r="F2896" s="103" t="s">
        <v>4678</v>
      </c>
      <c r="G2896" s="103" t="s">
        <v>4679</v>
      </c>
      <c r="H2896" s="103" t="s">
        <v>13448</v>
      </c>
      <c r="I2896" s="103" t="s">
        <v>13444</v>
      </c>
      <c r="J2896" s="104" t="s">
        <v>13445</v>
      </c>
      <c r="K2896" s="105"/>
      <c r="L2896" s="105"/>
    </row>
    <row r="2897">
      <c r="A2897" s="103" t="s">
        <v>4676</v>
      </c>
      <c r="B2897" s="103">
        <v>1.10012947E9</v>
      </c>
      <c r="C2897" s="105"/>
      <c r="D2897" s="104" t="s">
        <v>13449</v>
      </c>
      <c r="E2897" s="106"/>
      <c r="F2897" s="103" t="s">
        <v>4678</v>
      </c>
      <c r="G2897" s="103" t="s">
        <v>4679</v>
      </c>
      <c r="H2897" s="103" t="s">
        <v>13450</v>
      </c>
      <c r="I2897" s="103" t="s">
        <v>13451</v>
      </c>
      <c r="J2897" s="104" t="s">
        <v>13452</v>
      </c>
      <c r="K2897" s="105"/>
      <c r="L2897" s="105"/>
    </row>
    <row r="2898">
      <c r="A2898" s="103" t="s">
        <v>4676</v>
      </c>
      <c r="B2898" s="103">
        <v>1.10012947001E11</v>
      </c>
      <c r="C2898" s="105"/>
      <c r="D2898" s="104" t="s">
        <v>13449</v>
      </c>
      <c r="E2898" s="104" t="s">
        <v>13453</v>
      </c>
      <c r="F2898" s="103" t="s">
        <v>4678</v>
      </c>
      <c r="G2898" s="103" t="s">
        <v>4679</v>
      </c>
      <c r="H2898" s="103" t="s">
        <v>13454</v>
      </c>
      <c r="I2898" s="103" t="s">
        <v>13451</v>
      </c>
      <c r="J2898" s="104" t="s">
        <v>13452</v>
      </c>
      <c r="K2898" s="105"/>
      <c r="L2898" s="105"/>
    </row>
    <row r="2899">
      <c r="A2899" s="103" t="s">
        <v>4676</v>
      </c>
      <c r="B2899" s="103">
        <v>1.100129495E9</v>
      </c>
      <c r="C2899" s="105"/>
      <c r="D2899" s="104" t="s">
        <v>13455</v>
      </c>
      <c r="E2899" s="106"/>
      <c r="F2899" s="103" t="s">
        <v>4678</v>
      </c>
      <c r="G2899" s="103" t="s">
        <v>4679</v>
      </c>
      <c r="H2899" s="103" t="s">
        <v>13456</v>
      </c>
      <c r="I2899" s="103">
        <v>3.13228614E9</v>
      </c>
      <c r="J2899" s="104" t="s">
        <v>13457</v>
      </c>
      <c r="K2899" s="105"/>
      <c r="L2899" s="105"/>
    </row>
    <row r="2900">
      <c r="A2900" s="103" t="s">
        <v>4676</v>
      </c>
      <c r="B2900" s="103">
        <v>1.10012949501E11</v>
      </c>
      <c r="C2900" s="105"/>
      <c r="D2900" s="104" t="s">
        <v>13458</v>
      </c>
      <c r="E2900" s="104" t="s">
        <v>13459</v>
      </c>
      <c r="F2900" s="103" t="s">
        <v>4678</v>
      </c>
      <c r="G2900" s="103" t="s">
        <v>4679</v>
      </c>
      <c r="H2900" s="103" t="s">
        <v>13460</v>
      </c>
      <c r="I2900" s="103">
        <v>3.13228614E9</v>
      </c>
      <c r="J2900" s="104" t="s">
        <v>13461</v>
      </c>
      <c r="K2900" s="105"/>
      <c r="L2900" s="105"/>
    </row>
    <row r="2901">
      <c r="A2901" s="103" t="s">
        <v>4676</v>
      </c>
      <c r="B2901" s="103">
        <v>1.100129567E9</v>
      </c>
      <c r="C2901" s="105"/>
      <c r="D2901" s="104" t="s">
        <v>13462</v>
      </c>
      <c r="E2901" s="106"/>
      <c r="F2901" s="103" t="s">
        <v>4678</v>
      </c>
      <c r="G2901" s="103" t="s">
        <v>4679</v>
      </c>
      <c r="H2901" s="103" t="s">
        <v>13463</v>
      </c>
      <c r="I2901" s="103">
        <v>3.229452419E9</v>
      </c>
      <c r="J2901" s="104" t="s">
        <v>13464</v>
      </c>
      <c r="K2901" s="107" t="s">
        <v>13465</v>
      </c>
      <c r="L2901" s="105"/>
    </row>
    <row r="2902">
      <c r="A2902" s="103" t="s">
        <v>4676</v>
      </c>
      <c r="B2902" s="103">
        <v>1.10012956701E11</v>
      </c>
      <c r="C2902" s="105"/>
      <c r="D2902" s="104" t="s">
        <v>13466</v>
      </c>
      <c r="E2902" s="104" t="s">
        <v>13467</v>
      </c>
      <c r="F2902" s="103" t="s">
        <v>4678</v>
      </c>
      <c r="G2902" s="103" t="s">
        <v>4679</v>
      </c>
      <c r="H2902" s="103" t="s">
        <v>13468</v>
      </c>
      <c r="I2902" s="103" t="s">
        <v>13469</v>
      </c>
      <c r="J2902" s="104" t="s">
        <v>13464</v>
      </c>
      <c r="K2902" s="105"/>
      <c r="L2902" s="105"/>
    </row>
    <row r="2903">
      <c r="A2903" s="103" t="s">
        <v>4676</v>
      </c>
      <c r="B2903" s="103">
        <v>1.100129577E9</v>
      </c>
      <c r="C2903" s="105"/>
      <c r="D2903" s="104" t="s">
        <v>13470</v>
      </c>
      <c r="E2903" s="106"/>
      <c r="F2903" s="103" t="s">
        <v>4678</v>
      </c>
      <c r="G2903" s="103" t="s">
        <v>4679</v>
      </c>
      <c r="H2903" s="103" t="s">
        <v>13471</v>
      </c>
      <c r="I2903" s="103" t="s">
        <v>13472</v>
      </c>
      <c r="J2903" s="104" t="s">
        <v>13473</v>
      </c>
      <c r="K2903" s="105"/>
      <c r="L2903" s="105"/>
    </row>
    <row r="2904">
      <c r="A2904" s="103" t="s">
        <v>4676</v>
      </c>
      <c r="B2904" s="103">
        <v>1.10012957701E11</v>
      </c>
      <c r="C2904" s="105"/>
      <c r="D2904" s="104" t="s">
        <v>13470</v>
      </c>
      <c r="E2904" s="104" t="s">
        <v>13474</v>
      </c>
      <c r="F2904" s="103" t="s">
        <v>4678</v>
      </c>
      <c r="G2904" s="103" t="s">
        <v>4679</v>
      </c>
      <c r="H2904" s="103" t="s">
        <v>13471</v>
      </c>
      <c r="I2904" s="103">
        <v>3.108164196E9</v>
      </c>
      <c r="J2904" s="104" t="s">
        <v>13473</v>
      </c>
      <c r="K2904" s="105"/>
      <c r="L2904" s="105"/>
    </row>
    <row r="2905">
      <c r="A2905" s="103" t="s">
        <v>4676</v>
      </c>
      <c r="B2905" s="103">
        <v>1.100129578E9</v>
      </c>
      <c r="C2905" s="105"/>
      <c r="D2905" s="104" t="s">
        <v>13475</v>
      </c>
      <c r="E2905" s="106"/>
      <c r="F2905" s="103" t="s">
        <v>4678</v>
      </c>
      <c r="G2905" s="103" t="s">
        <v>4679</v>
      </c>
      <c r="H2905" s="103" t="s">
        <v>13476</v>
      </c>
      <c r="I2905" s="103">
        <v>3.154547997E9</v>
      </c>
      <c r="J2905" s="104" t="s">
        <v>13477</v>
      </c>
      <c r="K2905" s="107" t="s">
        <v>13478</v>
      </c>
      <c r="L2905" s="105"/>
    </row>
    <row r="2906">
      <c r="A2906" s="103" t="s">
        <v>4676</v>
      </c>
      <c r="B2906" s="103">
        <v>1.10012957801E11</v>
      </c>
      <c r="C2906" s="105"/>
      <c r="D2906" s="104" t="s">
        <v>13475</v>
      </c>
      <c r="E2906" s="104" t="s">
        <v>13479</v>
      </c>
      <c r="F2906" s="103" t="s">
        <v>4678</v>
      </c>
      <c r="G2906" s="103" t="s">
        <v>4679</v>
      </c>
      <c r="H2906" s="103" t="s">
        <v>13476</v>
      </c>
      <c r="I2906" s="103">
        <v>3.154547997E9</v>
      </c>
      <c r="J2906" s="104" t="s">
        <v>13477</v>
      </c>
      <c r="K2906" s="105"/>
      <c r="L2906" s="105"/>
    </row>
    <row r="2907">
      <c r="A2907" s="103" t="s">
        <v>4676</v>
      </c>
      <c r="B2907" s="103">
        <v>1.100129579E9</v>
      </c>
      <c r="C2907" s="105"/>
      <c r="D2907" s="104" t="s">
        <v>13480</v>
      </c>
      <c r="E2907" s="106"/>
      <c r="F2907" s="103" t="s">
        <v>4678</v>
      </c>
      <c r="G2907" s="103" t="s">
        <v>4679</v>
      </c>
      <c r="H2907" s="103" t="s">
        <v>13481</v>
      </c>
      <c r="I2907" s="103" t="s">
        <v>13482</v>
      </c>
      <c r="J2907" s="104" t="s">
        <v>13483</v>
      </c>
      <c r="K2907" s="105"/>
      <c r="L2907" s="105"/>
    </row>
    <row r="2908">
      <c r="A2908" s="103" t="s">
        <v>4676</v>
      </c>
      <c r="B2908" s="103">
        <v>1.10012957901E11</v>
      </c>
      <c r="C2908" s="105"/>
      <c r="D2908" s="104" t="s">
        <v>13484</v>
      </c>
      <c r="E2908" s="104" t="s">
        <v>13485</v>
      </c>
      <c r="F2908" s="103" t="s">
        <v>4678</v>
      </c>
      <c r="G2908" s="103" t="s">
        <v>4679</v>
      </c>
      <c r="H2908" s="103" t="s">
        <v>13481</v>
      </c>
      <c r="I2908" s="103" t="s">
        <v>13482</v>
      </c>
      <c r="J2908" s="104" t="s">
        <v>13483</v>
      </c>
      <c r="K2908" s="105"/>
      <c r="L2908" s="105"/>
    </row>
    <row r="2909">
      <c r="A2909" s="103" t="s">
        <v>4676</v>
      </c>
      <c r="B2909" s="103">
        <v>1.100129669E9</v>
      </c>
      <c r="C2909" s="105"/>
      <c r="D2909" s="104" t="s">
        <v>13486</v>
      </c>
      <c r="E2909" s="106"/>
      <c r="F2909" s="103" t="s">
        <v>4678</v>
      </c>
      <c r="G2909" s="103" t="s">
        <v>4679</v>
      </c>
      <c r="H2909" s="103" t="s">
        <v>13487</v>
      </c>
      <c r="I2909" s="103">
        <v>3.168312389E9</v>
      </c>
      <c r="J2909" s="104" t="s">
        <v>13488</v>
      </c>
      <c r="K2909" s="105"/>
      <c r="L2909" s="105"/>
    </row>
    <row r="2910">
      <c r="A2910" s="103" t="s">
        <v>4676</v>
      </c>
      <c r="B2910" s="103">
        <v>1.10012966901E11</v>
      </c>
      <c r="C2910" s="105"/>
      <c r="D2910" s="104" t="s">
        <v>13486</v>
      </c>
      <c r="E2910" s="104" t="s">
        <v>13489</v>
      </c>
      <c r="F2910" s="103" t="s">
        <v>4678</v>
      </c>
      <c r="G2910" s="103" t="s">
        <v>4679</v>
      </c>
      <c r="H2910" s="103" t="s">
        <v>13490</v>
      </c>
      <c r="I2910" s="103">
        <v>3.168312389E9</v>
      </c>
      <c r="J2910" s="104" t="s">
        <v>13488</v>
      </c>
      <c r="K2910" s="105"/>
      <c r="L2910" s="105"/>
    </row>
    <row r="2911">
      <c r="A2911" s="103" t="s">
        <v>4676</v>
      </c>
      <c r="B2911" s="103">
        <v>1.100129759E9</v>
      </c>
      <c r="C2911" s="105"/>
      <c r="D2911" s="104" t="s">
        <v>13491</v>
      </c>
      <c r="E2911" s="106"/>
      <c r="F2911" s="103" t="s">
        <v>4678</v>
      </c>
      <c r="G2911" s="103" t="s">
        <v>4679</v>
      </c>
      <c r="H2911" s="103" t="s">
        <v>13492</v>
      </c>
      <c r="I2911" s="103">
        <v>3.164296696E9</v>
      </c>
      <c r="J2911" s="104" t="s">
        <v>13493</v>
      </c>
      <c r="K2911" s="107" t="s">
        <v>13494</v>
      </c>
      <c r="L2911" s="105"/>
    </row>
    <row r="2912">
      <c r="A2912" s="103" t="s">
        <v>4676</v>
      </c>
      <c r="B2912" s="103">
        <v>1.10012975901E11</v>
      </c>
      <c r="C2912" s="105"/>
      <c r="D2912" s="104" t="s">
        <v>13491</v>
      </c>
      <c r="E2912" s="104" t="s">
        <v>13495</v>
      </c>
      <c r="F2912" s="103" t="s">
        <v>4678</v>
      </c>
      <c r="G2912" s="103" t="s">
        <v>4679</v>
      </c>
      <c r="H2912" s="103" t="s">
        <v>13492</v>
      </c>
      <c r="I2912" s="103">
        <v>3.164296696E9</v>
      </c>
      <c r="J2912" s="104" t="s">
        <v>13493</v>
      </c>
      <c r="K2912" s="105"/>
      <c r="L2912" s="105"/>
    </row>
    <row r="2913">
      <c r="A2913" s="103" t="s">
        <v>4676</v>
      </c>
      <c r="B2913" s="103">
        <v>1.100129797E9</v>
      </c>
      <c r="C2913" s="105"/>
      <c r="D2913" s="104" t="s">
        <v>13496</v>
      </c>
      <c r="E2913" s="106"/>
      <c r="F2913" s="103" t="s">
        <v>4678</v>
      </c>
      <c r="G2913" s="103" t="s">
        <v>4679</v>
      </c>
      <c r="H2913" s="103" t="s">
        <v>13497</v>
      </c>
      <c r="I2913" s="103" t="s">
        <v>13498</v>
      </c>
      <c r="J2913" s="104" t="s">
        <v>13499</v>
      </c>
      <c r="K2913" s="105"/>
      <c r="L2913" s="105"/>
    </row>
    <row r="2914">
      <c r="A2914" s="103" t="s">
        <v>4676</v>
      </c>
      <c r="B2914" s="103">
        <v>1.10012979701E11</v>
      </c>
      <c r="C2914" s="105"/>
      <c r="D2914" s="104" t="s">
        <v>13500</v>
      </c>
      <c r="E2914" s="104" t="s">
        <v>13501</v>
      </c>
      <c r="F2914" s="103" t="s">
        <v>4678</v>
      </c>
      <c r="G2914" s="103" t="s">
        <v>4679</v>
      </c>
      <c r="H2914" s="103" t="s">
        <v>13502</v>
      </c>
      <c r="I2914" s="103" t="s">
        <v>13503</v>
      </c>
      <c r="J2914" s="104" t="s">
        <v>13499</v>
      </c>
      <c r="K2914" s="105"/>
      <c r="L2914" s="105"/>
    </row>
    <row r="2915">
      <c r="A2915" s="103" t="s">
        <v>4676</v>
      </c>
      <c r="B2915" s="103">
        <v>1.100129855E9</v>
      </c>
      <c r="C2915" s="105"/>
      <c r="D2915" s="104" t="s">
        <v>13504</v>
      </c>
      <c r="E2915" s="106"/>
      <c r="F2915" s="103" t="s">
        <v>4678</v>
      </c>
      <c r="G2915" s="103" t="s">
        <v>4679</v>
      </c>
      <c r="H2915" s="103" t="s">
        <v>13505</v>
      </c>
      <c r="I2915" s="103" t="s">
        <v>13506</v>
      </c>
      <c r="J2915" s="104" t="s">
        <v>13507</v>
      </c>
      <c r="K2915" s="107" t="s">
        <v>13508</v>
      </c>
      <c r="L2915" s="105"/>
    </row>
    <row r="2916">
      <c r="A2916" s="103" t="s">
        <v>4676</v>
      </c>
      <c r="B2916" s="103">
        <v>1.10012985501E11</v>
      </c>
      <c r="C2916" s="105"/>
      <c r="D2916" s="104" t="s">
        <v>13509</v>
      </c>
      <c r="E2916" s="104" t="s">
        <v>13510</v>
      </c>
      <c r="F2916" s="103" t="s">
        <v>4678</v>
      </c>
      <c r="G2916" s="103" t="s">
        <v>4679</v>
      </c>
      <c r="H2916" s="103" t="s">
        <v>13505</v>
      </c>
      <c r="I2916" s="103" t="s">
        <v>13506</v>
      </c>
      <c r="J2916" s="104" t="s">
        <v>13507</v>
      </c>
      <c r="K2916" s="105"/>
      <c r="L2916" s="105"/>
    </row>
    <row r="2917">
      <c r="A2917" s="103" t="s">
        <v>4676</v>
      </c>
      <c r="B2917" s="103">
        <v>1.10012985502E11</v>
      </c>
      <c r="C2917" s="105"/>
      <c r="D2917" s="104" t="s">
        <v>13511</v>
      </c>
      <c r="E2917" s="104" t="s">
        <v>13512</v>
      </c>
      <c r="F2917" s="103" t="s">
        <v>4678</v>
      </c>
      <c r="G2917" s="103" t="s">
        <v>4679</v>
      </c>
      <c r="H2917" s="103" t="s">
        <v>13513</v>
      </c>
      <c r="I2917" s="103" t="s">
        <v>13506</v>
      </c>
      <c r="J2917" s="104" t="s">
        <v>13507</v>
      </c>
      <c r="K2917" s="105"/>
      <c r="L2917" s="105"/>
    </row>
    <row r="2918">
      <c r="A2918" s="103" t="s">
        <v>4676</v>
      </c>
      <c r="B2918" s="103">
        <v>1.10012985503E11</v>
      </c>
      <c r="C2918" s="105"/>
      <c r="D2918" s="104" t="s">
        <v>13514</v>
      </c>
      <c r="E2918" s="104" t="s">
        <v>13512</v>
      </c>
      <c r="F2918" s="103" t="s">
        <v>4678</v>
      </c>
      <c r="G2918" s="103" t="s">
        <v>4679</v>
      </c>
      <c r="H2918" s="103" t="s">
        <v>13515</v>
      </c>
      <c r="I2918" s="103" t="s">
        <v>13506</v>
      </c>
      <c r="J2918" s="104" t="s">
        <v>13507</v>
      </c>
      <c r="K2918" s="105"/>
      <c r="L2918" s="105"/>
    </row>
    <row r="2919">
      <c r="A2919" s="103" t="s">
        <v>4676</v>
      </c>
      <c r="B2919" s="103">
        <v>1.10012985504E11</v>
      </c>
      <c r="C2919" s="105"/>
      <c r="D2919" s="104" t="s">
        <v>13516</v>
      </c>
      <c r="E2919" s="104" t="s">
        <v>13517</v>
      </c>
      <c r="F2919" s="103" t="s">
        <v>4678</v>
      </c>
      <c r="G2919" s="103" t="s">
        <v>4679</v>
      </c>
      <c r="H2919" s="103" t="s">
        <v>13518</v>
      </c>
      <c r="I2919" s="103" t="s">
        <v>13506</v>
      </c>
      <c r="J2919" s="104" t="s">
        <v>13507</v>
      </c>
      <c r="K2919" s="105"/>
      <c r="L2919" s="105"/>
    </row>
    <row r="2920">
      <c r="A2920" s="103" t="s">
        <v>4676</v>
      </c>
      <c r="B2920" s="103">
        <v>1.100129891E9</v>
      </c>
      <c r="C2920" s="105"/>
      <c r="D2920" s="104" t="s">
        <v>13519</v>
      </c>
      <c r="E2920" s="106"/>
      <c r="F2920" s="103" t="s">
        <v>4678</v>
      </c>
      <c r="G2920" s="103" t="s">
        <v>4679</v>
      </c>
      <c r="H2920" s="103" t="s">
        <v>13520</v>
      </c>
      <c r="I2920" s="103">
        <v>6169067.0</v>
      </c>
      <c r="J2920" s="104" t="s">
        <v>13521</v>
      </c>
      <c r="K2920" s="105"/>
      <c r="L2920" s="105"/>
    </row>
    <row r="2921">
      <c r="A2921" s="103" t="s">
        <v>4676</v>
      </c>
      <c r="B2921" s="103">
        <v>1.10012989101E11</v>
      </c>
      <c r="C2921" s="105"/>
      <c r="D2921" s="104" t="s">
        <v>13522</v>
      </c>
      <c r="E2921" s="104" t="s">
        <v>13523</v>
      </c>
      <c r="F2921" s="103" t="s">
        <v>4678</v>
      </c>
      <c r="G2921" s="103" t="s">
        <v>4679</v>
      </c>
      <c r="H2921" s="103" t="s">
        <v>13524</v>
      </c>
      <c r="I2921" s="103">
        <v>6169067.0</v>
      </c>
      <c r="J2921" s="104" t="s">
        <v>13521</v>
      </c>
      <c r="K2921" s="105"/>
      <c r="L2921" s="105"/>
    </row>
    <row r="2922">
      <c r="A2922" s="103" t="s">
        <v>4676</v>
      </c>
      <c r="B2922" s="103">
        <v>1.100129893E9</v>
      </c>
      <c r="C2922" s="105"/>
      <c r="D2922" s="104" t="s">
        <v>13525</v>
      </c>
      <c r="E2922" s="106"/>
      <c r="F2922" s="103" t="s">
        <v>4678</v>
      </c>
      <c r="G2922" s="103" t="s">
        <v>4679</v>
      </c>
      <c r="H2922" s="103" t="s">
        <v>13526</v>
      </c>
      <c r="I2922" s="103">
        <v>3.133239499E9</v>
      </c>
      <c r="J2922" s="104" t="s">
        <v>13527</v>
      </c>
      <c r="K2922" s="105"/>
      <c r="L2922" s="105"/>
    </row>
    <row r="2923">
      <c r="A2923" s="103" t="s">
        <v>4676</v>
      </c>
      <c r="B2923" s="103">
        <v>1.10012989301E11</v>
      </c>
      <c r="C2923" s="105"/>
      <c r="D2923" s="104" t="s">
        <v>13525</v>
      </c>
      <c r="E2923" s="104" t="s">
        <v>13528</v>
      </c>
      <c r="F2923" s="103" t="s">
        <v>4678</v>
      </c>
      <c r="G2923" s="103" t="s">
        <v>4679</v>
      </c>
      <c r="H2923" s="103" t="s">
        <v>13529</v>
      </c>
      <c r="I2923" s="103">
        <v>3.133239499E9</v>
      </c>
      <c r="J2923" s="104" t="s">
        <v>13527</v>
      </c>
      <c r="K2923" s="105"/>
      <c r="L2923" s="105"/>
    </row>
    <row r="2924">
      <c r="A2924" s="103" t="s">
        <v>4676</v>
      </c>
      <c r="B2924" s="103">
        <v>1.10012989302E11</v>
      </c>
      <c r="C2924" s="105"/>
      <c r="D2924" s="104" t="s">
        <v>13530</v>
      </c>
      <c r="E2924" s="104" t="s">
        <v>13531</v>
      </c>
      <c r="F2924" s="103" t="s">
        <v>4678</v>
      </c>
      <c r="G2924" s="103" t="s">
        <v>4679</v>
      </c>
      <c r="H2924" s="103" t="s">
        <v>13532</v>
      </c>
      <c r="I2924" s="103">
        <v>3.133239499E9</v>
      </c>
      <c r="J2924" s="104" t="s">
        <v>13533</v>
      </c>
      <c r="K2924" s="105"/>
      <c r="L2924" s="105"/>
    </row>
    <row r="2925">
      <c r="A2925" s="103" t="s">
        <v>4676</v>
      </c>
      <c r="B2925" s="103">
        <v>1.100129911E9</v>
      </c>
      <c r="C2925" s="105"/>
      <c r="D2925" s="104" t="s">
        <v>13534</v>
      </c>
      <c r="E2925" s="106"/>
      <c r="F2925" s="103" t="s">
        <v>4678</v>
      </c>
      <c r="G2925" s="103" t="s">
        <v>4679</v>
      </c>
      <c r="H2925" s="103" t="s">
        <v>13535</v>
      </c>
      <c r="I2925" s="103">
        <v>3.187060762E9</v>
      </c>
      <c r="J2925" s="104" t="s">
        <v>13536</v>
      </c>
      <c r="K2925" s="105"/>
      <c r="L2925" s="105"/>
    </row>
    <row r="2926">
      <c r="A2926" s="103" t="s">
        <v>4676</v>
      </c>
      <c r="B2926" s="103">
        <v>1.10012991101E11</v>
      </c>
      <c r="C2926" s="105"/>
      <c r="D2926" s="104" t="s">
        <v>13537</v>
      </c>
      <c r="E2926" s="104" t="s">
        <v>13538</v>
      </c>
      <c r="F2926" s="103" t="s">
        <v>4678</v>
      </c>
      <c r="G2926" s="103" t="s">
        <v>4679</v>
      </c>
      <c r="H2926" s="103" t="s">
        <v>13535</v>
      </c>
      <c r="I2926" s="103">
        <v>3.187060762E9</v>
      </c>
      <c r="J2926" s="104" t="s">
        <v>13536</v>
      </c>
      <c r="K2926" s="105"/>
      <c r="L2926" s="105"/>
    </row>
    <row r="2927">
      <c r="A2927" s="103" t="s">
        <v>4676</v>
      </c>
      <c r="B2927" s="103">
        <v>1.100129912E9</v>
      </c>
      <c r="C2927" s="105"/>
      <c r="D2927" s="104" t="s">
        <v>13539</v>
      </c>
      <c r="E2927" s="106"/>
      <c r="F2927" s="103" t="s">
        <v>4678</v>
      </c>
      <c r="G2927" s="103" t="s">
        <v>4679</v>
      </c>
      <c r="H2927" s="103" t="s">
        <v>13540</v>
      </c>
      <c r="I2927" s="103">
        <v>7650325.0</v>
      </c>
      <c r="J2927" s="104" t="s">
        <v>13541</v>
      </c>
      <c r="K2927" s="105"/>
      <c r="L2927" s="105"/>
    </row>
    <row r="2928">
      <c r="A2928" s="103" t="s">
        <v>4676</v>
      </c>
      <c r="B2928" s="103">
        <v>1.10012991201E11</v>
      </c>
      <c r="C2928" s="105"/>
      <c r="D2928" s="104" t="s">
        <v>13542</v>
      </c>
      <c r="E2928" s="104" t="s">
        <v>13543</v>
      </c>
      <c r="F2928" s="103" t="s">
        <v>4678</v>
      </c>
      <c r="G2928" s="103" t="s">
        <v>4679</v>
      </c>
      <c r="H2928" s="103" t="s">
        <v>13544</v>
      </c>
      <c r="I2928" s="103">
        <v>7650325.0</v>
      </c>
      <c r="J2928" s="104" t="s">
        <v>13541</v>
      </c>
      <c r="K2928" s="105"/>
      <c r="L2928" s="105"/>
    </row>
    <row r="2929">
      <c r="A2929" s="103" t="s">
        <v>4676</v>
      </c>
      <c r="B2929" s="103">
        <v>1.10012991202E11</v>
      </c>
      <c r="C2929" s="105"/>
      <c r="D2929" s="104" t="s">
        <v>13545</v>
      </c>
      <c r="E2929" s="104" t="s">
        <v>13546</v>
      </c>
      <c r="F2929" s="103" t="s">
        <v>4678</v>
      </c>
      <c r="G2929" s="103" t="s">
        <v>4679</v>
      </c>
      <c r="H2929" s="103" t="s">
        <v>13547</v>
      </c>
      <c r="I2929" s="103">
        <v>7650325.0</v>
      </c>
      <c r="J2929" s="104" t="s">
        <v>13541</v>
      </c>
      <c r="K2929" s="105"/>
      <c r="L2929" s="105"/>
    </row>
    <row r="2930">
      <c r="A2930" s="103" t="s">
        <v>4676</v>
      </c>
      <c r="B2930" s="103">
        <v>1.100129924E9</v>
      </c>
      <c r="C2930" s="105"/>
      <c r="D2930" s="104" t="s">
        <v>13548</v>
      </c>
      <c r="E2930" s="106"/>
      <c r="F2930" s="103" t="s">
        <v>4678</v>
      </c>
      <c r="G2930" s="103" t="s">
        <v>4679</v>
      </c>
      <c r="H2930" s="103" t="s">
        <v>13549</v>
      </c>
      <c r="I2930" s="103">
        <v>3.229423221E9</v>
      </c>
      <c r="J2930" s="104" t="s">
        <v>13550</v>
      </c>
      <c r="K2930" s="105"/>
      <c r="L2930" s="105"/>
    </row>
    <row r="2931">
      <c r="A2931" s="103" t="s">
        <v>4676</v>
      </c>
      <c r="B2931" s="103">
        <v>1.10012992401E11</v>
      </c>
      <c r="C2931" s="105"/>
      <c r="D2931" s="104" t="s">
        <v>13551</v>
      </c>
      <c r="E2931" s="104" t="s">
        <v>13552</v>
      </c>
      <c r="F2931" s="103" t="s">
        <v>4678</v>
      </c>
      <c r="G2931" s="103" t="s">
        <v>4679</v>
      </c>
      <c r="H2931" s="103" t="s">
        <v>13553</v>
      </c>
      <c r="I2931" s="103">
        <v>3.229423221E9</v>
      </c>
      <c r="J2931" s="104" t="s">
        <v>13550</v>
      </c>
      <c r="K2931" s="105"/>
      <c r="L2931" s="105"/>
    </row>
    <row r="2932">
      <c r="A2932" s="103" t="s">
        <v>4676</v>
      </c>
      <c r="B2932" s="103">
        <v>1.100129958E9</v>
      </c>
      <c r="C2932" s="105"/>
      <c r="D2932" s="104" t="s">
        <v>13554</v>
      </c>
      <c r="E2932" s="106"/>
      <c r="F2932" s="103" t="s">
        <v>4678</v>
      </c>
      <c r="G2932" s="103" t="s">
        <v>4679</v>
      </c>
      <c r="H2932" s="103" t="s">
        <v>13555</v>
      </c>
      <c r="I2932" s="103">
        <v>7498166.0</v>
      </c>
      <c r="J2932" s="104" t="s">
        <v>13556</v>
      </c>
      <c r="K2932" s="105"/>
      <c r="L2932" s="105"/>
    </row>
    <row r="2933">
      <c r="A2933" s="103" t="s">
        <v>4676</v>
      </c>
      <c r="B2933" s="103">
        <v>1.10012995801E11</v>
      </c>
      <c r="C2933" s="105"/>
      <c r="D2933" s="104" t="s">
        <v>13554</v>
      </c>
      <c r="E2933" s="104" t="s">
        <v>13557</v>
      </c>
      <c r="F2933" s="103" t="s">
        <v>4678</v>
      </c>
      <c r="G2933" s="103" t="s">
        <v>4679</v>
      </c>
      <c r="H2933" s="103" t="s">
        <v>13555</v>
      </c>
      <c r="I2933" s="103">
        <v>7498166.0</v>
      </c>
      <c r="J2933" s="104" t="s">
        <v>13556</v>
      </c>
      <c r="K2933" s="105"/>
      <c r="L2933" s="105"/>
    </row>
    <row r="2934">
      <c r="A2934" s="103" t="s">
        <v>4676</v>
      </c>
      <c r="B2934" s="103">
        <v>1.100129987E9</v>
      </c>
      <c r="C2934" s="105"/>
      <c r="D2934" s="104" t="s">
        <v>13558</v>
      </c>
      <c r="E2934" s="106"/>
      <c r="F2934" s="103" t="s">
        <v>4678</v>
      </c>
      <c r="G2934" s="103" t="s">
        <v>4679</v>
      </c>
      <c r="H2934" s="103" t="s">
        <v>13559</v>
      </c>
      <c r="I2934" s="103" t="s">
        <v>13560</v>
      </c>
      <c r="J2934" s="104" t="s">
        <v>13561</v>
      </c>
      <c r="K2934" s="105"/>
      <c r="L2934" s="105"/>
    </row>
    <row r="2935">
      <c r="A2935" s="103" t="s">
        <v>4676</v>
      </c>
      <c r="B2935" s="103">
        <v>1.10012998701E11</v>
      </c>
      <c r="C2935" s="105"/>
      <c r="D2935" s="104" t="s">
        <v>13562</v>
      </c>
      <c r="E2935" s="104" t="s">
        <v>13563</v>
      </c>
      <c r="F2935" s="103" t="s">
        <v>4678</v>
      </c>
      <c r="G2935" s="103" t="s">
        <v>4679</v>
      </c>
      <c r="H2935" s="103" t="s">
        <v>13564</v>
      </c>
      <c r="I2935" s="103" t="s">
        <v>13565</v>
      </c>
      <c r="J2935" s="104" t="s">
        <v>13561</v>
      </c>
      <c r="K2935" s="105"/>
      <c r="L2935" s="105"/>
    </row>
    <row r="2936">
      <c r="A2936" s="103" t="s">
        <v>4676</v>
      </c>
      <c r="B2936" s="103">
        <v>1.100129999E9</v>
      </c>
      <c r="C2936" s="105"/>
      <c r="D2936" s="104" t="s">
        <v>13566</v>
      </c>
      <c r="E2936" s="106"/>
      <c r="F2936" s="103" t="s">
        <v>4678</v>
      </c>
      <c r="G2936" s="103" t="s">
        <v>4679</v>
      </c>
      <c r="H2936" s="103" t="s">
        <v>13567</v>
      </c>
      <c r="I2936" s="103" t="s">
        <v>13568</v>
      </c>
      <c r="J2936" s="104" t="s">
        <v>13569</v>
      </c>
      <c r="K2936" s="107" t="s">
        <v>13570</v>
      </c>
      <c r="L2936" s="105"/>
    </row>
    <row r="2937">
      <c r="A2937" s="103" t="s">
        <v>4676</v>
      </c>
      <c r="B2937" s="103">
        <v>1.10012999902E11</v>
      </c>
      <c r="C2937" s="105"/>
      <c r="D2937" s="104" t="s">
        <v>13571</v>
      </c>
      <c r="E2937" s="104" t="s">
        <v>13572</v>
      </c>
      <c r="F2937" s="103" t="s">
        <v>4678</v>
      </c>
      <c r="G2937" s="103" t="s">
        <v>4679</v>
      </c>
      <c r="H2937" s="103" t="s">
        <v>13573</v>
      </c>
      <c r="I2937" s="103" t="s">
        <v>13574</v>
      </c>
      <c r="J2937" s="104" t="s">
        <v>13569</v>
      </c>
      <c r="K2937" s="105"/>
      <c r="L2937" s="105"/>
    </row>
    <row r="2938">
      <c r="A2938" s="103" t="s">
        <v>4676</v>
      </c>
      <c r="B2938" s="103">
        <v>1.10012999903E11</v>
      </c>
      <c r="C2938" s="105"/>
      <c r="D2938" s="104" t="s">
        <v>13575</v>
      </c>
      <c r="E2938" s="104" t="s">
        <v>13572</v>
      </c>
      <c r="F2938" s="103" t="s">
        <v>4678</v>
      </c>
      <c r="G2938" s="103" t="s">
        <v>4679</v>
      </c>
      <c r="H2938" s="103" t="s">
        <v>13576</v>
      </c>
      <c r="I2938" s="103" t="s">
        <v>13568</v>
      </c>
      <c r="J2938" s="104" t="s">
        <v>13569</v>
      </c>
      <c r="K2938" s="105"/>
      <c r="L2938" s="105"/>
    </row>
    <row r="2939">
      <c r="A2939" s="103" t="s">
        <v>4676</v>
      </c>
      <c r="B2939" s="103">
        <v>1.100130008E9</v>
      </c>
      <c r="C2939" s="105"/>
      <c r="D2939" s="104" t="s">
        <v>13577</v>
      </c>
      <c r="E2939" s="106"/>
      <c r="F2939" s="103" t="s">
        <v>4678</v>
      </c>
      <c r="G2939" s="103" t="s">
        <v>4679</v>
      </c>
      <c r="H2939" s="103" t="s">
        <v>13578</v>
      </c>
      <c r="I2939" s="103" t="s">
        <v>13579</v>
      </c>
      <c r="J2939" s="104" t="s">
        <v>13580</v>
      </c>
      <c r="K2939" s="105"/>
      <c r="L2939" s="105"/>
    </row>
    <row r="2940">
      <c r="A2940" s="103" t="s">
        <v>4676</v>
      </c>
      <c r="B2940" s="103">
        <v>1.10013000801E11</v>
      </c>
      <c r="C2940" s="105"/>
      <c r="D2940" s="104" t="s">
        <v>13581</v>
      </c>
      <c r="E2940" s="104" t="s">
        <v>13582</v>
      </c>
      <c r="F2940" s="103" t="s">
        <v>4678</v>
      </c>
      <c r="G2940" s="103" t="s">
        <v>4679</v>
      </c>
      <c r="H2940" s="103" t="s">
        <v>13583</v>
      </c>
      <c r="I2940" s="103" t="s">
        <v>13584</v>
      </c>
      <c r="J2940" s="104" t="s">
        <v>13585</v>
      </c>
      <c r="K2940" s="105"/>
      <c r="L2940" s="105"/>
    </row>
    <row r="2941">
      <c r="A2941" s="103" t="s">
        <v>4676</v>
      </c>
      <c r="B2941" s="103">
        <v>1.100130028E9</v>
      </c>
      <c r="C2941" s="105"/>
      <c r="D2941" s="104" t="s">
        <v>13586</v>
      </c>
      <c r="E2941" s="106"/>
      <c r="F2941" s="103" t="s">
        <v>4678</v>
      </c>
      <c r="G2941" s="103" t="s">
        <v>4679</v>
      </c>
      <c r="H2941" s="103" t="s">
        <v>13587</v>
      </c>
      <c r="I2941" s="103" t="s">
        <v>13588</v>
      </c>
      <c r="J2941" s="104" t="s">
        <v>13589</v>
      </c>
      <c r="K2941" s="105"/>
      <c r="L2941" s="105"/>
    </row>
    <row r="2942">
      <c r="A2942" s="103" t="s">
        <v>4676</v>
      </c>
      <c r="B2942" s="103">
        <v>1.10013002801E11</v>
      </c>
      <c r="C2942" s="105"/>
      <c r="D2942" s="104" t="s">
        <v>13590</v>
      </c>
      <c r="E2942" s="104" t="s">
        <v>13591</v>
      </c>
      <c r="F2942" s="103" t="s">
        <v>4678</v>
      </c>
      <c r="G2942" s="103" t="s">
        <v>4679</v>
      </c>
      <c r="H2942" s="103" t="s">
        <v>13592</v>
      </c>
      <c r="I2942" s="103" t="s">
        <v>13588</v>
      </c>
      <c r="J2942" s="104" t="s">
        <v>13589</v>
      </c>
      <c r="K2942" s="105"/>
      <c r="L2942" s="105"/>
    </row>
    <row r="2943">
      <c r="A2943" s="103" t="s">
        <v>4676</v>
      </c>
      <c r="B2943" s="103">
        <v>1.100130109E9</v>
      </c>
      <c r="C2943" s="105"/>
      <c r="D2943" s="104" t="s">
        <v>13593</v>
      </c>
      <c r="E2943" s="106"/>
      <c r="F2943" s="103" t="s">
        <v>4678</v>
      </c>
      <c r="G2943" s="103" t="s">
        <v>4679</v>
      </c>
      <c r="H2943" s="103" t="s">
        <v>13594</v>
      </c>
      <c r="I2943" s="103">
        <v>5253313.0</v>
      </c>
      <c r="J2943" s="104" t="s">
        <v>13595</v>
      </c>
      <c r="K2943" s="105"/>
      <c r="L2943" s="105"/>
    </row>
    <row r="2944">
      <c r="A2944" s="103" t="s">
        <v>4676</v>
      </c>
      <c r="B2944" s="103">
        <v>1.10013010901E11</v>
      </c>
      <c r="C2944" s="105"/>
      <c r="D2944" s="104" t="s">
        <v>13593</v>
      </c>
      <c r="E2944" s="104" t="s">
        <v>13596</v>
      </c>
      <c r="F2944" s="103" t="s">
        <v>4678</v>
      </c>
      <c r="G2944" s="103" t="s">
        <v>4679</v>
      </c>
      <c r="H2944" s="103" t="s">
        <v>13594</v>
      </c>
      <c r="I2944" s="103" t="s">
        <v>13597</v>
      </c>
      <c r="J2944" s="104" t="s">
        <v>13595</v>
      </c>
      <c r="K2944" s="105"/>
      <c r="L2944" s="105"/>
    </row>
    <row r="2945">
      <c r="A2945" s="103" t="s">
        <v>4676</v>
      </c>
      <c r="B2945" s="103">
        <v>1.10013011E9</v>
      </c>
      <c r="C2945" s="105"/>
      <c r="D2945" s="104" t="s">
        <v>13598</v>
      </c>
      <c r="E2945" s="106"/>
      <c r="F2945" s="103" t="s">
        <v>4678</v>
      </c>
      <c r="G2945" s="103" t="s">
        <v>4679</v>
      </c>
      <c r="H2945" s="103" t="s">
        <v>13599</v>
      </c>
      <c r="I2945" s="103">
        <v>3.173002503E9</v>
      </c>
      <c r="J2945" s="104" t="s">
        <v>13600</v>
      </c>
      <c r="K2945" s="107" t="s">
        <v>13601</v>
      </c>
      <c r="L2945" s="105"/>
    </row>
    <row r="2946">
      <c r="A2946" s="103" t="s">
        <v>4676</v>
      </c>
      <c r="B2946" s="103">
        <v>1.10013011001E11</v>
      </c>
      <c r="C2946" s="105"/>
      <c r="D2946" s="104" t="s">
        <v>13602</v>
      </c>
      <c r="E2946" s="104" t="s">
        <v>13603</v>
      </c>
      <c r="F2946" s="103" t="s">
        <v>4678</v>
      </c>
      <c r="G2946" s="103" t="s">
        <v>4679</v>
      </c>
      <c r="H2946" s="103" t="s">
        <v>13604</v>
      </c>
      <c r="I2946" s="103">
        <v>3.173002503E9</v>
      </c>
      <c r="J2946" s="104" t="s">
        <v>13600</v>
      </c>
      <c r="K2946" s="105"/>
      <c r="L2946" s="105"/>
    </row>
    <row r="2947">
      <c r="A2947" s="103" t="s">
        <v>4676</v>
      </c>
      <c r="B2947" s="103">
        <v>1.100130145E9</v>
      </c>
      <c r="C2947" s="105"/>
      <c r="D2947" s="104" t="s">
        <v>13605</v>
      </c>
      <c r="E2947" s="106"/>
      <c r="F2947" s="103" t="s">
        <v>4678</v>
      </c>
      <c r="G2947" s="103" t="s">
        <v>4679</v>
      </c>
      <c r="H2947" s="103" t="s">
        <v>13606</v>
      </c>
      <c r="I2947" s="103" t="s">
        <v>13607</v>
      </c>
      <c r="J2947" s="104" t="s">
        <v>13608</v>
      </c>
      <c r="K2947" s="105"/>
      <c r="L2947" s="105"/>
    </row>
    <row r="2948">
      <c r="A2948" s="103" t="s">
        <v>4676</v>
      </c>
      <c r="B2948" s="103">
        <v>1.10013014501E11</v>
      </c>
      <c r="C2948" s="105"/>
      <c r="D2948" s="104" t="s">
        <v>13605</v>
      </c>
      <c r="E2948" s="104" t="s">
        <v>13609</v>
      </c>
      <c r="F2948" s="103" t="s">
        <v>4678</v>
      </c>
      <c r="G2948" s="103" t="s">
        <v>4679</v>
      </c>
      <c r="H2948" s="103" t="s">
        <v>13610</v>
      </c>
      <c r="I2948" s="103" t="s">
        <v>13611</v>
      </c>
      <c r="J2948" s="104" t="s">
        <v>13612</v>
      </c>
      <c r="K2948" s="105"/>
      <c r="L2948" s="105"/>
    </row>
    <row r="2949">
      <c r="A2949" s="103" t="s">
        <v>4676</v>
      </c>
      <c r="B2949" s="103">
        <v>1.100130163E9</v>
      </c>
      <c r="C2949" s="105"/>
      <c r="D2949" s="104" t="s">
        <v>13613</v>
      </c>
      <c r="E2949" s="106"/>
      <c r="F2949" s="103" t="s">
        <v>4678</v>
      </c>
      <c r="G2949" s="103" t="s">
        <v>4679</v>
      </c>
      <c r="H2949" s="103" t="s">
        <v>13614</v>
      </c>
      <c r="I2949" s="103">
        <v>3.013752581E9</v>
      </c>
      <c r="J2949" s="104" t="s">
        <v>13615</v>
      </c>
      <c r="K2949" s="105"/>
      <c r="L2949" s="105"/>
    </row>
    <row r="2950">
      <c r="A2950" s="103" t="s">
        <v>4676</v>
      </c>
      <c r="B2950" s="103">
        <v>1.10013016301E11</v>
      </c>
      <c r="C2950" s="105"/>
      <c r="D2950" s="104" t="s">
        <v>13613</v>
      </c>
      <c r="E2950" s="104" t="s">
        <v>13616</v>
      </c>
      <c r="F2950" s="103" t="s">
        <v>4678</v>
      </c>
      <c r="G2950" s="103" t="s">
        <v>4679</v>
      </c>
      <c r="H2950" s="103" t="s">
        <v>13614</v>
      </c>
      <c r="I2950" s="103">
        <v>3.013752581E9</v>
      </c>
      <c r="J2950" s="104" t="s">
        <v>13615</v>
      </c>
      <c r="K2950" s="105"/>
      <c r="L2950" s="105"/>
    </row>
    <row r="2951">
      <c r="A2951" s="103" t="s">
        <v>4676</v>
      </c>
      <c r="B2951" s="103">
        <v>1.100130173E9</v>
      </c>
      <c r="C2951" s="105"/>
      <c r="D2951" s="104" t="s">
        <v>13617</v>
      </c>
      <c r="E2951" s="106"/>
      <c r="F2951" s="103" t="s">
        <v>4678</v>
      </c>
      <c r="G2951" s="103" t="s">
        <v>4679</v>
      </c>
      <c r="H2951" s="103" t="s">
        <v>13618</v>
      </c>
      <c r="I2951" s="103" t="s">
        <v>13619</v>
      </c>
      <c r="J2951" s="104" t="s">
        <v>13620</v>
      </c>
      <c r="K2951" s="105"/>
      <c r="L2951" s="105"/>
    </row>
    <row r="2952">
      <c r="A2952" s="103" t="s">
        <v>4676</v>
      </c>
      <c r="B2952" s="103">
        <v>1.10013017301E11</v>
      </c>
      <c r="C2952" s="105"/>
      <c r="D2952" s="104" t="s">
        <v>13617</v>
      </c>
      <c r="E2952" s="104" t="s">
        <v>13621</v>
      </c>
      <c r="F2952" s="103" t="s">
        <v>4678</v>
      </c>
      <c r="G2952" s="103" t="s">
        <v>4679</v>
      </c>
      <c r="H2952" s="103" t="s">
        <v>13618</v>
      </c>
      <c r="I2952" s="103" t="s">
        <v>13619</v>
      </c>
      <c r="J2952" s="104" t="s">
        <v>13620</v>
      </c>
      <c r="K2952" s="105"/>
      <c r="L2952" s="105"/>
    </row>
    <row r="2953">
      <c r="A2953" s="103" t="s">
        <v>4676</v>
      </c>
      <c r="B2953" s="103">
        <v>1.100130246E9</v>
      </c>
      <c r="C2953" s="105"/>
      <c r="D2953" s="104" t="s">
        <v>13622</v>
      </c>
      <c r="E2953" s="106"/>
      <c r="F2953" s="103" t="s">
        <v>4678</v>
      </c>
      <c r="G2953" s="103" t="s">
        <v>4679</v>
      </c>
      <c r="H2953" s="103" t="s">
        <v>13623</v>
      </c>
      <c r="I2953" s="103" t="s">
        <v>13624</v>
      </c>
      <c r="J2953" s="104" t="s">
        <v>13625</v>
      </c>
      <c r="K2953" s="107" t="s">
        <v>13626</v>
      </c>
      <c r="L2953" s="105"/>
    </row>
    <row r="2954">
      <c r="A2954" s="103" t="s">
        <v>4676</v>
      </c>
      <c r="B2954" s="103">
        <v>1.10013024601E11</v>
      </c>
      <c r="C2954" s="105"/>
      <c r="D2954" s="104" t="s">
        <v>13622</v>
      </c>
      <c r="E2954" s="104" t="s">
        <v>13627</v>
      </c>
      <c r="F2954" s="103" t="s">
        <v>4678</v>
      </c>
      <c r="G2954" s="103" t="s">
        <v>4679</v>
      </c>
      <c r="H2954" s="103" t="s">
        <v>13628</v>
      </c>
      <c r="I2954" s="103" t="s">
        <v>13624</v>
      </c>
      <c r="J2954" s="104" t="s">
        <v>13629</v>
      </c>
      <c r="K2954" s="105"/>
      <c r="L2954" s="105"/>
    </row>
    <row r="2955">
      <c r="A2955" s="103" t="s">
        <v>4676</v>
      </c>
      <c r="B2955" s="103">
        <v>1.100130303E9</v>
      </c>
      <c r="C2955" s="105"/>
      <c r="D2955" s="104" t="s">
        <v>13630</v>
      </c>
      <c r="E2955" s="106"/>
      <c r="F2955" s="103" t="s">
        <v>4678</v>
      </c>
      <c r="G2955" s="103" t="s">
        <v>4679</v>
      </c>
      <c r="H2955" s="103" t="s">
        <v>13631</v>
      </c>
      <c r="I2955" s="103">
        <v>2532222.0</v>
      </c>
      <c r="J2955" s="104" t="s">
        <v>13632</v>
      </c>
      <c r="K2955" s="107" t="s">
        <v>13633</v>
      </c>
      <c r="L2955" s="105"/>
    </row>
    <row r="2956">
      <c r="A2956" s="103" t="s">
        <v>4676</v>
      </c>
      <c r="B2956" s="103">
        <v>1.10013030301E11</v>
      </c>
      <c r="C2956" s="105"/>
      <c r="D2956" s="104" t="s">
        <v>13634</v>
      </c>
      <c r="E2956" s="104" t="s">
        <v>13635</v>
      </c>
      <c r="F2956" s="103" t="s">
        <v>4678</v>
      </c>
      <c r="G2956" s="103" t="s">
        <v>4679</v>
      </c>
      <c r="H2956" s="103" t="s">
        <v>13636</v>
      </c>
      <c r="I2956" s="103" t="s">
        <v>13637</v>
      </c>
      <c r="J2956" s="104" t="s">
        <v>13632</v>
      </c>
      <c r="K2956" s="105"/>
      <c r="L2956" s="105"/>
    </row>
    <row r="2957">
      <c r="A2957" s="103" t="s">
        <v>4676</v>
      </c>
      <c r="B2957" s="103">
        <v>1.10013030302E11</v>
      </c>
      <c r="C2957" s="105"/>
      <c r="D2957" s="104" t="s">
        <v>13638</v>
      </c>
      <c r="E2957" s="104" t="s">
        <v>13639</v>
      </c>
      <c r="F2957" s="103" t="s">
        <v>4678</v>
      </c>
      <c r="G2957" s="103" t="s">
        <v>4679</v>
      </c>
      <c r="H2957" s="103" t="s">
        <v>13640</v>
      </c>
      <c r="I2957" s="103">
        <v>3739486.0</v>
      </c>
      <c r="J2957" s="104" t="s">
        <v>13632</v>
      </c>
      <c r="K2957" s="105"/>
      <c r="L2957" s="105"/>
    </row>
    <row r="2958">
      <c r="A2958" s="103" t="s">
        <v>4676</v>
      </c>
      <c r="B2958" s="103">
        <v>1.100130345E9</v>
      </c>
      <c r="C2958" s="105"/>
      <c r="D2958" s="104" t="s">
        <v>13641</v>
      </c>
      <c r="E2958" s="106"/>
      <c r="F2958" s="103" t="s">
        <v>4678</v>
      </c>
      <c r="G2958" s="103" t="s">
        <v>4679</v>
      </c>
      <c r="H2958" s="103" t="s">
        <v>13642</v>
      </c>
      <c r="I2958" s="103" t="s">
        <v>13643</v>
      </c>
      <c r="J2958" s="104" t="s">
        <v>13644</v>
      </c>
      <c r="K2958" s="105"/>
      <c r="L2958" s="105"/>
    </row>
    <row r="2959">
      <c r="A2959" s="103" t="s">
        <v>4676</v>
      </c>
      <c r="B2959" s="103">
        <v>1.10013034501E11</v>
      </c>
      <c r="C2959" s="105"/>
      <c r="D2959" s="104" t="s">
        <v>13645</v>
      </c>
      <c r="E2959" s="104" t="s">
        <v>13646</v>
      </c>
      <c r="F2959" s="103" t="s">
        <v>4678</v>
      </c>
      <c r="G2959" s="103" t="s">
        <v>4679</v>
      </c>
      <c r="H2959" s="103" t="s">
        <v>13647</v>
      </c>
      <c r="I2959" s="103" t="s">
        <v>13643</v>
      </c>
      <c r="J2959" s="104" t="s">
        <v>13644</v>
      </c>
      <c r="K2959" s="105"/>
      <c r="L2959" s="105"/>
    </row>
    <row r="2960">
      <c r="A2960" s="103" t="s">
        <v>4676</v>
      </c>
      <c r="B2960" s="103">
        <v>1.100130346E9</v>
      </c>
      <c r="C2960" s="105"/>
      <c r="D2960" s="104" t="s">
        <v>13648</v>
      </c>
      <c r="E2960" s="106"/>
      <c r="F2960" s="103" t="s">
        <v>4678</v>
      </c>
      <c r="G2960" s="103" t="s">
        <v>4679</v>
      </c>
      <c r="H2960" s="103" t="s">
        <v>13649</v>
      </c>
      <c r="I2960" s="103">
        <v>4002595.0</v>
      </c>
      <c r="J2960" s="104" t="s">
        <v>13650</v>
      </c>
      <c r="K2960" s="107" t="s">
        <v>13651</v>
      </c>
      <c r="L2960" s="105"/>
    </row>
    <row r="2961">
      <c r="A2961" s="103" t="s">
        <v>4676</v>
      </c>
      <c r="B2961" s="103">
        <v>1.10013034601E11</v>
      </c>
      <c r="C2961" s="105"/>
      <c r="D2961" s="104" t="s">
        <v>13652</v>
      </c>
      <c r="E2961" s="104" t="s">
        <v>13653</v>
      </c>
      <c r="F2961" s="103" t="s">
        <v>4678</v>
      </c>
      <c r="G2961" s="103" t="s">
        <v>4679</v>
      </c>
      <c r="H2961" s="103" t="s">
        <v>13654</v>
      </c>
      <c r="I2961" s="103">
        <v>4002546.0</v>
      </c>
      <c r="J2961" s="104" t="s">
        <v>13655</v>
      </c>
      <c r="K2961" s="105"/>
      <c r="L2961" s="105"/>
    </row>
    <row r="2962">
      <c r="A2962" s="103" t="s">
        <v>4676</v>
      </c>
      <c r="B2962" s="103">
        <v>1.100130475E9</v>
      </c>
      <c r="C2962" s="105"/>
      <c r="D2962" s="104" t="s">
        <v>13656</v>
      </c>
      <c r="E2962" s="106"/>
      <c r="F2962" s="103" t="s">
        <v>4678</v>
      </c>
      <c r="G2962" s="103" t="s">
        <v>4679</v>
      </c>
      <c r="H2962" s="103" t="s">
        <v>13657</v>
      </c>
      <c r="I2962" s="103">
        <v>9157700.0</v>
      </c>
      <c r="J2962" s="104" t="s">
        <v>13658</v>
      </c>
      <c r="K2962" s="107" t="s">
        <v>13659</v>
      </c>
      <c r="L2962" s="105"/>
    </row>
    <row r="2963">
      <c r="A2963" s="103" t="s">
        <v>4676</v>
      </c>
      <c r="B2963" s="103">
        <v>1.10013047501E11</v>
      </c>
      <c r="C2963" s="105"/>
      <c r="D2963" s="104" t="s">
        <v>13660</v>
      </c>
      <c r="E2963" s="104" t="s">
        <v>13661</v>
      </c>
      <c r="F2963" s="103" t="s">
        <v>4678</v>
      </c>
      <c r="G2963" s="103" t="s">
        <v>4679</v>
      </c>
      <c r="H2963" s="103" t="s">
        <v>13662</v>
      </c>
      <c r="I2963" s="103" t="s">
        <v>13663</v>
      </c>
      <c r="J2963" s="104" t="s">
        <v>13658</v>
      </c>
      <c r="K2963" s="105"/>
      <c r="L2963" s="105"/>
    </row>
    <row r="2964">
      <c r="A2964" s="103" t="s">
        <v>4676</v>
      </c>
      <c r="B2964" s="103">
        <v>1.100130514E9</v>
      </c>
      <c r="C2964" s="105"/>
      <c r="D2964" s="104" t="s">
        <v>13664</v>
      </c>
      <c r="E2964" s="106"/>
      <c r="F2964" s="103" t="s">
        <v>4678</v>
      </c>
      <c r="G2964" s="103" t="s">
        <v>4679</v>
      </c>
      <c r="H2964" s="103" t="s">
        <v>13665</v>
      </c>
      <c r="I2964" s="103">
        <v>7462367.0</v>
      </c>
      <c r="J2964" s="104" t="s">
        <v>13666</v>
      </c>
      <c r="K2964" s="105"/>
      <c r="L2964" s="105"/>
    </row>
    <row r="2965">
      <c r="A2965" s="103" t="s">
        <v>4676</v>
      </c>
      <c r="B2965" s="103">
        <v>1.10013051409E11</v>
      </c>
      <c r="C2965" s="105"/>
      <c r="D2965" s="104" t="s">
        <v>13667</v>
      </c>
      <c r="E2965" s="104" t="s">
        <v>13668</v>
      </c>
      <c r="F2965" s="103" t="s">
        <v>4678</v>
      </c>
      <c r="G2965" s="103" t="s">
        <v>4679</v>
      </c>
      <c r="H2965" s="103" t="s">
        <v>13669</v>
      </c>
      <c r="I2965" s="103">
        <v>3.124161896E9</v>
      </c>
      <c r="J2965" s="104" t="s">
        <v>13666</v>
      </c>
      <c r="K2965" s="105"/>
      <c r="L2965" s="105"/>
    </row>
    <row r="2966">
      <c r="A2966" s="103" t="s">
        <v>4676</v>
      </c>
      <c r="B2966" s="103">
        <v>1.1001305141E11</v>
      </c>
      <c r="C2966" s="105"/>
      <c r="D2966" s="104" t="s">
        <v>13670</v>
      </c>
      <c r="E2966" s="104" t="s">
        <v>13671</v>
      </c>
      <c r="F2966" s="103" t="s">
        <v>4678</v>
      </c>
      <c r="G2966" s="103" t="s">
        <v>4679</v>
      </c>
      <c r="H2966" s="103" t="s">
        <v>13672</v>
      </c>
      <c r="I2966" s="103">
        <v>3.124161896E9</v>
      </c>
      <c r="J2966" s="104" t="s">
        <v>13666</v>
      </c>
      <c r="K2966" s="105"/>
      <c r="L2966" s="105"/>
    </row>
    <row r="2967">
      <c r="A2967" s="103" t="s">
        <v>4676</v>
      </c>
      <c r="B2967" s="103">
        <v>1.10013051411E11</v>
      </c>
      <c r="C2967" s="105"/>
      <c r="D2967" s="104" t="s">
        <v>13673</v>
      </c>
      <c r="E2967" s="104" t="s">
        <v>13674</v>
      </c>
      <c r="F2967" s="103" t="s">
        <v>4678</v>
      </c>
      <c r="G2967" s="103" t="s">
        <v>4679</v>
      </c>
      <c r="H2967" s="103" t="s">
        <v>13675</v>
      </c>
      <c r="I2967" s="103">
        <v>3.124161896E9</v>
      </c>
      <c r="J2967" s="104" t="s">
        <v>13666</v>
      </c>
      <c r="K2967" s="105"/>
      <c r="L2967" s="105"/>
    </row>
    <row r="2968">
      <c r="A2968" s="103" t="s">
        <v>4676</v>
      </c>
      <c r="B2968" s="103">
        <v>1.10013051414E11</v>
      </c>
      <c r="C2968" s="105"/>
      <c r="D2968" s="104" t="s">
        <v>13676</v>
      </c>
      <c r="E2968" s="104" t="s">
        <v>13677</v>
      </c>
      <c r="F2968" s="103" t="s">
        <v>4678</v>
      </c>
      <c r="G2968" s="103" t="s">
        <v>4679</v>
      </c>
      <c r="H2968" s="103" t="s">
        <v>13678</v>
      </c>
      <c r="I2968" s="103">
        <v>3.124161896E9</v>
      </c>
      <c r="J2968" s="104" t="s">
        <v>13666</v>
      </c>
      <c r="K2968" s="105"/>
      <c r="L2968" s="105"/>
    </row>
    <row r="2969">
      <c r="A2969" s="103" t="s">
        <v>4676</v>
      </c>
      <c r="B2969" s="103">
        <v>1.100130544E9</v>
      </c>
      <c r="C2969" s="105"/>
      <c r="D2969" s="104" t="s">
        <v>13679</v>
      </c>
      <c r="E2969" s="106"/>
      <c r="F2969" s="103" t="s">
        <v>4678</v>
      </c>
      <c r="G2969" s="103" t="s">
        <v>4679</v>
      </c>
      <c r="H2969" s="103" t="s">
        <v>13680</v>
      </c>
      <c r="I2969" s="103" t="s">
        <v>13681</v>
      </c>
      <c r="J2969" s="104" t="s">
        <v>13682</v>
      </c>
      <c r="K2969" s="105"/>
      <c r="L2969" s="105"/>
    </row>
    <row r="2970">
      <c r="A2970" s="103" t="s">
        <v>4676</v>
      </c>
      <c r="B2970" s="103">
        <v>1.10013054401E11</v>
      </c>
      <c r="C2970" s="105"/>
      <c r="D2970" s="104" t="s">
        <v>13679</v>
      </c>
      <c r="E2970" s="104" t="s">
        <v>13683</v>
      </c>
      <c r="F2970" s="103" t="s">
        <v>4678</v>
      </c>
      <c r="G2970" s="103" t="s">
        <v>4679</v>
      </c>
      <c r="H2970" s="103" t="s">
        <v>13684</v>
      </c>
      <c r="I2970" s="103" t="s">
        <v>13685</v>
      </c>
      <c r="J2970" s="104" t="s">
        <v>13682</v>
      </c>
      <c r="K2970" s="105"/>
      <c r="L2970" s="105"/>
    </row>
    <row r="2971">
      <c r="A2971" s="103" t="s">
        <v>4676</v>
      </c>
      <c r="B2971" s="103">
        <v>1.10013054402E11</v>
      </c>
      <c r="C2971" s="105"/>
      <c r="D2971" s="104" t="s">
        <v>13686</v>
      </c>
      <c r="E2971" s="104" t="s">
        <v>13687</v>
      </c>
      <c r="F2971" s="103" t="s">
        <v>4678</v>
      </c>
      <c r="G2971" s="103" t="s">
        <v>4679</v>
      </c>
      <c r="H2971" s="103" t="s">
        <v>13688</v>
      </c>
      <c r="I2971" s="103">
        <v>3.187244576E9</v>
      </c>
      <c r="J2971" s="104" t="s">
        <v>13689</v>
      </c>
      <c r="K2971" s="105"/>
      <c r="L2971" s="105"/>
    </row>
    <row r="2972">
      <c r="A2972" s="103" t="s">
        <v>4676</v>
      </c>
      <c r="B2972" s="103">
        <v>1.100130558E9</v>
      </c>
      <c r="C2972" s="105"/>
      <c r="D2972" s="104" t="s">
        <v>13690</v>
      </c>
      <c r="E2972" s="106"/>
      <c r="F2972" s="103" t="s">
        <v>4678</v>
      </c>
      <c r="G2972" s="103" t="s">
        <v>4679</v>
      </c>
      <c r="H2972" s="103" t="s">
        <v>13691</v>
      </c>
      <c r="I2972" s="103" t="s">
        <v>13692</v>
      </c>
      <c r="J2972" s="104" t="s">
        <v>13693</v>
      </c>
      <c r="K2972" s="107" t="s">
        <v>13694</v>
      </c>
      <c r="L2972" s="105"/>
    </row>
    <row r="2973">
      <c r="A2973" s="103" t="s">
        <v>4676</v>
      </c>
      <c r="B2973" s="103">
        <v>1.10013055801E11</v>
      </c>
      <c r="C2973" s="105"/>
      <c r="D2973" s="104" t="s">
        <v>13690</v>
      </c>
      <c r="E2973" s="104" t="s">
        <v>13695</v>
      </c>
      <c r="F2973" s="103" t="s">
        <v>4678</v>
      </c>
      <c r="G2973" s="103" t="s">
        <v>4679</v>
      </c>
      <c r="H2973" s="103" t="s">
        <v>13691</v>
      </c>
      <c r="I2973" s="103" t="s">
        <v>13692</v>
      </c>
      <c r="J2973" s="104" t="s">
        <v>13693</v>
      </c>
      <c r="K2973" s="105"/>
      <c r="L2973" s="105"/>
    </row>
    <row r="2974">
      <c r="A2974" s="103" t="s">
        <v>4676</v>
      </c>
      <c r="B2974" s="103">
        <v>1.100130604E9</v>
      </c>
      <c r="C2974" s="105"/>
      <c r="D2974" s="104" t="s">
        <v>13696</v>
      </c>
      <c r="E2974" s="106"/>
      <c r="F2974" s="103" t="s">
        <v>4678</v>
      </c>
      <c r="G2974" s="103" t="s">
        <v>4679</v>
      </c>
      <c r="H2974" s="103" t="s">
        <v>13697</v>
      </c>
      <c r="I2974" s="103" t="s">
        <v>13698</v>
      </c>
      <c r="J2974" s="104" t="s">
        <v>13699</v>
      </c>
      <c r="K2974" s="105"/>
      <c r="L2974" s="105"/>
    </row>
    <row r="2975">
      <c r="A2975" s="103" t="s">
        <v>4676</v>
      </c>
      <c r="B2975" s="103">
        <v>1.10013060401E11</v>
      </c>
      <c r="C2975" s="105"/>
      <c r="D2975" s="104" t="s">
        <v>13696</v>
      </c>
      <c r="E2975" s="104" t="s">
        <v>13700</v>
      </c>
      <c r="F2975" s="103" t="s">
        <v>4678</v>
      </c>
      <c r="G2975" s="103" t="s">
        <v>4679</v>
      </c>
      <c r="H2975" s="103" t="s">
        <v>13701</v>
      </c>
      <c r="I2975" s="103" t="s">
        <v>13698</v>
      </c>
      <c r="J2975" s="104" t="s">
        <v>13702</v>
      </c>
      <c r="K2975" s="105"/>
      <c r="L2975" s="105"/>
    </row>
    <row r="2976">
      <c r="A2976" s="103" t="s">
        <v>4676</v>
      </c>
      <c r="B2976" s="103">
        <v>1.100130696E9</v>
      </c>
      <c r="C2976" s="105"/>
      <c r="D2976" s="104" t="s">
        <v>13703</v>
      </c>
      <c r="E2976" s="106"/>
      <c r="F2976" s="103" t="s">
        <v>4678</v>
      </c>
      <c r="G2976" s="103" t="s">
        <v>4679</v>
      </c>
      <c r="H2976" s="103" t="s">
        <v>13704</v>
      </c>
      <c r="I2976" s="103">
        <v>3.164740633E9</v>
      </c>
      <c r="J2976" s="104" t="s">
        <v>13705</v>
      </c>
      <c r="K2976" s="105"/>
      <c r="L2976" s="105"/>
    </row>
    <row r="2977">
      <c r="A2977" s="103" t="s">
        <v>4676</v>
      </c>
      <c r="B2977" s="103">
        <v>1.10013069601E11</v>
      </c>
      <c r="C2977" s="105"/>
      <c r="D2977" s="104" t="s">
        <v>13706</v>
      </c>
      <c r="E2977" s="104" t="s">
        <v>13707</v>
      </c>
      <c r="F2977" s="103" t="s">
        <v>4678</v>
      </c>
      <c r="G2977" s="103" t="s">
        <v>4679</v>
      </c>
      <c r="H2977" s="103" t="s">
        <v>13704</v>
      </c>
      <c r="I2977" s="103">
        <v>3.164740633E9</v>
      </c>
      <c r="J2977" s="104" t="s">
        <v>13705</v>
      </c>
      <c r="K2977" s="105"/>
      <c r="L2977" s="105"/>
    </row>
    <row r="2978">
      <c r="A2978" s="103" t="s">
        <v>4676</v>
      </c>
      <c r="B2978" s="103">
        <v>1.100130739E9</v>
      </c>
      <c r="C2978" s="105"/>
      <c r="D2978" s="104" t="s">
        <v>13708</v>
      </c>
      <c r="E2978" s="106"/>
      <c r="F2978" s="103" t="s">
        <v>4678</v>
      </c>
      <c r="G2978" s="103" t="s">
        <v>4679</v>
      </c>
      <c r="H2978" s="103" t="s">
        <v>13709</v>
      </c>
      <c r="I2978" s="103" t="s">
        <v>13710</v>
      </c>
      <c r="J2978" s="104" t="s">
        <v>13711</v>
      </c>
      <c r="K2978" s="105"/>
      <c r="L2978" s="105"/>
    </row>
    <row r="2979">
      <c r="A2979" s="103" t="s">
        <v>4676</v>
      </c>
      <c r="B2979" s="103">
        <v>1.10013073902E11</v>
      </c>
      <c r="C2979" s="105"/>
      <c r="D2979" s="104" t="s">
        <v>13712</v>
      </c>
      <c r="E2979" s="104" t="s">
        <v>13713</v>
      </c>
      <c r="F2979" s="103" t="s">
        <v>4678</v>
      </c>
      <c r="G2979" s="103" t="s">
        <v>4679</v>
      </c>
      <c r="H2979" s="103" t="s">
        <v>13714</v>
      </c>
      <c r="I2979" s="103" t="s">
        <v>13715</v>
      </c>
      <c r="J2979" s="104" t="s">
        <v>13716</v>
      </c>
      <c r="K2979" s="105"/>
      <c r="L2979" s="105"/>
    </row>
    <row r="2980">
      <c r="A2980" s="103" t="s">
        <v>4676</v>
      </c>
      <c r="B2980" s="103">
        <v>1.10013074E9</v>
      </c>
      <c r="C2980" s="105"/>
      <c r="D2980" s="104" t="s">
        <v>13717</v>
      </c>
      <c r="E2980" s="106"/>
      <c r="F2980" s="103" t="s">
        <v>4678</v>
      </c>
      <c r="G2980" s="103" t="s">
        <v>4679</v>
      </c>
      <c r="H2980" s="103" t="s">
        <v>13718</v>
      </c>
      <c r="I2980" s="103">
        <v>3.102394211E9</v>
      </c>
      <c r="J2980" s="104" t="s">
        <v>13719</v>
      </c>
      <c r="K2980" s="105"/>
      <c r="L2980" s="105"/>
    </row>
    <row r="2981">
      <c r="A2981" s="103" t="s">
        <v>4676</v>
      </c>
      <c r="B2981" s="103">
        <v>1.10013074001E11</v>
      </c>
      <c r="C2981" s="105"/>
      <c r="D2981" s="104" t="s">
        <v>13720</v>
      </c>
      <c r="E2981" s="104" t="s">
        <v>13721</v>
      </c>
      <c r="F2981" s="103" t="s">
        <v>4678</v>
      </c>
      <c r="G2981" s="103" t="s">
        <v>4679</v>
      </c>
      <c r="H2981" s="103" t="s">
        <v>13722</v>
      </c>
      <c r="I2981" s="103">
        <v>3.102394211E9</v>
      </c>
      <c r="J2981" s="104" t="s">
        <v>13719</v>
      </c>
      <c r="K2981" s="105"/>
      <c r="L2981" s="105"/>
    </row>
    <row r="2982">
      <c r="A2982" s="103" t="s">
        <v>4676</v>
      </c>
      <c r="B2982" s="103">
        <v>1.100130786E9</v>
      </c>
      <c r="C2982" s="105"/>
      <c r="D2982" s="104" t="s">
        <v>13723</v>
      </c>
      <c r="E2982" s="106"/>
      <c r="F2982" s="103" t="s">
        <v>4678</v>
      </c>
      <c r="G2982" s="103" t="s">
        <v>4679</v>
      </c>
      <c r="H2982" s="103" t="s">
        <v>13724</v>
      </c>
      <c r="I2982" s="103">
        <v>3.138173199E9</v>
      </c>
      <c r="J2982" s="104" t="s">
        <v>13725</v>
      </c>
      <c r="K2982" s="105"/>
      <c r="L2982" s="105"/>
    </row>
    <row r="2983">
      <c r="A2983" s="103" t="s">
        <v>4676</v>
      </c>
      <c r="B2983" s="103">
        <v>1.10013078603E11</v>
      </c>
      <c r="C2983" s="105"/>
      <c r="D2983" s="104" t="s">
        <v>13726</v>
      </c>
      <c r="E2983" s="104" t="s">
        <v>13727</v>
      </c>
      <c r="F2983" s="103" t="s">
        <v>4678</v>
      </c>
      <c r="G2983" s="103" t="s">
        <v>4679</v>
      </c>
      <c r="H2983" s="103" t="s">
        <v>13728</v>
      </c>
      <c r="I2983" s="103">
        <v>3.138173199E9</v>
      </c>
      <c r="J2983" s="104" t="s">
        <v>13725</v>
      </c>
      <c r="K2983" s="105"/>
      <c r="L2983" s="105"/>
    </row>
    <row r="2984">
      <c r="A2984" s="103" t="s">
        <v>4676</v>
      </c>
      <c r="B2984" s="103">
        <v>1.10013088E9</v>
      </c>
      <c r="C2984" s="105"/>
      <c r="D2984" s="104" t="s">
        <v>13729</v>
      </c>
      <c r="E2984" s="106"/>
      <c r="F2984" s="103" t="s">
        <v>4678</v>
      </c>
      <c r="G2984" s="103" t="s">
        <v>4679</v>
      </c>
      <c r="H2984" s="103" t="s">
        <v>13730</v>
      </c>
      <c r="I2984" s="103" t="s">
        <v>13731</v>
      </c>
      <c r="J2984" s="104" t="s">
        <v>13732</v>
      </c>
      <c r="K2984" s="105"/>
      <c r="L2984" s="105"/>
    </row>
    <row r="2985">
      <c r="A2985" s="103" t="s">
        <v>4676</v>
      </c>
      <c r="B2985" s="103">
        <v>1.10013088001E11</v>
      </c>
      <c r="C2985" s="105"/>
      <c r="D2985" s="104" t="s">
        <v>13729</v>
      </c>
      <c r="E2985" s="104" t="s">
        <v>13733</v>
      </c>
      <c r="F2985" s="103" t="s">
        <v>4678</v>
      </c>
      <c r="G2985" s="103" t="s">
        <v>4679</v>
      </c>
      <c r="H2985" s="103" t="s">
        <v>13730</v>
      </c>
      <c r="I2985" s="103" t="s">
        <v>13731</v>
      </c>
      <c r="J2985" s="104" t="s">
        <v>13732</v>
      </c>
      <c r="K2985" s="105"/>
      <c r="L2985" s="105"/>
    </row>
    <row r="2986">
      <c r="A2986" s="103" t="s">
        <v>4676</v>
      </c>
      <c r="B2986" s="103">
        <v>1.10013092E9</v>
      </c>
      <c r="C2986" s="105"/>
      <c r="D2986" s="104" t="s">
        <v>13734</v>
      </c>
      <c r="E2986" s="106"/>
      <c r="F2986" s="103" t="s">
        <v>4678</v>
      </c>
      <c r="G2986" s="103" t="s">
        <v>4679</v>
      </c>
      <c r="H2986" s="103" t="s">
        <v>13735</v>
      </c>
      <c r="I2986" s="103">
        <v>3.160101962E9</v>
      </c>
      <c r="J2986" s="104" t="s">
        <v>13736</v>
      </c>
      <c r="K2986" s="107" t="s">
        <v>13737</v>
      </c>
      <c r="L2986" s="105"/>
    </row>
    <row r="2987">
      <c r="A2987" s="103" t="s">
        <v>4676</v>
      </c>
      <c r="B2987" s="103">
        <v>1.10013092001E11</v>
      </c>
      <c r="C2987" s="105"/>
      <c r="D2987" s="104" t="s">
        <v>13738</v>
      </c>
      <c r="E2987" s="104" t="s">
        <v>13739</v>
      </c>
      <c r="F2987" s="103" t="s">
        <v>4678</v>
      </c>
      <c r="G2987" s="103" t="s">
        <v>4679</v>
      </c>
      <c r="H2987" s="103" t="s">
        <v>13740</v>
      </c>
      <c r="I2987" s="103">
        <v>7468638.0</v>
      </c>
      <c r="J2987" s="104" t="s">
        <v>13741</v>
      </c>
      <c r="K2987" s="105"/>
      <c r="L2987" s="105"/>
    </row>
    <row r="2988">
      <c r="A2988" s="103" t="s">
        <v>4676</v>
      </c>
      <c r="B2988" s="103">
        <v>1.10013092002E11</v>
      </c>
      <c r="C2988" s="105"/>
      <c r="D2988" s="104" t="s">
        <v>13742</v>
      </c>
      <c r="E2988" s="104" t="s">
        <v>13743</v>
      </c>
      <c r="F2988" s="103" t="s">
        <v>4678</v>
      </c>
      <c r="G2988" s="103" t="s">
        <v>4679</v>
      </c>
      <c r="H2988" s="103" t="s">
        <v>13744</v>
      </c>
      <c r="I2988" s="103">
        <v>7433422.0</v>
      </c>
      <c r="J2988" s="104" t="s">
        <v>13745</v>
      </c>
      <c r="K2988" s="105"/>
      <c r="L2988" s="105"/>
    </row>
    <row r="2989">
      <c r="A2989" s="103" t="s">
        <v>4676</v>
      </c>
      <c r="B2989" s="103">
        <v>1.10013092003E11</v>
      </c>
      <c r="C2989" s="105"/>
      <c r="D2989" s="104" t="s">
        <v>13746</v>
      </c>
      <c r="E2989" s="104" t="s">
        <v>13747</v>
      </c>
      <c r="F2989" s="103" t="s">
        <v>4678</v>
      </c>
      <c r="G2989" s="103" t="s">
        <v>4679</v>
      </c>
      <c r="H2989" s="103" t="s">
        <v>13748</v>
      </c>
      <c r="I2989" s="103">
        <v>7455047.0</v>
      </c>
      <c r="J2989" s="104" t="s">
        <v>13749</v>
      </c>
      <c r="K2989" s="105"/>
      <c r="L2989" s="105"/>
    </row>
    <row r="2990">
      <c r="A2990" s="103" t="s">
        <v>4676</v>
      </c>
      <c r="B2990" s="103">
        <v>1.10013092004E11</v>
      </c>
      <c r="C2990" s="105"/>
      <c r="D2990" s="104" t="s">
        <v>13750</v>
      </c>
      <c r="E2990" s="104" t="s">
        <v>13747</v>
      </c>
      <c r="F2990" s="103" t="s">
        <v>4678</v>
      </c>
      <c r="G2990" s="103" t="s">
        <v>4679</v>
      </c>
      <c r="H2990" s="103" t="s">
        <v>13751</v>
      </c>
      <c r="I2990" s="103">
        <v>3009015.0</v>
      </c>
      <c r="J2990" s="104" t="s">
        <v>13752</v>
      </c>
      <c r="K2990" s="105"/>
      <c r="L2990" s="105"/>
    </row>
    <row r="2991">
      <c r="A2991" s="103" t="s">
        <v>4676</v>
      </c>
      <c r="B2991" s="103">
        <v>1.10013092005E11</v>
      </c>
      <c r="C2991" s="105"/>
      <c r="D2991" s="104" t="s">
        <v>13753</v>
      </c>
      <c r="E2991" s="104" t="s">
        <v>13754</v>
      </c>
      <c r="F2991" s="103" t="s">
        <v>4678</v>
      </c>
      <c r="G2991" s="103" t="s">
        <v>4679</v>
      </c>
      <c r="H2991" s="103" t="s">
        <v>13755</v>
      </c>
      <c r="I2991" s="103">
        <v>7468638.0</v>
      </c>
      <c r="J2991" s="104" t="s">
        <v>13756</v>
      </c>
      <c r="K2991" s="105"/>
      <c r="L2991" s="105"/>
    </row>
    <row r="2992">
      <c r="A2992" s="103" t="s">
        <v>4676</v>
      </c>
      <c r="B2992" s="103">
        <v>1.10013092006E11</v>
      </c>
      <c r="C2992" s="105"/>
      <c r="D2992" s="104" t="s">
        <v>13757</v>
      </c>
      <c r="E2992" s="104" t="s">
        <v>13747</v>
      </c>
      <c r="F2992" s="103" t="s">
        <v>4678</v>
      </c>
      <c r="G2992" s="103" t="s">
        <v>4679</v>
      </c>
      <c r="H2992" s="103" t="s">
        <v>13758</v>
      </c>
      <c r="I2992" s="103">
        <v>3.160101962E9</v>
      </c>
      <c r="J2992" s="104" t="s">
        <v>13759</v>
      </c>
      <c r="K2992" s="105"/>
      <c r="L2992" s="105"/>
    </row>
    <row r="2993">
      <c r="A2993" s="103" t="s">
        <v>4676</v>
      </c>
      <c r="B2993" s="103">
        <v>1.10013092007E11</v>
      </c>
      <c r="C2993" s="105"/>
      <c r="D2993" s="104" t="s">
        <v>13760</v>
      </c>
      <c r="E2993" s="104" t="s">
        <v>13747</v>
      </c>
      <c r="F2993" s="103" t="s">
        <v>4678</v>
      </c>
      <c r="G2993" s="103" t="s">
        <v>4679</v>
      </c>
      <c r="H2993" s="103" t="s">
        <v>13761</v>
      </c>
      <c r="I2993" s="103">
        <v>3.160101962E9</v>
      </c>
      <c r="J2993" s="104" t="s">
        <v>13759</v>
      </c>
      <c r="K2993" s="105"/>
      <c r="L2993" s="105"/>
    </row>
    <row r="2994">
      <c r="A2994" s="103" t="s">
        <v>4676</v>
      </c>
      <c r="B2994" s="103">
        <v>1.10013092008E11</v>
      </c>
      <c r="C2994" s="105"/>
      <c r="D2994" s="104" t="s">
        <v>13762</v>
      </c>
      <c r="E2994" s="104" t="s">
        <v>13747</v>
      </c>
      <c r="F2994" s="103" t="s">
        <v>4678</v>
      </c>
      <c r="G2994" s="103" t="s">
        <v>4679</v>
      </c>
      <c r="H2994" s="103" t="s">
        <v>13763</v>
      </c>
      <c r="I2994" s="103">
        <v>3.160101962E9</v>
      </c>
      <c r="J2994" s="104" t="s">
        <v>13736</v>
      </c>
      <c r="K2994" s="105"/>
      <c r="L2994" s="105"/>
    </row>
    <row r="2995">
      <c r="A2995" s="103" t="s">
        <v>4676</v>
      </c>
      <c r="B2995" s="103">
        <v>1.10013092009E11</v>
      </c>
      <c r="C2995" s="105"/>
      <c r="D2995" s="104" t="s">
        <v>13764</v>
      </c>
      <c r="E2995" s="104" t="s">
        <v>13747</v>
      </c>
      <c r="F2995" s="103" t="s">
        <v>4678</v>
      </c>
      <c r="G2995" s="103" t="s">
        <v>4679</v>
      </c>
      <c r="H2995" s="103" t="s">
        <v>13765</v>
      </c>
      <c r="I2995" s="103">
        <v>3.160101962E9</v>
      </c>
      <c r="J2995" s="104" t="s">
        <v>13736</v>
      </c>
      <c r="K2995" s="105"/>
      <c r="L2995" s="105"/>
    </row>
    <row r="2996">
      <c r="A2996" s="103" t="s">
        <v>4676</v>
      </c>
      <c r="B2996" s="103">
        <v>1.1001309201E11</v>
      </c>
      <c r="C2996" s="105"/>
      <c r="D2996" s="104" t="s">
        <v>13766</v>
      </c>
      <c r="E2996" s="104" t="s">
        <v>13747</v>
      </c>
      <c r="F2996" s="103" t="s">
        <v>4678</v>
      </c>
      <c r="G2996" s="103" t="s">
        <v>4679</v>
      </c>
      <c r="H2996" s="103" t="s">
        <v>13767</v>
      </c>
      <c r="I2996" s="103">
        <v>3.160101962E9</v>
      </c>
      <c r="J2996" s="104" t="s">
        <v>13736</v>
      </c>
      <c r="K2996" s="105"/>
      <c r="L2996" s="105"/>
    </row>
    <row r="2997">
      <c r="A2997" s="103" t="s">
        <v>4676</v>
      </c>
      <c r="B2997" s="103">
        <v>1.10013092011E11</v>
      </c>
      <c r="C2997" s="105"/>
      <c r="D2997" s="104" t="s">
        <v>13768</v>
      </c>
      <c r="E2997" s="104" t="s">
        <v>13747</v>
      </c>
      <c r="F2997" s="103" t="s">
        <v>4678</v>
      </c>
      <c r="G2997" s="103" t="s">
        <v>4679</v>
      </c>
      <c r="H2997" s="103" t="s">
        <v>13769</v>
      </c>
      <c r="I2997" s="103">
        <v>3.160101962E9</v>
      </c>
      <c r="J2997" s="104" t="s">
        <v>13736</v>
      </c>
      <c r="K2997" s="105"/>
      <c r="L2997" s="105"/>
    </row>
    <row r="2998">
      <c r="A2998" s="103" t="s">
        <v>4676</v>
      </c>
      <c r="B2998" s="103">
        <v>1.100130927E9</v>
      </c>
      <c r="C2998" s="105"/>
      <c r="D2998" s="104" t="s">
        <v>13770</v>
      </c>
      <c r="E2998" s="106"/>
      <c r="F2998" s="103" t="s">
        <v>4678</v>
      </c>
      <c r="G2998" s="103" t="s">
        <v>4679</v>
      </c>
      <c r="H2998" s="103" t="s">
        <v>13771</v>
      </c>
      <c r="I2998" s="103">
        <v>3.21240132E9</v>
      </c>
      <c r="J2998" s="104" t="s">
        <v>13772</v>
      </c>
      <c r="K2998" s="105"/>
      <c r="L2998" s="105"/>
    </row>
    <row r="2999">
      <c r="A2999" s="103" t="s">
        <v>4676</v>
      </c>
      <c r="B2999" s="103">
        <v>1.10013092701E11</v>
      </c>
      <c r="C2999" s="105"/>
      <c r="D2999" s="104" t="s">
        <v>13770</v>
      </c>
      <c r="E2999" s="104" t="s">
        <v>13773</v>
      </c>
      <c r="F2999" s="103" t="s">
        <v>4678</v>
      </c>
      <c r="G2999" s="103" t="s">
        <v>4679</v>
      </c>
      <c r="H2999" s="103" t="s">
        <v>13771</v>
      </c>
      <c r="I2999" s="103">
        <v>3.21240132E9</v>
      </c>
      <c r="J2999" s="104" t="s">
        <v>13772</v>
      </c>
      <c r="K2999" s="105"/>
      <c r="L2999" s="105"/>
    </row>
    <row r="3000">
      <c r="A3000" s="103" t="s">
        <v>4676</v>
      </c>
      <c r="B3000" s="103">
        <v>1.10013097E9</v>
      </c>
      <c r="C3000" s="105"/>
      <c r="D3000" s="104" t="s">
        <v>13774</v>
      </c>
      <c r="E3000" s="106"/>
      <c r="F3000" s="103" t="s">
        <v>4678</v>
      </c>
      <c r="G3000" s="103" t="s">
        <v>4679</v>
      </c>
      <c r="H3000" s="103" t="s">
        <v>13775</v>
      </c>
      <c r="I3000" s="103">
        <v>7036271.0</v>
      </c>
      <c r="J3000" s="104" t="s">
        <v>13776</v>
      </c>
      <c r="K3000" s="105"/>
      <c r="L3000" s="105"/>
    </row>
    <row r="3001">
      <c r="A3001" s="103" t="s">
        <v>4676</v>
      </c>
      <c r="B3001" s="103">
        <v>1.10013097001E11</v>
      </c>
      <c r="C3001" s="105"/>
      <c r="D3001" s="104" t="s">
        <v>13774</v>
      </c>
      <c r="E3001" s="104" t="s">
        <v>13777</v>
      </c>
      <c r="F3001" s="103" t="s">
        <v>4678</v>
      </c>
      <c r="G3001" s="103" t="s">
        <v>4679</v>
      </c>
      <c r="H3001" s="103" t="s">
        <v>13775</v>
      </c>
      <c r="I3001" s="103" t="s">
        <v>13778</v>
      </c>
      <c r="J3001" s="104" t="s">
        <v>13779</v>
      </c>
      <c r="K3001" s="105"/>
      <c r="L3001" s="105"/>
    </row>
    <row r="3002">
      <c r="A3002" s="103" t="s">
        <v>4676</v>
      </c>
      <c r="B3002" s="103">
        <v>1.10013097004E11</v>
      </c>
      <c r="C3002" s="105"/>
      <c r="D3002" s="104" t="s">
        <v>13780</v>
      </c>
      <c r="E3002" s="104" t="s">
        <v>13777</v>
      </c>
      <c r="F3002" s="103" t="s">
        <v>4678</v>
      </c>
      <c r="G3002" s="103" t="s">
        <v>4679</v>
      </c>
      <c r="H3002" s="103" t="s">
        <v>13781</v>
      </c>
      <c r="I3002" s="103">
        <v>3835853.0</v>
      </c>
      <c r="J3002" s="104" t="s">
        <v>13782</v>
      </c>
      <c r="K3002" s="105"/>
      <c r="L3002" s="105"/>
    </row>
    <row r="3003">
      <c r="A3003" s="103" t="s">
        <v>4676</v>
      </c>
      <c r="B3003" s="103">
        <v>1.100131144E9</v>
      </c>
      <c r="C3003" s="105"/>
      <c r="D3003" s="104" t="s">
        <v>13783</v>
      </c>
      <c r="E3003" s="106"/>
      <c r="F3003" s="103" t="s">
        <v>4678</v>
      </c>
      <c r="G3003" s="103" t="s">
        <v>4679</v>
      </c>
      <c r="H3003" s="103" t="s">
        <v>13784</v>
      </c>
      <c r="I3003" s="103" t="s">
        <v>13785</v>
      </c>
      <c r="J3003" s="104" t="s">
        <v>13786</v>
      </c>
      <c r="K3003" s="105"/>
      <c r="L3003" s="105"/>
    </row>
    <row r="3004">
      <c r="A3004" s="103" t="s">
        <v>4676</v>
      </c>
      <c r="B3004" s="103">
        <v>1.10013114401E11</v>
      </c>
      <c r="C3004" s="105"/>
      <c r="D3004" s="104" t="s">
        <v>13787</v>
      </c>
      <c r="E3004" s="104" t="s">
        <v>13788</v>
      </c>
      <c r="F3004" s="103" t="s">
        <v>4678</v>
      </c>
      <c r="G3004" s="103" t="s">
        <v>4679</v>
      </c>
      <c r="H3004" s="103" t="s">
        <v>13789</v>
      </c>
      <c r="I3004" s="103" t="s">
        <v>13790</v>
      </c>
      <c r="J3004" s="104" t="s">
        <v>13786</v>
      </c>
      <c r="K3004" s="105"/>
      <c r="L3004" s="105"/>
    </row>
    <row r="3005">
      <c r="A3005" s="103" t="s">
        <v>4676</v>
      </c>
      <c r="B3005" s="103">
        <v>1.100131159E9</v>
      </c>
      <c r="C3005" s="105"/>
      <c r="D3005" s="104" t="s">
        <v>13791</v>
      </c>
      <c r="E3005" s="106"/>
      <c r="F3005" s="103" t="s">
        <v>4678</v>
      </c>
      <c r="G3005" s="103" t="s">
        <v>4679</v>
      </c>
      <c r="H3005" s="103" t="s">
        <v>13792</v>
      </c>
      <c r="I3005" s="103">
        <v>6.017021157E9</v>
      </c>
      <c r="J3005" s="104" t="s">
        <v>13793</v>
      </c>
      <c r="K3005" s="107" t="s">
        <v>13794</v>
      </c>
      <c r="L3005" s="105"/>
    </row>
    <row r="3006">
      <c r="A3006" s="103" t="s">
        <v>4676</v>
      </c>
      <c r="B3006" s="103">
        <v>1.10013115901E11</v>
      </c>
      <c r="C3006" s="105"/>
      <c r="D3006" s="104" t="s">
        <v>13791</v>
      </c>
      <c r="E3006" s="104" t="s">
        <v>13795</v>
      </c>
      <c r="F3006" s="103" t="s">
        <v>4678</v>
      </c>
      <c r="G3006" s="103" t="s">
        <v>4679</v>
      </c>
      <c r="H3006" s="103" t="s">
        <v>13796</v>
      </c>
      <c r="I3006" s="103">
        <v>7021157.0</v>
      </c>
      <c r="J3006" s="104" t="s">
        <v>13793</v>
      </c>
      <c r="K3006" s="105"/>
      <c r="L3006" s="105"/>
    </row>
    <row r="3007">
      <c r="A3007" s="103" t="s">
        <v>4676</v>
      </c>
      <c r="B3007" s="103">
        <v>1.100131205E9</v>
      </c>
      <c r="C3007" s="105"/>
      <c r="D3007" s="104" t="s">
        <v>13797</v>
      </c>
      <c r="E3007" s="106"/>
      <c r="F3007" s="103" t="s">
        <v>4678</v>
      </c>
      <c r="G3007" s="103" t="s">
        <v>4679</v>
      </c>
      <c r="H3007" s="103" t="s">
        <v>13798</v>
      </c>
      <c r="I3007" s="103">
        <v>3.108613328E9</v>
      </c>
      <c r="J3007" s="104" t="s">
        <v>13799</v>
      </c>
      <c r="K3007" s="107" t="s">
        <v>13800</v>
      </c>
      <c r="L3007" s="105"/>
    </row>
    <row r="3008">
      <c r="A3008" s="103" t="s">
        <v>4676</v>
      </c>
      <c r="B3008" s="103">
        <v>1.10013120501E11</v>
      </c>
      <c r="C3008" s="105"/>
      <c r="D3008" s="104" t="s">
        <v>13797</v>
      </c>
      <c r="E3008" s="104" t="s">
        <v>13801</v>
      </c>
      <c r="F3008" s="103" t="s">
        <v>4678</v>
      </c>
      <c r="G3008" s="103" t="s">
        <v>4679</v>
      </c>
      <c r="H3008" s="103" t="s">
        <v>13798</v>
      </c>
      <c r="I3008" s="103">
        <v>3.108613328E9</v>
      </c>
      <c r="J3008" s="104" t="s">
        <v>13799</v>
      </c>
      <c r="K3008" s="105"/>
      <c r="L3008" s="105"/>
    </row>
    <row r="3009">
      <c r="A3009" s="103" t="s">
        <v>4676</v>
      </c>
      <c r="B3009" s="103">
        <v>1.100131294E9</v>
      </c>
      <c r="C3009" s="105"/>
      <c r="D3009" s="104" t="s">
        <v>13802</v>
      </c>
      <c r="E3009" s="106"/>
      <c r="F3009" s="103" t="s">
        <v>4678</v>
      </c>
      <c r="G3009" s="103" t="s">
        <v>4679</v>
      </c>
      <c r="H3009" s="103" t="s">
        <v>13803</v>
      </c>
      <c r="I3009" s="103" t="s">
        <v>13804</v>
      </c>
      <c r="J3009" s="104" t="s">
        <v>13805</v>
      </c>
      <c r="K3009" s="107" t="s">
        <v>13806</v>
      </c>
      <c r="L3009" s="105"/>
    </row>
    <row r="3010">
      <c r="A3010" s="103" t="s">
        <v>4676</v>
      </c>
      <c r="B3010" s="103">
        <v>1.10013129401E11</v>
      </c>
      <c r="C3010" s="105"/>
      <c r="D3010" s="104" t="s">
        <v>13802</v>
      </c>
      <c r="E3010" s="104" t="s">
        <v>13807</v>
      </c>
      <c r="F3010" s="103" t="s">
        <v>4678</v>
      </c>
      <c r="G3010" s="103" t="s">
        <v>4679</v>
      </c>
      <c r="H3010" s="103" t="s">
        <v>13808</v>
      </c>
      <c r="I3010" s="103" t="s">
        <v>13809</v>
      </c>
      <c r="J3010" s="104" t="s">
        <v>13805</v>
      </c>
      <c r="K3010" s="105"/>
      <c r="L3010" s="105"/>
    </row>
    <row r="3011">
      <c r="A3011" s="103" t="s">
        <v>4676</v>
      </c>
      <c r="B3011" s="103">
        <v>1.100131328E9</v>
      </c>
      <c r="C3011" s="105"/>
      <c r="D3011" s="104" t="s">
        <v>13810</v>
      </c>
      <c r="E3011" s="106"/>
      <c r="F3011" s="103" t="s">
        <v>4678</v>
      </c>
      <c r="G3011" s="103" t="s">
        <v>4679</v>
      </c>
      <c r="H3011" s="103" t="s">
        <v>13811</v>
      </c>
      <c r="I3011" s="103">
        <v>3.103214962E9</v>
      </c>
      <c r="J3011" s="104" t="s">
        <v>13812</v>
      </c>
      <c r="K3011" s="107" t="s">
        <v>13813</v>
      </c>
      <c r="L3011" s="105"/>
    </row>
    <row r="3012">
      <c r="A3012" s="103" t="s">
        <v>4676</v>
      </c>
      <c r="B3012" s="103">
        <v>1.10013132801E11</v>
      </c>
      <c r="C3012" s="105"/>
      <c r="D3012" s="104" t="s">
        <v>13814</v>
      </c>
      <c r="E3012" s="104" t="s">
        <v>13815</v>
      </c>
      <c r="F3012" s="103" t="s">
        <v>4678</v>
      </c>
      <c r="G3012" s="103" t="s">
        <v>4679</v>
      </c>
      <c r="H3012" s="103" t="s">
        <v>13816</v>
      </c>
      <c r="I3012" s="103">
        <v>3.103214962E9</v>
      </c>
      <c r="J3012" s="104" t="s">
        <v>13812</v>
      </c>
      <c r="K3012" s="105"/>
      <c r="L3012" s="105"/>
    </row>
    <row r="3013">
      <c r="A3013" s="103" t="s">
        <v>4676</v>
      </c>
      <c r="B3013" s="103">
        <v>1.10013132802E11</v>
      </c>
      <c r="C3013" s="105"/>
      <c r="D3013" s="104" t="s">
        <v>13817</v>
      </c>
      <c r="E3013" s="104" t="s">
        <v>13818</v>
      </c>
      <c r="F3013" s="103" t="s">
        <v>4678</v>
      </c>
      <c r="G3013" s="103" t="s">
        <v>4679</v>
      </c>
      <c r="H3013" s="103" t="s">
        <v>13819</v>
      </c>
      <c r="I3013" s="103">
        <v>3.202515813E9</v>
      </c>
      <c r="J3013" s="104" t="s">
        <v>13812</v>
      </c>
      <c r="K3013" s="105"/>
      <c r="L3013" s="105"/>
    </row>
    <row r="3014">
      <c r="A3014" s="103" t="s">
        <v>4676</v>
      </c>
      <c r="B3014" s="103">
        <v>1.10013132803E11</v>
      </c>
      <c r="C3014" s="105"/>
      <c r="D3014" s="104" t="s">
        <v>13820</v>
      </c>
      <c r="E3014" s="104" t="s">
        <v>13818</v>
      </c>
      <c r="F3014" s="103" t="s">
        <v>4678</v>
      </c>
      <c r="G3014" s="103" t="s">
        <v>4679</v>
      </c>
      <c r="H3014" s="103" t="s">
        <v>13821</v>
      </c>
      <c r="I3014" s="103">
        <v>3.202515813E9</v>
      </c>
      <c r="J3014" s="104" t="s">
        <v>13812</v>
      </c>
      <c r="K3014" s="105"/>
      <c r="L3014" s="105"/>
    </row>
    <row r="3015">
      <c r="A3015" s="103" t="s">
        <v>4676</v>
      </c>
      <c r="B3015" s="103">
        <v>1.10013132805E11</v>
      </c>
      <c r="C3015" s="105"/>
      <c r="D3015" s="104" t="s">
        <v>13822</v>
      </c>
      <c r="E3015" s="104" t="s">
        <v>13818</v>
      </c>
      <c r="F3015" s="103" t="s">
        <v>4678</v>
      </c>
      <c r="G3015" s="103" t="s">
        <v>4679</v>
      </c>
      <c r="H3015" s="103" t="s">
        <v>13823</v>
      </c>
      <c r="I3015" s="103">
        <v>3.134533818E9</v>
      </c>
      <c r="J3015" s="104" t="s">
        <v>13812</v>
      </c>
      <c r="K3015" s="105"/>
      <c r="L3015" s="105"/>
    </row>
    <row r="3016">
      <c r="A3016" s="103" t="s">
        <v>4676</v>
      </c>
      <c r="B3016" s="103">
        <v>1.10013132806E11</v>
      </c>
      <c r="C3016" s="105"/>
      <c r="D3016" s="104" t="s">
        <v>13824</v>
      </c>
      <c r="E3016" s="104" t="s">
        <v>13825</v>
      </c>
      <c r="F3016" s="103" t="s">
        <v>4678</v>
      </c>
      <c r="G3016" s="103" t="s">
        <v>4679</v>
      </c>
      <c r="H3016" s="103" t="s">
        <v>13826</v>
      </c>
      <c r="I3016" s="103">
        <v>3.134533818E9</v>
      </c>
      <c r="J3016" s="104" t="s">
        <v>13812</v>
      </c>
      <c r="K3016" s="105"/>
      <c r="L3016" s="105"/>
    </row>
    <row r="3017">
      <c r="A3017" s="103" t="s">
        <v>4676</v>
      </c>
      <c r="B3017" s="103">
        <v>1.10013132807E11</v>
      </c>
      <c r="C3017" s="105"/>
      <c r="D3017" s="104" t="s">
        <v>13827</v>
      </c>
      <c r="E3017" s="104" t="s">
        <v>13818</v>
      </c>
      <c r="F3017" s="103" t="s">
        <v>4678</v>
      </c>
      <c r="G3017" s="103" t="s">
        <v>4679</v>
      </c>
      <c r="H3017" s="103" t="s">
        <v>13828</v>
      </c>
      <c r="I3017" s="103">
        <v>3.134533818E9</v>
      </c>
      <c r="J3017" s="104" t="s">
        <v>13812</v>
      </c>
      <c r="K3017" s="105"/>
      <c r="L3017" s="105"/>
    </row>
    <row r="3018">
      <c r="A3018" s="103" t="s">
        <v>4676</v>
      </c>
      <c r="B3018" s="103">
        <v>1.10013132808E11</v>
      </c>
      <c r="C3018" s="105"/>
      <c r="D3018" s="104" t="s">
        <v>13829</v>
      </c>
      <c r="E3018" s="104" t="s">
        <v>13818</v>
      </c>
      <c r="F3018" s="103" t="s">
        <v>4678</v>
      </c>
      <c r="G3018" s="103" t="s">
        <v>4679</v>
      </c>
      <c r="H3018" s="103" t="s">
        <v>13830</v>
      </c>
      <c r="I3018" s="103">
        <v>3.134533818E9</v>
      </c>
      <c r="J3018" s="104" t="s">
        <v>13812</v>
      </c>
      <c r="K3018" s="105"/>
      <c r="L3018" s="105"/>
    </row>
    <row r="3019">
      <c r="A3019" s="103" t="s">
        <v>4676</v>
      </c>
      <c r="B3019" s="103">
        <v>1.10013146E9</v>
      </c>
      <c r="C3019" s="105"/>
      <c r="D3019" s="104" t="s">
        <v>13831</v>
      </c>
      <c r="E3019" s="106"/>
      <c r="F3019" s="103" t="s">
        <v>4678</v>
      </c>
      <c r="G3019" s="103" t="s">
        <v>4679</v>
      </c>
      <c r="H3019" s="103" t="s">
        <v>13832</v>
      </c>
      <c r="I3019" s="103">
        <v>3.127898655E9</v>
      </c>
      <c r="J3019" s="104" t="s">
        <v>13833</v>
      </c>
      <c r="K3019" s="105"/>
      <c r="L3019" s="105"/>
    </row>
    <row r="3020">
      <c r="A3020" s="103" t="s">
        <v>4676</v>
      </c>
      <c r="B3020" s="103">
        <v>1.10013146001E11</v>
      </c>
      <c r="C3020" s="105"/>
      <c r="D3020" s="104" t="s">
        <v>13834</v>
      </c>
      <c r="E3020" s="104" t="s">
        <v>13835</v>
      </c>
      <c r="F3020" s="103" t="s">
        <v>4678</v>
      </c>
      <c r="G3020" s="103" t="s">
        <v>4679</v>
      </c>
      <c r="H3020" s="103" t="s">
        <v>13832</v>
      </c>
      <c r="I3020" s="103">
        <v>3.127898655E9</v>
      </c>
      <c r="J3020" s="104" t="s">
        <v>13833</v>
      </c>
      <c r="K3020" s="105"/>
      <c r="L3020" s="105"/>
    </row>
    <row r="3021">
      <c r="A3021" s="103" t="s">
        <v>4676</v>
      </c>
      <c r="B3021" s="103">
        <v>1.100131463E9</v>
      </c>
      <c r="C3021" s="105"/>
      <c r="D3021" s="104" t="s">
        <v>13836</v>
      </c>
      <c r="E3021" s="106"/>
      <c r="F3021" s="103" t="s">
        <v>4678</v>
      </c>
      <c r="G3021" s="103" t="s">
        <v>4679</v>
      </c>
      <c r="H3021" s="103" t="s">
        <v>13837</v>
      </c>
      <c r="I3021" s="103" t="s">
        <v>13838</v>
      </c>
      <c r="J3021" s="104" t="s">
        <v>13839</v>
      </c>
      <c r="K3021" s="105"/>
      <c r="L3021" s="105"/>
    </row>
    <row r="3022">
      <c r="A3022" s="103" t="s">
        <v>4676</v>
      </c>
      <c r="B3022" s="103">
        <v>1.10013146301E11</v>
      </c>
      <c r="C3022" s="105"/>
      <c r="D3022" s="104" t="s">
        <v>13836</v>
      </c>
      <c r="E3022" s="104" t="s">
        <v>13840</v>
      </c>
      <c r="F3022" s="103" t="s">
        <v>4678</v>
      </c>
      <c r="G3022" s="103" t="s">
        <v>4679</v>
      </c>
      <c r="H3022" s="103" t="s">
        <v>13837</v>
      </c>
      <c r="I3022" s="103" t="s">
        <v>13838</v>
      </c>
      <c r="J3022" s="104" t="s">
        <v>13839</v>
      </c>
      <c r="K3022" s="105"/>
      <c r="L3022" s="105"/>
    </row>
    <row r="3023">
      <c r="A3023" s="103" t="s">
        <v>4676</v>
      </c>
      <c r="B3023" s="103">
        <v>1.100131515E9</v>
      </c>
      <c r="C3023" s="105"/>
      <c r="D3023" s="104" t="s">
        <v>13841</v>
      </c>
      <c r="E3023" s="106"/>
      <c r="F3023" s="103" t="s">
        <v>4678</v>
      </c>
      <c r="G3023" s="103" t="s">
        <v>4679</v>
      </c>
      <c r="H3023" s="103" t="s">
        <v>13842</v>
      </c>
      <c r="I3023" s="103">
        <v>9057563.0</v>
      </c>
      <c r="J3023" s="104" t="s">
        <v>13843</v>
      </c>
      <c r="K3023" s="105"/>
      <c r="L3023" s="105"/>
    </row>
    <row r="3024">
      <c r="A3024" s="103" t="s">
        <v>4676</v>
      </c>
      <c r="B3024" s="103">
        <v>1.10013151501E11</v>
      </c>
      <c r="C3024" s="105"/>
      <c r="D3024" s="104" t="s">
        <v>13841</v>
      </c>
      <c r="E3024" s="104" t="s">
        <v>13844</v>
      </c>
      <c r="F3024" s="103" t="s">
        <v>4678</v>
      </c>
      <c r="G3024" s="103" t="s">
        <v>4679</v>
      </c>
      <c r="H3024" s="103" t="s">
        <v>13842</v>
      </c>
      <c r="I3024" s="103">
        <v>9057563.0</v>
      </c>
      <c r="J3024" s="104" t="s">
        <v>13843</v>
      </c>
      <c r="K3024" s="105"/>
      <c r="L3024" s="105"/>
    </row>
    <row r="3025">
      <c r="A3025" s="103" t="s">
        <v>4676</v>
      </c>
      <c r="B3025" s="103">
        <v>1.100131631E9</v>
      </c>
      <c r="C3025" s="105"/>
      <c r="D3025" s="104" t="s">
        <v>13845</v>
      </c>
      <c r="E3025" s="106"/>
      <c r="F3025" s="103" t="s">
        <v>4678</v>
      </c>
      <c r="G3025" s="103" t="s">
        <v>4679</v>
      </c>
      <c r="H3025" s="103" t="s">
        <v>13846</v>
      </c>
      <c r="I3025" s="103">
        <v>3290647.0</v>
      </c>
      <c r="J3025" s="104" t="s">
        <v>13847</v>
      </c>
      <c r="K3025" s="107" t="s">
        <v>13848</v>
      </c>
      <c r="L3025" s="105"/>
    </row>
    <row r="3026">
      <c r="A3026" s="103" t="s">
        <v>4676</v>
      </c>
      <c r="B3026" s="103">
        <v>1.10013163101E11</v>
      </c>
      <c r="C3026" s="105"/>
      <c r="D3026" s="104" t="s">
        <v>13849</v>
      </c>
      <c r="E3026" s="104" t="s">
        <v>13850</v>
      </c>
      <c r="F3026" s="103" t="s">
        <v>4678</v>
      </c>
      <c r="G3026" s="103" t="s">
        <v>4679</v>
      </c>
      <c r="H3026" s="103" t="s">
        <v>13846</v>
      </c>
      <c r="I3026" s="103">
        <v>3290647.0</v>
      </c>
      <c r="J3026" s="104" t="s">
        <v>13847</v>
      </c>
      <c r="K3026" s="105"/>
      <c r="L3026" s="105"/>
    </row>
    <row r="3027">
      <c r="A3027" s="103" t="s">
        <v>4676</v>
      </c>
      <c r="B3027" s="103">
        <v>1.100131632E9</v>
      </c>
      <c r="C3027" s="105"/>
      <c r="D3027" s="104" t="s">
        <v>13851</v>
      </c>
      <c r="E3027" s="106"/>
      <c r="F3027" s="103" t="s">
        <v>4678</v>
      </c>
      <c r="G3027" s="103" t="s">
        <v>4679</v>
      </c>
      <c r="H3027" s="103" t="s">
        <v>13852</v>
      </c>
      <c r="I3027" s="103">
        <v>6.015301506E9</v>
      </c>
      <c r="J3027" s="104" t="s">
        <v>13853</v>
      </c>
      <c r="K3027" s="107" t="s">
        <v>13854</v>
      </c>
      <c r="L3027" s="105"/>
    </row>
    <row r="3028">
      <c r="A3028" s="103" t="s">
        <v>4676</v>
      </c>
      <c r="B3028" s="103">
        <v>1.10013163201E11</v>
      </c>
      <c r="C3028" s="105"/>
      <c r="D3028" s="104" t="s">
        <v>13855</v>
      </c>
      <c r="E3028" s="104" t="s">
        <v>13856</v>
      </c>
      <c r="F3028" s="103" t="s">
        <v>4678</v>
      </c>
      <c r="G3028" s="103" t="s">
        <v>4679</v>
      </c>
      <c r="H3028" s="103" t="s">
        <v>13852</v>
      </c>
      <c r="I3028" s="103">
        <v>6.015301506E9</v>
      </c>
      <c r="J3028" s="104" t="s">
        <v>13853</v>
      </c>
      <c r="K3028" s="105"/>
      <c r="L3028" s="105"/>
    </row>
    <row r="3029">
      <c r="A3029" s="103" t="s">
        <v>4676</v>
      </c>
      <c r="B3029" s="103">
        <v>1.100131716E9</v>
      </c>
      <c r="C3029" s="105"/>
      <c r="D3029" s="104" t="s">
        <v>13857</v>
      </c>
      <c r="E3029" s="106"/>
      <c r="F3029" s="103" t="s">
        <v>4678</v>
      </c>
      <c r="G3029" s="103" t="s">
        <v>4679</v>
      </c>
      <c r="H3029" s="103" t="s">
        <v>13858</v>
      </c>
      <c r="I3029" s="103">
        <v>3.027125931E9</v>
      </c>
      <c r="J3029" s="104" t="s">
        <v>13859</v>
      </c>
      <c r="K3029" s="105"/>
      <c r="L3029" s="105"/>
    </row>
    <row r="3030">
      <c r="A3030" s="103" t="s">
        <v>4676</v>
      </c>
      <c r="B3030" s="103">
        <v>1.10013171601E11</v>
      </c>
      <c r="C3030" s="105"/>
      <c r="D3030" s="104" t="s">
        <v>13860</v>
      </c>
      <c r="E3030" s="104" t="s">
        <v>13861</v>
      </c>
      <c r="F3030" s="103" t="s">
        <v>4678</v>
      </c>
      <c r="G3030" s="103" t="s">
        <v>4679</v>
      </c>
      <c r="H3030" s="103" t="s">
        <v>13862</v>
      </c>
      <c r="I3030" s="103">
        <v>3.027125931E9</v>
      </c>
      <c r="J3030" s="104" t="s">
        <v>13859</v>
      </c>
      <c r="K3030" s="105"/>
      <c r="L3030" s="105"/>
    </row>
    <row r="3031">
      <c r="A3031" s="103" t="s">
        <v>4676</v>
      </c>
      <c r="B3031" s="103">
        <v>1.100131871E9</v>
      </c>
      <c r="C3031" s="105"/>
      <c r="D3031" s="104" t="s">
        <v>13863</v>
      </c>
      <c r="E3031" s="106"/>
      <c r="F3031" s="103" t="s">
        <v>4678</v>
      </c>
      <c r="G3031" s="103" t="s">
        <v>4679</v>
      </c>
      <c r="H3031" s="103" t="s">
        <v>13864</v>
      </c>
      <c r="I3031" s="103">
        <v>3.002130706E9</v>
      </c>
      <c r="J3031" s="104" t="s">
        <v>13865</v>
      </c>
      <c r="K3031" s="107" t="s">
        <v>13866</v>
      </c>
      <c r="L3031" s="105"/>
    </row>
    <row r="3032">
      <c r="A3032" s="103" t="s">
        <v>4676</v>
      </c>
      <c r="B3032" s="103">
        <v>1.10013187101E11</v>
      </c>
      <c r="C3032" s="105"/>
      <c r="D3032" s="104" t="s">
        <v>13867</v>
      </c>
      <c r="E3032" s="104" t="s">
        <v>13868</v>
      </c>
      <c r="F3032" s="103" t="s">
        <v>4678</v>
      </c>
      <c r="G3032" s="103" t="s">
        <v>4679</v>
      </c>
      <c r="H3032" s="103" t="s">
        <v>13864</v>
      </c>
      <c r="I3032" s="103">
        <v>3.01227935E9</v>
      </c>
      <c r="J3032" s="104" t="s">
        <v>13869</v>
      </c>
      <c r="K3032" s="105"/>
      <c r="L3032" s="105"/>
    </row>
    <row r="3033">
      <c r="A3033" s="103" t="s">
        <v>4676</v>
      </c>
      <c r="B3033" s="103">
        <v>1.100131902E9</v>
      </c>
      <c r="C3033" s="105"/>
      <c r="D3033" s="104" t="s">
        <v>13870</v>
      </c>
      <c r="E3033" s="106"/>
      <c r="F3033" s="103" t="s">
        <v>4678</v>
      </c>
      <c r="G3033" s="103" t="s">
        <v>4679</v>
      </c>
      <c r="H3033" s="103" t="s">
        <v>13871</v>
      </c>
      <c r="I3033" s="103">
        <v>3.164339311E9</v>
      </c>
      <c r="J3033" s="104" t="s">
        <v>13872</v>
      </c>
      <c r="K3033" s="105"/>
      <c r="L3033" s="105"/>
    </row>
    <row r="3034">
      <c r="A3034" s="103" t="s">
        <v>4676</v>
      </c>
      <c r="B3034" s="103">
        <v>1.10013190201E11</v>
      </c>
      <c r="C3034" s="105"/>
      <c r="D3034" s="104" t="s">
        <v>13873</v>
      </c>
      <c r="E3034" s="104" t="s">
        <v>13874</v>
      </c>
      <c r="F3034" s="103" t="s">
        <v>4678</v>
      </c>
      <c r="G3034" s="103" t="s">
        <v>4679</v>
      </c>
      <c r="H3034" s="103" t="s">
        <v>13871</v>
      </c>
      <c r="I3034" s="103">
        <v>3.164339311E9</v>
      </c>
      <c r="J3034" s="104" t="s">
        <v>13872</v>
      </c>
      <c r="K3034" s="105"/>
      <c r="L3034" s="105"/>
    </row>
    <row r="3035">
      <c r="A3035" s="103" t="s">
        <v>4676</v>
      </c>
      <c r="B3035" s="103">
        <v>1.100131999E9</v>
      </c>
      <c r="C3035" s="105"/>
      <c r="D3035" s="104" t="s">
        <v>13875</v>
      </c>
      <c r="E3035" s="106"/>
      <c r="F3035" s="103" t="s">
        <v>4678</v>
      </c>
      <c r="G3035" s="103" t="s">
        <v>4679</v>
      </c>
      <c r="H3035" s="103" t="s">
        <v>13876</v>
      </c>
      <c r="I3035" s="103" t="s">
        <v>13877</v>
      </c>
      <c r="J3035" s="104" t="s">
        <v>13878</v>
      </c>
      <c r="K3035" s="105"/>
      <c r="L3035" s="105"/>
    </row>
    <row r="3036">
      <c r="A3036" s="103" t="s">
        <v>4676</v>
      </c>
      <c r="B3036" s="103">
        <v>1.10013199901E11</v>
      </c>
      <c r="C3036" s="105"/>
      <c r="D3036" s="104" t="s">
        <v>13875</v>
      </c>
      <c r="E3036" s="104" t="s">
        <v>13879</v>
      </c>
      <c r="F3036" s="103" t="s">
        <v>4678</v>
      </c>
      <c r="G3036" s="103" t="s">
        <v>4679</v>
      </c>
      <c r="H3036" s="103" t="s">
        <v>13880</v>
      </c>
      <c r="I3036" s="103" t="s">
        <v>13877</v>
      </c>
      <c r="J3036" s="104" t="s">
        <v>13878</v>
      </c>
      <c r="K3036" s="105"/>
      <c r="L3036" s="105"/>
    </row>
    <row r="3037">
      <c r="A3037" s="103" t="s">
        <v>4676</v>
      </c>
      <c r="B3037" s="103">
        <v>1.100132018E9</v>
      </c>
      <c r="C3037" s="105"/>
      <c r="D3037" s="104" t="s">
        <v>13881</v>
      </c>
      <c r="E3037" s="106"/>
      <c r="F3037" s="103" t="s">
        <v>4678</v>
      </c>
      <c r="G3037" s="103" t="s">
        <v>4679</v>
      </c>
      <c r="H3037" s="103" t="s">
        <v>13882</v>
      </c>
      <c r="I3037" s="103" t="s">
        <v>13883</v>
      </c>
      <c r="J3037" s="104" t="s">
        <v>13884</v>
      </c>
      <c r="K3037" s="105"/>
      <c r="L3037" s="105"/>
    </row>
    <row r="3038">
      <c r="A3038" s="103" t="s">
        <v>4676</v>
      </c>
      <c r="B3038" s="103">
        <v>1.10013201801E11</v>
      </c>
      <c r="C3038" s="105"/>
      <c r="D3038" s="104" t="s">
        <v>13885</v>
      </c>
      <c r="E3038" s="104" t="s">
        <v>13886</v>
      </c>
      <c r="F3038" s="103" t="s">
        <v>4678</v>
      </c>
      <c r="G3038" s="103" t="s">
        <v>4679</v>
      </c>
      <c r="H3038" s="103" t="s">
        <v>13887</v>
      </c>
      <c r="I3038" s="103" t="s">
        <v>13883</v>
      </c>
      <c r="J3038" s="104" t="s">
        <v>13884</v>
      </c>
      <c r="K3038" s="105"/>
      <c r="L3038" s="105"/>
    </row>
    <row r="3039">
      <c r="A3039" s="103" t="s">
        <v>4676</v>
      </c>
      <c r="B3039" s="103">
        <v>1.100132022E9</v>
      </c>
      <c r="C3039" s="105"/>
      <c r="D3039" s="104" t="s">
        <v>13888</v>
      </c>
      <c r="E3039" s="106"/>
      <c r="F3039" s="103" t="s">
        <v>4678</v>
      </c>
      <c r="G3039" s="103" t="s">
        <v>4679</v>
      </c>
      <c r="H3039" s="103" t="s">
        <v>13889</v>
      </c>
      <c r="I3039" s="103" t="s">
        <v>13890</v>
      </c>
      <c r="J3039" s="104" t="s">
        <v>13891</v>
      </c>
      <c r="K3039" s="105"/>
      <c r="L3039" s="105"/>
    </row>
    <row r="3040">
      <c r="A3040" s="103" t="s">
        <v>4676</v>
      </c>
      <c r="B3040" s="103">
        <v>1.10013202201E11</v>
      </c>
      <c r="C3040" s="105"/>
      <c r="D3040" s="104" t="s">
        <v>13888</v>
      </c>
      <c r="E3040" s="104" t="s">
        <v>13892</v>
      </c>
      <c r="F3040" s="103" t="s">
        <v>4678</v>
      </c>
      <c r="G3040" s="103" t="s">
        <v>4679</v>
      </c>
      <c r="H3040" s="103" t="s">
        <v>13893</v>
      </c>
      <c r="I3040" s="103" t="s">
        <v>13894</v>
      </c>
      <c r="J3040" s="104" t="s">
        <v>13891</v>
      </c>
      <c r="K3040" s="105"/>
      <c r="L3040" s="105"/>
    </row>
    <row r="3041">
      <c r="A3041" s="103" t="s">
        <v>4676</v>
      </c>
      <c r="B3041" s="103">
        <v>1.100132056E9</v>
      </c>
      <c r="C3041" s="105"/>
      <c r="D3041" s="104" t="s">
        <v>13895</v>
      </c>
      <c r="E3041" s="106"/>
      <c r="F3041" s="103" t="s">
        <v>4678</v>
      </c>
      <c r="G3041" s="103" t="s">
        <v>4679</v>
      </c>
      <c r="H3041" s="103" t="s">
        <v>13896</v>
      </c>
      <c r="I3041" s="103">
        <v>3.104626592E9</v>
      </c>
      <c r="J3041" s="104" t="s">
        <v>13897</v>
      </c>
      <c r="K3041" s="107" t="s">
        <v>13898</v>
      </c>
      <c r="L3041" s="105"/>
    </row>
    <row r="3042">
      <c r="A3042" s="103" t="s">
        <v>4676</v>
      </c>
      <c r="B3042" s="103">
        <v>1.10013205601E11</v>
      </c>
      <c r="C3042" s="105"/>
      <c r="D3042" s="104" t="s">
        <v>13899</v>
      </c>
      <c r="E3042" s="104" t="s">
        <v>13900</v>
      </c>
      <c r="F3042" s="103" t="s">
        <v>4678</v>
      </c>
      <c r="G3042" s="103" t="s">
        <v>4679</v>
      </c>
      <c r="H3042" s="103" t="s">
        <v>13901</v>
      </c>
      <c r="I3042" s="103">
        <v>3.104626592E9</v>
      </c>
      <c r="J3042" s="104" t="s">
        <v>13902</v>
      </c>
      <c r="K3042" s="105"/>
      <c r="L3042" s="105"/>
    </row>
    <row r="3043">
      <c r="A3043" s="103" t="s">
        <v>4676</v>
      </c>
      <c r="B3043" s="103">
        <v>1.10013205602E11</v>
      </c>
      <c r="C3043" s="105"/>
      <c r="D3043" s="104" t="s">
        <v>13903</v>
      </c>
      <c r="E3043" s="104" t="s">
        <v>13900</v>
      </c>
      <c r="F3043" s="103" t="s">
        <v>4678</v>
      </c>
      <c r="G3043" s="103" t="s">
        <v>4679</v>
      </c>
      <c r="H3043" s="103" t="s">
        <v>13904</v>
      </c>
      <c r="I3043" s="103">
        <v>3.104626592E9</v>
      </c>
      <c r="J3043" s="104" t="s">
        <v>13902</v>
      </c>
      <c r="K3043" s="105"/>
      <c r="L3043" s="105"/>
    </row>
    <row r="3044">
      <c r="A3044" s="103" t="s">
        <v>4676</v>
      </c>
      <c r="B3044" s="103">
        <v>1.10013205603E11</v>
      </c>
      <c r="C3044" s="105"/>
      <c r="D3044" s="104" t="s">
        <v>13905</v>
      </c>
      <c r="E3044" s="104" t="s">
        <v>13906</v>
      </c>
      <c r="F3044" s="103" t="s">
        <v>4678</v>
      </c>
      <c r="G3044" s="103" t="s">
        <v>4679</v>
      </c>
      <c r="H3044" s="103" t="s">
        <v>13907</v>
      </c>
      <c r="I3044" s="103">
        <v>3.104626592E9</v>
      </c>
      <c r="J3044" s="104" t="s">
        <v>13897</v>
      </c>
      <c r="K3044" s="105"/>
      <c r="L3044" s="105"/>
    </row>
    <row r="3045">
      <c r="A3045" s="103" t="s">
        <v>4676</v>
      </c>
      <c r="B3045" s="103">
        <v>1.100132059E9</v>
      </c>
      <c r="C3045" s="105"/>
      <c r="D3045" s="104" t="s">
        <v>13908</v>
      </c>
      <c r="E3045" s="106"/>
      <c r="F3045" s="103" t="s">
        <v>4678</v>
      </c>
      <c r="G3045" s="103" t="s">
        <v>4679</v>
      </c>
      <c r="H3045" s="103" t="s">
        <v>13909</v>
      </c>
      <c r="I3045" s="103">
        <v>3.113206099E9</v>
      </c>
      <c r="J3045" s="104" t="s">
        <v>13910</v>
      </c>
      <c r="K3045" s="107" t="s">
        <v>13911</v>
      </c>
      <c r="L3045" s="105"/>
    </row>
    <row r="3046">
      <c r="A3046" s="103" t="s">
        <v>4676</v>
      </c>
      <c r="B3046" s="103">
        <v>1.10013205901E11</v>
      </c>
      <c r="C3046" s="105"/>
      <c r="D3046" s="104" t="s">
        <v>13912</v>
      </c>
      <c r="E3046" s="104" t="s">
        <v>13913</v>
      </c>
      <c r="F3046" s="103" t="s">
        <v>4678</v>
      </c>
      <c r="G3046" s="103" t="s">
        <v>4679</v>
      </c>
      <c r="H3046" s="103" t="s">
        <v>13914</v>
      </c>
      <c r="I3046" s="103">
        <v>3.113206099E9</v>
      </c>
      <c r="J3046" s="104" t="s">
        <v>13910</v>
      </c>
      <c r="K3046" s="105"/>
      <c r="L3046" s="105"/>
    </row>
    <row r="3047">
      <c r="A3047" s="103" t="s">
        <v>4676</v>
      </c>
      <c r="B3047" s="103">
        <v>1.100132121E9</v>
      </c>
      <c r="C3047" s="105"/>
      <c r="D3047" s="104" t="s">
        <v>13915</v>
      </c>
      <c r="E3047" s="106"/>
      <c r="F3047" s="103" t="s">
        <v>4678</v>
      </c>
      <c r="G3047" s="103" t="s">
        <v>4679</v>
      </c>
      <c r="H3047" s="103" t="s">
        <v>13916</v>
      </c>
      <c r="I3047" s="103">
        <v>3.016539802E9</v>
      </c>
      <c r="J3047" s="104" t="s">
        <v>13917</v>
      </c>
      <c r="K3047" s="107" t="s">
        <v>13918</v>
      </c>
      <c r="L3047" s="105"/>
    </row>
    <row r="3048">
      <c r="A3048" s="103" t="s">
        <v>4676</v>
      </c>
      <c r="B3048" s="103">
        <v>1.10013212101E11</v>
      </c>
      <c r="C3048" s="105"/>
      <c r="D3048" s="104" t="s">
        <v>13915</v>
      </c>
      <c r="E3048" s="104" t="s">
        <v>13919</v>
      </c>
      <c r="F3048" s="103" t="s">
        <v>4678</v>
      </c>
      <c r="G3048" s="103" t="s">
        <v>4679</v>
      </c>
      <c r="H3048" s="103" t="s">
        <v>13916</v>
      </c>
      <c r="I3048" s="103" t="s">
        <v>13920</v>
      </c>
      <c r="J3048" s="104" t="s">
        <v>13921</v>
      </c>
      <c r="K3048" s="105"/>
      <c r="L3048" s="105"/>
    </row>
    <row r="3049">
      <c r="A3049" s="103" t="s">
        <v>4676</v>
      </c>
      <c r="B3049" s="103">
        <v>1.10013212102E11</v>
      </c>
      <c r="C3049" s="105"/>
      <c r="D3049" s="104" t="s">
        <v>13922</v>
      </c>
      <c r="E3049" s="104" t="s">
        <v>13919</v>
      </c>
      <c r="F3049" s="103" t="s">
        <v>4678</v>
      </c>
      <c r="G3049" s="103" t="s">
        <v>4679</v>
      </c>
      <c r="H3049" s="103" t="s">
        <v>13923</v>
      </c>
      <c r="I3049" s="103">
        <v>3.016539802E9</v>
      </c>
      <c r="J3049" s="104" t="s">
        <v>13921</v>
      </c>
      <c r="K3049" s="105"/>
      <c r="L3049" s="105"/>
    </row>
    <row r="3050">
      <c r="A3050" s="103" t="s">
        <v>4676</v>
      </c>
      <c r="B3050" s="103">
        <v>1.100132203E9</v>
      </c>
      <c r="C3050" s="105"/>
      <c r="D3050" s="104" t="s">
        <v>13924</v>
      </c>
      <c r="E3050" s="106"/>
      <c r="F3050" s="103" t="s">
        <v>4678</v>
      </c>
      <c r="G3050" s="103" t="s">
        <v>4679</v>
      </c>
      <c r="H3050" s="103" t="s">
        <v>13925</v>
      </c>
      <c r="I3050" s="103" t="s">
        <v>13926</v>
      </c>
      <c r="J3050" s="104" t="s">
        <v>13927</v>
      </c>
      <c r="K3050" s="105"/>
      <c r="L3050" s="105"/>
    </row>
    <row r="3051">
      <c r="A3051" s="103" t="s">
        <v>4676</v>
      </c>
      <c r="B3051" s="103">
        <v>1.10013220301E11</v>
      </c>
      <c r="C3051" s="105"/>
      <c r="D3051" s="104" t="s">
        <v>13928</v>
      </c>
      <c r="E3051" s="104" t="s">
        <v>13929</v>
      </c>
      <c r="F3051" s="103" t="s">
        <v>4678</v>
      </c>
      <c r="G3051" s="103" t="s">
        <v>4679</v>
      </c>
      <c r="H3051" s="103" t="s">
        <v>13930</v>
      </c>
      <c r="I3051" s="103" t="s">
        <v>13931</v>
      </c>
      <c r="J3051" s="104" t="s">
        <v>13927</v>
      </c>
      <c r="K3051" s="105"/>
      <c r="L3051" s="105"/>
    </row>
    <row r="3052">
      <c r="A3052" s="103" t="s">
        <v>4676</v>
      </c>
      <c r="B3052" s="103">
        <v>1.10013220302E11</v>
      </c>
      <c r="C3052" s="105"/>
      <c r="D3052" s="104" t="s">
        <v>13932</v>
      </c>
      <c r="E3052" s="104" t="s">
        <v>13933</v>
      </c>
      <c r="F3052" s="103" t="s">
        <v>4678</v>
      </c>
      <c r="G3052" s="103" t="s">
        <v>4679</v>
      </c>
      <c r="H3052" s="103" t="s">
        <v>13934</v>
      </c>
      <c r="I3052" s="103" t="s">
        <v>13935</v>
      </c>
      <c r="J3052" s="104" t="s">
        <v>13927</v>
      </c>
      <c r="K3052" s="105"/>
      <c r="L3052" s="105"/>
    </row>
    <row r="3053">
      <c r="A3053" s="103" t="s">
        <v>4676</v>
      </c>
      <c r="B3053" s="103">
        <v>1.10013220304E11</v>
      </c>
      <c r="C3053" s="105"/>
      <c r="D3053" s="104" t="s">
        <v>13936</v>
      </c>
      <c r="E3053" s="104" t="s">
        <v>13929</v>
      </c>
      <c r="F3053" s="103" t="s">
        <v>4678</v>
      </c>
      <c r="G3053" s="103" t="s">
        <v>4679</v>
      </c>
      <c r="H3053" s="103" t="s">
        <v>13937</v>
      </c>
      <c r="I3053" s="103">
        <v>6.013907147E9</v>
      </c>
      <c r="J3053" s="104" t="s">
        <v>13927</v>
      </c>
      <c r="K3053" s="105"/>
      <c r="L3053" s="105"/>
    </row>
    <row r="3054">
      <c r="A3054" s="103" t="s">
        <v>4676</v>
      </c>
      <c r="B3054" s="103">
        <v>1.10013220305E11</v>
      </c>
      <c r="C3054" s="105"/>
      <c r="D3054" s="104" t="s">
        <v>13938</v>
      </c>
      <c r="E3054" s="104" t="s">
        <v>13933</v>
      </c>
      <c r="F3054" s="103" t="s">
        <v>4678</v>
      </c>
      <c r="G3054" s="103" t="s">
        <v>4679</v>
      </c>
      <c r="H3054" s="103" t="s">
        <v>13939</v>
      </c>
      <c r="I3054" s="103" t="s">
        <v>13940</v>
      </c>
      <c r="J3054" s="104" t="s">
        <v>13927</v>
      </c>
      <c r="K3054" s="105"/>
      <c r="L3054" s="105"/>
    </row>
    <row r="3055">
      <c r="A3055" s="103" t="s">
        <v>4676</v>
      </c>
      <c r="B3055" s="103">
        <v>1.100132253E9</v>
      </c>
      <c r="C3055" s="105"/>
      <c r="D3055" s="104" t="s">
        <v>13941</v>
      </c>
      <c r="E3055" s="106"/>
      <c r="F3055" s="103" t="s">
        <v>4678</v>
      </c>
      <c r="G3055" s="103" t="s">
        <v>4679</v>
      </c>
      <c r="H3055" s="103" t="s">
        <v>13942</v>
      </c>
      <c r="I3055" s="103">
        <v>3.165084737E9</v>
      </c>
      <c r="J3055" s="104" t="s">
        <v>13943</v>
      </c>
      <c r="K3055" s="107" t="s">
        <v>13944</v>
      </c>
      <c r="L3055" s="105"/>
    </row>
    <row r="3056">
      <c r="A3056" s="103" t="s">
        <v>4676</v>
      </c>
      <c r="B3056" s="103">
        <v>1.10013225301E11</v>
      </c>
      <c r="C3056" s="105"/>
      <c r="D3056" s="104" t="s">
        <v>13945</v>
      </c>
      <c r="E3056" s="104" t="s">
        <v>13946</v>
      </c>
      <c r="F3056" s="103" t="s">
        <v>4678</v>
      </c>
      <c r="G3056" s="103" t="s">
        <v>4679</v>
      </c>
      <c r="H3056" s="103" t="s">
        <v>13947</v>
      </c>
      <c r="I3056" s="103">
        <v>3.165084737E9</v>
      </c>
      <c r="J3056" s="104" t="s">
        <v>13943</v>
      </c>
      <c r="K3056" s="105"/>
      <c r="L3056" s="105"/>
    </row>
    <row r="3057">
      <c r="A3057" s="103" t="s">
        <v>4676</v>
      </c>
      <c r="B3057" s="103">
        <v>1.100132417E9</v>
      </c>
      <c r="C3057" s="105"/>
      <c r="D3057" s="104" t="s">
        <v>13948</v>
      </c>
      <c r="E3057" s="106"/>
      <c r="F3057" s="103" t="s">
        <v>4678</v>
      </c>
      <c r="G3057" s="103" t="s">
        <v>4679</v>
      </c>
      <c r="H3057" s="103" t="s">
        <v>13949</v>
      </c>
      <c r="I3057" s="103">
        <v>3.016199071E9</v>
      </c>
      <c r="J3057" s="104" t="s">
        <v>13950</v>
      </c>
      <c r="K3057" s="107" t="s">
        <v>13951</v>
      </c>
      <c r="L3057" s="105"/>
    </row>
    <row r="3058">
      <c r="A3058" s="103" t="s">
        <v>4676</v>
      </c>
      <c r="B3058" s="103">
        <v>1.10013241701E11</v>
      </c>
      <c r="C3058" s="105"/>
      <c r="D3058" s="104" t="s">
        <v>13952</v>
      </c>
      <c r="E3058" s="104" t="s">
        <v>13953</v>
      </c>
      <c r="F3058" s="103" t="s">
        <v>4678</v>
      </c>
      <c r="G3058" s="103" t="s">
        <v>4679</v>
      </c>
      <c r="H3058" s="103" t="s">
        <v>13949</v>
      </c>
      <c r="I3058" s="103">
        <v>3.016199071E9</v>
      </c>
      <c r="J3058" s="104" t="s">
        <v>13950</v>
      </c>
      <c r="K3058" s="105"/>
      <c r="L3058" s="105"/>
    </row>
    <row r="3059">
      <c r="A3059" s="103" t="s">
        <v>4676</v>
      </c>
      <c r="B3059" s="103">
        <v>1.100132526E9</v>
      </c>
      <c r="C3059" s="105"/>
      <c r="D3059" s="104" t="s">
        <v>13954</v>
      </c>
      <c r="E3059" s="106"/>
      <c r="F3059" s="103" t="s">
        <v>4678</v>
      </c>
      <c r="G3059" s="103" t="s">
        <v>4679</v>
      </c>
      <c r="H3059" s="103" t="s">
        <v>13955</v>
      </c>
      <c r="I3059" s="103">
        <v>3.102080918E9</v>
      </c>
      <c r="J3059" s="104" t="s">
        <v>13956</v>
      </c>
      <c r="K3059" s="107" t="s">
        <v>13957</v>
      </c>
      <c r="L3059" s="105"/>
    </row>
    <row r="3060">
      <c r="A3060" s="103" t="s">
        <v>4676</v>
      </c>
      <c r="B3060" s="103">
        <v>1.10013252603E11</v>
      </c>
      <c r="C3060" s="105"/>
      <c r="D3060" s="104" t="s">
        <v>13958</v>
      </c>
      <c r="E3060" s="104" t="s">
        <v>13959</v>
      </c>
      <c r="F3060" s="103" t="s">
        <v>4678</v>
      </c>
      <c r="G3060" s="103" t="s">
        <v>4679</v>
      </c>
      <c r="H3060" s="103" t="s">
        <v>13960</v>
      </c>
      <c r="I3060" s="103">
        <v>3.102080918E9</v>
      </c>
      <c r="J3060" s="104" t="s">
        <v>13961</v>
      </c>
      <c r="K3060" s="105"/>
      <c r="L3060" s="105"/>
    </row>
    <row r="3061">
      <c r="A3061" s="103" t="s">
        <v>4676</v>
      </c>
      <c r="B3061" s="103">
        <v>1.10013252609E11</v>
      </c>
      <c r="C3061" s="105"/>
      <c r="D3061" s="104" t="s">
        <v>13962</v>
      </c>
      <c r="E3061" s="104" t="s">
        <v>13963</v>
      </c>
      <c r="F3061" s="103" t="s">
        <v>4678</v>
      </c>
      <c r="G3061" s="103" t="s">
        <v>4679</v>
      </c>
      <c r="H3061" s="103" t="s">
        <v>13964</v>
      </c>
      <c r="I3061" s="103" t="s">
        <v>13965</v>
      </c>
      <c r="J3061" s="104" t="s">
        <v>13966</v>
      </c>
      <c r="K3061" s="105"/>
      <c r="L3061" s="105"/>
    </row>
    <row r="3062">
      <c r="A3062" s="103" t="s">
        <v>4676</v>
      </c>
      <c r="B3062" s="103">
        <v>1.1001325261E11</v>
      </c>
      <c r="C3062" s="105"/>
      <c r="D3062" s="104" t="s">
        <v>13967</v>
      </c>
      <c r="E3062" s="104" t="s">
        <v>13968</v>
      </c>
      <c r="F3062" s="103" t="s">
        <v>4678</v>
      </c>
      <c r="G3062" s="103" t="s">
        <v>4679</v>
      </c>
      <c r="H3062" s="103" t="s">
        <v>13969</v>
      </c>
      <c r="I3062" s="103">
        <v>3.232225593E9</v>
      </c>
      <c r="J3062" s="104" t="s">
        <v>13970</v>
      </c>
      <c r="K3062" s="105"/>
      <c r="L3062" s="105"/>
    </row>
    <row r="3063">
      <c r="A3063" s="103" t="s">
        <v>4676</v>
      </c>
      <c r="B3063" s="103">
        <v>1.100132581E9</v>
      </c>
      <c r="C3063" s="105"/>
      <c r="D3063" s="104" t="s">
        <v>13971</v>
      </c>
      <c r="E3063" s="106"/>
      <c r="F3063" s="103" t="s">
        <v>4678</v>
      </c>
      <c r="G3063" s="103" t="s">
        <v>4679</v>
      </c>
      <c r="H3063" s="103" t="s">
        <v>13972</v>
      </c>
      <c r="I3063" s="103" t="s">
        <v>13973</v>
      </c>
      <c r="J3063" s="104" t="s">
        <v>13974</v>
      </c>
      <c r="K3063" s="105"/>
      <c r="L3063" s="105"/>
    </row>
    <row r="3064">
      <c r="A3064" s="103" t="s">
        <v>4676</v>
      </c>
      <c r="B3064" s="103">
        <v>1.10013258101E11</v>
      </c>
      <c r="C3064" s="105"/>
      <c r="D3064" s="104" t="s">
        <v>13971</v>
      </c>
      <c r="E3064" s="104" t="s">
        <v>13975</v>
      </c>
      <c r="F3064" s="103" t="s">
        <v>4678</v>
      </c>
      <c r="G3064" s="103" t="s">
        <v>4679</v>
      </c>
      <c r="H3064" s="103" t="s">
        <v>13976</v>
      </c>
      <c r="I3064" s="103" t="s">
        <v>13973</v>
      </c>
      <c r="J3064" s="104" t="s">
        <v>13974</v>
      </c>
      <c r="K3064" s="105"/>
      <c r="L3064" s="105"/>
    </row>
    <row r="3065">
      <c r="A3065" s="103" t="s">
        <v>4676</v>
      </c>
      <c r="B3065" s="103">
        <v>1.100132651E9</v>
      </c>
      <c r="C3065" s="105"/>
      <c r="D3065" s="104" t="s">
        <v>13977</v>
      </c>
      <c r="E3065" s="106"/>
      <c r="F3065" s="103" t="s">
        <v>4678</v>
      </c>
      <c r="G3065" s="103" t="s">
        <v>4679</v>
      </c>
      <c r="H3065" s="103" t="s">
        <v>13978</v>
      </c>
      <c r="I3065" s="103">
        <v>3.143592257E9</v>
      </c>
      <c r="J3065" s="104" t="s">
        <v>13979</v>
      </c>
      <c r="K3065" s="107" t="s">
        <v>13980</v>
      </c>
      <c r="L3065" s="105"/>
    </row>
    <row r="3066">
      <c r="A3066" s="103" t="s">
        <v>4676</v>
      </c>
      <c r="B3066" s="103">
        <v>1.10013265101E11</v>
      </c>
      <c r="C3066" s="105"/>
      <c r="D3066" s="104" t="s">
        <v>13981</v>
      </c>
      <c r="E3066" s="104" t="s">
        <v>13982</v>
      </c>
      <c r="F3066" s="103" t="s">
        <v>4678</v>
      </c>
      <c r="G3066" s="103" t="s">
        <v>4679</v>
      </c>
      <c r="H3066" s="103" t="s">
        <v>13978</v>
      </c>
      <c r="I3066" s="103">
        <v>3.143592257E9</v>
      </c>
      <c r="J3066" s="104" t="s">
        <v>13979</v>
      </c>
      <c r="K3066" s="105"/>
      <c r="L3066" s="105"/>
    </row>
    <row r="3067">
      <c r="A3067" s="103" t="s">
        <v>4676</v>
      </c>
      <c r="B3067" s="103">
        <v>1.100132833E9</v>
      </c>
      <c r="C3067" s="105"/>
      <c r="D3067" s="104" t="s">
        <v>13983</v>
      </c>
      <c r="E3067" s="106"/>
      <c r="F3067" s="103" t="s">
        <v>4678</v>
      </c>
      <c r="G3067" s="103" t="s">
        <v>4679</v>
      </c>
      <c r="H3067" s="103" t="s">
        <v>13984</v>
      </c>
      <c r="I3067" s="103">
        <v>3.227350739E9</v>
      </c>
      <c r="J3067" s="104" t="s">
        <v>13985</v>
      </c>
      <c r="K3067" s="105"/>
      <c r="L3067" s="105"/>
    </row>
    <row r="3068">
      <c r="A3068" s="103" t="s">
        <v>4676</v>
      </c>
      <c r="B3068" s="103">
        <v>1.10013283301E11</v>
      </c>
      <c r="C3068" s="105"/>
      <c r="D3068" s="104" t="s">
        <v>13983</v>
      </c>
      <c r="E3068" s="104" t="s">
        <v>13986</v>
      </c>
      <c r="F3068" s="103" t="s">
        <v>4678</v>
      </c>
      <c r="G3068" s="103" t="s">
        <v>4679</v>
      </c>
      <c r="H3068" s="103" t="s">
        <v>13984</v>
      </c>
      <c r="I3068" s="103">
        <v>3.227350739E9</v>
      </c>
      <c r="J3068" s="104" t="s">
        <v>13985</v>
      </c>
      <c r="K3068" s="105"/>
      <c r="L3068" s="105"/>
    </row>
    <row r="3069">
      <c r="A3069" s="103" t="s">
        <v>4676</v>
      </c>
      <c r="B3069" s="103">
        <v>1.100132841E9</v>
      </c>
      <c r="C3069" s="105"/>
      <c r="D3069" s="104" t="s">
        <v>13987</v>
      </c>
      <c r="E3069" s="106"/>
      <c r="F3069" s="103" t="s">
        <v>4678</v>
      </c>
      <c r="G3069" s="103" t="s">
        <v>4679</v>
      </c>
      <c r="H3069" s="103" t="s">
        <v>13988</v>
      </c>
      <c r="I3069" s="103" t="s">
        <v>5754</v>
      </c>
      <c r="J3069" s="104" t="s">
        <v>13989</v>
      </c>
      <c r="K3069" s="107" t="s">
        <v>13990</v>
      </c>
      <c r="L3069" s="105"/>
    </row>
    <row r="3070">
      <c r="A3070" s="103" t="s">
        <v>4676</v>
      </c>
      <c r="B3070" s="103">
        <v>1.10013284101E11</v>
      </c>
      <c r="C3070" s="105"/>
      <c r="D3070" s="104" t="s">
        <v>13991</v>
      </c>
      <c r="E3070" s="104" t="s">
        <v>5757</v>
      </c>
      <c r="F3070" s="103" t="s">
        <v>4678</v>
      </c>
      <c r="G3070" s="103" t="s">
        <v>4679</v>
      </c>
      <c r="H3070" s="103" t="s">
        <v>13992</v>
      </c>
      <c r="I3070" s="103" t="s">
        <v>5759</v>
      </c>
      <c r="J3070" s="104" t="s">
        <v>13993</v>
      </c>
      <c r="K3070" s="105"/>
      <c r="L3070" s="105"/>
    </row>
    <row r="3071">
      <c r="A3071" s="103" t="s">
        <v>4676</v>
      </c>
      <c r="B3071" s="103">
        <v>1.100132923E9</v>
      </c>
      <c r="C3071" s="105"/>
      <c r="D3071" s="104" t="s">
        <v>13994</v>
      </c>
      <c r="E3071" s="106"/>
      <c r="F3071" s="103" t="s">
        <v>4678</v>
      </c>
      <c r="G3071" s="103" t="s">
        <v>4679</v>
      </c>
      <c r="H3071" s="103" t="s">
        <v>13995</v>
      </c>
      <c r="I3071" s="103">
        <v>3.102107714E9</v>
      </c>
      <c r="J3071" s="104" t="s">
        <v>13996</v>
      </c>
      <c r="K3071" s="105"/>
      <c r="L3071" s="105"/>
    </row>
    <row r="3072">
      <c r="A3072" s="103" t="s">
        <v>4676</v>
      </c>
      <c r="B3072" s="103">
        <v>1.10013292301E11</v>
      </c>
      <c r="C3072" s="105"/>
      <c r="D3072" s="104" t="s">
        <v>13997</v>
      </c>
      <c r="E3072" s="104" t="s">
        <v>13998</v>
      </c>
      <c r="F3072" s="103" t="s">
        <v>4678</v>
      </c>
      <c r="G3072" s="103" t="s">
        <v>4679</v>
      </c>
      <c r="H3072" s="103" t="s">
        <v>13999</v>
      </c>
      <c r="I3072" s="103">
        <v>3.102107714E9</v>
      </c>
      <c r="J3072" s="104" t="s">
        <v>13996</v>
      </c>
      <c r="K3072" s="105"/>
      <c r="L3072" s="105"/>
    </row>
    <row r="3073">
      <c r="A3073" s="103" t="s">
        <v>4676</v>
      </c>
      <c r="B3073" s="103">
        <v>1.100133043E9</v>
      </c>
      <c r="C3073" s="105"/>
      <c r="D3073" s="104" t="s">
        <v>14000</v>
      </c>
      <c r="E3073" s="106"/>
      <c r="F3073" s="103" t="s">
        <v>4678</v>
      </c>
      <c r="G3073" s="103" t="s">
        <v>4679</v>
      </c>
      <c r="H3073" s="103" t="s">
        <v>14001</v>
      </c>
      <c r="I3073" s="103" t="s">
        <v>14002</v>
      </c>
      <c r="J3073" s="104" t="s">
        <v>14003</v>
      </c>
      <c r="K3073" s="107" t="s">
        <v>14004</v>
      </c>
      <c r="L3073" s="105"/>
    </row>
    <row r="3074">
      <c r="A3074" s="103" t="s">
        <v>4676</v>
      </c>
      <c r="B3074" s="103">
        <v>1.10013304301E11</v>
      </c>
      <c r="C3074" s="105"/>
      <c r="D3074" s="104" t="s">
        <v>14005</v>
      </c>
      <c r="E3074" s="104" t="s">
        <v>14006</v>
      </c>
      <c r="F3074" s="103" t="s">
        <v>4678</v>
      </c>
      <c r="G3074" s="103" t="s">
        <v>4679</v>
      </c>
      <c r="H3074" s="103" t="s">
        <v>14001</v>
      </c>
      <c r="I3074" s="103">
        <v>2593363.0</v>
      </c>
      <c r="J3074" s="104" t="s">
        <v>14003</v>
      </c>
      <c r="K3074" s="105"/>
      <c r="L3074" s="105"/>
    </row>
    <row r="3075">
      <c r="A3075" s="103" t="s">
        <v>4676</v>
      </c>
      <c r="B3075" s="103">
        <v>1.100133145E9</v>
      </c>
      <c r="C3075" s="105"/>
      <c r="D3075" s="104" t="s">
        <v>14007</v>
      </c>
      <c r="E3075" s="106"/>
      <c r="F3075" s="103" t="s">
        <v>4678</v>
      </c>
      <c r="G3075" s="103" t="s">
        <v>4679</v>
      </c>
      <c r="H3075" s="103" t="s">
        <v>14008</v>
      </c>
      <c r="I3075" s="103" t="s">
        <v>14009</v>
      </c>
      <c r="J3075" s="104" t="s">
        <v>14010</v>
      </c>
      <c r="K3075" s="105"/>
      <c r="L3075" s="105"/>
    </row>
    <row r="3076">
      <c r="A3076" s="103" t="s">
        <v>4676</v>
      </c>
      <c r="B3076" s="103">
        <v>1.10013314501E11</v>
      </c>
      <c r="C3076" s="105"/>
      <c r="D3076" s="104" t="s">
        <v>14011</v>
      </c>
      <c r="E3076" s="104" t="s">
        <v>14012</v>
      </c>
      <c r="F3076" s="103" t="s">
        <v>4678</v>
      </c>
      <c r="G3076" s="103" t="s">
        <v>4679</v>
      </c>
      <c r="H3076" s="103" t="s">
        <v>14013</v>
      </c>
      <c r="I3076" s="103" t="s">
        <v>14009</v>
      </c>
      <c r="J3076" s="104" t="s">
        <v>14010</v>
      </c>
      <c r="K3076" s="105"/>
      <c r="L3076" s="105"/>
    </row>
    <row r="3077">
      <c r="A3077" s="103" t="s">
        <v>4676</v>
      </c>
      <c r="B3077" s="103">
        <v>1.100133185E9</v>
      </c>
      <c r="C3077" s="105"/>
      <c r="D3077" s="104" t="s">
        <v>14014</v>
      </c>
      <c r="E3077" s="106"/>
      <c r="F3077" s="103" t="s">
        <v>4678</v>
      </c>
      <c r="G3077" s="103" t="s">
        <v>4679</v>
      </c>
      <c r="H3077" s="103" t="s">
        <v>14015</v>
      </c>
      <c r="I3077" s="103">
        <v>3.168763506E9</v>
      </c>
      <c r="J3077" s="104" t="s">
        <v>14016</v>
      </c>
      <c r="K3077" s="105"/>
      <c r="L3077" s="105"/>
    </row>
    <row r="3078">
      <c r="A3078" s="103" t="s">
        <v>4676</v>
      </c>
      <c r="B3078" s="103">
        <v>1.10013318501E11</v>
      </c>
      <c r="C3078" s="105"/>
      <c r="D3078" s="104" t="s">
        <v>14017</v>
      </c>
      <c r="E3078" s="104" t="s">
        <v>14018</v>
      </c>
      <c r="F3078" s="103" t="s">
        <v>4678</v>
      </c>
      <c r="G3078" s="103" t="s">
        <v>4679</v>
      </c>
      <c r="H3078" s="103" t="s">
        <v>14019</v>
      </c>
      <c r="I3078" s="103">
        <v>3.168763506E9</v>
      </c>
      <c r="J3078" s="104" t="s">
        <v>14016</v>
      </c>
      <c r="K3078" s="105"/>
      <c r="L3078" s="105"/>
    </row>
    <row r="3079">
      <c r="A3079" s="103" t="s">
        <v>4676</v>
      </c>
      <c r="B3079" s="103">
        <v>1.100133267E9</v>
      </c>
      <c r="C3079" s="105"/>
      <c r="D3079" s="104" t="s">
        <v>14020</v>
      </c>
      <c r="E3079" s="106"/>
      <c r="F3079" s="103" t="s">
        <v>4678</v>
      </c>
      <c r="G3079" s="103" t="s">
        <v>4679</v>
      </c>
      <c r="H3079" s="103" t="s">
        <v>14021</v>
      </c>
      <c r="I3079" s="103">
        <v>7560107.0</v>
      </c>
      <c r="J3079" s="104" t="s">
        <v>14022</v>
      </c>
      <c r="K3079" s="107" t="s">
        <v>14023</v>
      </c>
      <c r="L3079" s="105"/>
    </row>
    <row r="3080">
      <c r="A3080" s="103" t="s">
        <v>4676</v>
      </c>
      <c r="B3080" s="103">
        <v>1.10013326701E11</v>
      </c>
      <c r="C3080" s="105"/>
      <c r="D3080" s="104" t="s">
        <v>14024</v>
      </c>
      <c r="E3080" s="104" t="s">
        <v>14025</v>
      </c>
      <c r="F3080" s="103" t="s">
        <v>4678</v>
      </c>
      <c r="G3080" s="103" t="s">
        <v>4679</v>
      </c>
      <c r="H3080" s="103" t="s">
        <v>14026</v>
      </c>
      <c r="I3080" s="103" t="s">
        <v>14027</v>
      </c>
      <c r="J3080" s="104" t="s">
        <v>14022</v>
      </c>
      <c r="K3080" s="105"/>
      <c r="L3080" s="105"/>
    </row>
    <row r="3081">
      <c r="A3081" s="103" t="s">
        <v>4676</v>
      </c>
      <c r="B3081" s="103">
        <v>1.100133348E9</v>
      </c>
      <c r="C3081" s="105"/>
      <c r="D3081" s="104" t="s">
        <v>14028</v>
      </c>
      <c r="E3081" s="106"/>
      <c r="F3081" s="103" t="s">
        <v>4678</v>
      </c>
      <c r="G3081" s="103" t="s">
        <v>4679</v>
      </c>
      <c r="H3081" s="103" t="s">
        <v>14029</v>
      </c>
      <c r="I3081" s="103">
        <v>3.224064354E9</v>
      </c>
      <c r="J3081" s="104" t="s">
        <v>14030</v>
      </c>
      <c r="K3081" s="107" t="s">
        <v>14031</v>
      </c>
      <c r="L3081" s="105"/>
    </row>
    <row r="3082">
      <c r="A3082" s="103" t="s">
        <v>4676</v>
      </c>
      <c r="B3082" s="103">
        <v>1.10013334801E11</v>
      </c>
      <c r="C3082" s="105"/>
      <c r="D3082" s="104" t="s">
        <v>14032</v>
      </c>
      <c r="E3082" s="104" t="s">
        <v>14033</v>
      </c>
      <c r="F3082" s="103" t="s">
        <v>4678</v>
      </c>
      <c r="G3082" s="103" t="s">
        <v>4679</v>
      </c>
      <c r="H3082" s="103" t="s">
        <v>14034</v>
      </c>
      <c r="I3082" s="103">
        <v>3.224064354E9</v>
      </c>
      <c r="J3082" s="104" t="s">
        <v>14030</v>
      </c>
      <c r="K3082" s="105"/>
      <c r="L3082" s="105"/>
    </row>
    <row r="3083">
      <c r="A3083" s="103" t="s">
        <v>4676</v>
      </c>
      <c r="B3083" s="103">
        <v>1.10013334803E11</v>
      </c>
      <c r="C3083" s="105"/>
      <c r="D3083" s="104" t="s">
        <v>14035</v>
      </c>
      <c r="E3083" s="104" t="s">
        <v>14033</v>
      </c>
      <c r="F3083" s="103" t="s">
        <v>4678</v>
      </c>
      <c r="G3083" s="103" t="s">
        <v>4679</v>
      </c>
      <c r="H3083" s="103" t="s">
        <v>14036</v>
      </c>
      <c r="I3083" s="103">
        <v>3.132485483E9</v>
      </c>
      <c r="J3083" s="104" t="s">
        <v>14030</v>
      </c>
      <c r="K3083" s="105"/>
      <c r="L3083" s="105"/>
    </row>
    <row r="3084">
      <c r="A3084" s="103" t="s">
        <v>4676</v>
      </c>
      <c r="B3084" s="103">
        <v>1.100133417E9</v>
      </c>
      <c r="C3084" s="105"/>
      <c r="D3084" s="104" t="s">
        <v>14037</v>
      </c>
      <c r="E3084" s="106"/>
      <c r="F3084" s="103" t="s">
        <v>4678</v>
      </c>
      <c r="G3084" s="103" t="s">
        <v>4679</v>
      </c>
      <c r="H3084" s="103" t="s">
        <v>14038</v>
      </c>
      <c r="I3084" s="103" t="s">
        <v>14039</v>
      </c>
      <c r="J3084" s="104" t="s">
        <v>14040</v>
      </c>
      <c r="K3084" s="105"/>
      <c r="L3084" s="105"/>
    </row>
    <row r="3085">
      <c r="A3085" s="103" t="s">
        <v>4676</v>
      </c>
      <c r="B3085" s="103">
        <v>1.10013341701E11</v>
      </c>
      <c r="C3085" s="105"/>
      <c r="D3085" s="104" t="s">
        <v>14041</v>
      </c>
      <c r="E3085" s="104" t="s">
        <v>14042</v>
      </c>
      <c r="F3085" s="103" t="s">
        <v>4678</v>
      </c>
      <c r="G3085" s="103" t="s">
        <v>4679</v>
      </c>
      <c r="H3085" s="103" t="s">
        <v>14038</v>
      </c>
      <c r="I3085" s="103" t="s">
        <v>14043</v>
      </c>
      <c r="J3085" s="104" t="s">
        <v>14040</v>
      </c>
      <c r="K3085" s="105"/>
      <c r="L3085" s="105"/>
    </row>
    <row r="3086">
      <c r="A3086" s="103" t="s">
        <v>4676</v>
      </c>
      <c r="B3086" s="103">
        <v>1.100133437E9</v>
      </c>
      <c r="C3086" s="105"/>
      <c r="D3086" s="104" t="s">
        <v>14044</v>
      </c>
      <c r="E3086" s="106"/>
      <c r="F3086" s="103" t="s">
        <v>4678</v>
      </c>
      <c r="G3086" s="103" t="s">
        <v>4679</v>
      </c>
      <c r="H3086" s="103" t="s">
        <v>14045</v>
      </c>
      <c r="I3086" s="103" t="s">
        <v>14046</v>
      </c>
      <c r="J3086" s="104" t="s">
        <v>14047</v>
      </c>
      <c r="K3086" s="107" t="s">
        <v>14048</v>
      </c>
      <c r="L3086" s="105"/>
    </row>
    <row r="3087">
      <c r="A3087" s="103" t="s">
        <v>4676</v>
      </c>
      <c r="B3087" s="103">
        <v>1.10013343701E11</v>
      </c>
      <c r="C3087" s="105"/>
      <c r="D3087" s="104" t="s">
        <v>14044</v>
      </c>
      <c r="E3087" s="104" t="s">
        <v>14049</v>
      </c>
      <c r="F3087" s="103" t="s">
        <v>4678</v>
      </c>
      <c r="G3087" s="103" t="s">
        <v>4679</v>
      </c>
      <c r="H3087" s="103" t="s">
        <v>14045</v>
      </c>
      <c r="I3087" s="103" t="s">
        <v>14050</v>
      </c>
      <c r="J3087" s="104" t="s">
        <v>14051</v>
      </c>
      <c r="K3087" s="105"/>
      <c r="L3087" s="105"/>
    </row>
    <row r="3088">
      <c r="A3088" s="103" t="s">
        <v>4676</v>
      </c>
      <c r="B3088" s="103">
        <v>1.100133457E9</v>
      </c>
      <c r="C3088" s="105"/>
      <c r="D3088" s="104" t="s">
        <v>14052</v>
      </c>
      <c r="E3088" s="106"/>
      <c r="F3088" s="103" t="s">
        <v>4678</v>
      </c>
      <c r="G3088" s="103" t="s">
        <v>4679</v>
      </c>
      <c r="H3088" s="103" t="s">
        <v>14053</v>
      </c>
      <c r="I3088" s="103">
        <v>3.014511364E9</v>
      </c>
      <c r="J3088" s="104" t="s">
        <v>14054</v>
      </c>
      <c r="K3088" s="105"/>
      <c r="L3088" s="105"/>
    </row>
    <row r="3089">
      <c r="A3089" s="103" t="s">
        <v>4676</v>
      </c>
      <c r="B3089" s="103">
        <v>1.10013345701E11</v>
      </c>
      <c r="C3089" s="105"/>
      <c r="D3089" s="104" t="s">
        <v>14055</v>
      </c>
      <c r="E3089" s="104" t="s">
        <v>14056</v>
      </c>
      <c r="F3089" s="103" t="s">
        <v>4678</v>
      </c>
      <c r="G3089" s="103" t="s">
        <v>4679</v>
      </c>
      <c r="H3089" s="103" t="s">
        <v>14057</v>
      </c>
      <c r="I3089" s="103">
        <v>3.014511364E9</v>
      </c>
      <c r="J3089" s="104" t="s">
        <v>14054</v>
      </c>
      <c r="K3089" s="105"/>
      <c r="L3089" s="105"/>
    </row>
    <row r="3090">
      <c r="A3090" s="103" t="s">
        <v>4676</v>
      </c>
      <c r="B3090" s="103">
        <v>1.100133476E9</v>
      </c>
      <c r="C3090" s="105"/>
      <c r="D3090" s="104" t="s">
        <v>14058</v>
      </c>
      <c r="E3090" s="106"/>
      <c r="F3090" s="103" t="s">
        <v>4678</v>
      </c>
      <c r="G3090" s="103" t="s">
        <v>4679</v>
      </c>
      <c r="H3090" s="103" t="s">
        <v>14059</v>
      </c>
      <c r="I3090" s="103">
        <v>3477671.0</v>
      </c>
      <c r="J3090" s="104" t="s">
        <v>14060</v>
      </c>
      <c r="K3090" s="105"/>
      <c r="L3090" s="105"/>
    </row>
    <row r="3091">
      <c r="A3091" s="103" t="s">
        <v>4676</v>
      </c>
      <c r="B3091" s="103">
        <v>1.10013347601E11</v>
      </c>
      <c r="C3091" s="105"/>
      <c r="D3091" s="104" t="s">
        <v>14061</v>
      </c>
      <c r="E3091" s="104" t="s">
        <v>14062</v>
      </c>
      <c r="F3091" s="103" t="s">
        <v>4678</v>
      </c>
      <c r="G3091" s="103" t="s">
        <v>4679</v>
      </c>
      <c r="H3091" s="103" t="s">
        <v>14063</v>
      </c>
      <c r="I3091" s="103">
        <v>3477671.0</v>
      </c>
      <c r="J3091" s="104" t="s">
        <v>14060</v>
      </c>
      <c r="K3091" s="105"/>
      <c r="L3091" s="105"/>
    </row>
    <row r="3092">
      <c r="A3092" s="103" t="s">
        <v>4676</v>
      </c>
      <c r="B3092" s="103">
        <v>1.100133573E9</v>
      </c>
      <c r="C3092" s="105"/>
      <c r="D3092" s="104" t="s">
        <v>14064</v>
      </c>
      <c r="E3092" s="106"/>
      <c r="F3092" s="103" t="s">
        <v>4678</v>
      </c>
      <c r="G3092" s="103" t="s">
        <v>4679</v>
      </c>
      <c r="H3092" s="103" t="s">
        <v>14065</v>
      </c>
      <c r="I3092" s="103" t="s">
        <v>14066</v>
      </c>
      <c r="J3092" s="104" t="s">
        <v>14067</v>
      </c>
      <c r="K3092" s="107" t="s">
        <v>14068</v>
      </c>
      <c r="L3092" s="105"/>
    </row>
    <row r="3093">
      <c r="A3093" s="103" t="s">
        <v>4676</v>
      </c>
      <c r="B3093" s="103">
        <v>1.10013357301E11</v>
      </c>
      <c r="C3093" s="105"/>
      <c r="D3093" s="104" t="s">
        <v>14069</v>
      </c>
      <c r="E3093" s="104" t="s">
        <v>14070</v>
      </c>
      <c r="F3093" s="103" t="s">
        <v>4678</v>
      </c>
      <c r="G3093" s="103" t="s">
        <v>4679</v>
      </c>
      <c r="H3093" s="103" t="s">
        <v>14071</v>
      </c>
      <c r="I3093" s="103" t="s">
        <v>14066</v>
      </c>
      <c r="J3093" s="104" t="s">
        <v>14072</v>
      </c>
      <c r="K3093" s="105"/>
      <c r="L3093" s="105"/>
    </row>
    <row r="3094">
      <c r="A3094" s="103" t="s">
        <v>4676</v>
      </c>
      <c r="B3094" s="103">
        <v>1.100133594E9</v>
      </c>
      <c r="C3094" s="105"/>
      <c r="D3094" s="104" t="s">
        <v>14073</v>
      </c>
      <c r="E3094" s="106"/>
      <c r="F3094" s="103" t="s">
        <v>4678</v>
      </c>
      <c r="G3094" s="103" t="s">
        <v>4679</v>
      </c>
      <c r="H3094" s="103" t="s">
        <v>14074</v>
      </c>
      <c r="I3094" s="103">
        <v>3.022887073E9</v>
      </c>
      <c r="J3094" s="104" t="s">
        <v>14075</v>
      </c>
      <c r="K3094" s="107" t="s">
        <v>14076</v>
      </c>
      <c r="L3094" s="105"/>
    </row>
    <row r="3095">
      <c r="A3095" s="103" t="s">
        <v>4676</v>
      </c>
      <c r="B3095" s="103">
        <v>1.10013359401E11</v>
      </c>
      <c r="C3095" s="105"/>
      <c r="D3095" s="104" t="s">
        <v>14073</v>
      </c>
      <c r="E3095" s="104" t="s">
        <v>14077</v>
      </c>
      <c r="F3095" s="103" t="s">
        <v>4678</v>
      </c>
      <c r="G3095" s="103" t="s">
        <v>4679</v>
      </c>
      <c r="H3095" s="103" t="s">
        <v>14074</v>
      </c>
      <c r="I3095" s="103">
        <v>3.022887073E9</v>
      </c>
      <c r="J3095" s="104" t="s">
        <v>14075</v>
      </c>
      <c r="K3095" s="105"/>
      <c r="L3095" s="105"/>
    </row>
    <row r="3096">
      <c r="A3096" s="103" t="s">
        <v>4676</v>
      </c>
      <c r="B3096" s="103">
        <v>1.100133638E9</v>
      </c>
      <c r="C3096" s="105"/>
      <c r="D3096" s="104" t="s">
        <v>14078</v>
      </c>
      <c r="E3096" s="106"/>
      <c r="F3096" s="103" t="s">
        <v>4678</v>
      </c>
      <c r="G3096" s="103" t="s">
        <v>4679</v>
      </c>
      <c r="H3096" s="103" t="s">
        <v>14079</v>
      </c>
      <c r="I3096" s="103">
        <v>3.102935083E9</v>
      </c>
      <c r="J3096" s="104" t="s">
        <v>14080</v>
      </c>
      <c r="K3096" s="105"/>
      <c r="L3096" s="105"/>
    </row>
    <row r="3097">
      <c r="A3097" s="103" t="s">
        <v>4676</v>
      </c>
      <c r="B3097" s="103">
        <v>1.10013363801E11</v>
      </c>
      <c r="C3097" s="105"/>
      <c r="D3097" s="104" t="s">
        <v>14081</v>
      </c>
      <c r="E3097" s="104" t="s">
        <v>14082</v>
      </c>
      <c r="F3097" s="103" t="s">
        <v>4678</v>
      </c>
      <c r="G3097" s="103" t="s">
        <v>4679</v>
      </c>
      <c r="H3097" s="103" t="s">
        <v>14079</v>
      </c>
      <c r="I3097" s="103">
        <v>3.102935083E9</v>
      </c>
      <c r="J3097" s="104" t="s">
        <v>14080</v>
      </c>
      <c r="K3097" s="105"/>
      <c r="L3097" s="105"/>
    </row>
    <row r="3098">
      <c r="A3098" s="103" t="s">
        <v>4676</v>
      </c>
      <c r="B3098" s="103">
        <v>1.100133651E9</v>
      </c>
      <c r="C3098" s="105"/>
      <c r="D3098" s="104" t="s">
        <v>14083</v>
      </c>
      <c r="E3098" s="106"/>
      <c r="F3098" s="103" t="s">
        <v>4678</v>
      </c>
      <c r="G3098" s="103" t="s">
        <v>4679</v>
      </c>
      <c r="H3098" s="103" t="s">
        <v>14084</v>
      </c>
      <c r="I3098" s="103" t="s">
        <v>14085</v>
      </c>
      <c r="J3098" s="104" t="s">
        <v>14086</v>
      </c>
      <c r="K3098" s="107" t="s">
        <v>14087</v>
      </c>
      <c r="L3098" s="105"/>
    </row>
    <row r="3099">
      <c r="A3099" s="103" t="s">
        <v>4676</v>
      </c>
      <c r="B3099" s="103">
        <v>1.10013365101E11</v>
      </c>
      <c r="C3099" s="105"/>
      <c r="D3099" s="104" t="s">
        <v>14083</v>
      </c>
      <c r="E3099" s="104" t="s">
        <v>14088</v>
      </c>
      <c r="F3099" s="103" t="s">
        <v>4678</v>
      </c>
      <c r="G3099" s="103" t="s">
        <v>4679</v>
      </c>
      <c r="H3099" s="103" t="s">
        <v>14089</v>
      </c>
      <c r="I3099" s="103" t="s">
        <v>14090</v>
      </c>
      <c r="J3099" s="104" t="s">
        <v>14091</v>
      </c>
      <c r="K3099" s="105"/>
      <c r="L3099" s="105"/>
    </row>
    <row r="3100">
      <c r="A3100" s="103" t="s">
        <v>4676</v>
      </c>
      <c r="B3100" s="103">
        <v>1.100133671E9</v>
      </c>
      <c r="C3100" s="105"/>
      <c r="D3100" s="104" t="s">
        <v>14092</v>
      </c>
      <c r="E3100" s="106"/>
      <c r="F3100" s="103" t="s">
        <v>4678</v>
      </c>
      <c r="G3100" s="103" t="s">
        <v>4679</v>
      </c>
      <c r="H3100" s="103" t="s">
        <v>14093</v>
      </c>
      <c r="I3100" s="103" t="s">
        <v>14094</v>
      </c>
      <c r="J3100" s="104" t="s">
        <v>14095</v>
      </c>
      <c r="K3100" s="105"/>
      <c r="L3100" s="105"/>
    </row>
    <row r="3101">
      <c r="A3101" s="103" t="s">
        <v>4676</v>
      </c>
      <c r="B3101" s="103">
        <v>1.10013367101E11</v>
      </c>
      <c r="C3101" s="105"/>
      <c r="D3101" s="104" t="s">
        <v>14092</v>
      </c>
      <c r="E3101" s="104" t="s">
        <v>14096</v>
      </c>
      <c r="F3101" s="103" t="s">
        <v>4678</v>
      </c>
      <c r="G3101" s="103" t="s">
        <v>4679</v>
      </c>
      <c r="H3101" s="103" t="s">
        <v>14093</v>
      </c>
      <c r="I3101" s="103" t="s">
        <v>14094</v>
      </c>
      <c r="J3101" s="104" t="s">
        <v>14095</v>
      </c>
      <c r="K3101" s="105"/>
      <c r="L3101" s="105"/>
    </row>
    <row r="3102">
      <c r="A3102" s="103" t="s">
        <v>4676</v>
      </c>
      <c r="B3102" s="103">
        <v>1.100133699E9</v>
      </c>
      <c r="C3102" s="105"/>
      <c r="D3102" s="104" t="s">
        <v>14097</v>
      </c>
      <c r="E3102" s="106"/>
      <c r="F3102" s="103" t="s">
        <v>4678</v>
      </c>
      <c r="G3102" s="103" t="s">
        <v>4679</v>
      </c>
      <c r="H3102" s="103" t="s">
        <v>14098</v>
      </c>
      <c r="I3102" s="103">
        <v>3.12659418E9</v>
      </c>
      <c r="J3102" s="104" t="s">
        <v>14099</v>
      </c>
      <c r="K3102" s="107" t="s">
        <v>14100</v>
      </c>
      <c r="L3102" s="105"/>
    </row>
    <row r="3103">
      <c r="A3103" s="103" t="s">
        <v>4676</v>
      </c>
      <c r="B3103" s="103">
        <v>1.10013369901E11</v>
      </c>
      <c r="C3103" s="105"/>
      <c r="D3103" s="104" t="s">
        <v>14097</v>
      </c>
      <c r="E3103" s="104" t="s">
        <v>14101</v>
      </c>
      <c r="F3103" s="103" t="s">
        <v>4678</v>
      </c>
      <c r="G3103" s="103" t="s">
        <v>4679</v>
      </c>
      <c r="H3103" s="103" t="s">
        <v>14098</v>
      </c>
      <c r="I3103" s="103">
        <v>3.12659418E9</v>
      </c>
      <c r="J3103" s="104" t="s">
        <v>14099</v>
      </c>
      <c r="K3103" s="105"/>
      <c r="L3103" s="105"/>
    </row>
    <row r="3104">
      <c r="A3104" s="103" t="s">
        <v>4676</v>
      </c>
      <c r="B3104" s="103">
        <v>1.100133717E9</v>
      </c>
      <c r="C3104" s="105"/>
      <c r="D3104" s="104" t="s">
        <v>14102</v>
      </c>
      <c r="E3104" s="106"/>
      <c r="F3104" s="103" t="s">
        <v>4678</v>
      </c>
      <c r="G3104" s="103" t="s">
        <v>4679</v>
      </c>
      <c r="H3104" s="103" t="s">
        <v>14103</v>
      </c>
      <c r="I3104" s="103">
        <v>8619988.0</v>
      </c>
      <c r="J3104" s="104" t="s">
        <v>14104</v>
      </c>
      <c r="K3104" s="107" t="s">
        <v>14105</v>
      </c>
      <c r="L3104" s="105"/>
    </row>
    <row r="3105">
      <c r="A3105" s="103" t="s">
        <v>4676</v>
      </c>
      <c r="B3105" s="103">
        <v>1.10013371701E11</v>
      </c>
      <c r="C3105" s="105"/>
      <c r="D3105" s="104" t="s">
        <v>14106</v>
      </c>
      <c r="E3105" s="104" t="s">
        <v>14107</v>
      </c>
      <c r="F3105" s="103" t="s">
        <v>4678</v>
      </c>
      <c r="G3105" s="103" t="s">
        <v>4679</v>
      </c>
      <c r="H3105" s="103" t="s">
        <v>14108</v>
      </c>
      <c r="I3105" s="103">
        <v>8619988.0</v>
      </c>
      <c r="J3105" s="104" t="s">
        <v>14109</v>
      </c>
      <c r="K3105" s="105"/>
      <c r="L3105" s="105"/>
    </row>
    <row r="3106">
      <c r="A3106" s="103" t="s">
        <v>4676</v>
      </c>
      <c r="B3106" s="103">
        <v>1.100133721E9</v>
      </c>
      <c r="C3106" s="105"/>
      <c r="D3106" s="104" t="s">
        <v>14110</v>
      </c>
      <c r="E3106" s="106"/>
      <c r="F3106" s="103" t="s">
        <v>4678</v>
      </c>
      <c r="G3106" s="103" t="s">
        <v>4679</v>
      </c>
      <c r="H3106" s="103" t="s">
        <v>14111</v>
      </c>
      <c r="I3106" s="103">
        <v>7456614.0</v>
      </c>
      <c r="J3106" s="104" t="s">
        <v>14112</v>
      </c>
      <c r="K3106" s="107" t="s">
        <v>14113</v>
      </c>
      <c r="L3106" s="105"/>
    </row>
    <row r="3107">
      <c r="A3107" s="103" t="s">
        <v>4676</v>
      </c>
      <c r="B3107" s="103">
        <v>1.10013372101E11</v>
      </c>
      <c r="C3107" s="105"/>
      <c r="D3107" s="104" t="s">
        <v>14114</v>
      </c>
      <c r="E3107" s="104" t="s">
        <v>14115</v>
      </c>
      <c r="F3107" s="103" t="s">
        <v>4678</v>
      </c>
      <c r="G3107" s="103" t="s">
        <v>4679</v>
      </c>
      <c r="H3107" s="103" t="s">
        <v>14111</v>
      </c>
      <c r="I3107" s="103">
        <v>7456614.0</v>
      </c>
      <c r="J3107" s="104" t="s">
        <v>14116</v>
      </c>
      <c r="K3107" s="105"/>
      <c r="L3107" s="105"/>
    </row>
    <row r="3108">
      <c r="A3108" s="103" t="s">
        <v>4676</v>
      </c>
      <c r="B3108" s="103">
        <v>1.100133785E9</v>
      </c>
      <c r="C3108" s="105"/>
      <c r="D3108" s="104" t="s">
        <v>14117</v>
      </c>
      <c r="E3108" s="106"/>
      <c r="F3108" s="103" t="s">
        <v>4678</v>
      </c>
      <c r="G3108" s="103" t="s">
        <v>4679</v>
      </c>
      <c r="H3108" s="103" t="s">
        <v>14118</v>
      </c>
      <c r="I3108" s="103" t="s">
        <v>14119</v>
      </c>
      <c r="J3108" s="104" t="s">
        <v>14120</v>
      </c>
      <c r="K3108" s="107" t="s">
        <v>14121</v>
      </c>
      <c r="L3108" s="105"/>
    </row>
    <row r="3109">
      <c r="A3109" s="103" t="s">
        <v>4676</v>
      </c>
      <c r="B3109" s="103">
        <v>1.10013378501E11</v>
      </c>
      <c r="C3109" s="105"/>
      <c r="D3109" s="104" t="s">
        <v>14117</v>
      </c>
      <c r="E3109" s="104" t="s">
        <v>14122</v>
      </c>
      <c r="F3109" s="103" t="s">
        <v>4678</v>
      </c>
      <c r="G3109" s="103" t="s">
        <v>4679</v>
      </c>
      <c r="H3109" s="103" t="s">
        <v>14118</v>
      </c>
      <c r="I3109" s="103" t="s">
        <v>14123</v>
      </c>
      <c r="J3109" s="104" t="s">
        <v>14120</v>
      </c>
      <c r="K3109" s="105"/>
      <c r="L3109" s="105"/>
    </row>
    <row r="3110">
      <c r="A3110" s="103" t="s">
        <v>4676</v>
      </c>
      <c r="B3110" s="103">
        <v>1.100133789E9</v>
      </c>
      <c r="C3110" s="105"/>
      <c r="D3110" s="104" t="s">
        <v>14124</v>
      </c>
      <c r="E3110" s="106"/>
      <c r="F3110" s="103" t="s">
        <v>4678</v>
      </c>
      <c r="G3110" s="103" t="s">
        <v>4679</v>
      </c>
      <c r="H3110" s="103" t="s">
        <v>14125</v>
      </c>
      <c r="I3110" s="103">
        <v>3.153005402E9</v>
      </c>
      <c r="J3110" s="104" t="s">
        <v>8562</v>
      </c>
      <c r="K3110" s="107" t="s">
        <v>14126</v>
      </c>
      <c r="L3110" s="105"/>
    </row>
    <row r="3111">
      <c r="A3111" s="103" t="s">
        <v>4676</v>
      </c>
      <c r="B3111" s="103">
        <v>1.10013378901E11</v>
      </c>
      <c r="C3111" s="105"/>
      <c r="D3111" s="104" t="s">
        <v>14124</v>
      </c>
      <c r="E3111" s="104" t="s">
        <v>8564</v>
      </c>
      <c r="F3111" s="103" t="s">
        <v>4678</v>
      </c>
      <c r="G3111" s="103" t="s">
        <v>4679</v>
      </c>
      <c r="H3111" s="103" t="s">
        <v>14125</v>
      </c>
      <c r="I3111" s="103">
        <v>3.153005402E9</v>
      </c>
      <c r="J3111" s="104" t="s">
        <v>8562</v>
      </c>
      <c r="K3111" s="105"/>
      <c r="L3111" s="105"/>
    </row>
    <row r="3112">
      <c r="A3112" s="103" t="s">
        <v>4676</v>
      </c>
      <c r="B3112" s="103">
        <v>1.100133807E9</v>
      </c>
      <c r="C3112" s="105"/>
      <c r="D3112" s="104" t="s">
        <v>14127</v>
      </c>
      <c r="E3112" s="106"/>
      <c r="F3112" s="103" t="s">
        <v>4678</v>
      </c>
      <c r="G3112" s="103" t="s">
        <v>4679</v>
      </c>
      <c r="H3112" s="103" t="s">
        <v>14128</v>
      </c>
      <c r="I3112" s="103" t="s">
        <v>14129</v>
      </c>
      <c r="J3112" s="104" t="s">
        <v>14130</v>
      </c>
      <c r="K3112" s="107" t="s">
        <v>14131</v>
      </c>
      <c r="L3112" s="105"/>
    </row>
    <row r="3113">
      <c r="A3113" s="103" t="s">
        <v>4676</v>
      </c>
      <c r="B3113" s="103">
        <v>1.10013380701E11</v>
      </c>
      <c r="C3113" s="105"/>
      <c r="D3113" s="104" t="s">
        <v>14127</v>
      </c>
      <c r="E3113" s="104" t="s">
        <v>14132</v>
      </c>
      <c r="F3113" s="103" t="s">
        <v>4678</v>
      </c>
      <c r="G3113" s="103" t="s">
        <v>4679</v>
      </c>
      <c r="H3113" s="103" t="s">
        <v>14128</v>
      </c>
      <c r="I3113" s="103" t="s">
        <v>14133</v>
      </c>
      <c r="J3113" s="104" t="s">
        <v>14130</v>
      </c>
      <c r="K3113" s="105"/>
      <c r="L3113" s="105"/>
    </row>
    <row r="3114">
      <c r="A3114" s="103" t="s">
        <v>4676</v>
      </c>
      <c r="B3114" s="103">
        <v>1.100133824E9</v>
      </c>
      <c r="C3114" s="105"/>
      <c r="D3114" s="104" t="s">
        <v>14134</v>
      </c>
      <c r="E3114" s="106"/>
      <c r="F3114" s="103" t="s">
        <v>4678</v>
      </c>
      <c r="G3114" s="103" t="s">
        <v>4679</v>
      </c>
      <c r="H3114" s="103" t="s">
        <v>14135</v>
      </c>
      <c r="I3114" s="103" t="s">
        <v>14136</v>
      </c>
      <c r="J3114" s="104" t="s">
        <v>14137</v>
      </c>
      <c r="K3114" s="105"/>
      <c r="L3114" s="105"/>
    </row>
    <row r="3115">
      <c r="A3115" s="103" t="s">
        <v>4676</v>
      </c>
      <c r="B3115" s="103">
        <v>1.10013382401E11</v>
      </c>
      <c r="C3115" s="105"/>
      <c r="D3115" s="104" t="s">
        <v>14138</v>
      </c>
      <c r="E3115" s="104" t="s">
        <v>14139</v>
      </c>
      <c r="F3115" s="103" t="s">
        <v>4678</v>
      </c>
      <c r="G3115" s="103" t="s">
        <v>4679</v>
      </c>
      <c r="H3115" s="103" t="s">
        <v>14140</v>
      </c>
      <c r="I3115" s="103" t="s">
        <v>14136</v>
      </c>
      <c r="J3115" s="104" t="s">
        <v>14137</v>
      </c>
      <c r="K3115" s="105"/>
      <c r="L3115" s="105"/>
    </row>
    <row r="3116">
      <c r="A3116" s="103" t="s">
        <v>4676</v>
      </c>
      <c r="B3116" s="103">
        <v>1.100133884E9</v>
      </c>
      <c r="C3116" s="105"/>
      <c r="D3116" s="104" t="s">
        <v>14141</v>
      </c>
      <c r="E3116" s="106"/>
      <c r="F3116" s="103" t="s">
        <v>4678</v>
      </c>
      <c r="G3116" s="103" t="s">
        <v>4679</v>
      </c>
      <c r="H3116" s="103" t="s">
        <v>14142</v>
      </c>
      <c r="I3116" s="103">
        <v>6.017942323E9</v>
      </c>
      <c r="J3116" s="104" t="s">
        <v>14143</v>
      </c>
      <c r="K3116" s="107" t="s">
        <v>14144</v>
      </c>
      <c r="L3116" s="105"/>
    </row>
    <row r="3117">
      <c r="A3117" s="103" t="s">
        <v>4676</v>
      </c>
      <c r="B3117" s="103">
        <v>1.10013388401E11</v>
      </c>
      <c r="C3117" s="105"/>
      <c r="D3117" s="104" t="s">
        <v>14145</v>
      </c>
      <c r="E3117" s="104" t="s">
        <v>14146</v>
      </c>
      <c r="F3117" s="103" t="s">
        <v>4678</v>
      </c>
      <c r="G3117" s="103" t="s">
        <v>4679</v>
      </c>
      <c r="H3117" s="103" t="s">
        <v>14147</v>
      </c>
      <c r="I3117" s="103">
        <v>7942323.0</v>
      </c>
      <c r="J3117" s="104" t="s">
        <v>14143</v>
      </c>
      <c r="K3117" s="105"/>
      <c r="L3117" s="105"/>
    </row>
    <row r="3118">
      <c r="A3118" s="103" t="s">
        <v>4676</v>
      </c>
      <c r="B3118" s="103">
        <v>1.100133903E9</v>
      </c>
      <c r="C3118" s="105"/>
      <c r="D3118" s="104" t="s">
        <v>14148</v>
      </c>
      <c r="E3118" s="106"/>
      <c r="F3118" s="103" t="s">
        <v>4678</v>
      </c>
      <c r="G3118" s="103" t="s">
        <v>4679</v>
      </c>
      <c r="H3118" s="103" t="s">
        <v>14149</v>
      </c>
      <c r="I3118" s="103" t="s">
        <v>14150</v>
      </c>
      <c r="J3118" s="104" t="s">
        <v>14151</v>
      </c>
      <c r="K3118" s="105"/>
      <c r="L3118" s="105"/>
    </row>
    <row r="3119">
      <c r="A3119" s="103" t="s">
        <v>4676</v>
      </c>
      <c r="B3119" s="103">
        <v>1.10013390301E11</v>
      </c>
      <c r="C3119" s="105"/>
      <c r="D3119" s="104" t="s">
        <v>14148</v>
      </c>
      <c r="E3119" s="104" t="s">
        <v>14152</v>
      </c>
      <c r="F3119" s="103" t="s">
        <v>4678</v>
      </c>
      <c r="G3119" s="103" t="s">
        <v>4679</v>
      </c>
      <c r="H3119" s="103" t="s">
        <v>14149</v>
      </c>
      <c r="I3119" s="103" t="s">
        <v>14150</v>
      </c>
      <c r="J3119" s="104" t="s">
        <v>14151</v>
      </c>
      <c r="K3119" s="105"/>
      <c r="L3119" s="105"/>
    </row>
    <row r="3120">
      <c r="A3120" s="103" t="s">
        <v>4676</v>
      </c>
      <c r="B3120" s="103">
        <v>1.100133905E9</v>
      </c>
      <c r="C3120" s="105"/>
      <c r="D3120" s="104" t="s">
        <v>14153</v>
      </c>
      <c r="E3120" s="106"/>
      <c r="F3120" s="103" t="s">
        <v>4678</v>
      </c>
      <c r="G3120" s="103" t="s">
        <v>4679</v>
      </c>
      <c r="H3120" s="103" t="s">
        <v>14154</v>
      </c>
      <c r="I3120" s="103">
        <v>8058876.0</v>
      </c>
      <c r="J3120" s="104" t="s">
        <v>14155</v>
      </c>
      <c r="K3120" s="107" t="s">
        <v>14156</v>
      </c>
      <c r="L3120" s="105"/>
    </row>
    <row r="3121">
      <c r="A3121" s="103" t="s">
        <v>4676</v>
      </c>
      <c r="B3121" s="103">
        <v>1.10013390501E11</v>
      </c>
      <c r="C3121" s="105"/>
      <c r="D3121" s="104" t="s">
        <v>14153</v>
      </c>
      <c r="E3121" s="104" t="s">
        <v>14157</v>
      </c>
      <c r="F3121" s="103" t="s">
        <v>4678</v>
      </c>
      <c r="G3121" s="103" t="s">
        <v>4679</v>
      </c>
      <c r="H3121" s="103" t="s">
        <v>14158</v>
      </c>
      <c r="I3121" s="103">
        <v>8058876.0</v>
      </c>
      <c r="J3121" s="104" t="s">
        <v>14159</v>
      </c>
      <c r="K3121" s="105"/>
      <c r="L3121" s="105"/>
    </row>
    <row r="3122">
      <c r="A3122" s="103" t="s">
        <v>4676</v>
      </c>
      <c r="B3122" s="103">
        <v>1.100133909E9</v>
      </c>
      <c r="C3122" s="105"/>
      <c r="D3122" s="104" t="s">
        <v>14160</v>
      </c>
      <c r="E3122" s="106"/>
      <c r="F3122" s="103" t="s">
        <v>4678</v>
      </c>
      <c r="G3122" s="103" t="s">
        <v>4679</v>
      </c>
      <c r="H3122" s="103" t="s">
        <v>14161</v>
      </c>
      <c r="I3122" s="103" t="s">
        <v>14162</v>
      </c>
      <c r="J3122" s="104" t="s">
        <v>14163</v>
      </c>
      <c r="K3122" s="107" t="s">
        <v>14164</v>
      </c>
      <c r="L3122" s="105"/>
    </row>
    <row r="3123">
      <c r="A3123" s="103" t="s">
        <v>4676</v>
      </c>
      <c r="B3123" s="103">
        <v>1.10013390901E11</v>
      </c>
      <c r="C3123" s="105"/>
      <c r="D3123" s="104" t="s">
        <v>14165</v>
      </c>
      <c r="E3123" s="104" t="s">
        <v>14166</v>
      </c>
      <c r="F3123" s="103" t="s">
        <v>4678</v>
      </c>
      <c r="G3123" s="103" t="s">
        <v>4679</v>
      </c>
      <c r="H3123" s="103" t="s">
        <v>14167</v>
      </c>
      <c r="I3123" s="103" t="s">
        <v>14162</v>
      </c>
      <c r="J3123" s="104" t="s">
        <v>14163</v>
      </c>
      <c r="K3123" s="105"/>
      <c r="L3123" s="105"/>
    </row>
    <row r="3124">
      <c r="A3124" s="103" t="s">
        <v>4676</v>
      </c>
      <c r="B3124" s="103">
        <v>1.100134091E9</v>
      </c>
      <c r="C3124" s="105"/>
      <c r="D3124" s="104" t="s">
        <v>14168</v>
      </c>
      <c r="E3124" s="106"/>
      <c r="F3124" s="103" t="s">
        <v>4678</v>
      </c>
      <c r="G3124" s="103" t="s">
        <v>4679</v>
      </c>
      <c r="H3124" s="103" t="s">
        <v>14169</v>
      </c>
      <c r="I3124" s="103">
        <v>3.105576226E9</v>
      </c>
      <c r="J3124" s="104" t="s">
        <v>14170</v>
      </c>
      <c r="K3124" s="105"/>
      <c r="L3124" s="105"/>
    </row>
    <row r="3125">
      <c r="A3125" s="103" t="s">
        <v>4676</v>
      </c>
      <c r="B3125" s="103">
        <v>1.10013409101E11</v>
      </c>
      <c r="C3125" s="105"/>
      <c r="D3125" s="104" t="s">
        <v>14171</v>
      </c>
      <c r="E3125" s="104" t="s">
        <v>14172</v>
      </c>
      <c r="F3125" s="103" t="s">
        <v>4678</v>
      </c>
      <c r="G3125" s="103" t="s">
        <v>4679</v>
      </c>
      <c r="H3125" s="103" t="s">
        <v>14169</v>
      </c>
      <c r="I3125" s="103">
        <v>3.188604159E9</v>
      </c>
      <c r="J3125" s="104" t="s">
        <v>14170</v>
      </c>
      <c r="K3125" s="105"/>
      <c r="L3125" s="105"/>
    </row>
    <row r="3126">
      <c r="A3126" s="103" t="s">
        <v>4676</v>
      </c>
      <c r="B3126" s="103">
        <v>1.100134118E9</v>
      </c>
      <c r="C3126" s="105"/>
      <c r="D3126" s="104" t="s">
        <v>14173</v>
      </c>
      <c r="E3126" s="106"/>
      <c r="F3126" s="103" t="s">
        <v>4678</v>
      </c>
      <c r="G3126" s="103" t="s">
        <v>4679</v>
      </c>
      <c r="H3126" s="103" t="s">
        <v>14174</v>
      </c>
      <c r="I3126" s="103" t="s">
        <v>14175</v>
      </c>
      <c r="J3126" s="104" t="s">
        <v>14176</v>
      </c>
      <c r="K3126" s="105"/>
      <c r="L3126" s="105"/>
    </row>
    <row r="3127">
      <c r="A3127" s="103" t="s">
        <v>4676</v>
      </c>
      <c r="B3127" s="103">
        <v>1.10013411801E11</v>
      </c>
      <c r="C3127" s="105"/>
      <c r="D3127" s="104" t="s">
        <v>14177</v>
      </c>
      <c r="E3127" s="104" t="s">
        <v>14178</v>
      </c>
      <c r="F3127" s="103" t="s">
        <v>4678</v>
      </c>
      <c r="G3127" s="103" t="s">
        <v>4679</v>
      </c>
      <c r="H3127" s="103" t="s">
        <v>14174</v>
      </c>
      <c r="I3127" s="103" t="s">
        <v>14179</v>
      </c>
      <c r="J3127" s="104" t="s">
        <v>14176</v>
      </c>
      <c r="K3127" s="105"/>
      <c r="L3127" s="105"/>
    </row>
    <row r="3128">
      <c r="A3128" s="103" t="s">
        <v>4676</v>
      </c>
      <c r="B3128" s="103">
        <v>1.100134134E9</v>
      </c>
      <c r="C3128" s="105"/>
      <c r="D3128" s="104" t="s">
        <v>14180</v>
      </c>
      <c r="E3128" s="106"/>
      <c r="F3128" s="103" t="s">
        <v>4678</v>
      </c>
      <c r="G3128" s="103" t="s">
        <v>4679</v>
      </c>
      <c r="H3128" s="103" t="s">
        <v>14181</v>
      </c>
      <c r="I3128" s="103">
        <v>3575628.0</v>
      </c>
      <c r="J3128" s="104" t="s">
        <v>14182</v>
      </c>
      <c r="K3128" s="107" t="s">
        <v>14183</v>
      </c>
      <c r="L3128" s="105"/>
    </row>
    <row r="3129">
      <c r="A3129" s="103" t="s">
        <v>4676</v>
      </c>
      <c r="B3129" s="103">
        <v>1.10013413401E11</v>
      </c>
      <c r="C3129" s="105"/>
      <c r="D3129" s="104" t="s">
        <v>14184</v>
      </c>
      <c r="E3129" s="104" t="s">
        <v>14185</v>
      </c>
      <c r="F3129" s="103" t="s">
        <v>4678</v>
      </c>
      <c r="G3129" s="103" t="s">
        <v>4679</v>
      </c>
      <c r="H3129" s="103" t="s">
        <v>14186</v>
      </c>
      <c r="I3129" s="103">
        <v>3575628.0</v>
      </c>
      <c r="J3129" s="104" t="s">
        <v>14182</v>
      </c>
      <c r="K3129" s="105"/>
      <c r="L3129" s="105"/>
    </row>
    <row r="3130">
      <c r="A3130" s="103" t="s">
        <v>4676</v>
      </c>
      <c r="B3130" s="103">
        <v>1.100134172E9</v>
      </c>
      <c r="C3130" s="105"/>
      <c r="D3130" s="104" t="s">
        <v>14187</v>
      </c>
      <c r="E3130" s="106"/>
      <c r="F3130" s="103" t="s">
        <v>4678</v>
      </c>
      <c r="G3130" s="103" t="s">
        <v>4679</v>
      </c>
      <c r="H3130" s="103" t="s">
        <v>14188</v>
      </c>
      <c r="I3130" s="103">
        <v>3.174319436E9</v>
      </c>
      <c r="J3130" s="104" t="s">
        <v>14189</v>
      </c>
      <c r="K3130" s="105"/>
      <c r="L3130" s="105"/>
    </row>
    <row r="3131">
      <c r="A3131" s="103" t="s">
        <v>4676</v>
      </c>
      <c r="B3131" s="103">
        <v>1.10013417201E11</v>
      </c>
      <c r="C3131" s="105"/>
      <c r="D3131" s="104" t="s">
        <v>14187</v>
      </c>
      <c r="E3131" s="104" t="s">
        <v>14190</v>
      </c>
      <c r="F3131" s="103" t="s">
        <v>4678</v>
      </c>
      <c r="G3131" s="103" t="s">
        <v>4679</v>
      </c>
      <c r="H3131" s="103" t="s">
        <v>14191</v>
      </c>
      <c r="I3131" s="103">
        <v>3.174319436E9</v>
      </c>
      <c r="J3131" s="104" t="s">
        <v>14189</v>
      </c>
      <c r="K3131" s="105"/>
      <c r="L3131" s="105"/>
    </row>
    <row r="3132">
      <c r="A3132" s="103" t="s">
        <v>4676</v>
      </c>
      <c r="B3132" s="103">
        <v>1.100134265E9</v>
      </c>
      <c r="C3132" s="105"/>
      <c r="D3132" s="104" t="s">
        <v>14192</v>
      </c>
      <c r="E3132" s="106"/>
      <c r="F3132" s="103" t="s">
        <v>4678</v>
      </c>
      <c r="G3132" s="103" t="s">
        <v>4679</v>
      </c>
      <c r="H3132" s="103" t="s">
        <v>14193</v>
      </c>
      <c r="I3132" s="103" t="s">
        <v>14194</v>
      </c>
      <c r="J3132" s="104" t="s">
        <v>14195</v>
      </c>
      <c r="K3132" s="105"/>
      <c r="L3132" s="105"/>
    </row>
    <row r="3133">
      <c r="A3133" s="103" t="s">
        <v>4676</v>
      </c>
      <c r="B3133" s="103">
        <v>1.10013426501E11</v>
      </c>
      <c r="C3133" s="105"/>
      <c r="D3133" s="104" t="s">
        <v>14196</v>
      </c>
      <c r="E3133" s="104" t="s">
        <v>14197</v>
      </c>
      <c r="F3133" s="103" t="s">
        <v>4678</v>
      </c>
      <c r="G3133" s="103" t="s">
        <v>4679</v>
      </c>
      <c r="H3133" s="103" t="s">
        <v>14198</v>
      </c>
      <c r="I3133" s="103" t="s">
        <v>14199</v>
      </c>
      <c r="J3133" s="104" t="s">
        <v>14200</v>
      </c>
      <c r="K3133" s="105"/>
      <c r="L3133" s="105"/>
    </row>
    <row r="3134">
      <c r="A3134" s="103" t="s">
        <v>4676</v>
      </c>
      <c r="B3134" s="103">
        <v>1.100134294E9</v>
      </c>
      <c r="C3134" s="105"/>
      <c r="D3134" s="104" t="s">
        <v>14201</v>
      </c>
      <c r="E3134" s="106"/>
      <c r="F3134" s="103" t="s">
        <v>4678</v>
      </c>
      <c r="G3134" s="103" t="s">
        <v>4679</v>
      </c>
      <c r="H3134" s="103" t="s">
        <v>14202</v>
      </c>
      <c r="I3134" s="103">
        <v>3.108678626E9</v>
      </c>
      <c r="J3134" s="104" t="s">
        <v>14203</v>
      </c>
      <c r="K3134" s="107" t="s">
        <v>14204</v>
      </c>
      <c r="L3134" s="105"/>
    </row>
    <row r="3135">
      <c r="A3135" s="103" t="s">
        <v>4676</v>
      </c>
      <c r="B3135" s="103">
        <v>1.10013429401E11</v>
      </c>
      <c r="C3135" s="105"/>
      <c r="D3135" s="104" t="s">
        <v>14205</v>
      </c>
      <c r="E3135" s="104" t="s">
        <v>14206</v>
      </c>
      <c r="F3135" s="103" t="s">
        <v>4678</v>
      </c>
      <c r="G3135" s="103" t="s">
        <v>4679</v>
      </c>
      <c r="H3135" s="103" t="s">
        <v>14207</v>
      </c>
      <c r="I3135" s="103">
        <v>3.212618749E9</v>
      </c>
      <c r="J3135" s="104" t="s">
        <v>14208</v>
      </c>
      <c r="K3135" s="105"/>
      <c r="L3135" s="105"/>
    </row>
    <row r="3136">
      <c r="A3136" s="103" t="s">
        <v>4676</v>
      </c>
      <c r="B3136" s="103">
        <v>1.10013429402E11</v>
      </c>
      <c r="C3136" s="105"/>
      <c r="D3136" s="104" t="s">
        <v>14209</v>
      </c>
      <c r="E3136" s="104" t="s">
        <v>14210</v>
      </c>
      <c r="F3136" s="103" t="s">
        <v>4678</v>
      </c>
      <c r="G3136" s="103" t="s">
        <v>4679</v>
      </c>
      <c r="H3136" s="103" t="s">
        <v>14211</v>
      </c>
      <c r="I3136" s="103">
        <v>3.043452593E9</v>
      </c>
      <c r="J3136" s="104" t="s">
        <v>14212</v>
      </c>
      <c r="K3136" s="105"/>
      <c r="L3136" s="105"/>
    </row>
    <row r="3137">
      <c r="A3137" s="103" t="s">
        <v>4676</v>
      </c>
      <c r="B3137" s="103">
        <v>1.100134395E9</v>
      </c>
      <c r="C3137" s="105"/>
      <c r="D3137" s="104" t="s">
        <v>14213</v>
      </c>
      <c r="E3137" s="106"/>
      <c r="F3137" s="103" t="s">
        <v>4678</v>
      </c>
      <c r="G3137" s="103" t="s">
        <v>4679</v>
      </c>
      <c r="H3137" s="103" t="s">
        <v>14214</v>
      </c>
      <c r="I3137" s="103">
        <v>3.2088935E9</v>
      </c>
      <c r="J3137" s="104" t="s">
        <v>14215</v>
      </c>
      <c r="K3137" s="107" t="s">
        <v>14216</v>
      </c>
      <c r="L3137" s="105"/>
    </row>
    <row r="3138">
      <c r="A3138" s="103" t="s">
        <v>4676</v>
      </c>
      <c r="B3138" s="103">
        <v>1.10013439501E11</v>
      </c>
      <c r="C3138" s="105"/>
      <c r="D3138" s="104" t="s">
        <v>14217</v>
      </c>
      <c r="E3138" s="104" t="s">
        <v>14218</v>
      </c>
      <c r="F3138" s="103" t="s">
        <v>4678</v>
      </c>
      <c r="G3138" s="103" t="s">
        <v>4679</v>
      </c>
      <c r="H3138" s="103" t="s">
        <v>14219</v>
      </c>
      <c r="I3138" s="103">
        <v>3.2088935E9</v>
      </c>
      <c r="J3138" s="104" t="s">
        <v>14215</v>
      </c>
      <c r="K3138" s="105"/>
      <c r="L3138" s="105"/>
    </row>
    <row r="3139">
      <c r="A3139" s="103" t="s">
        <v>4676</v>
      </c>
      <c r="B3139" s="103">
        <v>1.10013439502E11</v>
      </c>
      <c r="C3139" s="105"/>
      <c r="D3139" s="104" t="s">
        <v>14220</v>
      </c>
      <c r="E3139" s="104" t="s">
        <v>14221</v>
      </c>
      <c r="F3139" s="103" t="s">
        <v>4678</v>
      </c>
      <c r="G3139" s="103" t="s">
        <v>4679</v>
      </c>
      <c r="H3139" s="103" t="s">
        <v>14222</v>
      </c>
      <c r="I3139" s="103">
        <v>3.2088935E9</v>
      </c>
      <c r="J3139" s="104" t="s">
        <v>14215</v>
      </c>
      <c r="K3139" s="105"/>
      <c r="L3139" s="105"/>
    </row>
    <row r="3140">
      <c r="A3140" s="103" t="s">
        <v>4676</v>
      </c>
      <c r="B3140" s="103">
        <v>1.10013439503E11</v>
      </c>
      <c r="C3140" s="105"/>
      <c r="D3140" s="104" t="s">
        <v>14223</v>
      </c>
      <c r="E3140" s="104" t="s">
        <v>14224</v>
      </c>
      <c r="F3140" s="103" t="s">
        <v>4678</v>
      </c>
      <c r="G3140" s="103" t="s">
        <v>4679</v>
      </c>
      <c r="H3140" s="103" t="s">
        <v>14225</v>
      </c>
      <c r="I3140" s="103">
        <v>3.112901876E9</v>
      </c>
      <c r="J3140" s="104" t="s">
        <v>14226</v>
      </c>
      <c r="K3140" s="105"/>
      <c r="L3140" s="105"/>
    </row>
    <row r="3141">
      <c r="A3141" s="103" t="s">
        <v>4676</v>
      </c>
      <c r="B3141" s="103">
        <v>1.100134397E9</v>
      </c>
      <c r="C3141" s="105"/>
      <c r="D3141" s="104" t="s">
        <v>14227</v>
      </c>
      <c r="E3141" s="106"/>
      <c r="F3141" s="103" t="s">
        <v>4678</v>
      </c>
      <c r="G3141" s="103" t="s">
        <v>4679</v>
      </c>
      <c r="H3141" s="103" t="s">
        <v>14228</v>
      </c>
      <c r="I3141" s="103" t="s">
        <v>14229</v>
      </c>
      <c r="J3141" s="104" t="s">
        <v>14230</v>
      </c>
      <c r="K3141" s="105"/>
      <c r="L3141" s="105"/>
    </row>
    <row r="3142">
      <c r="A3142" s="103" t="s">
        <v>4676</v>
      </c>
      <c r="B3142" s="103">
        <v>1.10013439701E11</v>
      </c>
      <c r="C3142" s="105"/>
      <c r="D3142" s="104" t="s">
        <v>14231</v>
      </c>
      <c r="E3142" s="104" t="s">
        <v>14232</v>
      </c>
      <c r="F3142" s="103" t="s">
        <v>4678</v>
      </c>
      <c r="G3142" s="103" t="s">
        <v>4679</v>
      </c>
      <c r="H3142" s="103" t="s">
        <v>14233</v>
      </c>
      <c r="I3142" s="103" t="s">
        <v>14234</v>
      </c>
      <c r="J3142" s="104" t="s">
        <v>14235</v>
      </c>
      <c r="K3142" s="105"/>
      <c r="L3142" s="105"/>
    </row>
    <row r="3143">
      <c r="A3143" s="103" t="s">
        <v>4676</v>
      </c>
      <c r="B3143" s="103">
        <v>1.100134462E9</v>
      </c>
      <c r="C3143" s="105"/>
      <c r="D3143" s="104" t="s">
        <v>14236</v>
      </c>
      <c r="E3143" s="106"/>
      <c r="F3143" s="103" t="s">
        <v>4678</v>
      </c>
      <c r="G3143" s="103" t="s">
        <v>4679</v>
      </c>
      <c r="H3143" s="103" t="s">
        <v>14237</v>
      </c>
      <c r="I3143" s="103" t="s">
        <v>14238</v>
      </c>
      <c r="J3143" s="104" t="s">
        <v>14239</v>
      </c>
      <c r="K3143" s="105"/>
      <c r="L3143" s="105"/>
    </row>
    <row r="3144">
      <c r="A3144" s="103" t="s">
        <v>4676</v>
      </c>
      <c r="B3144" s="103">
        <v>1.10013446201E11</v>
      </c>
      <c r="C3144" s="105"/>
      <c r="D3144" s="104" t="s">
        <v>14240</v>
      </c>
      <c r="E3144" s="104" t="s">
        <v>14241</v>
      </c>
      <c r="F3144" s="103" t="s">
        <v>4678</v>
      </c>
      <c r="G3144" s="103" t="s">
        <v>4679</v>
      </c>
      <c r="H3144" s="103" t="s">
        <v>14242</v>
      </c>
      <c r="I3144" s="103" t="s">
        <v>14238</v>
      </c>
      <c r="J3144" s="104" t="s">
        <v>14239</v>
      </c>
      <c r="K3144" s="105"/>
      <c r="L3144" s="105"/>
    </row>
    <row r="3145">
      <c r="A3145" s="103" t="s">
        <v>4676</v>
      </c>
      <c r="B3145" s="103">
        <v>1.100134552E9</v>
      </c>
      <c r="C3145" s="105"/>
      <c r="D3145" s="104" t="s">
        <v>14243</v>
      </c>
      <c r="E3145" s="106"/>
      <c r="F3145" s="103" t="s">
        <v>4678</v>
      </c>
      <c r="G3145" s="103" t="s">
        <v>4679</v>
      </c>
      <c r="H3145" s="103" t="s">
        <v>14244</v>
      </c>
      <c r="I3145" s="103" t="s">
        <v>14245</v>
      </c>
      <c r="J3145" s="104" t="s">
        <v>14246</v>
      </c>
      <c r="K3145" s="107" t="s">
        <v>14247</v>
      </c>
      <c r="L3145" s="105"/>
    </row>
    <row r="3146">
      <c r="A3146" s="103" t="s">
        <v>4676</v>
      </c>
      <c r="B3146" s="103">
        <v>1.10013455201E11</v>
      </c>
      <c r="C3146" s="105"/>
      <c r="D3146" s="104" t="s">
        <v>14243</v>
      </c>
      <c r="E3146" s="104" t="s">
        <v>14248</v>
      </c>
      <c r="F3146" s="103" t="s">
        <v>4678</v>
      </c>
      <c r="G3146" s="103" t="s">
        <v>4679</v>
      </c>
      <c r="H3146" s="103" t="s">
        <v>14244</v>
      </c>
      <c r="I3146" s="103" t="s">
        <v>14249</v>
      </c>
      <c r="J3146" s="104" t="s">
        <v>14246</v>
      </c>
      <c r="K3146" s="105"/>
      <c r="L3146" s="105"/>
    </row>
    <row r="3147">
      <c r="A3147" s="103" t="s">
        <v>4676</v>
      </c>
      <c r="B3147" s="103">
        <v>1.100134575E9</v>
      </c>
      <c r="C3147" s="105"/>
      <c r="D3147" s="104" t="s">
        <v>14250</v>
      </c>
      <c r="E3147" s="106"/>
      <c r="F3147" s="103" t="s">
        <v>4678</v>
      </c>
      <c r="G3147" s="103" t="s">
        <v>4679</v>
      </c>
      <c r="H3147" s="103" t="s">
        <v>14251</v>
      </c>
      <c r="I3147" s="103">
        <v>3.042669678E9</v>
      </c>
      <c r="J3147" s="104" t="s">
        <v>14252</v>
      </c>
      <c r="K3147" s="107" t="s">
        <v>14253</v>
      </c>
      <c r="L3147" s="105"/>
    </row>
    <row r="3148">
      <c r="A3148" s="103" t="s">
        <v>4676</v>
      </c>
      <c r="B3148" s="103">
        <v>1.10013457501E11</v>
      </c>
      <c r="C3148" s="105"/>
      <c r="D3148" s="104" t="s">
        <v>14254</v>
      </c>
      <c r="E3148" s="104" t="s">
        <v>14255</v>
      </c>
      <c r="F3148" s="103" t="s">
        <v>4678</v>
      </c>
      <c r="G3148" s="103" t="s">
        <v>4679</v>
      </c>
      <c r="H3148" s="103" t="s">
        <v>14251</v>
      </c>
      <c r="I3148" s="103">
        <v>3.042669678E9</v>
      </c>
      <c r="J3148" s="104" t="s">
        <v>14252</v>
      </c>
      <c r="K3148" s="105"/>
      <c r="L3148" s="105"/>
    </row>
    <row r="3149">
      <c r="A3149" s="103" t="s">
        <v>4676</v>
      </c>
      <c r="B3149" s="103">
        <v>1.100134627E9</v>
      </c>
      <c r="C3149" s="105"/>
      <c r="D3149" s="104" t="s">
        <v>14256</v>
      </c>
      <c r="E3149" s="106"/>
      <c r="F3149" s="103" t="s">
        <v>4678</v>
      </c>
      <c r="G3149" s="103" t="s">
        <v>4679</v>
      </c>
      <c r="H3149" s="103" t="s">
        <v>14257</v>
      </c>
      <c r="I3149" s="103" t="s">
        <v>14258</v>
      </c>
      <c r="J3149" s="104" t="s">
        <v>14259</v>
      </c>
      <c r="K3149" s="107" t="s">
        <v>14260</v>
      </c>
      <c r="L3149" s="105"/>
    </row>
    <row r="3150">
      <c r="A3150" s="103" t="s">
        <v>4676</v>
      </c>
      <c r="B3150" s="103">
        <v>1.10013462701E11</v>
      </c>
      <c r="C3150" s="105"/>
      <c r="D3150" s="104" t="s">
        <v>14256</v>
      </c>
      <c r="E3150" s="104" t="s">
        <v>14261</v>
      </c>
      <c r="F3150" s="103" t="s">
        <v>4678</v>
      </c>
      <c r="G3150" s="103" t="s">
        <v>4679</v>
      </c>
      <c r="H3150" s="103" t="s">
        <v>14257</v>
      </c>
      <c r="I3150" s="103" t="s">
        <v>14258</v>
      </c>
      <c r="J3150" s="104" t="s">
        <v>14259</v>
      </c>
      <c r="K3150" s="105"/>
      <c r="L3150" s="105"/>
    </row>
    <row r="3151">
      <c r="A3151" s="103" t="s">
        <v>4676</v>
      </c>
      <c r="B3151" s="103">
        <v>1.100134663E9</v>
      </c>
      <c r="C3151" s="105"/>
      <c r="D3151" s="104" t="s">
        <v>14262</v>
      </c>
      <c r="E3151" s="106"/>
      <c r="F3151" s="103" t="s">
        <v>4678</v>
      </c>
      <c r="G3151" s="103" t="s">
        <v>4679</v>
      </c>
      <c r="H3151" s="103" t="s">
        <v>14263</v>
      </c>
      <c r="I3151" s="103">
        <v>6195454.0</v>
      </c>
      <c r="J3151" s="104" t="s">
        <v>14264</v>
      </c>
      <c r="K3151" s="105"/>
      <c r="L3151" s="105"/>
    </row>
    <row r="3152">
      <c r="A3152" s="103" t="s">
        <v>4676</v>
      </c>
      <c r="B3152" s="103">
        <v>1.10013466301E11</v>
      </c>
      <c r="C3152" s="105"/>
      <c r="D3152" s="104" t="s">
        <v>14262</v>
      </c>
      <c r="E3152" s="104" t="s">
        <v>14265</v>
      </c>
      <c r="F3152" s="103" t="s">
        <v>4678</v>
      </c>
      <c r="G3152" s="103" t="s">
        <v>4679</v>
      </c>
      <c r="H3152" s="103" t="s">
        <v>14266</v>
      </c>
      <c r="I3152" s="103">
        <v>6195454.0</v>
      </c>
      <c r="J3152" s="104" t="s">
        <v>14264</v>
      </c>
      <c r="K3152" s="105"/>
      <c r="L3152" s="105"/>
    </row>
    <row r="3153">
      <c r="A3153" s="103" t="s">
        <v>4676</v>
      </c>
      <c r="B3153" s="103">
        <v>1.100134798E9</v>
      </c>
      <c r="C3153" s="105"/>
      <c r="D3153" s="104" t="s">
        <v>14267</v>
      </c>
      <c r="E3153" s="106"/>
      <c r="F3153" s="103" t="s">
        <v>4678</v>
      </c>
      <c r="G3153" s="103" t="s">
        <v>4679</v>
      </c>
      <c r="H3153" s="103" t="s">
        <v>14268</v>
      </c>
      <c r="I3153" s="103">
        <v>3.184870449E9</v>
      </c>
      <c r="J3153" s="104" t="s">
        <v>14269</v>
      </c>
      <c r="K3153" s="105"/>
      <c r="L3153" s="105"/>
    </row>
    <row r="3154">
      <c r="A3154" s="103" t="s">
        <v>4676</v>
      </c>
      <c r="B3154" s="103">
        <v>1.10013479801E11</v>
      </c>
      <c r="C3154" s="105"/>
      <c r="D3154" s="104" t="s">
        <v>14270</v>
      </c>
      <c r="E3154" s="104" t="s">
        <v>14271</v>
      </c>
      <c r="F3154" s="103" t="s">
        <v>4678</v>
      </c>
      <c r="G3154" s="103" t="s">
        <v>4679</v>
      </c>
      <c r="H3154" s="103" t="s">
        <v>14272</v>
      </c>
      <c r="I3154" s="103">
        <v>3.184870449E9</v>
      </c>
      <c r="J3154" s="104" t="s">
        <v>14269</v>
      </c>
      <c r="K3154" s="105"/>
      <c r="L3154" s="105"/>
    </row>
    <row r="3155">
      <c r="A3155" s="103" t="s">
        <v>4676</v>
      </c>
      <c r="B3155" s="103">
        <v>1.100134799E9</v>
      </c>
      <c r="C3155" s="105"/>
      <c r="D3155" s="104" t="s">
        <v>14273</v>
      </c>
      <c r="E3155" s="106"/>
      <c r="F3155" s="103" t="s">
        <v>4678</v>
      </c>
      <c r="G3155" s="103" t="s">
        <v>4679</v>
      </c>
      <c r="H3155" s="103" t="s">
        <v>14274</v>
      </c>
      <c r="I3155" s="103">
        <v>3.106764378E9</v>
      </c>
      <c r="J3155" s="104" t="s">
        <v>14275</v>
      </c>
      <c r="K3155" s="105"/>
      <c r="L3155" s="105"/>
    </row>
    <row r="3156">
      <c r="A3156" s="103" t="s">
        <v>4676</v>
      </c>
      <c r="B3156" s="103">
        <v>1.10013479901E11</v>
      </c>
      <c r="C3156" s="105"/>
      <c r="D3156" s="104" t="s">
        <v>14273</v>
      </c>
      <c r="E3156" s="104" t="s">
        <v>14276</v>
      </c>
      <c r="F3156" s="103" t="s">
        <v>4678</v>
      </c>
      <c r="G3156" s="103" t="s">
        <v>4679</v>
      </c>
      <c r="H3156" s="103" t="s">
        <v>14274</v>
      </c>
      <c r="I3156" s="103">
        <v>3.106764378E9</v>
      </c>
      <c r="J3156" s="104" t="s">
        <v>14275</v>
      </c>
      <c r="K3156" s="105"/>
      <c r="L3156" s="105"/>
    </row>
    <row r="3157">
      <c r="A3157" s="103" t="s">
        <v>4676</v>
      </c>
      <c r="B3157" s="103">
        <v>1.100134909E9</v>
      </c>
      <c r="C3157" s="105"/>
      <c r="D3157" s="104" t="s">
        <v>14277</v>
      </c>
      <c r="E3157" s="106"/>
      <c r="F3157" s="103" t="s">
        <v>4678</v>
      </c>
      <c r="G3157" s="103" t="s">
        <v>4679</v>
      </c>
      <c r="H3157" s="103" t="s">
        <v>14278</v>
      </c>
      <c r="I3157" s="103">
        <v>3.183399382E9</v>
      </c>
      <c r="J3157" s="104" t="s">
        <v>14279</v>
      </c>
      <c r="K3157" s="105"/>
      <c r="L3157" s="105"/>
    </row>
    <row r="3158">
      <c r="A3158" s="103" t="s">
        <v>4676</v>
      </c>
      <c r="B3158" s="103">
        <v>1.10013490901E11</v>
      </c>
      <c r="C3158" s="105"/>
      <c r="D3158" s="104" t="s">
        <v>14277</v>
      </c>
      <c r="E3158" s="104" t="s">
        <v>14280</v>
      </c>
      <c r="F3158" s="103" t="s">
        <v>4678</v>
      </c>
      <c r="G3158" s="103" t="s">
        <v>4679</v>
      </c>
      <c r="H3158" s="103" t="s">
        <v>14278</v>
      </c>
      <c r="I3158" s="103">
        <v>3.183399382E9</v>
      </c>
      <c r="J3158" s="104" t="s">
        <v>14279</v>
      </c>
      <c r="K3158" s="105"/>
      <c r="L3158" s="105"/>
    </row>
    <row r="3159">
      <c r="A3159" s="103" t="s">
        <v>4676</v>
      </c>
      <c r="B3159" s="103">
        <v>1.10013490902E11</v>
      </c>
      <c r="C3159" s="105"/>
      <c r="D3159" s="104" t="s">
        <v>14281</v>
      </c>
      <c r="E3159" s="104" t="s">
        <v>14282</v>
      </c>
      <c r="F3159" s="103" t="s">
        <v>4678</v>
      </c>
      <c r="G3159" s="103" t="s">
        <v>4679</v>
      </c>
      <c r="H3159" s="103" t="s">
        <v>14283</v>
      </c>
      <c r="I3159" s="103">
        <v>3.183399382E9</v>
      </c>
      <c r="J3159" s="104" t="s">
        <v>14279</v>
      </c>
      <c r="K3159" s="105"/>
      <c r="L3159" s="105"/>
    </row>
    <row r="3160">
      <c r="A3160" s="103" t="s">
        <v>4676</v>
      </c>
      <c r="B3160" s="103">
        <v>1.100134927E9</v>
      </c>
      <c r="C3160" s="105"/>
      <c r="D3160" s="104" t="s">
        <v>14284</v>
      </c>
      <c r="E3160" s="106"/>
      <c r="F3160" s="103" t="s">
        <v>4678</v>
      </c>
      <c r="G3160" s="103" t="s">
        <v>4679</v>
      </c>
      <c r="H3160" s="103" t="s">
        <v>14285</v>
      </c>
      <c r="I3160" s="103" t="s">
        <v>14286</v>
      </c>
      <c r="J3160" s="104" t="s">
        <v>14287</v>
      </c>
      <c r="K3160" s="105"/>
      <c r="L3160" s="105"/>
    </row>
    <row r="3161">
      <c r="A3161" s="103" t="s">
        <v>4676</v>
      </c>
      <c r="B3161" s="103">
        <v>1.10013492701E11</v>
      </c>
      <c r="C3161" s="105"/>
      <c r="D3161" s="104" t="s">
        <v>14284</v>
      </c>
      <c r="E3161" s="104" t="s">
        <v>14288</v>
      </c>
      <c r="F3161" s="103" t="s">
        <v>4678</v>
      </c>
      <c r="G3161" s="103" t="s">
        <v>4679</v>
      </c>
      <c r="H3161" s="103" t="s">
        <v>14289</v>
      </c>
      <c r="I3161" s="103" t="s">
        <v>14286</v>
      </c>
      <c r="J3161" s="104" t="s">
        <v>14287</v>
      </c>
      <c r="K3161" s="105"/>
      <c r="L3161" s="105"/>
    </row>
    <row r="3162">
      <c r="A3162" s="103" t="s">
        <v>4676</v>
      </c>
      <c r="B3162" s="103">
        <v>1.100134937E9</v>
      </c>
      <c r="C3162" s="105"/>
      <c r="D3162" s="104" t="s">
        <v>14290</v>
      </c>
      <c r="E3162" s="106"/>
      <c r="F3162" s="103" t="s">
        <v>4678</v>
      </c>
      <c r="G3162" s="103" t="s">
        <v>4679</v>
      </c>
      <c r="H3162" s="103" t="s">
        <v>14291</v>
      </c>
      <c r="I3162" s="103" t="s">
        <v>14292</v>
      </c>
      <c r="J3162" s="104" t="s">
        <v>14293</v>
      </c>
      <c r="K3162" s="105"/>
      <c r="L3162" s="105"/>
    </row>
    <row r="3163">
      <c r="A3163" s="103" t="s">
        <v>4676</v>
      </c>
      <c r="B3163" s="103">
        <v>1.10013493701E11</v>
      </c>
      <c r="C3163" s="105"/>
      <c r="D3163" s="104" t="s">
        <v>14290</v>
      </c>
      <c r="E3163" s="104" t="s">
        <v>14294</v>
      </c>
      <c r="F3163" s="103" t="s">
        <v>4678</v>
      </c>
      <c r="G3163" s="103" t="s">
        <v>4679</v>
      </c>
      <c r="H3163" s="103" t="s">
        <v>14291</v>
      </c>
      <c r="I3163" s="103" t="s">
        <v>14295</v>
      </c>
      <c r="J3163" s="104" t="s">
        <v>14293</v>
      </c>
      <c r="K3163" s="105"/>
      <c r="L3163" s="105"/>
    </row>
    <row r="3164">
      <c r="A3164" s="103" t="s">
        <v>4676</v>
      </c>
      <c r="B3164" s="103">
        <v>1.100134941E9</v>
      </c>
      <c r="C3164" s="105"/>
      <c r="D3164" s="104" t="s">
        <v>14296</v>
      </c>
      <c r="E3164" s="106"/>
      <c r="F3164" s="103" t="s">
        <v>4678</v>
      </c>
      <c r="G3164" s="103" t="s">
        <v>4679</v>
      </c>
      <c r="H3164" s="103" t="s">
        <v>14297</v>
      </c>
      <c r="I3164" s="103">
        <v>4270500.0</v>
      </c>
      <c r="J3164" s="104" t="s">
        <v>14298</v>
      </c>
      <c r="K3164" s="105"/>
      <c r="L3164" s="105"/>
    </row>
    <row r="3165">
      <c r="A3165" s="103" t="s">
        <v>4676</v>
      </c>
      <c r="B3165" s="103">
        <v>1.10013494101E11</v>
      </c>
      <c r="C3165" s="105"/>
      <c r="D3165" s="104" t="s">
        <v>14296</v>
      </c>
      <c r="E3165" s="104" t="s">
        <v>14299</v>
      </c>
      <c r="F3165" s="103" t="s">
        <v>4678</v>
      </c>
      <c r="G3165" s="103" t="s">
        <v>4679</v>
      </c>
      <c r="H3165" s="103" t="s">
        <v>14300</v>
      </c>
      <c r="I3165" s="103" t="s">
        <v>14301</v>
      </c>
      <c r="J3165" s="104" t="s">
        <v>14298</v>
      </c>
      <c r="K3165" s="105"/>
      <c r="L3165" s="105"/>
    </row>
    <row r="3166">
      <c r="A3166" s="103" t="s">
        <v>4676</v>
      </c>
      <c r="B3166" s="103">
        <v>1.10013494102E11</v>
      </c>
      <c r="C3166" s="105"/>
      <c r="D3166" s="104" t="s">
        <v>14302</v>
      </c>
      <c r="E3166" s="104" t="s">
        <v>14299</v>
      </c>
      <c r="F3166" s="103" t="s">
        <v>4678</v>
      </c>
      <c r="G3166" s="103" t="s">
        <v>4679</v>
      </c>
      <c r="H3166" s="103" t="s">
        <v>14303</v>
      </c>
      <c r="I3166" s="103">
        <v>3571680.0</v>
      </c>
      <c r="J3166" s="104" t="s">
        <v>14298</v>
      </c>
      <c r="K3166" s="105"/>
      <c r="L3166" s="105"/>
    </row>
    <row r="3167">
      <c r="A3167" s="103" t="s">
        <v>4676</v>
      </c>
      <c r="B3167" s="103">
        <v>1.10013494103E11</v>
      </c>
      <c r="C3167" s="105"/>
      <c r="D3167" s="104" t="s">
        <v>14304</v>
      </c>
      <c r="E3167" s="104" t="s">
        <v>14299</v>
      </c>
      <c r="F3167" s="103" t="s">
        <v>4678</v>
      </c>
      <c r="G3167" s="103" t="s">
        <v>4679</v>
      </c>
      <c r="H3167" s="103" t="s">
        <v>14305</v>
      </c>
      <c r="I3167" s="103" t="s">
        <v>14306</v>
      </c>
      <c r="J3167" s="104" t="s">
        <v>14298</v>
      </c>
      <c r="K3167" s="105"/>
      <c r="L3167" s="105"/>
    </row>
    <row r="3168">
      <c r="A3168" s="103" t="s">
        <v>4676</v>
      </c>
      <c r="B3168" s="103">
        <v>1.10013494104E11</v>
      </c>
      <c r="C3168" s="105"/>
      <c r="D3168" s="104" t="s">
        <v>14307</v>
      </c>
      <c r="E3168" s="104" t="s">
        <v>14308</v>
      </c>
      <c r="F3168" s="103" t="s">
        <v>4678</v>
      </c>
      <c r="G3168" s="103" t="s">
        <v>4679</v>
      </c>
      <c r="H3168" s="103" t="s">
        <v>14309</v>
      </c>
      <c r="I3168" s="103">
        <v>3.20843846E9</v>
      </c>
      <c r="J3168" s="104" t="s">
        <v>14310</v>
      </c>
      <c r="K3168" s="105"/>
      <c r="L3168" s="105"/>
    </row>
    <row r="3169">
      <c r="A3169" s="103" t="s">
        <v>4676</v>
      </c>
      <c r="B3169" s="103">
        <v>1.100135019E9</v>
      </c>
      <c r="C3169" s="105"/>
      <c r="D3169" s="104" t="s">
        <v>14311</v>
      </c>
      <c r="E3169" s="106"/>
      <c r="F3169" s="103" t="s">
        <v>4678</v>
      </c>
      <c r="G3169" s="103" t="s">
        <v>4679</v>
      </c>
      <c r="H3169" s="103" t="s">
        <v>14312</v>
      </c>
      <c r="I3169" s="103" t="s">
        <v>14313</v>
      </c>
      <c r="J3169" s="104" t="s">
        <v>14314</v>
      </c>
      <c r="K3169" s="107" t="s">
        <v>14315</v>
      </c>
      <c r="L3169" s="105"/>
    </row>
    <row r="3170">
      <c r="A3170" s="103" t="s">
        <v>4676</v>
      </c>
      <c r="B3170" s="103">
        <v>1.10013501901E11</v>
      </c>
      <c r="C3170" s="105"/>
      <c r="D3170" s="104" t="s">
        <v>14316</v>
      </c>
      <c r="E3170" s="104" t="s">
        <v>11347</v>
      </c>
      <c r="F3170" s="103" t="s">
        <v>4678</v>
      </c>
      <c r="G3170" s="103" t="s">
        <v>4679</v>
      </c>
      <c r="H3170" s="103" t="s">
        <v>14312</v>
      </c>
      <c r="I3170" s="103" t="s">
        <v>14313</v>
      </c>
      <c r="J3170" s="104" t="s">
        <v>14314</v>
      </c>
      <c r="K3170" s="105"/>
      <c r="L3170" s="105"/>
    </row>
    <row r="3171">
      <c r="A3171" s="103" t="s">
        <v>4676</v>
      </c>
      <c r="B3171" s="103">
        <v>1.100135025E9</v>
      </c>
      <c r="C3171" s="105"/>
      <c r="D3171" s="104" t="s">
        <v>14317</v>
      </c>
      <c r="E3171" s="106"/>
      <c r="F3171" s="103" t="s">
        <v>4678</v>
      </c>
      <c r="G3171" s="103" t="s">
        <v>4679</v>
      </c>
      <c r="H3171" s="103" t="s">
        <v>14318</v>
      </c>
      <c r="I3171" s="103" t="s">
        <v>14319</v>
      </c>
      <c r="J3171" s="104" t="s">
        <v>14320</v>
      </c>
      <c r="K3171" s="105"/>
      <c r="L3171" s="105"/>
    </row>
    <row r="3172">
      <c r="A3172" s="103" t="s">
        <v>4676</v>
      </c>
      <c r="B3172" s="103">
        <v>1.10013502501E11</v>
      </c>
      <c r="C3172" s="105"/>
      <c r="D3172" s="104" t="s">
        <v>14321</v>
      </c>
      <c r="E3172" s="104" t="s">
        <v>14322</v>
      </c>
      <c r="F3172" s="103" t="s">
        <v>4678</v>
      </c>
      <c r="G3172" s="103" t="s">
        <v>4679</v>
      </c>
      <c r="H3172" s="103" t="s">
        <v>14323</v>
      </c>
      <c r="I3172" s="103" t="s">
        <v>14324</v>
      </c>
      <c r="J3172" s="104" t="s">
        <v>14320</v>
      </c>
      <c r="K3172" s="105"/>
      <c r="L3172" s="105"/>
    </row>
    <row r="3173">
      <c r="A3173" s="103" t="s">
        <v>4676</v>
      </c>
      <c r="B3173" s="103">
        <v>1.100135029E9</v>
      </c>
      <c r="C3173" s="105"/>
      <c r="D3173" s="104" t="s">
        <v>14325</v>
      </c>
      <c r="E3173" s="106"/>
      <c r="F3173" s="103" t="s">
        <v>4678</v>
      </c>
      <c r="G3173" s="103" t="s">
        <v>4679</v>
      </c>
      <c r="H3173" s="103" t="s">
        <v>14326</v>
      </c>
      <c r="I3173" s="103">
        <v>3.155692698E9</v>
      </c>
      <c r="J3173" s="104" t="s">
        <v>14327</v>
      </c>
      <c r="K3173" s="105"/>
      <c r="L3173" s="105"/>
    </row>
    <row r="3174">
      <c r="A3174" s="103" t="s">
        <v>4676</v>
      </c>
      <c r="B3174" s="103">
        <v>1.10013502901E11</v>
      </c>
      <c r="C3174" s="105"/>
      <c r="D3174" s="104" t="s">
        <v>14328</v>
      </c>
      <c r="E3174" s="104" t="s">
        <v>14329</v>
      </c>
      <c r="F3174" s="103" t="s">
        <v>4678</v>
      </c>
      <c r="G3174" s="103" t="s">
        <v>4679</v>
      </c>
      <c r="H3174" s="103" t="s">
        <v>14326</v>
      </c>
      <c r="I3174" s="103">
        <v>3.155692698E9</v>
      </c>
      <c r="J3174" s="104" t="s">
        <v>14327</v>
      </c>
      <c r="K3174" s="105"/>
      <c r="L3174" s="105"/>
    </row>
    <row r="3175">
      <c r="A3175" s="103" t="s">
        <v>4676</v>
      </c>
      <c r="B3175" s="103">
        <v>1.100135113E9</v>
      </c>
      <c r="C3175" s="105"/>
      <c r="D3175" s="104" t="s">
        <v>14330</v>
      </c>
      <c r="E3175" s="106"/>
      <c r="F3175" s="103" t="s">
        <v>4678</v>
      </c>
      <c r="G3175" s="103" t="s">
        <v>4679</v>
      </c>
      <c r="H3175" s="103" t="s">
        <v>14331</v>
      </c>
      <c r="I3175" s="103">
        <v>3.184113779E9</v>
      </c>
      <c r="J3175" s="104" t="s">
        <v>14332</v>
      </c>
      <c r="K3175" s="105"/>
      <c r="L3175" s="105"/>
    </row>
    <row r="3176">
      <c r="A3176" s="103" t="s">
        <v>4676</v>
      </c>
      <c r="B3176" s="103">
        <v>1.10013511301E11</v>
      </c>
      <c r="C3176" s="105"/>
      <c r="D3176" s="104" t="s">
        <v>14333</v>
      </c>
      <c r="E3176" s="104" t="s">
        <v>14334</v>
      </c>
      <c r="F3176" s="103" t="s">
        <v>4678</v>
      </c>
      <c r="G3176" s="103" t="s">
        <v>4679</v>
      </c>
      <c r="H3176" s="103" t="s">
        <v>14335</v>
      </c>
      <c r="I3176" s="103">
        <v>3.184113779E9</v>
      </c>
      <c r="J3176" s="104" t="s">
        <v>14332</v>
      </c>
      <c r="K3176" s="105"/>
      <c r="L3176" s="105"/>
    </row>
    <row r="3177">
      <c r="A3177" s="103" t="s">
        <v>4676</v>
      </c>
      <c r="B3177" s="103">
        <v>1.100135154E9</v>
      </c>
      <c r="C3177" s="105"/>
      <c r="D3177" s="104" t="s">
        <v>14336</v>
      </c>
      <c r="E3177" s="106"/>
      <c r="F3177" s="103" t="s">
        <v>4678</v>
      </c>
      <c r="G3177" s="103" t="s">
        <v>4679</v>
      </c>
      <c r="H3177" s="103" t="s">
        <v>14337</v>
      </c>
      <c r="I3177" s="103">
        <v>3.105751043E9</v>
      </c>
      <c r="J3177" s="104" t="s">
        <v>14338</v>
      </c>
      <c r="K3177" s="105"/>
      <c r="L3177" s="105"/>
    </row>
    <row r="3178">
      <c r="A3178" s="103" t="s">
        <v>4676</v>
      </c>
      <c r="B3178" s="103">
        <v>1.10013515401E11</v>
      </c>
      <c r="C3178" s="105"/>
      <c r="D3178" s="104" t="s">
        <v>14339</v>
      </c>
      <c r="E3178" s="104" t="s">
        <v>14340</v>
      </c>
      <c r="F3178" s="103" t="s">
        <v>4678</v>
      </c>
      <c r="G3178" s="103" t="s">
        <v>4679</v>
      </c>
      <c r="H3178" s="103" t="s">
        <v>14337</v>
      </c>
      <c r="I3178" s="103">
        <v>3.105751043E9</v>
      </c>
      <c r="J3178" s="104" t="s">
        <v>14338</v>
      </c>
      <c r="K3178" s="105"/>
      <c r="L3178" s="105"/>
    </row>
    <row r="3179">
      <c r="A3179" s="103" t="s">
        <v>4676</v>
      </c>
      <c r="B3179" s="103">
        <v>1.100135161E9</v>
      </c>
      <c r="C3179" s="105"/>
      <c r="D3179" s="104" t="s">
        <v>14341</v>
      </c>
      <c r="E3179" s="106"/>
      <c r="F3179" s="103" t="s">
        <v>4678</v>
      </c>
      <c r="G3179" s="103" t="s">
        <v>4679</v>
      </c>
      <c r="H3179" s="103" t="s">
        <v>14342</v>
      </c>
      <c r="I3179" s="103">
        <v>3.202032821E9</v>
      </c>
      <c r="J3179" s="104" t="s">
        <v>14343</v>
      </c>
      <c r="K3179" s="105"/>
      <c r="L3179" s="105"/>
    </row>
    <row r="3180">
      <c r="A3180" s="103" t="s">
        <v>4676</v>
      </c>
      <c r="B3180" s="103">
        <v>1.10013516101E11</v>
      </c>
      <c r="C3180" s="105"/>
      <c r="D3180" s="104" t="s">
        <v>14344</v>
      </c>
      <c r="E3180" s="104" t="s">
        <v>14345</v>
      </c>
      <c r="F3180" s="103" t="s">
        <v>4678</v>
      </c>
      <c r="G3180" s="103" t="s">
        <v>4679</v>
      </c>
      <c r="H3180" s="103" t="s">
        <v>14342</v>
      </c>
      <c r="I3180" s="103" t="s">
        <v>14346</v>
      </c>
      <c r="J3180" s="104" t="s">
        <v>14347</v>
      </c>
      <c r="K3180" s="105"/>
      <c r="L3180" s="105"/>
    </row>
    <row r="3181">
      <c r="A3181" s="103" t="s">
        <v>4676</v>
      </c>
      <c r="B3181" s="103">
        <v>1.100135162E9</v>
      </c>
      <c r="C3181" s="105"/>
      <c r="D3181" s="104" t="s">
        <v>14348</v>
      </c>
      <c r="E3181" s="106"/>
      <c r="F3181" s="103" t="s">
        <v>4678</v>
      </c>
      <c r="G3181" s="103" t="s">
        <v>4679</v>
      </c>
      <c r="H3181" s="103" t="s">
        <v>14349</v>
      </c>
      <c r="I3181" s="103">
        <v>3.503421864E9</v>
      </c>
      <c r="J3181" s="104" t="s">
        <v>14350</v>
      </c>
      <c r="K3181" s="105"/>
      <c r="L3181" s="105"/>
    </row>
    <row r="3182">
      <c r="A3182" s="103" t="s">
        <v>4676</v>
      </c>
      <c r="B3182" s="103">
        <v>1.10013516201E11</v>
      </c>
      <c r="C3182" s="105"/>
      <c r="D3182" s="104" t="s">
        <v>14351</v>
      </c>
      <c r="E3182" s="104" t="s">
        <v>14352</v>
      </c>
      <c r="F3182" s="103" t="s">
        <v>4678</v>
      </c>
      <c r="G3182" s="103" t="s">
        <v>4679</v>
      </c>
      <c r="H3182" s="103" t="s">
        <v>14353</v>
      </c>
      <c r="I3182" s="103">
        <v>3.503421864E9</v>
      </c>
      <c r="J3182" s="104" t="s">
        <v>14354</v>
      </c>
      <c r="K3182" s="105"/>
      <c r="L3182" s="105"/>
    </row>
    <row r="3183">
      <c r="A3183" s="103" t="s">
        <v>4676</v>
      </c>
      <c r="B3183" s="103">
        <v>1.10013516203E11</v>
      </c>
      <c r="C3183" s="105"/>
      <c r="D3183" s="104" t="s">
        <v>14355</v>
      </c>
      <c r="E3183" s="104" t="s">
        <v>14352</v>
      </c>
      <c r="F3183" s="103" t="s">
        <v>4678</v>
      </c>
      <c r="G3183" s="103" t="s">
        <v>4679</v>
      </c>
      <c r="H3183" s="103" t="s">
        <v>14356</v>
      </c>
      <c r="I3183" s="103">
        <v>3.503421864E9</v>
      </c>
      <c r="J3183" s="104" t="s">
        <v>14354</v>
      </c>
      <c r="K3183" s="105"/>
      <c r="L3183" s="105"/>
    </row>
    <row r="3184">
      <c r="A3184" s="103" t="s">
        <v>4676</v>
      </c>
      <c r="B3184" s="103">
        <v>1.10013516204E11</v>
      </c>
      <c r="C3184" s="105"/>
      <c r="D3184" s="104" t="s">
        <v>14357</v>
      </c>
      <c r="E3184" s="104" t="s">
        <v>14352</v>
      </c>
      <c r="F3184" s="103" t="s">
        <v>4678</v>
      </c>
      <c r="G3184" s="103" t="s">
        <v>4679</v>
      </c>
      <c r="H3184" s="103" t="s">
        <v>14358</v>
      </c>
      <c r="I3184" s="103">
        <v>3.503421864E9</v>
      </c>
      <c r="J3184" s="104" t="s">
        <v>14354</v>
      </c>
      <c r="K3184" s="105"/>
      <c r="L3184" s="105"/>
    </row>
    <row r="3185">
      <c r="A3185" s="103" t="s">
        <v>4676</v>
      </c>
      <c r="B3185" s="103">
        <v>1.10013516205E11</v>
      </c>
      <c r="C3185" s="105"/>
      <c r="D3185" s="104" t="s">
        <v>14359</v>
      </c>
      <c r="E3185" s="104" t="s">
        <v>14360</v>
      </c>
      <c r="F3185" s="103" t="s">
        <v>4678</v>
      </c>
      <c r="G3185" s="103" t="s">
        <v>4679</v>
      </c>
      <c r="H3185" s="103" t="s">
        <v>14361</v>
      </c>
      <c r="I3185" s="103" t="s">
        <v>14362</v>
      </c>
      <c r="J3185" s="104" t="s">
        <v>14363</v>
      </c>
      <c r="K3185" s="105"/>
      <c r="L3185" s="105"/>
    </row>
    <row r="3186">
      <c r="A3186" s="103" t="s">
        <v>4676</v>
      </c>
      <c r="B3186" s="103">
        <v>1.100135189E9</v>
      </c>
      <c r="C3186" s="105"/>
      <c r="D3186" s="104" t="s">
        <v>14364</v>
      </c>
      <c r="E3186" s="106"/>
      <c r="F3186" s="103" t="s">
        <v>4678</v>
      </c>
      <c r="G3186" s="103" t="s">
        <v>4679</v>
      </c>
      <c r="H3186" s="103" t="s">
        <v>14365</v>
      </c>
      <c r="I3186" s="103" t="s">
        <v>14366</v>
      </c>
      <c r="J3186" s="104" t="s">
        <v>14367</v>
      </c>
      <c r="K3186" s="107" t="s">
        <v>14368</v>
      </c>
      <c r="L3186" s="105"/>
    </row>
    <row r="3187">
      <c r="A3187" s="103" t="s">
        <v>4676</v>
      </c>
      <c r="B3187" s="103">
        <v>1.10013518901E11</v>
      </c>
      <c r="C3187" s="105"/>
      <c r="D3187" s="104" t="s">
        <v>14369</v>
      </c>
      <c r="E3187" s="104" t="s">
        <v>14370</v>
      </c>
      <c r="F3187" s="103" t="s">
        <v>4678</v>
      </c>
      <c r="G3187" s="103" t="s">
        <v>4679</v>
      </c>
      <c r="H3187" s="103" t="s">
        <v>14365</v>
      </c>
      <c r="I3187" s="103" t="s">
        <v>14371</v>
      </c>
      <c r="J3187" s="104" t="s">
        <v>14367</v>
      </c>
      <c r="K3187" s="105"/>
      <c r="L3187" s="105"/>
    </row>
    <row r="3188">
      <c r="A3188" s="103" t="s">
        <v>4676</v>
      </c>
      <c r="B3188" s="103">
        <v>1.100135237E9</v>
      </c>
      <c r="C3188" s="105"/>
      <c r="D3188" s="104" t="s">
        <v>14372</v>
      </c>
      <c r="E3188" s="106"/>
      <c r="F3188" s="103" t="s">
        <v>4678</v>
      </c>
      <c r="G3188" s="103" t="s">
        <v>4679</v>
      </c>
      <c r="H3188" s="103" t="s">
        <v>14373</v>
      </c>
      <c r="I3188" s="103" t="s">
        <v>14374</v>
      </c>
      <c r="J3188" s="104" t="s">
        <v>14375</v>
      </c>
      <c r="K3188" s="105"/>
      <c r="L3188" s="105"/>
    </row>
    <row r="3189">
      <c r="A3189" s="103" t="s">
        <v>4676</v>
      </c>
      <c r="B3189" s="103">
        <v>1.10013523701E11</v>
      </c>
      <c r="C3189" s="105"/>
      <c r="D3189" s="104" t="s">
        <v>14376</v>
      </c>
      <c r="E3189" s="104" t="s">
        <v>14377</v>
      </c>
      <c r="F3189" s="103" t="s">
        <v>4678</v>
      </c>
      <c r="G3189" s="103" t="s">
        <v>4679</v>
      </c>
      <c r="H3189" s="103" t="s">
        <v>14378</v>
      </c>
      <c r="I3189" s="103" t="s">
        <v>14379</v>
      </c>
      <c r="J3189" s="104" t="s">
        <v>14375</v>
      </c>
      <c r="K3189" s="105"/>
      <c r="L3189" s="105"/>
    </row>
    <row r="3190">
      <c r="A3190" s="103" t="s">
        <v>4676</v>
      </c>
      <c r="B3190" s="103">
        <v>1.100135275E9</v>
      </c>
      <c r="C3190" s="105"/>
      <c r="D3190" s="104" t="s">
        <v>14380</v>
      </c>
      <c r="E3190" s="106"/>
      <c r="F3190" s="103" t="s">
        <v>4678</v>
      </c>
      <c r="G3190" s="103" t="s">
        <v>4679</v>
      </c>
      <c r="H3190" s="103" t="s">
        <v>14381</v>
      </c>
      <c r="I3190" s="103" t="s">
        <v>14382</v>
      </c>
      <c r="J3190" s="104" t="s">
        <v>14383</v>
      </c>
      <c r="K3190" s="105"/>
      <c r="L3190" s="105"/>
    </row>
    <row r="3191">
      <c r="A3191" s="103" t="s">
        <v>4676</v>
      </c>
      <c r="B3191" s="103">
        <v>1.10013527501E11</v>
      </c>
      <c r="C3191" s="105"/>
      <c r="D3191" s="104" t="s">
        <v>14380</v>
      </c>
      <c r="E3191" s="104" t="s">
        <v>14384</v>
      </c>
      <c r="F3191" s="103" t="s">
        <v>4678</v>
      </c>
      <c r="G3191" s="103" t="s">
        <v>4679</v>
      </c>
      <c r="H3191" s="103" t="s">
        <v>14381</v>
      </c>
      <c r="I3191" s="103" t="s">
        <v>14382</v>
      </c>
      <c r="J3191" s="104" t="s">
        <v>14385</v>
      </c>
      <c r="K3191" s="105"/>
      <c r="L3191" s="105"/>
    </row>
    <row r="3192">
      <c r="A3192" s="103" t="s">
        <v>4676</v>
      </c>
      <c r="B3192" s="103">
        <v>1.100135406E9</v>
      </c>
      <c r="C3192" s="105"/>
      <c r="D3192" s="104" t="s">
        <v>14386</v>
      </c>
      <c r="E3192" s="106"/>
      <c r="F3192" s="103" t="s">
        <v>4678</v>
      </c>
      <c r="G3192" s="103" t="s">
        <v>4679</v>
      </c>
      <c r="H3192" s="103" t="s">
        <v>14387</v>
      </c>
      <c r="I3192" s="105"/>
      <c r="J3192" s="104" t="s">
        <v>14388</v>
      </c>
      <c r="K3192" s="105"/>
      <c r="L3192" s="105"/>
    </row>
    <row r="3193">
      <c r="A3193" s="103" t="s">
        <v>4676</v>
      </c>
      <c r="B3193" s="103">
        <v>1.10013540601E11</v>
      </c>
      <c r="C3193" s="105"/>
      <c r="D3193" s="104" t="s">
        <v>14386</v>
      </c>
      <c r="E3193" s="104" t="s">
        <v>14389</v>
      </c>
      <c r="F3193" s="103" t="s">
        <v>4678</v>
      </c>
      <c r="G3193" s="103" t="s">
        <v>4679</v>
      </c>
      <c r="H3193" s="103" t="s">
        <v>14390</v>
      </c>
      <c r="I3193" s="103">
        <v>3.134636856E9</v>
      </c>
      <c r="J3193" s="104" t="s">
        <v>14388</v>
      </c>
      <c r="K3193" s="105"/>
      <c r="L3193" s="105"/>
    </row>
    <row r="3194">
      <c r="A3194" s="103" t="s">
        <v>4676</v>
      </c>
      <c r="B3194" s="103">
        <v>1.100135522E9</v>
      </c>
      <c r="C3194" s="105"/>
      <c r="D3194" s="104" t="s">
        <v>14391</v>
      </c>
      <c r="E3194" s="106"/>
      <c r="F3194" s="103" t="s">
        <v>4678</v>
      </c>
      <c r="G3194" s="103" t="s">
        <v>4679</v>
      </c>
      <c r="H3194" s="103" t="s">
        <v>14392</v>
      </c>
      <c r="I3194" s="103">
        <v>3.508107826E9</v>
      </c>
      <c r="J3194" s="104" t="s">
        <v>14393</v>
      </c>
      <c r="K3194" s="105"/>
      <c r="L3194" s="105"/>
    </row>
    <row r="3195">
      <c r="A3195" s="103" t="s">
        <v>4676</v>
      </c>
      <c r="B3195" s="103">
        <v>1.10013552201E11</v>
      </c>
      <c r="C3195" s="105"/>
      <c r="D3195" s="104" t="s">
        <v>14391</v>
      </c>
      <c r="E3195" s="104" t="s">
        <v>14394</v>
      </c>
      <c r="F3195" s="103" t="s">
        <v>4678</v>
      </c>
      <c r="G3195" s="103" t="s">
        <v>4679</v>
      </c>
      <c r="H3195" s="103" t="s">
        <v>14392</v>
      </c>
      <c r="I3195" s="103">
        <v>3.508107826E9</v>
      </c>
      <c r="J3195" s="104" t="s">
        <v>14393</v>
      </c>
      <c r="K3195" s="105"/>
      <c r="L3195" s="105"/>
    </row>
    <row r="3196">
      <c r="A3196" s="103" t="s">
        <v>4676</v>
      </c>
      <c r="B3196" s="103">
        <v>1.100135544E9</v>
      </c>
      <c r="C3196" s="105"/>
      <c r="D3196" s="104" t="s">
        <v>14395</v>
      </c>
      <c r="E3196" s="106"/>
      <c r="F3196" s="103" t="s">
        <v>4678</v>
      </c>
      <c r="G3196" s="103" t="s">
        <v>4679</v>
      </c>
      <c r="H3196" s="103" t="s">
        <v>14396</v>
      </c>
      <c r="I3196" s="103" t="s">
        <v>14397</v>
      </c>
      <c r="J3196" s="104" t="s">
        <v>14398</v>
      </c>
      <c r="K3196" s="105"/>
      <c r="L3196" s="105"/>
    </row>
    <row r="3197">
      <c r="A3197" s="103" t="s">
        <v>4676</v>
      </c>
      <c r="B3197" s="103">
        <v>1.10013554401E11</v>
      </c>
      <c r="C3197" s="105"/>
      <c r="D3197" s="104" t="s">
        <v>14395</v>
      </c>
      <c r="E3197" s="104" t="s">
        <v>14399</v>
      </c>
      <c r="F3197" s="103" t="s">
        <v>4678</v>
      </c>
      <c r="G3197" s="103" t="s">
        <v>4679</v>
      </c>
      <c r="H3197" s="103" t="s">
        <v>14396</v>
      </c>
      <c r="I3197" s="103" t="s">
        <v>14397</v>
      </c>
      <c r="J3197" s="104" t="s">
        <v>14400</v>
      </c>
      <c r="K3197" s="105"/>
      <c r="L3197" s="105"/>
    </row>
    <row r="3198">
      <c r="A3198" s="103" t="s">
        <v>4676</v>
      </c>
      <c r="B3198" s="103">
        <v>1.100135619E9</v>
      </c>
      <c r="C3198" s="105"/>
      <c r="D3198" s="104" t="s">
        <v>14401</v>
      </c>
      <c r="E3198" s="106"/>
      <c r="F3198" s="103" t="s">
        <v>4678</v>
      </c>
      <c r="G3198" s="103" t="s">
        <v>4679</v>
      </c>
      <c r="H3198" s="103" t="s">
        <v>14402</v>
      </c>
      <c r="I3198" s="103">
        <v>6.017424444E9</v>
      </c>
      <c r="J3198" s="104" t="s">
        <v>14403</v>
      </c>
      <c r="K3198" s="105"/>
      <c r="L3198" s="105"/>
    </row>
    <row r="3199">
      <c r="A3199" s="103" t="s">
        <v>4676</v>
      </c>
      <c r="B3199" s="103">
        <v>1.10013561901E11</v>
      </c>
      <c r="C3199" s="105"/>
      <c r="D3199" s="104" t="s">
        <v>14404</v>
      </c>
      <c r="E3199" s="104" t="s">
        <v>14405</v>
      </c>
      <c r="F3199" s="103" t="s">
        <v>4678</v>
      </c>
      <c r="G3199" s="103" t="s">
        <v>4679</v>
      </c>
      <c r="H3199" s="103" t="s">
        <v>14406</v>
      </c>
      <c r="I3199" s="103">
        <v>6.017424444E9</v>
      </c>
      <c r="J3199" s="104" t="s">
        <v>14403</v>
      </c>
      <c r="K3199" s="105"/>
      <c r="L3199" s="105"/>
    </row>
    <row r="3200">
      <c r="A3200" s="103" t="s">
        <v>4676</v>
      </c>
      <c r="B3200" s="103">
        <v>1.10013561902E11</v>
      </c>
      <c r="C3200" s="105"/>
      <c r="D3200" s="104" t="s">
        <v>14407</v>
      </c>
      <c r="E3200" s="104" t="s">
        <v>14408</v>
      </c>
      <c r="F3200" s="103" t="s">
        <v>4678</v>
      </c>
      <c r="G3200" s="103" t="s">
        <v>4679</v>
      </c>
      <c r="H3200" s="103" t="s">
        <v>14409</v>
      </c>
      <c r="I3200" s="103">
        <v>6.017424444E9</v>
      </c>
      <c r="J3200" s="104" t="s">
        <v>14403</v>
      </c>
      <c r="K3200" s="105"/>
      <c r="L3200" s="105"/>
    </row>
    <row r="3201">
      <c r="A3201" s="103" t="s">
        <v>4676</v>
      </c>
      <c r="B3201" s="103">
        <v>1.100135632E9</v>
      </c>
      <c r="C3201" s="105"/>
      <c r="D3201" s="104" t="s">
        <v>14410</v>
      </c>
      <c r="E3201" s="106"/>
      <c r="F3201" s="103" t="s">
        <v>4678</v>
      </c>
      <c r="G3201" s="103" t="s">
        <v>4679</v>
      </c>
      <c r="H3201" s="103" t="s">
        <v>14411</v>
      </c>
      <c r="I3201" s="103" t="s">
        <v>5936</v>
      </c>
      <c r="J3201" s="104" t="s">
        <v>14412</v>
      </c>
      <c r="K3201" s="107" t="s">
        <v>14413</v>
      </c>
      <c r="L3201" s="105"/>
    </row>
    <row r="3202">
      <c r="A3202" s="103" t="s">
        <v>4676</v>
      </c>
      <c r="B3202" s="103">
        <v>1.10013563201E11</v>
      </c>
      <c r="C3202" s="105"/>
      <c r="D3202" s="104" t="s">
        <v>14414</v>
      </c>
      <c r="E3202" s="104" t="s">
        <v>14415</v>
      </c>
      <c r="F3202" s="103" t="s">
        <v>4678</v>
      </c>
      <c r="G3202" s="103" t="s">
        <v>4679</v>
      </c>
      <c r="H3202" s="103" t="s">
        <v>14416</v>
      </c>
      <c r="I3202" s="103" t="s">
        <v>5936</v>
      </c>
      <c r="J3202" s="104" t="s">
        <v>14412</v>
      </c>
      <c r="K3202" s="105"/>
      <c r="L3202" s="105"/>
    </row>
    <row r="3203">
      <c r="A3203" s="103" t="s">
        <v>4676</v>
      </c>
      <c r="B3203" s="103">
        <v>1.10013563205E11</v>
      </c>
      <c r="C3203" s="105"/>
      <c r="D3203" s="104" t="s">
        <v>14417</v>
      </c>
      <c r="E3203" s="104" t="s">
        <v>5939</v>
      </c>
      <c r="F3203" s="103" t="s">
        <v>4678</v>
      </c>
      <c r="G3203" s="103" t="s">
        <v>4679</v>
      </c>
      <c r="H3203" s="103" t="s">
        <v>14418</v>
      </c>
      <c r="I3203" s="103" t="s">
        <v>5936</v>
      </c>
      <c r="J3203" s="104" t="s">
        <v>14412</v>
      </c>
      <c r="K3203" s="105"/>
      <c r="L3203" s="105"/>
    </row>
    <row r="3204">
      <c r="A3204" s="103" t="s">
        <v>4676</v>
      </c>
      <c r="B3204" s="103">
        <v>1.10013563207E11</v>
      </c>
      <c r="C3204" s="105"/>
      <c r="D3204" s="104" t="s">
        <v>14419</v>
      </c>
      <c r="E3204" s="104" t="s">
        <v>5939</v>
      </c>
      <c r="F3204" s="103" t="s">
        <v>4678</v>
      </c>
      <c r="G3204" s="103" t="s">
        <v>4679</v>
      </c>
      <c r="H3204" s="103" t="s">
        <v>14420</v>
      </c>
      <c r="I3204" s="103" t="s">
        <v>5936</v>
      </c>
      <c r="J3204" s="104" t="s">
        <v>14412</v>
      </c>
      <c r="K3204" s="105"/>
      <c r="L3204" s="105"/>
    </row>
    <row r="3205">
      <c r="A3205" s="103" t="s">
        <v>4676</v>
      </c>
      <c r="B3205" s="103">
        <v>1.10013563208E11</v>
      </c>
      <c r="C3205" s="105"/>
      <c r="D3205" s="104" t="s">
        <v>14421</v>
      </c>
      <c r="E3205" s="104" t="s">
        <v>5939</v>
      </c>
      <c r="F3205" s="103" t="s">
        <v>4678</v>
      </c>
      <c r="G3205" s="103" t="s">
        <v>4679</v>
      </c>
      <c r="H3205" s="103" t="s">
        <v>14422</v>
      </c>
      <c r="I3205" s="103" t="s">
        <v>5936</v>
      </c>
      <c r="J3205" s="104" t="s">
        <v>14412</v>
      </c>
      <c r="K3205" s="105"/>
      <c r="L3205" s="105"/>
    </row>
    <row r="3206">
      <c r="A3206" s="103" t="s">
        <v>4676</v>
      </c>
      <c r="B3206" s="103">
        <v>1.10013563209E11</v>
      </c>
      <c r="C3206" s="105"/>
      <c r="D3206" s="104" t="s">
        <v>14423</v>
      </c>
      <c r="E3206" s="104" t="s">
        <v>14424</v>
      </c>
      <c r="F3206" s="103" t="s">
        <v>4678</v>
      </c>
      <c r="G3206" s="103" t="s">
        <v>4679</v>
      </c>
      <c r="H3206" s="103" t="s">
        <v>14425</v>
      </c>
      <c r="I3206" s="103" t="s">
        <v>5936</v>
      </c>
      <c r="J3206" s="104" t="s">
        <v>14412</v>
      </c>
      <c r="K3206" s="105"/>
      <c r="L3206" s="105"/>
    </row>
    <row r="3207">
      <c r="A3207" s="103" t="s">
        <v>4676</v>
      </c>
      <c r="B3207" s="103">
        <v>1.1001356321E11</v>
      </c>
      <c r="C3207" s="105"/>
      <c r="D3207" s="104" t="s">
        <v>14426</v>
      </c>
      <c r="E3207" s="104" t="s">
        <v>14415</v>
      </c>
      <c r="F3207" s="103" t="s">
        <v>4678</v>
      </c>
      <c r="G3207" s="103" t="s">
        <v>4679</v>
      </c>
      <c r="H3207" s="103" t="s">
        <v>14427</v>
      </c>
      <c r="I3207" s="103" t="s">
        <v>5936</v>
      </c>
      <c r="J3207" s="104" t="s">
        <v>14428</v>
      </c>
      <c r="K3207" s="105"/>
      <c r="L3207" s="105"/>
    </row>
    <row r="3208">
      <c r="A3208" s="103" t="s">
        <v>4676</v>
      </c>
      <c r="B3208" s="103">
        <v>1.10013563211E11</v>
      </c>
      <c r="C3208" s="105"/>
      <c r="D3208" s="104" t="s">
        <v>14429</v>
      </c>
      <c r="E3208" s="104" t="s">
        <v>14415</v>
      </c>
      <c r="F3208" s="103" t="s">
        <v>4678</v>
      </c>
      <c r="G3208" s="103" t="s">
        <v>4679</v>
      </c>
      <c r="H3208" s="103" t="s">
        <v>14430</v>
      </c>
      <c r="I3208" s="103" t="s">
        <v>5936</v>
      </c>
      <c r="J3208" s="104" t="s">
        <v>14431</v>
      </c>
      <c r="K3208" s="105"/>
      <c r="L3208" s="105"/>
    </row>
    <row r="3209">
      <c r="A3209" s="103" t="s">
        <v>4676</v>
      </c>
      <c r="B3209" s="103">
        <v>1.10013563212E11</v>
      </c>
      <c r="C3209" s="105"/>
      <c r="D3209" s="104" t="s">
        <v>14432</v>
      </c>
      <c r="E3209" s="104" t="s">
        <v>14415</v>
      </c>
      <c r="F3209" s="103" t="s">
        <v>4678</v>
      </c>
      <c r="G3209" s="103" t="s">
        <v>4679</v>
      </c>
      <c r="H3209" s="103" t="s">
        <v>14433</v>
      </c>
      <c r="I3209" s="103" t="s">
        <v>5936</v>
      </c>
      <c r="J3209" s="104" t="s">
        <v>14431</v>
      </c>
      <c r="K3209" s="105"/>
      <c r="L3209" s="105"/>
    </row>
    <row r="3210">
      <c r="A3210" s="103" t="s">
        <v>4676</v>
      </c>
      <c r="B3210" s="103">
        <v>1.10013563213E11</v>
      </c>
      <c r="C3210" s="105"/>
      <c r="D3210" s="104" t="s">
        <v>14434</v>
      </c>
      <c r="E3210" s="104" t="s">
        <v>14415</v>
      </c>
      <c r="F3210" s="103" t="s">
        <v>4678</v>
      </c>
      <c r="G3210" s="103" t="s">
        <v>4679</v>
      </c>
      <c r="H3210" s="103" t="s">
        <v>14435</v>
      </c>
      <c r="I3210" s="103" t="s">
        <v>5936</v>
      </c>
      <c r="J3210" s="104" t="s">
        <v>14431</v>
      </c>
      <c r="K3210" s="105"/>
      <c r="L3210" s="105"/>
    </row>
    <row r="3211">
      <c r="A3211" s="103" t="s">
        <v>4676</v>
      </c>
      <c r="B3211" s="103">
        <v>1.10013563214E11</v>
      </c>
      <c r="C3211" s="105"/>
      <c r="D3211" s="104" t="s">
        <v>14436</v>
      </c>
      <c r="E3211" s="104" t="s">
        <v>14415</v>
      </c>
      <c r="F3211" s="103" t="s">
        <v>4678</v>
      </c>
      <c r="G3211" s="103" t="s">
        <v>4679</v>
      </c>
      <c r="H3211" s="103" t="s">
        <v>14437</v>
      </c>
      <c r="I3211" s="103" t="s">
        <v>5936</v>
      </c>
      <c r="J3211" s="104" t="s">
        <v>14431</v>
      </c>
      <c r="K3211" s="105"/>
      <c r="L3211" s="105"/>
    </row>
    <row r="3212">
      <c r="A3212" s="103" t="s">
        <v>4676</v>
      </c>
      <c r="B3212" s="103">
        <v>1.10013563215E11</v>
      </c>
      <c r="C3212" s="105"/>
      <c r="D3212" s="104" t="s">
        <v>14438</v>
      </c>
      <c r="E3212" s="104" t="s">
        <v>14415</v>
      </c>
      <c r="F3212" s="103" t="s">
        <v>4678</v>
      </c>
      <c r="G3212" s="103" t="s">
        <v>4679</v>
      </c>
      <c r="H3212" s="103" t="s">
        <v>14439</v>
      </c>
      <c r="I3212" s="103" t="s">
        <v>5936</v>
      </c>
      <c r="J3212" s="104" t="s">
        <v>14431</v>
      </c>
      <c r="K3212" s="105"/>
      <c r="L3212" s="105"/>
    </row>
    <row r="3213">
      <c r="A3213" s="103" t="s">
        <v>4676</v>
      </c>
      <c r="B3213" s="103">
        <v>1.10013563216E11</v>
      </c>
      <c r="C3213" s="105"/>
      <c r="D3213" s="104" t="s">
        <v>14440</v>
      </c>
      <c r="E3213" s="104" t="s">
        <v>14415</v>
      </c>
      <c r="F3213" s="103" t="s">
        <v>4678</v>
      </c>
      <c r="G3213" s="103" t="s">
        <v>4679</v>
      </c>
      <c r="H3213" s="103" t="s">
        <v>14441</v>
      </c>
      <c r="I3213" s="103" t="s">
        <v>5936</v>
      </c>
      <c r="J3213" s="104" t="s">
        <v>14431</v>
      </c>
      <c r="K3213" s="105"/>
      <c r="L3213" s="105"/>
    </row>
    <row r="3214">
      <c r="A3214" s="103" t="s">
        <v>4676</v>
      </c>
      <c r="B3214" s="103">
        <v>1.10013563217E11</v>
      </c>
      <c r="C3214" s="105"/>
      <c r="D3214" s="104" t="s">
        <v>14442</v>
      </c>
      <c r="E3214" s="104" t="s">
        <v>14415</v>
      </c>
      <c r="F3214" s="103" t="s">
        <v>4678</v>
      </c>
      <c r="G3214" s="103" t="s">
        <v>4679</v>
      </c>
      <c r="H3214" s="103" t="s">
        <v>14443</v>
      </c>
      <c r="I3214" s="103" t="s">
        <v>5936</v>
      </c>
      <c r="J3214" s="104" t="s">
        <v>14431</v>
      </c>
      <c r="K3214" s="105"/>
      <c r="L3214" s="105"/>
    </row>
    <row r="3215">
      <c r="A3215" s="103" t="s">
        <v>4676</v>
      </c>
      <c r="B3215" s="103">
        <v>1.10013563218E11</v>
      </c>
      <c r="C3215" s="105"/>
      <c r="D3215" s="104" t="s">
        <v>14444</v>
      </c>
      <c r="E3215" s="104" t="s">
        <v>14415</v>
      </c>
      <c r="F3215" s="103" t="s">
        <v>4678</v>
      </c>
      <c r="G3215" s="103" t="s">
        <v>4679</v>
      </c>
      <c r="H3215" s="103" t="s">
        <v>14445</v>
      </c>
      <c r="I3215" s="103" t="s">
        <v>5936</v>
      </c>
      <c r="J3215" s="104" t="s">
        <v>14431</v>
      </c>
      <c r="K3215" s="105"/>
      <c r="L3215" s="105"/>
    </row>
    <row r="3216">
      <c r="A3216" s="103" t="s">
        <v>4676</v>
      </c>
      <c r="B3216" s="103">
        <v>1.10013563219E11</v>
      </c>
      <c r="C3216" s="105"/>
      <c r="D3216" s="104" t="s">
        <v>14446</v>
      </c>
      <c r="E3216" s="104" t="s">
        <v>14415</v>
      </c>
      <c r="F3216" s="103" t="s">
        <v>4678</v>
      </c>
      <c r="G3216" s="103" t="s">
        <v>4679</v>
      </c>
      <c r="H3216" s="103" t="s">
        <v>14447</v>
      </c>
      <c r="I3216" s="103" t="s">
        <v>5936</v>
      </c>
      <c r="J3216" s="104" t="s">
        <v>14431</v>
      </c>
      <c r="K3216" s="105"/>
      <c r="L3216" s="105"/>
    </row>
    <row r="3217">
      <c r="A3217" s="103" t="s">
        <v>4676</v>
      </c>
      <c r="B3217" s="103">
        <v>1.1001356322E11</v>
      </c>
      <c r="C3217" s="105"/>
      <c r="D3217" s="104" t="s">
        <v>14448</v>
      </c>
      <c r="E3217" s="104" t="s">
        <v>14415</v>
      </c>
      <c r="F3217" s="103" t="s">
        <v>4678</v>
      </c>
      <c r="G3217" s="103" t="s">
        <v>4679</v>
      </c>
      <c r="H3217" s="103" t="s">
        <v>14449</v>
      </c>
      <c r="I3217" s="103" t="s">
        <v>5936</v>
      </c>
      <c r="J3217" s="104" t="s">
        <v>14431</v>
      </c>
      <c r="K3217" s="105"/>
      <c r="L3217" s="105"/>
    </row>
    <row r="3218">
      <c r="A3218" s="103" t="s">
        <v>4676</v>
      </c>
      <c r="B3218" s="103">
        <v>1.10013563221E11</v>
      </c>
      <c r="C3218" s="105"/>
      <c r="D3218" s="104" t="s">
        <v>14450</v>
      </c>
      <c r="E3218" s="104" t="s">
        <v>14415</v>
      </c>
      <c r="F3218" s="103" t="s">
        <v>4678</v>
      </c>
      <c r="G3218" s="103" t="s">
        <v>4679</v>
      </c>
      <c r="H3218" s="103" t="s">
        <v>14451</v>
      </c>
      <c r="I3218" s="103" t="s">
        <v>5936</v>
      </c>
      <c r="J3218" s="104" t="s">
        <v>14452</v>
      </c>
      <c r="K3218" s="105"/>
      <c r="L3218" s="105"/>
    </row>
    <row r="3219">
      <c r="A3219" s="103" t="s">
        <v>4676</v>
      </c>
      <c r="B3219" s="103">
        <v>1.10013563222E11</v>
      </c>
      <c r="C3219" s="105"/>
      <c r="D3219" s="104" t="s">
        <v>14453</v>
      </c>
      <c r="E3219" s="104" t="s">
        <v>14415</v>
      </c>
      <c r="F3219" s="103" t="s">
        <v>4678</v>
      </c>
      <c r="G3219" s="103" t="s">
        <v>4679</v>
      </c>
      <c r="H3219" s="103" t="s">
        <v>14454</v>
      </c>
      <c r="I3219" s="103" t="s">
        <v>5936</v>
      </c>
      <c r="J3219" s="104" t="s">
        <v>14452</v>
      </c>
      <c r="K3219" s="105"/>
      <c r="L3219" s="105"/>
    </row>
    <row r="3220">
      <c r="A3220" s="103" t="s">
        <v>4676</v>
      </c>
      <c r="B3220" s="103">
        <v>1.10013563223E11</v>
      </c>
      <c r="C3220" s="105"/>
      <c r="D3220" s="104" t="s">
        <v>14455</v>
      </c>
      <c r="E3220" s="104" t="s">
        <v>14415</v>
      </c>
      <c r="F3220" s="103" t="s">
        <v>4678</v>
      </c>
      <c r="G3220" s="103" t="s">
        <v>4679</v>
      </c>
      <c r="H3220" s="103" t="s">
        <v>14456</v>
      </c>
      <c r="I3220" s="103" t="s">
        <v>5936</v>
      </c>
      <c r="J3220" s="104" t="s">
        <v>14457</v>
      </c>
      <c r="K3220" s="105"/>
      <c r="L3220" s="105"/>
    </row>
    <row r="3221">
      <c r="A3221" s="103" t="s">
        <v>4676</v>
      </c>
      <c r="B3221" s="103">
        <v>1.10013563224E11</v>
      </c>
      <c r="C3221" s="105"/>
      <c r="D3221" s="104" t="s">
        <v>14458</v>
      </c>
      <c r="E3221" s="104" t="s">
        <v>14415</v>
      </c>
      <c r="F3221" s="103" t="s">
        <v>4678</v>
      </c>
      <c r="G3221" s="103" t="s">
        <v>4679</v>
      </c>
      <c r="H3221" s="103" t="s">
        <v>14459</v>
      </c>
      <c r="I3221" s="103" t="s">
        <v>5936</v>
      </c>
      <c r="J3221" s="104" t="s">
        <v>14457</v>
      </c>
      <c r="K3221" s="105"/>
      <c r="L3221" s="105"/>
    </row>
    <row r="3222">
      <c r="A3222" s="103" t="s">
        <v>4676</v>
      </c>
      <c r="B3222" s="103">
        <v>1.10013563225E11</v>
      </c>
      <c r="C3222" s="105"/>
      <c r="D3222" s="104" t="s">
        <v>14460</v>
      </c>
      <c r="E3222" s="104" t="s">
        <v>14415</v>
      </c>
      <c r="F3222" s="103" t="s">
        <v>4678</v>
      </c>
      <c r="G3222" s="103" t="s">
        <v>4679</v>
      </c>
      <c r="H3222" s="103" t="s">
        <v>14461</v>
      </c>
      <c r="I3222" s="103" t="s">
        <v>5936</v>
      </c>
      <c r="J3222" s="104" t="s">
        <v>14457</v>
      </c>
      <c r="K3222" s="105"/>
      <c r="L3222" s="105"/>
    </row>
    <row r="3223">
      <c r="A3223" s="103" t="s">
        <v>4676</v>
      </c>
      <c r="B3223" s="103">
        <v>1.10013563226E11</v>
      </c>
      <c r="C3223" s="105"/>
      <c r="D3223" s="104" t="s">
        <v>14462</v>
      </c>
      <c r="E3223" s="104" t="s">
        <v>14415</v>
      </c>
      <c r="F3223" s="103" t="s">
        <v>4678</v>
      </c>
      <c r="G3223" s="103" t="s">
        <v>4679</v>
      </c>
      <c r="H3223" s="103" t="s">
        <v>14463</v>
      </c>
      <c r="I3223" s="103" t="s">
        <v>5936</v>
      </c>
      <c r="J3223" s="104" t="s">
        <v>14457</v>
      </c>
      <c r="K3223" s="105"/>
      <c r="L3223" s="105"/>
    </row>
    <row r="3224">
      <c r="A3224" s="103" t="s">
        <v>4676</v>
      </c>
      <c r="B3224" s="103">
        <v>1.10013563227E11</v>
      </c>
      <c r="C3224" s="105"/>
      <c r="D3224" s="104" t="s">
        <v>14464</v>
      </c>
      <c r="E3224" s="104" t="s">
        <v>14415</v>
      </c>
      <c r="F3224" s="103" t="s">
        <v>4678</v>
      </c>
      <c r="G3224" s="103" t="s">
        <v>4679</v>
      </c>
      <c r="H3224" s="103" t="s">
        <v>14465</v>
      </c>
      <c r="I3224" s="103" t="s">
        <v>5936</v>
      </c>
      <c r="J3224" s="104" t="s">
        <v>14431</v>
      </c>
      <c r="K3224" s="105"/>
      <c r="L3224" s="105"/>
    </row>
    <row r="3225">
      <c r="A3225" s="103" t="s">
        <v>4676</v>
      </c>
      <c r="B3225" s="103">
        <v>1.10013563228E11</v>
      </c>
      <c r="C3225" s="105"/>
      <c r="D3225" s="104" t="s">
        <v>14466</v>
      </c>
      <c r="E3225" s="104" t="s">
        <v>5939</v>
      </c>
      <c r="F3225" s="103" t="s">
        <v>4678</v>
      </c>
      <c r="G3225" s="103" t="s">
        <v>4679</v>
      </c>
      <c r="H3225" s="103" t="s">
        <v>14467</v>
      </c>
      <c r="I3225" s="103" t="s">
        <v>14468</v>
      </c>
      <c r="J3225" s="104" t="s">
        <v>14469</v>
      </c>
      <c r="K3225" s="105"/>
      <c r="L3225" s="105"/>
    </row>
    <row r="3226">
      <c r="A3226" s="103" t="s">
        <v>4676</v>
      </c>
      <c r="B3226" s="103">
        <v>1.100135653E9</v>
      </c>
      <c r="C3226" s="105"/>
      <c r="D3226" s="104" t="s">
        <v>14470</v>
      </c>
      <c r="E3226" s="106"/>
      <c r="F3226" s="103" t="s">
        <v>4678</v>
      </c>
      <c r="G3226" s="103" t="s">
        <v>4679</v>
      </c>
      <c r="H3226" s="103" t="s">
        <v>14471</v>
      </c>
      <c r="I3226" s="103" t="s">
        <v>14472</v>
      </c>
      <c r="J3226" s="104" t="s">
        <v>14473</v>
      </c>
      <c r="K3226" s="107" t="s">
        <v>14474</v>
      </c>
      <c r="L3226" s="105"/>
    </row>
    <row r="3227">
      <c r="A3227" s="103" t="s">
        <v>4676</v>
      </c>
      <c r="B3227" s="103">
        <v>1.10013565301E11</v>
      </c>
      <c r="C3227" s="105"/>
      <c r="D3227" s="104" t="s">
        <v>14475</v>
      </c>
      <c r="E3227" s="104" t="s">
        <v>14476</v>
      </c>
      <c r="F3227" s="103" t="s">
        <v>4678</v>
      </c>
      <c r="G3227" s="103" t="s">
        <v>4679</v>
      </c>
      <c r="H3227" s="103" t="s">
        <v>14471</v>
      </c>
      <c r="I3227" s="103" t="s">
        <v>14472</v>
      </c>
      <c r="J3227" s="104" t="s">
        <v>14473</v>
      </c>
      <c r="K3227" s="105"/>
      <c r="L3227" s="105"/>
    </row>
    <row r="3228">
      <c r="A3228" s="103" t="s">
        <v>4676</v>
      </c>
      <c r="B3228" s="103">
        <v>1.100135702E9</v>
      </c>
      <c r="C3228" s="105"/>
      <c r="D3228" s="104" t="s">
        <v>14477</v>
      </c>
      <c r="E3228" s="106"/>
      <c r="F3228" s="103" t="s">
        <v>4678</v>
      </c>
      <c r="G3228" s="103" t="s">
        <v>4679</v>
      </c>
      <c r="H3228" s="103" t="s">
        <v>14478</v>
      </c>
      <c r="I3228" s="103" t="s">
        <v>14479</v>
      </c>
      <c r="J3228" s="104" t="s">
        <v>14480</v>
      </c>
      <c r="K3228" s="105"/>
      <c r="L3228" s="105"/>
    </row>
    <row r="3229">
      <c r="A3229" s="103" t="s">
        <v>4676</v>
      </c>
      <c r="B3229" s="103">
        <v>1.10013570201E11</v>
      </c>
      <c r="C3229" s="105"/>
      <c r="D3229" s="104" t="s">
        <v>14477</v>
      </c>
      <c r="E3229" s="104" t="s">
        <v>14481</v>
      </c>
      <c r="F3229" s="103" t="s">
        <v>4678</v>
      </c>
      <c r="G3229" s="103" t="s">
        <v>4679</v>
      </c>
      <c r="H3229" s="103" t="s">
        <v>14478</v>
      </c>
      <c r="I3229" s="103" t="s">
        <v>14479</v>
      </c>
      <c r="J3229" s="104" t="s">
        <v>14480</v>
      </c>
      <c r="K3229" s="105"/>
      <c r="L3229" s="105"/>
    </row>
    <row r="3230">
      <c r="A3230" s="103" t="s">
        <v>4676</v>
      </c>
      <c r="B3230" s="103">
        <v>1.100135718E9</v>
      </c>
      <c r="C3230" s="105"/>
      <c r="D3230" s="104" t="s">
        <v>14482</v>
      </c>
      <c r="E3230" s="106"/>
      <c r="F3230" s="103" t="s">
        <v>4678</v>
      </c>
      <c r="G3230" s="103" t="s">
        <v>4679</v>
      </c>
      <c r="H3230" s="103" t="s">
        <v>14483</v>
      </c>
      <c r="I3230" s="103">
        <v>3.102501466E9</v>
      </c>
      <c r="J3230" s="104" t="s">
        <v>14484</v>
      </c>
      <c r="K3230" s="107" t="s">
        <v>7457</v>
      </c>
      <c r="L3230" s="105"/>
    </row>
    <row r="3231">
      <c r="A3231" s="103" t="s">
        <v>4676</v>
      </c>
      <c r="B3231" s="103">
        <v>1.10013571801E11</v>
      </c>
      <c r="C3231" s="105"/>
      <c r="D3231" s="104" t="s">
        <v>14485</v>
      </c>
      <c r="E3231" s="104" t="s">
        <v>14486</v>
      </c>
      <c r="F3231" s="103" t="s">
        <v>4678</v>
      </c>
      <c r="G3231" s="103" t="s">
        <v>4679</v>
      </c>
      <c r="H3231" s="103" t="s">
        <v>14483</v>
      </c>
      <c r="I3231" s="103">
        <v>3.102501466E9</v>
      </c>
      <c r="J3231" s="104" t="s">
        <v>14484</v>
      </c>
      <c r="K3231" s="105"/>
      <c r="L3231" s="105"/>
    </row>
    <row r="3232">
      <c r="A3232" s="103" t="s">
        <v>4676</v>
      </c>
      <c r="B3232" s="103">
        <v>1.100135755E9</v>
      </c>
      <c r="C3232" s="105"/>
      <c r="D3232" s="104" t="s">
        <v>14487</v>
      </c>
      <c r="E3232" s="106"/>
      <c r="F3232" s="103" t="s">
        <v>4678</v>
      </c>
      <c r="G3232" s="103" t="s">
        <v>4679</v>
      </c>
      <c r="H3232" s="103" t="s">
        <v>14488</v>
      </c>
      <c r="I3232" s="103">
        <v>3.194026774E9</v>
      </c>
      <c r="J3232" s="104" t="s">
        <v>14489</v>
      </c>
      <c r="K3232" s="105"/>
      <c r="L3232" s="105"/>
    </row>
    <row r="3233">
      <c r="A3233" s="103" t="s">
        <v>4676</v>
      </c>
      <c r="B3233" s="103">
        <v>1.10013575501E11</v>
      </c>
      <c r="C3233" s="105"/>
      <c r="D3233" s="104" t="s">
        <v>14490</v>
      </c>
      <c r="E3233" s="104" t="s">
        <v>14491</v>
      </c>
      <c r="F3233" s="103" t="s">
        <v>4678</v>
      </c>
      <c r="G3233" s="103" t="s">
        <v>4679</v>
      </c>
      <c r="H3233" s="103" t="s">
        <v>14488</v>
      </c>
      <c r="I3233" s="103" t="s">
        <v>14492</v>
      </c>
      <c r="J3233" s="104" t="s">
        <v>14493</v>
      </c>
      <c r="K3233" s="105"/>
      <c r="L3233" s="105"/>
    </row>
    <row r="3234">
      <c r="A3234" s="103" t="s">
        <v>4676</v>
      </c>
      <c r="B3234" s="103">
        <v>1.10013575502E11</v>
      </c>
      <c r="C3234" s="105"/>
      <c r="D3234" s="104" t="s">
        <v>14494</v>
      </c>
      <c r="E3234" s="104" t="s">
        <v>14491</v>
      </c>
      <c r="F3234" s="103" t="s">
        <v>4678</v>
      </c>
      <c r="G3234" s="103" t="s">
        <v>4679</v>
      </c>
      <c r="H3234" s="103" t="s">
        <v>14495</v>
      </c>
      <c r="I3234" s="103" t="s">
        <v>14496</v>
      </c>
      <c r="J3234" s="104" t="s">
        <v>14497</v>
      </c>
      <c r="K3234" s="105"/>
      <c r="L3234" s="105"/>
    </row>
    <row r="3235">
      <c r="A3235" s="103" t="s">
        <v>4676</v>
      </c>
      <c r="B3235" s="103">
        <v>1.100135854E9</v>
      </c>
      <c r="C3235" s="105"/>
      <c r="D3235" s="104" t="s">
        <v>14498</v>
      </c>
      <c r="E3235" s="106"/>
      <c r="F3235" s="103" t="s">
        <v>4678</v>
      </c>
      <c r="G3235" s="103" t="s">
        <v>4679</v>
      </c>
      <c r="H3235" s="103" t="s">
        <v>14499</v>
      </c>
      <c r="I3235" s="103">
        <v>3.142383825E9</v>
      </c>
      <c r="J3235" s="104" t="s">
        <v>14500</v>
      </c>
      <c r="K3235" s="105"/>
      <c r="L3235" s="105"/>
    </row>
    <row r="3236">
      <c r="A3236" s="103" t="s">
        <v>4676</v>
      </c>
      <c r="B3236" s="103">
        <v>1.10013585401E11</v>
      </c>
      <c r="C3236" s="105"/>
      <c r="D3236" s="104" t="s">
        <v>14498</v>
      </c>
      <c r="E3236" s="104" t="s">
        <v>14501</v>
      </c>
      <c r="F3236" s="103" t="s">
        <v>4678</v>
      </c>
      <c r="G3236" s="103" t="s">
        <v>4679</v>
      </c>
      <c r="H3236" s="103" t="s">
        <v>14499</v>
      </c>
      <c r="I3236" s="103">
        <v>3.142383825E9</v>
      </c>
      <c r="J3236" s="104" t="s">
        <v>14500</v>
      </c>
      <c r="K3236" s="105"/>
      <c r="L3236" s="105"/>
    </row>
    <row r="3237">
      <c r="A3237" s="103" t="s">
        <v>4676</v>
      </c>
      <c r="B3237" s="103">
        <v>1.100135883E9</v>
      </c>
      <c r="C3237" s="105"/>
      <c r="D3237" s="104" t="s">
        <v>14502</v>
      </c>
      <c r="E3237" s="106"/>
      <c r="F3237" s="103" t="s">
        <v>4678</v>
      </c>
      <c r="G3237" s="103" t="s">
        <v>4679</v>
      </c>
      <c r="H3237" s="103" t="s">
        <v>14503</v>
      </c>
      <c r="I3237" s="103">
        <v>3.144394818E9</v>
      </c>
      <c r="J3237" s="104" t="s">
        <v>14504</v>
      </c>
      <c r="K3237" s="107" t="s">
        <v>14505</v>
      </c>
      <c r="L3237" s="105"/>
    </row>
    <row r="3238">
      <c r="A3238" s="103" t="s">
        <v>4676</v>
      </c>
      <c r="B3238" s="103">
        <v>1.10013588301E11</v>
      </c>
      <c r="C3238" s="105"/>
      <c r="D3238" s="104" t="s">
        <v>14506</v>
      </c>
      <c r="E3238" s="104" t="s">
        <v>14507</v>
      </c>
      <c r="F3238" s="103" t="s">
        <v>4678</v>
      </c>
      <c r="G3238" s="103" t="s">
        <v>4679</v>
      </c>
      <c r="H3238" s="103" t="s">
        <v>14508</v>
      </c>
      <c r="I3238" s="103">
        <v>3.144394818E9</v>
      </c>
      <c r="J3238" s="104" t="s">
        <v>14504</v>
      </c>
      <c r="K3238" s="105"/>
      <c r="L3238" s="105"/>
    </row>
    <row r="3239">
      <c r="A3239" s="103" t="s">
        <v>4676</v>
      </c>
      <c r="B3239" s="103">
        <v>1.10013588302E11</v>
      </c>
      <c r="C3239" s="105"/>
      <c r="D3239" s="104" t="s">
        <v>14509</v>
      </c>
      <c r="E3239" s="104" t="s">
        <v>14507</v>
      </c>
      <c r="F3239" s="103" t="s">
        <v>4678</v>
      </c>
      <c r="G3239" s="103" t="s">
        <v>4679</v>
      </c>
      <c r="H3239" s="103" t="s">
        <v>14510</v>
      </c>
      <c r="I3239" s="103">
        <v>3.144394818E9</v>
      </c>
      <c r="J3239" s="104" t="s">
        <v>14504</v>
      </c>
      <c r="K3239" s="105"/>
      <c r="L3239" s="105"/>
    </row>
    <row r="3240">
      <c r="A3240" s="103" t="s">
        <v>4676</v>
      </c>
      <c r="B3240" s="103">
        <v>1.100135894E9</v>
      </c>
      <c r="C3240" s="105"/>
      <c r="D3240" s="104" t="s">
        <v>14511</v>
      </c>
      <c r="E3240" s="106"/>
      <c r="F3240" s="103" t="s">
        <v>4678</v>
      </c>
      <c r="G3240" s="103" t="s">
        <v>4679</v>
      </c>
      <c r="H3240" s="103" t="s">
        <v>14512</v>
      </c>
      <c r="I3240" s="103">
        <v>3.115502851E9</v>
      </c>
      <c r="J3240" s="104" t="s">
        <v>14513</v>
      </c>
      <c r="K3240" s="107" t="s">
        <v>14514</v>
      </c>
      <c r="L3240" s="105"/>
    </row>
    <row r="3241">
      <c r="A3241" s="103" t="s">
        <v>4676</v>
      </c>
      <c r="B3241" s="103">
        <v>1.10013589401E11</v>
      </c>
      <c r="C3241" s="105"/>
      <c r="D3241" s="104" t="s">
        <v>14511</v>
      </c>
      <c r="E3241" s="104" t="s">
        <v>14515</v>
      </c>
      <c r="F3241" s="103" t="s">
        <v>4678</v>
      </c>
      <c r="G3241" s="103" t="s">
        <v>4679</v>
      </c>
      <c r="H3241" s="103" t="s">
        <v>14512</v>
      </c>
      <c r="I3241" s="103">
        <v>3.115502851E9</v>
      </c>
      <c r="J3241" s="104" t="s">
        <v>14513</v>
      </c>
      <c r="K3241" s="105"/>
      <c r="L3241" s="105"/>
    </row>
    <row r="3242">
      <c r="A3242" s="103" t="s">
        <v>4676</v>
      </c>
      <c r="B3242" s="103">
        <v>1.100135902E9</v>
      </c>
      <c r="C3242" s="105"/>
      <c r="D3242" s="104" t="s">
        <v>14516</v>
      </c>
      <c r="E3242" s="106"/>
      <c r="F3242" s="103" t="s">
        <v>4678</v>
      </c>
      <c r="G3242" s="103" t="s">
        <v>4679</v>
      </c>
      <c r="H3242" s="103" t="s">
        <v>14517</v>
      </c>
      <c r="I3242" s="103">
        <v>3.219409134E9</v>
      </c>
      <c r="J3242" s="104" t="s">
        <v>14518</v>
      </c>
      <c r="K3242" s="105"/>
      <c r="L3242" s="105"/>
    </row>
    <row r="3243">
      <c r="A3243" s="103" t="s">
        <v>4676</v>
      </c>
      <c r="B3243" s="103">
        <v>1.10013590201E11</v>
      </c>
      <c r="C3243" s="105"/>
      <c r="D3243" s="104" t="s">
        <v>14519</v>
      </c>
      <c r="E3243" s="104" t="s">
        <v>14520</v>
      </c>
      <c r="F3243" s="103" t="s">
        <v>4678</v>
      </c>
      <c r="G3243" s="103" t="s">
        <v>4679</v>
      </c>
      <c r="H3243" s="103" t="s">
        <v>14517</v>
      </c>
      <c r="I3243" s="103">
        <v>3.219409134E9</v>
      </c>
      <c r="J3243" s="104" t="s">
        <v>14521</v>
      </c>
      <c r="K3243" s="105"/>
      <c r="L3243" s="105"/>
    </row>
    <row r="3244">
      <c r="A3244" s="103" t="s">
        <v>4676</v>
      </c>
      <c r="B3244" s="103">
        <v>1.10013590202E11</v>
      </c>
      <c r="C3244" s="105"/>
      <c r="D3244" s="104" t="s">
        <v>14522</v>
      </c>
      <c r="E3244" s="104" t="s">
        <v>14520</v>
      </c>
      <c r="F3244" s="103" t="s">
        <v>4678</v>
      </c>
      <c r="G3244" s="103" t="s">
        <v>4679</v>
      </c>
      <c r="H3244" s="103" t="s">
        <v>14523</v>
      </c>
      <c r="I3244" s="103">
        <v>3.219409134E9</v>
      </c>
      <c r="J3244" s="104" t="s">
        <v>14521</v>
      </c>
      <c r="K3244" s="105"/>
      <c r="L3244" s="105"/>
    </row>
    <row r="3245">
      <c r="A3245" s="103" t="s">
        <v>4676</v>
      </c>
      <c r="B3245" s="103">
        <v>1.100135907E9</v>
      </c>
      <c r="C3245" s="105"/>
      <c r="D3245" s="104" t="s">
        <v>14524</v>
      </c>
      <c r="E3245" s="106"/>
      <c r="F3245" s="103" t="s">
        <v>4678</v>
      </c>
      <c r="G3245" s="103" t="s">
        <v>4679</v>
      </c>
      <c r="H3245" s="103" t="s">
        <v>14525</v>
      </c>
      <c r="I3245" s="103">
        <v>3.204783935E9</v>
      </c>
      <c r="J3245" s="104" t="s">
        <v>14526</v>
      </c>
      <c r="K3245" s="107" t="s">
        <v>14527</v>
      </c>
      <c r="L3245" s="105"/>
    </row>
    <row r="3246">
      <c r="A3246" s="103" t="s">
        <v>4676</v>
      </c>
      <c r="B3246" s="103">
        <v>1.10013590701E11</v>
      </c>
      <c r="C3246" s="105"/>
      <c r="D3246" s="104" t="s">
        <v>14528</v>
      </c>
      <c r="E3246" s="104" t="s">
        <v>14529</v>
      </c>
      <c r="F3246" s="103" t="s">
        <v>4678</v>
      </c>
      <c r="G3246" s="103" t="s">
        <v>4679</v>
      </c>
      <c r="H3246" s="103" t="s">
        <v>14525</v>
      </c>
      <c r="I3246" s="103">
        <v>6.014661298E9</v>
      </c>
      <c r="J3246" s="104" t="s">
        <v>14526</v>
      </c>
      <c r="K3246" s="105"/>
      <c r="L3246" s="105"/>
    </row>
    <row r="3247">
      <c r="A3247" s="103" t="s">
        <v>4676</v>
      </c>
      <c r="B3247" s="103">
        <v>1.100135908E9</v>
      </c>
      <c r="C3247" s="105"/>
      <c r="D3247" s="104" t="s">
        <v>14530</v>
      </c>
      <c r="E3247" s="106"/>
      <c r="F3247" s="103" t="s">
        <v>4678</v>
      </c>
      <c r="G3247" s="103" t="s">
        <v>4679</v>
      </c>
      <c r="H3247" s="103" t="s">
        <v>14531</v>
      </c>
      <c r="I3247" s="103">
        <v>3.002628435E9</v>
      </c>
      <c r="J3247" s="104" t="s">
        <v>14532</v>
      </c>
      <c r="K3247" s="105"/>
      <c r="L3247" s="105"/>
    </row>
    <row r="3248">
      <c r="A3248" s="103" t="s">
        <v>4676</v>
      </c>
      <c r="B3248" s="103">
        <v>1.10013590801E11</v>
      </c>
      <c r="C3248" s="105"/>
      <c r="D3248" s="104" t="s">
        <v>14533</v>
      </c>
      <c r="E3248" s="104" t="s">
        <v>14534</v>
      </c>
      <c r="F3248" s="103" t="s">
        <v>4678</v>
      </c>
      <c r="G3248" s="103" t="s">
        <v>4679</v>
      </c>
      <c r="H3248" s="103" t="s">
        <v>14535</v>
      </c>
      <c r="I3248" s="103">
        <v>3.002628435E9</v>
      </c>
      <c r="J3248" s="104" t="s">
        <v>14536</v>
      </c>
      <c r="K3248" s="105"/>
      <c r="L3248" s="105"/>
    </row>
    <row r="3249">
      <c r="A3249" s="103" t="s">
        <v>4676</v>
      </c>
      <c r="B3249" s="103">
        <v>1.100135928E9</v>
      </c>
      <c r="C3249" s="105"/>
      <c r="D3249" s="104" t="s">
        <v>14537</v>
      </c>
      <c r="E3249" s="106"/>
      <c r="F3249" s="103" t="s">
        <v>4678</v>
      </c>
      <c r="G3249" s="103" t="s">
        <v>4679</v>
      </c>
      <c r="H3249" s="103" t="s">
        <v>14538</v>
      </c>
      <c r="I3249" s="103" t="s">
        <v>14539</v>
      </c>
      <c r="J3249" s="104" t="s">
        <v>14540</v>
      </c>
      <c r="K3249" s="107" t="s">
        <v>14541</v>
      </c>
      <c r="L3249" s="105"/>
    </row>
    <row r="3250">
      <c r="A3250" s="103" t="s">
        <v>4676</v>
      </c>
      <c r="B3250" s="103">
        <v>1.10013592801E11</v>
      </c>
      <c r="C3250" s="105"/>
      <c r="D3250" s="104" t="s">
        <v>14542</v>
      </c>
      <c r="E3250" s="104" t="s">
        <v>14543</v>
      </c>
      <c r="F3250" s="103" t="s">
        <v>4678</v>
      </c>
      <c r="G3250" s="103" t="s">
        <v>4679</v>
      </c>
      <c r="H3250" s="103" t="s">
        <v>14538</v>
      </c>
      <c r="I3250" s="103">
        <v>3.176353366E9</v>
      </c>
      <c r="J3250" s="104" t="s">
        <v>14540</v>
      </c>
      <c r="K3250" s="105"/>
      <c r="L3250" s="105"/>
    </row>
    <row r="3251">
      <c r="A3251" s="103" t="s">
        <v>4676</v>
      </c>
      <c r="B3251" s="103">
        <v>1.100135953E9</v>
      </c>
      <c r="C3251" s="105"/>
      <c r="D3251" s="104" t="s">
        <v>14544</v>
      </c>
      <c r="E3251" s="106"/>
      <c r="F3251" s="103" t="s">
        <v>4678</v>
      </c>
      <c r="G3251" s="103" t="s">
        <v>4679</v>
      </c>
      <c r="H3251" s="103" t="s">
        <v>14545</v>
      </c>
      <c r="I3251" s="103">
        <v>3.108706667E9</v>
      </c>
      <c r="J3251" s="104" t="s">
        <v>14546</v>
      </c>
      <c r="K3251" s="105"/>
      <c r="L3251" s="105"/>
    </row>
    <row r="3252">
      <c r="A3252" s="103" t="s">
        <v>4676</v>
      </c>
      <c r="B3252" s="103">
        <v>1.10013595301E11</v>
      </c>
      <c r="C3252" s="105"/>
      <c r="D3252" s="104" t="s">
        <v>14544</v>
      </c>
      <c r="E3252" s="104" t="s">
        <v>14547</v>
      </c>
      <c r="F3252" s="103" t="s">
        <v>4678</v>
      </c>
      <c r="G3252" s="103" t="s">
        <v>4679</v>
      </c>
      <c r="H3252" s="103" t="s">
        <v>14545</v>
      </c>
      <c r="I3252" s="103">
        <v>3.108706667E9</v>
      </c>
      <c r="J3252" s="104" t="s">
        <v>14546</v>
      </c>
      <c r="K3252" s="105"/>
      <c r="L3252" s="105"/>
    </row>
    <row r="3253">
      <c r="A3253" s="103" t="s">
        <v>4676</v>
      </c>
      <c r="B3253" s="103">
        <v>1.100135957E9</v>
      </c>
      <c r="C3253" s="105"/>
      <c r="D3253" s="104" t="s">
        <v>14548</v>
      </c>
      <c r="E3253" s="106"/>
      <c r="F3253" s="103" t="s">
        <v>4678</v>
      </c>
      <c r="G3253" s="103" t="s">
        <v>4679</v>
      </c>
      <c r="H3253" s="103" t="s">
        <v>14549</v>
      </c>
      <c r="I3253" s="103" t="s">
        <v>14550</v>
      </c>
      <c r="J3253" s="104" t="s">
        <v>14551</v>
      </c>
      <c r="K3253" s="105"/>
      <c r="L3253" s="105"/>
    </row>
    <row r="3254">
      <c r="A3254" s="103" t="s">
        <v>4676</v>
      </c>
      <c r="B3254" s="103">
        <v>1.10013595701E11</v>
      </c>
      <c r="C3254" s="105"/>
      <c r="D3254" s="104" t="s">
        <v>14548</v>
      </c>
      <c r="E3254" s="104" t="s">
        <v>14552</v>
      </c>
      <c r="F3254" s="103" t="s">
        <v>4678</v>
      </c>
      <c r="G3254" s="103" t="s">
        <v>4679</v>
      </c>
      <c r="H3254" s="103" t="s">
        <v>14549</v>
      </c>
      <c r="I3254" s="103" t="s">
        <v>14550</v>
      </c>
      <c r="J3254" s="104" t="s">
        <v>14551</v>
      </c>
      <c r="K3254" s="105"/>
      <c r="L3254" s="105"/>
    </row>
    <row r="3255">
      <c r="A3255" s="103" t="s">
        <v>4676</v>
      </c>
      <c r="B3255" s="103">
        <v>1.100135958E9</v>
      </c>
      <c r="C3255" s="105"/>
      <c r="D3255" s="104" t="s">
        <v>14553</v>
      </c>
      <c r="E3255" s="106"/>
      <c r="F3255" s="103" t="s">
        <v>4678</v>
      </c>
      <c r="G3255" s="103" t="s">
        <v>4679</v>
      </c>
      <c r="H3255" s="103" t="s">
        <v>14554</v>
      </c>
      <c r="I3255" s="103" t="s">
        <v>14555</v>
      </c>
      <c r="J3255" s="104" t="s">
        <v>14556</v>
      </c>
      <c r="K3255" s="105"/>
      <c r="L3255" s="105"/>
    </row>
    <row r="3256">
      <c r="A3256" s="103" t="s">
        <v>4676</v>
      </c>
      <c r="B3256" s="103">
        <v>1.10013595801E11</v>
      </c>
      <c r="C3256" s="105"/>
      <c r="D3256" s="104" t="s">
        <v>14557</v>
      </c>
      <c r="E3256" s="104" t="s">
        <v>14558</v>
      </c>
      <c r="F3256" s="103" t="s">
        <v>4678</v>
      </c>
      <c r="G3256" s="103" t="s">
        <v>4679</v>
      </c>
      <c r="H3256" s="103" t="s">
        <v>14554</v>
      </c>
      <c r="I3256" s="103" t="s">
        <v>14559</v>
      </c>
      <c r="J3256" s="104" t="s">
        <v>14556</v>
      </c>
      <c r="K3256" s="105"/>
      <c r="L3256" s="105"/>
    </row>
    <row r="3257">
      <c r="A3257" s="103" t="s">
        <v>4676</v>
      </c>
      <c r="B3257" s="103">
        <v>1.100136052E9</v>
      </c>
      <c r="C3257" s="105"/>
      <c r="D3257" s="104" t="s">
        <v>14560</v>
      </c>
      <c r="E3257" s="106"/>
      <c r="F3257" s="103" t="s">
        <v>4678</v>
      </c>
      <c r="G3257" s="103" t="s">
        <v>4679</v>
      </c>
      <c r="H3257" s="103" t="s">
        <v>14561</v>
      </c>
      <c r="I3257" s="103">
        <v>3.164916178E9</v>
      </c>
      <c r="J3257" s="104" t="s">
        <v>14562</v>
      </c>
      <c r="K3257" s="105"/>
      <c r="L3257" s="105"/>
    </row>
    <row r="3258">
      <c r="A3258" s="103" t="s">
        <v>4676</v>
      </c>
      <c r="B3258" s="103">
        <v>1.10013605201E11</v>
      </c>
      <c r="C3258" s="105"/>
      <c r="D3258" s="104" t="s">
        <v>14560</v>
      </c>
      <c r="E3258" s="104" t="s">
        <v>14563</v>
      </c>
      <c r="F3258" s="103" t="s">
        <v>4678</v>
      </c>
      <c r="G3258" s="103" t="s">
        <v>4679</v>
      </c>
      <c r="H3258" s="103" t="s">
        <v>14564</v>
      </c>
      <c r="I3258" s="103">
        <v>3.164916178E9</v>
      </c>
      <c r="J3258" s="104" t="s">
        <v>14562</v>
      </c>
      <c r="K3258" s="105"/>
      <c r="L3258" s="105"/>
    </row>
    <row r="3259">
      <c r="A3259" s="103" t="s">
        <v>4676</v>
      </c>
      <c r="B3259" s="103">
        <v>1.100136093E9</v>
      </c>
      <c r="C3259" s="105"/>
      <c r="D3259" s="104" t="s">
        <v>14565</v>
      </c>
      <c r="E3259" s="106"/>
      <c r="F3259" s="103" t="s">
        <v>4678</v>
      </c>
      <c r="G3259" s="103" t="s">
        <v>4679</v>
      </c>
      <c r="H3259" s="103" t="s">
        <v>14566</v>
      </c>
      <c r="I3259" s="103">
        <v>3.165592036E9</v>
      </c>
      <c r="J3259" s="104" t="s">
        <v>14567</v>
      </c>
      <c r="K3259" s="105"/>
      <c r="L3259" s="105"/>
    </row>
    <row r="3260">
      <c r="A3260" s="103" t="s">
        <v>4676</v>
      </c>
      <c r="B3260" s="103">
        <v>1.10013609301E11</v>
      </c>
      <c r="C3260" s="105"/>
      <c r="D3260" s="104" t="s">
        <v>14568</v>
      </c>
      <c r="E3260" s="104" t="s">
        <v>14569</v>
      </c>
      <c r="F3260" s="103" t="s">
        <v>4678</v>
      </c>
      <c r="G3260" s="103" t="s">
        <v>4679</v>
      </c>
      <c r="H3260" s="103" t="s">
        <v>14570</v>
      </c>
      <c r="I3260" s="103">
        <v>3.165592036E9</v>
      </c>
      <c r="J3260" s="104" t="s">
        <v>14567</v>
      </c>
      <c r="K3260" s="105"/>
      <c r="L3260" s="105"/>
    </row>
    <row r="3261">
      <c r="A3261" s="103" t="s">
        <v>4676</v>
      </c>
      <c r="B3261" s="103">
        <v>1.10013609302E11</v>
      </c>
      <c r="C3261" s="105"/>
      <c r="D3261" s="104" t="s">
        <v>14568</v>
      </c>
      <c r="E3261" s="104" t="s">
        <v>14571</v>
      </c>
      <c r="F3261" s="103" t="s">
        <v>4678</v>
      </c>
      <c r="G3261" s="103" t="s">
        <v>4679</v>
      </c>
      <c r="H3261" s="103" t="s">
        <v>14572</v>
      </c>
      <c r="I3261" s="103">
        <v>3.165592036E9</v>
      </c>
      <c r="J3261" s="104" t="s">
        <v>14567</v>
      </c>
      <c r="K3261" s="105"/>
      <c r="L3261" s="105"/>
    </row>
    <row r="3262">
      <c r="A3262" s="103" t="s">
        <v>4676</v>
      </c>
      <c r="B3262" s="103">
        <v>1.100136182E9</v>
      </c>
      <c r="C3262" s="105"/>
      <c r="D3262" s="104" t="s">
        <v>14573</v>
      </c>
      <c r="E3262" s="106"/>
      <c r="F3262" s="103" t="s">
        <v>4678</v>
      </c>
      <c r="G3262" s="103" t="s">
        <v>4679</v>
      </c>
      <c r="H3262" s="103" t="s">
        <v>14574</v>
      </c>
      <c r="I3262" s="103">
        <v>3.173832551E9</v>
      </c>
      <c r="J3262" s="104" t="s">
        <v>14575</v>
      </c>
      <c r="K3262" s="107" t="s">
        <v>14576</v>
      </c>
      <c r="L3262" s="105"/>
    </row>
    <row r="3263">
      <c r="A3263" s="103" t="s">
        <v>4676</v>
      </c>
      <c r="B3263" s="103">
        <v>1.10013618201E11</v>
      </c>
      <c r="C3263" s="105"/>
      <c r="D3263" s="104" t="s">
        <v>14573</v>
      </c>
      <c r="E3263" s="104" t="s">
        <v>14577</v>
      </c>
      <c r="F3263" s="103" t="s">
        <v>4678</v>
      </c>
      <c r="G3263" s="103" t="s">
        <v>4679</v>
      </c>
      <c r="H3263" s="103" t="s">
        <v>14574</v>
      </c>
      <c r="I3263" s="103">
        <v>3.173832551E9</v>
      </c>
      <c r="J3263" s="104" t="s">
        <v>14575</v>
      </c>
      <c r="K3263" s="105"/>
      <c r="L3263" s="105"/>
    </row>
    <row r="3264">
      <c r="A3264" s="103" t="s">
        <v>4676</v>
      </c>
      <c r="B3264" s="103">
        <v>1.100136189E9</v>
      </c>
      <c r="C3264" s="105"/>
      <c r="D3264" s="104" t="s">
        <v>14578</v>
      </c>
      <c r="E3264" s="106"/>
      <c r="F3264" s="103" t="s">
        <v>4678</v>
      </c>
      <c r="G3264" s="103" t="s">
        <v>4679</v>
      </c>
      <c r="H3264" s="103" t="s">
        <v>14579</v>
      </c>
      <c r="I3264" s="103" t="s">
        <v>14580</v>
      </c>
      <c r="J3264" s="104" t="s">
        <v>14581</v>
      </c>
      <c r="K3264" s="105"/>
      <c r="L3264" s="105"/>
    </row>
    <row r="3265">
      <c r="A3265" s="103" t="s">
        <v>4676</v>
      </c>
      <c r="B3265" s="103">
        <v>1.10013618901E11</v>
      </c>
      <c r="C3265" s="105"/>
      <c r="D3265" s="104" t="s">
        <v>14582</v>
      </c>
      <c r="E3265" s="104" t="s">
        <v>14583</v>
      </c>
      <c r="F3265" s="103" t="s">
        <v>4678</v>
      </c>
      <c r="G3265" s="103" t="s">
        <v>4679</v>
      </c>
      <c r="H3265" s="103" t="s">
        <v>14579</v>
      </c>
      <c r="I3265" s="103" t="s">
        <v>14580</v>
      </c>
      <c r="J3265" s="104" t="s">
        <v>14581</v>
      </c>
      <c r="K3265" s="105"/>
      <c r="L3265" s="105"/>
    </row>
    <row r="3266">
      <c r="A3266" s="103" t="s">
        <v>4676</v>
      </c>
      <c r="B3266" s="103">
        <v>1.10013618902E11</v>
      </c>
      <c r="C3266" s="105"/>
      <c r="D3266" s="104" t="s">
        <v>14584</v>
      </c>
      <c r="E3266" s="104" t="s">
        <v>14583</v>
      </c>
      <c r="F3266" s="103" t="s">
        <v>4678</v>
      </c>
      <c r="G3266" s="103" t="s">
        <v>4679</v>
      </c>
      <c r="H3266" s="103" t="s">
        <v>14585</v>
      </c>
      <c r="I3266" s="103" t="s">
        <v>14580</v>
      </c>
      <c r="J3266" s="104" t="s">
        <v>14581</v>
      </c>
      <c r="K3266" s="105"/>
      <c r="L3266" s="105"/>
    </row>
    <row r="3267">
      <c r="A3267" s="103" t="s">
        <v>4676</v>
      </c>
      <c r="B3267" s="103">
        <v>1.100136206E9</v>
      </c>
      <c r="C3267" s="105"/>
      <c r="D3267" s="104" t="s">
        <v>14586</v>
      </c>
      <c r="E3267" s="106"/>
      <c r="F3267" s="103" t="s">
        <v>4678</v>
      </c>
      <c r="G3267" s="103" t="s">
        <v>4679</v>
      </c>
      <c r="H3267" s="103" t="s">
        <v>14587</v>
      </c>
      <c r="I3267" s="103">
        <v>3.134965171E9</v>
      </c>
      <c r="J3267" s="104" t="s">
        <v>14588</v>
      </c>
      <c r="K3267" s="107" t="s">
        <v>14589</v>
      </c>
      <c r="L3267" s="105"/>
    </row>
    <row r="3268">
      <c r="A3268" s="103" t="s">
        <v>4676</v>
      </c>
      <c r="B3268" s="103">
        <v>1.10013620601E11</v>
      </c>
      <c r="C3268" s="105"/>
      <c r="D3268" s="104" t="s">
        <v>14586</v>
      </c>
      <c r="E3268" s="104" t="s">
        <v>14590</v>
      </c>
      <c r="F3268" s="103" t="s">
        <v>4678</v>
      </c>
      <c r="G3268" s="103" t="s">
        <v>4679</v>
      </c>
      <c r="H3268" s="103" t="s">
        <v>14587</v>
      </c>
      <c r="I3268" s="103">
        <v>3.134965171E9</v>
      </c>
      <c r="J3268" s="104" t="s">
        <v>14591</v>
      </c>
      <c r="K3268" s="105"/>
      <c r="L3268" s="105"/>
    </row>
    <row r="3269">
      <c r="A3269" s="103" t="s">
        <v>4676</v>
      </c>
      <c r="B3269" s="103">
        <v>1.100136229E9</v>
      </c>
      <c r="C3269" s="105"/>
      <c r="D3269" s="104" t="s">
        <v>14592</v>
      </c>
      <c r="E3269" s="106"/>
      <c r="F3269" s="103" t="s">
        <v>4678</v>
      </c>
      <c r="G3269" s="103" t="s">
        <v>4679</v>
      </c>
      <c r="H3269" s="103" t="s">
        <v>14593</v>
      </c>
      <c r="I3269" s="103" t="s">
        <v>14594</v>
      </c>
      <c r="J3269" s="104" t="s">
        <v>14595</v>
      </c>
      <c r="K3269" s="105"/>
      <c r="L3269" s="105"/>
    </row>
    <row r="3270">
      <c r="A3270" s="103" t="s">
        <v>4676</v>
      </c>
      <c r="B3270" s="103">
        <v>1.10013622901E11</v>
      </c>
      <c r="C3270" s="105"/>
      <c r="D3270" s="104" t="s">
        <v>14596</v>
      </c>
      <c r="E3270" s="104" t="s">
        <v>14597</v>
      </c>
      <c r="F3270" s="103" t="s">
        <v>4678</v>
      </c>
      <c r="G3270" s="103" t="s">
        <v>4679</v>
      </c>
      <c r="H3270" s="103" t="s">
        <v>14598</v>
      </c>
      <c r="I3270" s="103" t="s">
        <v>14599</v>
      </c>
      <c r="J3270" s="104" t="s">
        <v>14595</v>
      </c>
      <c r="K3270" s="105"/>
      <c r="L3270" s="105"/>
    </row>
    <row r="3271">
      <c r="A3271" s="103" t="s">
        <v>4676</v>
      </c>
      <c r="B3271" s="103">
        <v>1.100136278E9</v>
      </c>
      <c r="C3271" s="105"/>
      <c r="D3271" s="104" t="s">
        <v>14600</v>
      </c>
      <c r="E3271" s="106"/>
      <c r="F3271" s="103" t="s">
        <v>4678</v>
      </c>
      <c r="G3271" s="103" t="s">
        <v>4679</v>
      </c>
      <c r="H3271" s="103" t="s">
        <v>14601</v>
      </c>
      <c r="I3271" s="103">
        <v>3.222779385E9</v>
      </c>
      <c r="J3271" s="104" t="s">
        <v>14602</v>
      </c>
      <c r="K3271" s="105"/>
      <c r="L3271" s="105"/>
    </row>
    <row r="3272">
      <c r="A3272" s="103" t="s">
        <v>4676</v>
      </c>
      <c r="B3272" s="103">
        <v>1.10013627801E11</v>
      </c>
      <c r="C3272" s="105"/>
      <c r="D3272" s="104" t="s">
        <v>14603</v>
      </c>
      <c r="E3272" s="104" t="s">
        <v>14604</v>
      </c>
      <c r="F3272" s="103" t="s">
        <v>4678</v>
      </c>
      <c r="G3272" s="103" t="s">
        <v>4679</v>
      </c>
      <c r="H3272" s="103" t="s">
        <v>14605</v>
      </c>
      <c r="I3272" s="103">
        <v>3.184871071E9</v>
      </c>
      <c r="J3272" s="104" t="s">
        <v>14602</v>
      </c>
      <c r="K3272" s="105"/>
      <c r="L3272" s="105"/>
    </row>
    <row r="3273">
      <c r="A3273" s="103" t="s">
        <v>4676</v>
      </c>
      <c r="B3273" s="103">
        <v>1.10013627802E11</v>
      </c>
      <c r="C3273" s="105"/>
      <c r="D3273" s="104" t="s">
        <v>14606</v>
      </c>
      <c r="E3273" s="104" t="s">
        <v>14604</v>
      </c>
      <c r="F3273" s="103" t="s">
        <v>4678</v>
      </c>
      <c r="G3273" s="103" t="s">
        <v>4679</v>
      </c>
      <c r="H3273" s="103" t="s">
        <v>14607</v>
      </c>
      <c r="I3273" s="103">
        <v>3.222779385E9</v>
      </c>
      <c r="J3273" s="104" t="s">
        <v>14602</v>
      </c>
      <c r="K3273" s="105"/>
      <c r="L3273" s="105"/>
    </row>
    <row r="3274">
      <c r="A3274" s="103" t="s">
        <v>4676</v>
      </c>
      <c r="B3274" s="103">
        <v>1.1001363E9</v>
      </c>
      <c r="C3274" s="105"/>
      <c r="D3274" s="104" t="s">
        <v>14608</v>
      </c>
      <c r="E3274" s="106"/>
      <c r="F3274" s="103" t="s">
        <v>4678</v>
      </c>
      <c r="G3274" s="103" t="s">
        <v>4679</v>
      </c>
      <c r="H3274" s="103" t="s">
        <v>14609</v>
      </c>
      <c r="I3274" s="103">
        <v>6466060.0</v>
      </c>
      <c r="J3274" s="104" t="s">
        <v>9159</v>
      </c>
      <c r="K3274" s="107" t="s">
        <v>9160</v>
      </c>
      <c r="L3274" s="105"/>
    </row>
    <row r="3275">
      <c r="A3275" s="103" t="s">
        <v>4676</v>
      </c>
      <c r="B3275" s="103">
        <v>1.10013630001E11</v>
      </c>
      <c r="C3275" s="105"/>
      <c r="D3275" s="104" t="s">
        <v>14610</v>
      </c>
      <c r="E3275" s="104" t="s">
        <v>14611</v>
      </c>
      <c r="F3275" s="103" t="s">
        <v>4678</v>
      </c>
      <c r="G3275" s="103" t="s">
        <v>4679</v>
      </c>
      <c r="H3275" s="103" t="s">
        <v>14612</v>
      </c>
      <c r="I3275" s="103" t="s">
        <v>14613</v>
      </c>
      <c r="J3275" s="104" t="s">
        <v>9159</v>
      </c>
      <c r="K3275" s="105"/>
      <c r="L3275" s="105"/>
    </row>
    <row r="3276">
      <c r="A3276" s="103" t="s">
        <v>4676</v>
      </c>
      <c r="B3276" s="103">
        <v>1.10013630002E11</v>
      </c>
      <c r="C3276" s="105"/>
      <c r="D3276" s="104" t="s">
        <v>14614</v>
      </c>
      <c r="E3276" s="104" t="s">
        <v>14611</v>
      </c>
      <c r="F3276" s="103" t="s">
        <v>4678</v>
      </c>
      <c r="G3276" s="103" t="s">
        <v>4679</v>
      </c>
      <c r="H3276" s="103" t="s">
        <v>14615</v>
      </c>
      <c r="I3276" s="103" t="s">
        <v>14616</v>
      </c>
      <c r="J3276" s="104" t="s">
        <v>9159</v>
      </c>
      <c r="K3276" s="105"/>
      <c r="L3276" s="105"/>
    </row>
    <row r="3277">
      <c r="A3277" s="103" t="s">
        <v>4676</v>
      </c>
      <c r="B3277" s="103">
        <v>1.10013630003E11</v>
      </c>
      <c r="C3277" s="105"/>
      <c r="D3277" s="104" t="s">
        <v>14617</v>
      </c>
      <c r="E3277" s="104" t="s">
        <v>14611</v>
      </c>
      <c r="F3277" s="103" t="s">
        <v>4678</v>
      </c>
      <c r="G3277" s="103" t="s">
        <v>4679</v>
      </c>
      <c r="H3277" s="103" t="s">
        <v>14618</v>
      </c>
      <c r="I3277" s="103" t="s">
        <v>14616</v>
      </c>
      <c r="J3277" s="104" t="s">
        <v>9159</v>
      </c>
      <c r="K3277" s="105"/>
      <c r="L3277" s="105"/>
    </row>
    <row r="3278">
      <c r="A3278" s="103" t="s">
        <v>4676</v>
      </c>
      <c r="B3278" s="103">
        <v>1.10013630004E11</v>
      </c>
      <c r="C3278" s="105"/>
      <c r="D3278" s="104" t="s">
        <v>14619</v>
      </c>
      <c r="E3278" s="104" t="s">
        <v>14611</v>
      </c>
      <c r="F3278" s="103" t="s">
        <v>4678</v>
      </c>
      <c r="G3278" s="103" t="s">
        <v>4679</v>
      </c>
      <c r="H3278" s="103" t="s">
        <v>14620</v>
      </c>
      <c r="I3278" s="103">
        <v>6466060.0</v>
      </c>
      <c r="J3278" s="104" t="s">
        <v>9159</v>
      </c>
      <c r="K3278" s="105"/>
      <c r="L3278" s="105"/>
    </row>
    <row r="3279">
      <c r="A3279" s="103" t="s">
        <v>4676</v>
      </c>
      <c r="B3279" s="103">
        <v>1.10013630005E11</v>
      </c>
      <c r="C3279" s="105"/>
      <c r="D3279" s="104" t="s">
        <v>14621</v>
      </c>
      <c r="E3279" s="104" t="s">
        <v>14611</v>
      </c>
      <c r="F3279" s="103" t="s">
        <v>4678</v>
      </c>
      <c r="G3279" s="103" t="s">
        <v>4679</v>
      </c>
      <c r="H3279" s="103" t="s">
        <v>14622</v>
      </c>
      <c r="I3279" s="103">
        <v>5895303.0</v>
      </c>
      <c r="J3279" s="104" t="s">
        <v>9159</v>
      </c>
      <c r="K3279" s="105"/>
      <c r="L3279" s="105"/>
    </row>
    <row r="3280">
      <c r="A3280" s="103" t="s">
        <v>4676</v>
      </c>
      <c r="B3280" s="103">
        <v>1.10013630007E11</v>
      </c>
      <c r="C3280" s="105"/>
      <c r="D3280" s="104" t="s">
        <v>14623</v>
      </c>
      <c r="E3280" s="104" t="s">
        <v>14611</v>
      </c>
      <c r="F3280" s="103" t="s">
        <v>4678</v>
      </c>
      <c r="G3280" s="103" t="s">
        <v>4679</v>
      </c>
      <c r="H3280" s="103" t="s">
        <v>14624</v>
      </c>
      <c r="I3280" s="103" t="s">
        <v>14616</v>
      </c>
      <c r="J3280" s="104" t="s">
        <v>9159</v>
      </c>
      <c r="K3280" s="105"/>
      <c r="L3280" s="105"/>
    </row>
    <row r="3281">
      <c r="A3281" s="103" t="s">
        <v>4676</v>
      </c>
      <c r="B3281" s="103">
        <v>1.10013630008E11</v>
      </c>
      <c r="C3281" s="105"/>
      <c r="D3281" s="104" t="s">
        <v>14625</v>
      </c>
      <c r="E3281" s="104" t="s">
        <v>14611</v>
      </c>
      <c r="F3281" s="103" t="s">
        <v>4678</v>
      </c>
      <c r="G3281" s="103" t="s">
        <v>4679</v>
      </c>
      <c r="H3281" s="103" t="s">
        <v>14626</v>
      </c>
      <c r="I3281" s="103" t="s">
        <v>14616</v>
      </c>
      <c r="J3281" s="104" t="s">
        <v>9159</v>
      </c>
      <c r="K3281" s="105"/>
      <c r="L3281" s="105"/>
    </row>
    <row r="3282">
      <c r="A3282" s="103" t="s">
        <v>4676</v>
      </c>
      <c r="B3282" s="103">
        <v>1.10013630009E11</v>
      </c>
      <c r="C3282" s="105"/>
      <c r="D3282" s="104" t="s">
        <v>14627</v>
      </c>
      <c r="E3282" s="104" t="s">
        <v>14611</v>
      </c>
      <c r="F3282" s="103" t="s">
        <v>4678</v>
      </c>
      <c r="G3282" s="103" t="s">
        <v>4679</v>
      </c>
      <c r="H3282" s="103" t="s">
        <v>14628</v>
      </c>
      <c r="I3282" s="103">
        <v>6466060.0</v>
      </c>
      <c r="J3282" s="104" t="s">
        <v>9159</v>
      </c>
      <c r="K3282" s="105"/>
      <c r="L3282" s="105"/>
    </row>
    <row r="3283">
      <c r="A3283" s="103" t="s">
        <v>4676</v>
      </c>
      <c r="B3283" s="103">
        <v>1.1001363001E11</v>
      </c>
      <c r="C3283" s="105"/>
      <c r="D3283" s="104" t="s">
        <v>14629</v>
      </c>
      <c r="E3283" s="104" t="s">
        <v>14630</v>
      </c>
      <c r="F3283" s="103" t="s">
        <v>4678</v>
      </c>
      <c r="G3283" s="103" t="s">
        <v>4679</v>
      </c>
      <c r="H3283" s="103" t="s">
        <v>14631</v>
      </c>
      <c r="I3283" s="103">
        <v>6466060.0</v>
      </c>
      <c r="J3283" s="104" t="s">
        <v>14632</v>
      </c>
      <c r="K3283" s="105"/>
      <c r="L3283" s="105"/>
    </row>
    <row r="3284">
      <c r="A3284" s="103" t="s">
        <v>4676</v>
      </c>
      <c r="B3284" s="103">
        <v>1.10013630011E11</v>
      </c>
      <c r="C3284" s="105"/>
      <c r="D3284" s="104" t="s">
        <v>14633</v>
      </c>
      <c r="E3284" s="104" t="s">
        <v>14634</v>
      </c>
      <c r="F3284" s="103" t="s">
        <v>4678</v>
      </c>
      <c r="G3284" s="103" t="s">
        <v>4679</v>
      </c>
      <c r="H3284" s="103" t="s">
        <v>14635</v>
      </c>
      <c r="I3284" s="103" t="s">
        <v>14636</v>
      </c>
      <c r="J3284" s="104" t="s">
        <v>14632</v>
      </c>
      <c r="K3284" s="105"/>
      <c r="L3284" s="105"/>
    </row>
    <row r="3285">
      <c r="A3285" s="103" t="s">
        <v>4676</v>
      </c>
      <c r="B3285" s="103">
        <v>1.10013630012E11</v>
      </c>
      <c r="C3285" s="105"/>
      <c r="D3285" s="104" t="s">
        <v>14637</v>
      </c>
      <c r="E3285" s="104" t="s">
        <v>14634</v>
      </c>
      <c r="F3285" s="103" t="s">
        <v>4678</v>
      </c>
      <c r="G3285" s="103" t="s">
        <v>4679</v>
      </c>
      <c r="H3285" s="103" t="s">
        <v>14638</v>
      </c>
      <c r="I3285" s="103">
        <v>6466060.0</v>
      </c>
      <c r="J3285" s="104" t="s">
        <v>14632</v>
      </c>
      <c r="K3285" s="105"/>
      <c r="L3285" s="105"/>
    </row>
    <row r="3286">
      <c r="A3286" s="103" t="s">
        <v>4676</v>
      </c>
      <c r="B3286" s="103">
        <v>1.10013630013E11</v>
      </c>
      <c r="C3286" s="105"/>
      <c r="D3286" s="104" t="s">
        <v>14639</v>
      </c>
      <c r="E3286" s="104" t="s">
        <v>14634</v>
      </c>
      <c r="F3286" s="103" t="s">
        <v>4678</v>
      </c>
      <c r="G3286" s="103" t="s">
        <v>4679</v>
      </c>
      <c r="H3286" s="103" t="s">
        <v>14640</v>
      </c>
      <c r="I3286" s="103" t="s">
        <v>14641</v>
      </c>
      <c r="J3286" s="104" t="s">
        <v>14632</v>
      </c>
      <c r="K3286" s="105"/>
      <c r="L3286" s="105"/>
    </row>
    <row r="3287">
      <c r="A3287" s="103" t="s">
        <v>4676</v>
      </c>
      <c r="B3287" s="103">
        <v>1.10013630014E11</v>
      </c>
      <c r="C3287" s="105"/>
      <c r="D3287" s="104" t="s">
        <v>14642</v>
      </c>
      <c r="E3287" s="104" t="s">
        <v>14634</v>
      </c>
      <c r="F3287" s="103" t="s">
        <v>4678</v>
      </c>
      <c r="G3287" s="103" t="s">
        <v>4679</v>
      </c>
      <c r="H3287" s="103" t="s">
        <v>14643</v>
      </c>
      <c r="I3287" s="103">
        <v>6466060.0</v>
      </c>
      <c r="J3287" s="104" t="s">
        <v>14632</v>
      </c>
      <c r="K3287" s="105"/>
      <c r="L3287" s="105"/>
    </row>
    <row r="3288">
      <c r="A3288" s="103" t="s">
        <v>4676</v>
      </c>
      <c r="B3288" s="103">
        <v>1.10013630015E11</v>
      </c>
      <c r="C3288" s="105"/>
      <c r="D3288" s="104" t="s">
        <v>14644</v>
      </c>
      <c r="E3288" s="104" t="s">
        <v>14634</v>
      </c>
      <c r="F3288" s="103" t="s">
        <v>4678</v>
      </c>
      <c r="G3288" s="103" t="s">
        <v>4679</v>
      </c>
      <c r="H3288" s="103" t="s">
        <v>14645</v>
      </c>
      <c r="I3288" s="103" t="s">
        <v>14646</v>
      </c>
      <c r="J3288" s="104" t="s">
        <v>14632</v>
      </c>
      <c r="K3288" s="105"/>
      <c r="L3288" s="105"/>
    </row>
    <row r="3289">
      <c r="A3289" s="103" t="s">
        <v>4676</v>
      </c>
      <c r="B3289" s="103">
        <v>1.10013630016E11</v>
      </c>
      <c r="C3289" s="105"/>
      <c r="D3289" s="104" t="s">
        <v>14647</v>
      </c>
      <c r="E3289" s="104" t="s">
        <v>14634</v>
      </c>
      <c r="F3289" s="103" t="s">
        <v>4678</v>
      </c>
      <c r="G3289" s="103" t="s">
        <v>4679</v>
      </c>
      <c r="H3289" s="103" t="s">
        <v>14648</v>
      </c>
      <c r="I3289" s="103">
        <v>5895363.0</v>
      </c>
      <c r="J3289" s="104" t="s">
        <v>14632</v>
      </c>
      <c r="K3289" s="105"/>
      <c r="L3289" s="105"/>
    </row>
    <row r="3290">
      <c r="A3290" s="103" t="s">
        <v>4676</v>
      </c>
      <c r="B3290" s="103">
        <v>1.10013630017E11</v>
      </c>
      <c r="C3290" s="105"/>
      <c r="D3290" s="104" t="s">
        <v>14649</v>
      </c>
      <c r="E3290" s="104" t="s">
        <v>14634</v>
      </c>
      <c r="F3290" s="103" t="s">
        <v>4678</v>
      </c>
      <c r="G3290" s="103" t="s">
        <v>4679</v>
      </c>
      <c r="H3290" s="103" t="s">
        <v>14650</v>
      </c>
      <c r="I3290" s="103">
        <v>6466060.0</v>
      </c>
      <c r="J3290" s="104" t="s">
        <v>14632</v>
      </c>
      <c r="K3290" s="105"/>
      <c r="L3290" s="105"/>
    </row>
    <row r="3291">
      <c r="A3291" s="103" t="s">
        <v>4676</v>
      </c>
      <c r="B3291" s="103">
        <v>1.10013630018E11</v>
      </c>
      <c r="C3291" s="105"/>
      <c r="D3291" s="104" t="s">
        <v>14651</v>
      </c>
      <c r="E3291" s="104" t="s">
        <v>14634</v>
      </c>
      <c r="F3291" s="103" t="s">
        <v>4678</v>
      </c>
      <c r="G3291" s="103" t="s">
        <v>4679</v>
      </c>
      <c r="H3291" s="103" t="s">
        <v>14652</v>
      </c>
      <c r="I3291" s="103">
        <v>6466060.0</v>
      </c>
      <c r="J3291" s="104" t="s">
        <v>14632</v>
      </c>
      <c r="K3291" s="105"/>
      <c r="L3291" s="105"/>
    </row>
    <row r="3292">
      <c r="A3292" s="103" t="s">
        <v>4676</v>
      </c>
      <c r="B3292" s="103">
        <v>1.10013630019E11</v>
      </c>
      <c r="C3292" s="105"/>
      <c r="D3292" s="104" t="s">
        <v>14653</v>
      </c>
      <c r="E3292" s="104" t="s">
        <v>14630</v>
      </c>
      <c r="F3292" s="103" t="s">
        <v>4678</v>
      </c>
      <c r="G3292" s="103" t="s">
        <v>4679</v>
      </c>
      <c r="H3292" s="103" t="s">
        <v>14654</v>
      </c>
      <c r="I3292" s="103">
        <v>6466060.0</v>
      </c>
      <c r="J3292" s="104" t="s">
        <v>14632</v>
      </c>
      <c r="K3292" s="105"/>
      <c r="L3292" s="105"/>
    </row>
    <row r="3293">
      <c r="A3293" s="103" t="s">
        <v>4676</v>
      </c>
      <c r="B3293" s="103">
        <v>1.1001363002E11</v>
      </c>
      <c r="C3293" s="105"/>
      <c r="D3293" s="104" t="s">
        <v>14655</v>
      </c>
      <c r="E3293" s="104" t="s">
        <v>14634</v>
      </c>
      <c r="F3293" s="103" t="s">
        <v>4678</v>
      </c>
      <c r="G3293" s="103" t="s">
        <v>4679</v>
      </c>
      <c r="H3293" s="103" t="s">
        <v>14656</v>
      </c>
      <c r="I3293" s="103">
        <v>6466060.0</v>
      </c>
      <c r="J3293" s="104" t="s">
        <v>14632</v>
      </c>
      <c r="K3293" s="105"/>
      <c r="L3293" s="105"/>
    </row>
    <row r="3294">
      <c r="A3294" s="103" t="s">
        <v>4676</v>
      </c>
      <c r="B3294" s="103">
        <v>1.10013630021E11</v>
      </c>
      <c r="C3294" s="105"/>
      <c r="D3294" s="104" t="s">
        <v>14657</v>
      </c>
      <c r="E3294" s="104" t="s">
        <v>14634</v>
      </c>
      <c r="F3294" s="103" t="s">
        <v>4678</v>
      </c>
      <c r="G3294" s="103" t="s">
        <v>4679</v>
      </c>
      <c r="H3294" s="103" t="s">
        <v>14658</v>
      </c>
      <c r="I3294" s="103">
        <v>6466060.0</v>
      </c>
      <c r="J3294" s="104" t="s">
        <v>14632</v>
      </c>
      <c r="K3294" s="105"/>
      <c r="L3294" s="105"/>
    </row>
    <row r="3295">
      <c r="A3295" s="103" t="s">
        <v>4676</v>
      </c>
      <c r="B3295" s="103">
        <v>1.10013630022E11</v>
      </c>
      <c r="C3295" s="105"/>
      <c r="D3295" s="104" t="s">
        <v>14659</v>
      </c>
      <c r="E3295" s="104" t="s">
        <v>14634</v>
      </c>
      <c r="F3295" s="103" t="s">
        <v>4678</v>
      </c>
      <c r="G3295" s="103" t="s">
        <v>4679</v>
      </c>
      <c r="H3295" s="103" t="s">
        <v>14660</v>
      </c>
      <c r="I3295" s="103">
        <v>6466060.0</v>
      </c>
      <c r="J3295" s="104" t="s">
        <v>14632</v>
      </c>
      <c r="K3295" s="105"/>
      <c r="L3295" s="105"/>
    </row>
    <row r="3296">
      <c r="A3296" s="103" t="s">
        <v>4676</v>
      </c>
      <c r="B3296" s="103">
        <v>1.10013630024E11</v>
      </c>
      <c r="C3296" s="105"/>
      <c r="D3296" s="104" t="s">
        <v>14661</v>
      </c>
      <c r="E3296" s="104" t="s">
        <v>14634</v>
      </c>
      <c r="F3296" s="103" t="s">
        <v>4678</v>
      </c>
      <c r="G3296" s="103" t="s">
        <v>4679</v>
      </c>
      <c r="H3296" s="103" t="s">
        <v>14662</v>
      </c>
      <c r="I3296" s="103">
        <v>6466060.0</v>
      </c>
      <c r="J3296" s="104" t="s">
        <v>14632</v>
      </c>
      <c r="K3296" s="105"/>
      <c r="L3296" s="105"/>
    </row>
    <row r="3297">
      <c r="A3297" s="103" t="s">
        <v>4676</v>
      </c>
      <c r="B3297" s="103">
        <v>1.10013630027E11</v>
      </c>
      <c r="C3297" s="105"/>
      <c r="D3297" s="104" t="s">
        <v>14663</v>
      </c>
      <c r="E3297" s="104" t="s">
        <v>14611</v>
      </c>
      <c r="F3297" s="103" t="s">
        <v>4678</v>
      </c>
      <c r="G3297" s="103" t="s">
        <v>4679</v>
      </c>
      <c r="H3297" s="103" t="s">
        <v>14664</v>
      </c>
      <c r="I3297" s="103">
        <v>6466060.0</v>
      </c>
      <c r="J3297" s="104" t="s">
        <v>9159</v>
      </c>
      <c r="K3297" s="105"/>
      <c r="L3297" s="105"/>
    </row>
    <row r="3298">
      <c r="A3298" s="103" t="s">
        <v>4676</v>
      </c>
      <c r="B3298" s="103">
        <v>1.10013630028E11</v>
      </c>
      <c r="C3298" s="105"/>
      <c r="D3298" s="104" t="s">
        <v>14665</v>
      </c>
      <c r="E3298" s="104" t="s">
        <v>14634</v>
      </c>
      <c r="F3298" s="103" t="s">
        <v>4678</v>
      </c>
      <c r="G3298" s="103" t="s">
        <v>4679</v>
      </c>
      <c r="H3298" s="103" t="s">
        <v>14666</v>
      </c>
      <c r="I3298" s="103">
        <v>6466060.0</v>
      </c>
      <c r="J3298" s="104" t="s">
        <v>14632</v>
      </c>
      <c r="K3298" s="105"/>
      <c r="L3298" s="105"/>
    </row>
    <row r="3299">
      <c r="A3299" s="103" t="s">
        <v>4676</v>
      </c>
      <c r="B3299" s="103">
        <v>1.10013630029E11</v>
      </c>
      <c r="C3299" s="105"/>
      <c r="D3299" s="104" t="s">
        <v>14667</v>
      </c>
      <c r="E3299" s="104" t="s">
        <v>14634</v>
      </c>
      <c r="F3299" s="103" t="s">
        <v>4678</v>
      </c>
      <c r="G3299" s="103" t="s">
        <v>4679</v>
      </c>
      <c r="H3299" s="103" t="s">
        <v>14668</v>
      </c>
      <c r="I3299" s="103">
        <v>6466060.0</v>
      </c>
      <c r="J3299" s="104" t="s">
        <v>14632</v>
      </c>
      <c r="K3299" s="105"/>
      <c r="L3299" s="105"/>
    </row>
    <row r="3300">
      <c r="A3300" s="103" t="s">
        <v>4676</v>
      </c>
      <c r="B3300" s="103">
        <v>1.1001363003E11</v>
      </c>
      <c r="C3300" s="105"/>
      <c r="D3300" s="104" t="s">
        <v>14669</v>
      </c>
      <c r="E3300" s="104" t="s">
        <v>14634</v>
      </c>
      <c r="F3300" s="103" t="s">
        <v>4678</v>
      </c>
      <c r="G3300" s="103" t="s">
        <v>4679</v>
      </c>
      <c r="H3300" s="103" t="s">
        <v>14670</v>
      </c>
      <c r="I3300" s="103">
        <v>5895466.0</v>
      </c>
      <c r="J3300" s="104" t="s">
        <v>14632</v>
      </c>
      <c r="K3300" s="105"/>
      <c r="L3300" s="105"/>
    </row>
    <row r="3301">
      <c r="A3301" s="103" t="s">
        <v>4676</v>
      </c>
      <c r="B3301" s="103">
        <v>1.10013630031E11</v>
      </c>
      <c r="C3301" s="105"/>
      <c r="D3301" s="104" t="s">
        <v>14671</v>
      </c>
      <c r="E3301" s="104" t="s">
        <v>14634</v>
      </c>
      <c r="F3301" s="103" t="s">
        <v>4678</v>
      </c>
      <c r="G3301" s="103" t="s">
        <v>4679</v>
      </c>
      <c r="H3301" s="103" t="s">
        <v>14672</v>
      </c>
      <c r="I3301" s="103">
        <v>6466060.0</v>
      </c>
      <c r="J3301" s="104" t="s">
        <v>14632</v>
      </c>
      <c r="K3301" s="105"/>
      <c r="L3301" s="105"/>
    </row>
    <row r="3302">
      <c r="A3302" s="103" t="s">
        <v>4676</v>
      </c>
      <c r="B3302" s="103">
        <v>1.10013630032E11</v>
      </c>
      <c r="C3302" s="105"/>
      <c r="D3302" s="104" t="s">
        <v>14673</v>
      </c>
      <c r="E3302" s="104" t="s">
        <v>14634</v>
      </c>
      <c r="F3302" s="103" t="s">
        <v>4678</v>
      </c>
      <c r="G3302" s="103" t="s">
        <v>4679</v>
      </c>
      <c r="H3302" s="103" t="s">
        <v>14674</v>
      </c>
      <c r="I3302" s="103" t="s">
        <v>14675</v>
      </c>
      <c r="J3302" s="104" t="s">
        <v>14632</v>
      </c>
      <c r="K3302" s="105"/>
      <c r="L3302" s="105"/>
    </row>
    <row r="3303">
      <c r="A3303" s="103" t="s">
        <v>4676</v>
      </c>
      <c r="B3303" s="103">
        <v>1.10013630033E11</v>
      </c>
      <c r="C3303" s="105"/>
      <c r="D3303" s="104" t="s">
        <v>14676</v>
      </c>
      <c r="E3303" s="104" t="s">
        <v>14634</v>
      </c>
      <c r="F3303" s="103" t="s">
        <v>4678</v>
      </c>
      <c r="G3303" s="103" t="s">
        <v>4679</v>
      </c>
      <c r="H3303" s="103" t="s">
        <v>14677</v>
      </c>
      <c r="I3303" s="103">
        <v>6466060.0</v>
      </c>
      <c r="J3303" s="104" t="s">
        <v>14632</v>
      </c>
      <c r="K3303" s="105"/>
      <c r="L3303" s="105"/>
    </row>
    <row r="3304">
      <c r="A3304" s="103" t="s">
        <v>4676</v>
      </c>
      <c r="B3304" s="103">
        <v>1.10013630034E11</v>
      </c>
      <c r="C3304" s="105"/>
      <c r="D3304" s="104" t="s">
        <v>14678</v>
      </c>
      <c r="E3304" s="104" t="s">
        <v>14611</v>
      </c>
      <c r="F3304" s="103" t="s">
        <v>4678</v>
      </c>
      <c r="G3304" s="103" t="s">
        <v>4679</v>
      </c>
      <c r="H3304" s="103" t="s">
        <v>14679</v>
      </c>
      <c r="I3304" s="103">
        <v>6.01646606E9</v>
      </c>
      <c r="J3304" s="104" t="s">
        <v>9159</v>
      </c>
      <c r="K3304" s="105"/>
      <c r="L3304" s="105"/>
    </row>
    <row r="3305">
      <c r="A3305" s="103" t="s">
        <v>4676</v>
      </c>
      <c r="B3305" s="103">
        <v>1.10013630035E11</v>
      </c>
      <c r="C3305" s="105"/>
      <c r="D3305" s="104" t="s">
        <v>14680</v>
      </c>
      <c r="E3305" s="104" t="s">
        <v>14611</v>
      </c>
      <c r="F3305" s="103" t="s">
        <v>4678</v>
      </c>
      <c r="G3305" s="103" t="s">
        <v>4679</v>
      </c>
      <c r="H3305" s="103" t="s">
        <v>14681</v>
      </c>
      <c r="I3305" s="103">
        <v>6.01646606E9</v>
      </c>
      <c r="J3305" s="104" t="s">
        <v>9159</v>
      </c>
      <c r="K3305" s="105"/>
      <c r="L3305" s="105"/>
    </row>
    <row r="3306">
      <c r="A3306" s="103" t="s">
        <v>4676</v>
      </c>
      <c r="B3306" s="103">
        <v>1.10013630036E11</v>
      </c>
      <c r="C3306" s="105"/>
      <c r="D3306" s="104" t="s">
        <v>14682</v>
      </c>
      <c r="E3306" s="104" t="s">
        <v>14611</v>
      </c>
      <c r="F3306" s="103" t="s">
        <v>4678</v>
      </c>
      <c r="G3306" s="103" t="s">
        <v>4679</v>
      </c>
      <c r="H3306" s="103" t="s">
        <v>14683</v>
      </c>
      <c r="I3306" s="103">
        <v>6466060.0</v>
      </c>
      <c r="J3306" s="104" t="s">
        <v>9159</v>
      </c>
      <c r="K3306" s="105"/>
      <c r="L3306" s="105"/>
    </row>
    <row r="3307">
      <c r="A3307" s="103" t="s">
        <v>4676</v>
      </c>
      <c r="B3307" s="103">
        <v>1.10013630037E11</v>
      </c>
      <c r="C3307" s="105"/>
      <c r="D3307" s="104" t="s">
        <v>14684</v>
      </c>
      <c r="E3307" s="104" t="s">
        <v>14611</v>
      </c>
      <c r="F3307" s="103" t="s">
        <v>4678</v>
      </c>
      <c r="G3307" s="103" t="s">
        <v>4679</v>
      </c>
      <c r="H3307" s="103" t="s">
        <v>14685</v>
      </c>
      <c r="I3307" s="103">
        <v>6466060.0</v>
      </c>
      <c r="J3307" s="104" t="s">
        <v>9159</v>
      </c>
      <c r="K3307" s="105"/>
      <c r="L3307" s="105"/>
    </row>
    <row r="3308">
      <c r="A3308" s="103" t="s">
        <v>4676</v>
      </c>
      <c r="B3308" s="103">
        <v>1.10013630038E11</v>
      </c>
      <c r="C3308" s="105"/>
      <c r="D3308" s="104" t="s">
        <v>14686</v>
      </c>
      <c r="E3308" s="104" t="s">
        <v>14611</v>
      </c>
      <c r="F3308" s="103" t="s">
        <v>4678</v>
      </c>
      <c r="G3308" s="103" t="s">
        <v>4679</v>
      </c>
      <c r="H3308" s="103" t="s">
        <v>14687</v>
      </c>
      <c r="I3308" s="103">
        <v>6466060.0</v>
      </c>
      <c r="J3308" s="104" t="s">
        <v>9159</v>
      </c>
      <c r="K3308" s="105"/>
      <c r="L3308" s="105"/>
    </row>
    <row r="3309">
      <c r="A3309" s="103" t="s">
        <v>4676</v>
      </c>
      <c r="B3309" s="103">
        <v>1.10013630039E11</v>
      </c>
      <c r="C3309" s="105"/>
      <c r="D3309" s="104" t="s">
        <v>14688</v>
      </c>
      <c r="E3309" s="104" t="s">
        <v>14611</v>
      </c>
      <c r="F3309" s="103" t="s">
        <v>4678</v>
      </c>
      <c r="G3309" s="103" t="s">
        <v>4679</v>
      </c>
      <c r="H3309" s="103" t="s">
        <v>14689</v>
      </c>
      <c r="I3309" s="103">
        <v>6466060.0</v>
      </c>
      <c r="J3309" s="104" t="s">
        <v>9159</v>
      </c>
      <c r="K3309" s="105"/>
      <c r="L3309" s="105"/>
    </row>
    <row r="3310">
      <c r="A3310" s="103" t="s">
        <v>4676</v>
      </c>
      <c r="B3310" s="103">
        <v>1.100136302E9</v>
      </c>
      <c r="C3310" s="105"/>
      <c r="D3310" s="104" t="s">
        <v>14690</v>
      </c>
      <c r="E3310" s="106"/>
      <c r="F3310" s="103" t="s">
        <v>4678</v>
      </c>
      <c r="G3310" s="103" t="s">
        <v>4679</v>
      </c>
      <c r="H3310" s="103" t="s">
        <v>14691</v>
      </c>
      <c r="I3310" s="103">
        <v>3.164637448E9</v>
      </c>
      <c r="J3310" s="104" t="s">
        <v>14692</v>
      </c>
      <c r="K3310" s="105"/>
      <c r="L3310" s="105"/>
    </row>
    <row r="3311">
      <c r="A3311" s="103" t="s">
        <v>4676</v>
      </c>
      <c r="B3311" s="103">
        <v>1.10013630201E11</v>
      </c>
      <c r="C3311" s="105"/>
      <c r="D3311" s="104" t="s">
        <v>14690</v>
      </c>
      <c r="E3311" s="104" t="s">
        <v>14693</v>
      </c>
      <c r="F3311" s="103" t="s">
        <v>4678</v>
      </c>
      <c r="G3311" s="103" t="s">
        <v>4679</v>
      </c>
      <c r="H3311" s="103" t="s">
        <v>14691</v>
      </c>
      <c r="I3311" s="103">
        <v>3.164637448E9</v>
      </c>
      <c r="J3311" s="104" t="s">
        <v>14692</v>
      </c>
      <c r="K3311" s="105"/>
      <c r="L3311" s="105"/>
    </row>
    <row r="3312">
      <c r="A3312" s="103" t="s">
        <v>4676</v>
      </c>
      <c r="B3312" s="103">
        <v>1.10013630202E11</v>
      </c>
      <c r="C3312" s="105"/>
      <c r="D3312" s="104" t="s">
        <v>14694</v>
      </c>
      <c r="E3312" s="104" t="s">
        <v>14695</v>
      </c>
      <c r="F3312" s="103" t="s">
        <v>4678</v>
      </c>
      <c r="G3312" s="103" t="s">
        <v>4679</v>
      </c>
      <c r="H3312" s="103" t="s">
        <v>14696</v>
      </c>
      <c r="I3312" s="103">
        <v>3.164637448E9</v>
      </c>
      <c r="J3312" s="104" t="s">
        <v>14692</v>
      </c>
      <c r="K3312" s="105"/>
      <c r="L3312" s="105"/>
    </row>
    <row r="3313">
      <c r="A3313" s="103" t="s">
        <v>4676</v>
      </c>
      <c r="B3313" s="103">
        <v>1.100136347E9</v>
      </c>
      <c r="C3313" s="105"/>
      <c r="D3313" s="104" t="s">
        <v>14697</v>
      </c>
      <c r="E3313" s="106"/>
      <c r="F3313" s="103" t="s">
        <v>4678</v>
      </c>
      <c r="G3313" s="103" t="s">
        <v>4679</v>
      </c>
      <c r="H3313" s="103" t="s">
        <v>14698</v>
      </c>
      <c r="I3313" s="103" t="s">
        <v>14699</v>
      </c>
      <c r="J3313" s="104" t="s">
        <v>14700</v>
      </c>
      <c r="K3313" s="105"/>
      <c r="L3313" s="105"/>
    </row>
    <row r="3314">
      <c r="A3314" s="103" t="s">
        <v>4676</v>
      </c>
      <c r="B3314" s="103">
        <v>1.10013634701E11</v>
      </c>
      <c r="C3314" s="105"/>
      <c r="D3314" s="104" t="s">
        <v>14697</v>
      </c>
      <c r="E3314" s="104" t="s">
        <v>14701</v>
      </c>
      <c r="F3314" s="103" t="s">
        <v>4678</v>
      </c>
      <c r="G3314" s="103" t="s">
        <v>4679</v>
      </c>
      <c r="H3314" s="103" t="s">
        <v>14702</v>
      </c>
      <c r="I3314" s="103" t="s">
        <v>14699</v>
      </c>
      <c r="J3314" s="104" t="s">
        <v>14700</v>
      </c>
      <c r="K3314" s="105"/>
      <c r="L3314" s="105"/>
    </row>
    <row r="3315">
      <c r="A3315" s="103" t="s">
        <v>4676</v>
      </c>
      <c r="B3315" s="103">
        <v>1.10013634702E11</v>
      </c>
      <c r="C3315" s="105"/>
      <c r="D3315" s="104" t="s">
        <v>14703</v>
      </c>
      <c r="E3315" s="104" t="s">
        <v>14701</v>
      </c>
      <c r="F3315" s="103" t="s">
        <v>4678</v>
      </c>
      <c r="G3315" s="103" t="s">
        <v>4679</v>
      </c>
      <c r="H3315" s="103" t="s">
        <v>14704</v>
      </c>
      <c r="I3315" s="103" t="s">
        <v>14705</v>
      </c>
      <c r="J3315" s="104" t="s">
        <v>14700</v>
      </c>
      <c r="K3315" s="105"/>
      <c r="L3315" s="105"/>
    </row>
    <row r="3316">
      <c r="A3316" s="103" t="s">
        <v>4676</v>
      </c>
      <c r="B3316" s="103">
        <v>1.100136367E9</v>
      </c>
      <c r="C3316" s="105"/>
      <c r="D3316" s="104" t="s">
        <v>14706</v>
      </c>
      <c r="E3316" s="106"/>
      <c r="F3316" s="103" t="s">
        <v>4678</v>
      </c>
      <c r="G3316" s="103" t="s">
        <v>4679</v>
      </c>
      <c r="H3316" s="103" t="s">
        <v>14707</v>
      </c>
      <c r="I3316" s="103">
        <v>3.153018083E9</v>
      </c>
      <c r="J3316" s="104" t="s">
        <v>14708</v>
      </c>
      <c r="K3316" s="107" t="s">
        <v>14709</v>
      </c>
      <c r="L3316" s="105"/>
    </row>
    <row r="3317">
      <c r="A3317" s="103" t="s">
        <v>4676</v>
      </c>
      <c r="B3317" s="103">
        <v>1.10013636701E11</v>
      </c>
      <c r="C3317" s="105"/>
      <c r="D3317" s="104" t="s">
        <v>14710</v>
      </c>
      <c r="E3317" s="104" t="s">
        <v>14711</v>
      </c>
      <c r="F3317" s="103" t="s">
        <v>4678</v>
      </c>
      <c r="G3317" s="103" t="s">
        <v>4679</v>
      </c>
      <c r="H3317" s="103" t="s">
        <v>14712</v>
      </c>
      <c r="I3317" s="103">
        <v>3.153018083E9</v>
      </c>
      <c r="J3317" s="104" t="s">
        <v>14708</v>
      </c>
      <c r="K3317" s="105"/>
      <c r="L3317" s="105"/>
    </row>
    <row r="3318">
      <c r="A3318" s="103" t="s">
        <v>4676</v>
      </c>
      <c r="B3318" s="103">
        <v>1.100136427E9</v>
      </c>
      <c r="C3318" s="105"/>
      <c r="D3318" s="104" t="s">
        <v>14713</v>
      </c>
      <c r="E3318" s="106"/>
      <c r="F3318" s="103" t="s">
        <v>4678</v>
      </c>
      <c r="G3318" s="103" t="s">
        <v>4679</v>
      </c>
      <c r="H3318" s="103" t="s">
        <v>14714</v>
      </c>
      <c r="I3318" s="103">
        <v>3.17379423E9</v>
      </c>
      <c r="J3318" s="104" t="s">
        <v>14715</v>
      </c>
      <c r="K3318" s="107" t="s">
        <v>14716</v>
      </c>
      <c r="L3318" s="105"/>
    </row>
    <row r="3319">
      <c r="A3319" s="103" t="s">
        <v>4676</v>
      </c>
      <c r="B3319" s="103">
        <v>1.10013642701E11</v>
      </c>
      <c r="C3319" s="105"/>
      <c r="D3319" s="104" t="s">
        <v>14717</v>
      </c>
      <c r="E3319" s="104" t="s">
        <v>14718</v>
      </c>
      <c r="F3319" s="103" t="s">
        <v>4678</v>
      </c>
      <c r="G3319" s="103" t="s">
        <v>4679</v>
      </c>
      <c r="H3319" s="103" t="s">
        <v>14719</v>
      </c>
      <c r="I3319" s="103">
        <v>3.17379423E9</v>
      </c>
      <c r="J3319" s="104" t="s">
        <v>14720</v>
      </c>
      <c r="K3319" s="105"/>
      <c r="L3319" s="105"/>
    </row>
    <row r="3320">
      <c r="A3320" s="103" t="s">
        <v>4676</v>
      </c>
      <c r="B3320" s="103">
        <v>1.100136436E9</v>
      </c>
      <c r="C3320" s="105"/>
      <c r="D3320" s="104" t="s">
        <v>14721</v>
      </c>
      <c r="E3320" s="106"/>
      <c r="F3320" s="103" t="s">
        <v>4678</v>
      </c>
      <c r="G3320" s="103" t="s">
        <v>4679</v>
      </c>
      <c r="H3320" s="103" t="s">
        <v>14722</v>
      </c>
      <c r="I3320" s="103">
        <v>3.158057735E9</v>
      </c>
      <c r="J3320" s="104" t="s">
        <v>14723</v>
      </c>
      <c r="K3320" s="107" t="s">
        <v>14724</v>
      </c>
      <c r="L3320" s="105"/>
    </row>
    <row r="3321">
      <c r="A3321" s="103" t="s">
        <v>4676</v>
      </c>
      <c r="B3321" s="103">
        <v>1.10013643601E11</v>
      </c>
      <c r="C3321" s="105"/>
      <c r="D3321" s="104" t="s">
        <v>14725</v>
      </c>
      <c r="E3321" s="104" t="s">
        <v>14726</v>
      </c>
      <c r="F3321" s="103" t="s">
        <v>4678</v>
      </c>
      <c r="G3321" s="103" t="s">
        <v>4679</v>
      </c>
      <c r="H3321" s="103" t="s">
        <v>14727</v>
      </c>
      <c r="I3321" s="103">
        <v>3.158057735E9</v>
      </c>
      <c r="J3321" s="104" t="s">
        <v>14728</v>
      </c>
      <c r="K3321" s="105"/>
      <c r="L3321" s="105"/>
    </row>
    <row r="3322">
      <c r="A3322" s="103" t="s">
        <v>4676</v>
      </c>
      <c r="B3322" s="103">
        <v>1.10013643603E11</v>
      </c>
      <c r="C3322" s="105"/>
      <c r="D3322" s="104" t="s">
        <v>14729</v>
      </c>
      <c r="E3322" s="104" t="s">
        <v>14726</v>
      </c>
      <c r="F3322" s="103" t="s">
        <v>4678</v>
      </c>
      <c r="G3322" s="103" t="s">
        <v>4679</v>
      </c>
      <c r="H3322" s="103" t="s">
        <v>14730</v>
      </c>
      <c r="I3322" s="103">
        <v>3.158057735E9</v>
      </c>
      <c r="J3322" s="104" t="s">
        <v>14723</v>
      </c>
      <c r="K3322" s="105"/>
      <c r="L3322" s="105"/>
    </row>
    <row r="3323">
      <c r="A3323" s="103" t="s">
        <v>4676</v>
      </c>
      <c r="B3323" s="103">
        <v>1.100136447E9</v>
      </c>
      <c r="C3323" s="105"/>
      <c r="D3323" s="104" t="s">
        <v>14731</v>
      </c>
      <c r="E3323" s="106"/>
      <c r="F3323" s="103" t="s">
        <v>4678</v>
      </c>
      <c r="G3323" s="103" t="s">
        <v>4679</v>
      </c>
      <c r="H3323" s="103" t="s">
        <v>14732</v>
      </c>
      <c r="I3323" s="103" t="s">
        <v>14733</v>
      </c>
      <c r="J3323" s="104" t="s">
        <v>14734</v>
      </c>
      <c r="K3323" s="105"/>
      <c r="L3323" s="105"/>
    </row>
    <row r="3324">
      <c r="A3324" s="103" t="s">
        <v>4676</v>
      </c>
      <c r="B3324" s="103">
        <v>1.10013644701E11</v>
      </c>
      <c r="C3324" s="105"/>
      <c r="D3324" s="104" t="s">
        <v>14735</v>
      </c>
      <c r="E3324" s="104" t="s">
        <v>14736</v>
      </c>
      <c r="F3324" s="103" t="s">
        <v>4678</v>
      </c>
      <c r="G3324" s="103" t="s">
        <v>4679</v>
      </c>
      <c r="H3324" s="103" t="s">
        <v>14737</v>
      </c>
      <c r="I3324" s="103" t="s">
        <v>14738</v>
      </c>
      <c r="J3324" s="104" t="s">
        <v>14739</v>
      </c>
      <c r="K3324" s="105"/>
      <c r="L3324" s="105"/>
    </row>
    <row r="3325">
      <c r="A3325" s="103" t="s">
        <v>4676</v>
      </c>
      <c r="B3325" s="103">
        <v>1.10013644702E11</v>
      </c>
      <c r="C3325" s="105"/>
      <c r="D3325" s="104" t="s">
        <v>14740</v>
      </c>
      <c r="E3325" s="104" t="s">
        <v>14736</v>
      </c>
      <c r="F3325" s="103" t="s">
        <v>4678</v>
      </c>
      <c r="G3325" s="103" t="s">
        <v>4679</v>
      </c>
      <c r="H3325" s="103" t="s">
        <v>14741</v>
      </c>
      <c r="I3325" s="103">
        <v>7669812.0</v>
      </c>
      <c r="J3325" s="104" t="s">
        <v>14742</v>
      </c>
      <c r="K3325" s="105"/>
      <c r="L3325" s="105"/>
    </row>
    <row r="3326">
      <c r="A3326" s="103" t="s">
        <v>4676</v>
      </c>
      <c r="B3326" s="103">
        <v>1.100136466E9</v>
      </c>
      <c r="C3326" s="105"/>
      <c r="D3326" s="104" t="s">
        <v>14743</v>
      </c>
      <c r="E3326" s="106"/>
      <c r="F3326" s="103" t="s">
        <v>4678</v>
      </c>
      <c r="G3326" s="103" t="s">
        <v>4679</v>
      </c>
      <c r="H3326" s="103" t="s">
        <v>14744</v>
      </c>
      <c r="I3326" s="103">
        <v>3.017593941E9</v>
      </c>
      <c r="J3326" s="104" t="s">
        <v>14745</v>
      </c>
      <c r="K3326" s="107" t="s">
        <v>14746</v>
      </c>
      <c r="L3326" s="105"/>
    </row>
    <row r="3327">
      <c r="A3327" s="103" t="s">
        <v>4676</v>
      </c>
      <c r="B3327" s="103">
        <v>1.10013646601E11</v>
      </c>
      <c r="C3327" s="105"/>
      <c r="D3327" s="104" t="s">
        <v>14743</v>
      </c>
      <c r="E3327" s="104" t="s">
        <v>14747</v>
      </c>
      <c r="F3327" s="103" t="s">
        <v>4678</v>
      </c>
      <c r="G3327" s="103" t="s">
        <v>4679</v>
      </c>
      <c r="H3327" s="103" t="s">
        <v>14744</v>
      </c>
      <c r="I3327" s="103">
        <v>7421492.0</v>
      </c>
      <c r="J3327" s="104" t="s">
        <v>14745</v>
      </c>
      <c r="K3327" s="105"/>
      <c r="L3327" s="105"/>
    </row>
    <row r="3328">
      <c r="A3328" s="103" t="s">
        <v>4676</v>
      </c>
      <c r="B3328" s="103">
        <v>1.100136495E9</v>
      </c>
      <c r="C3328" s="105"/>
      <c r="D3328" s="104" t="s">
        <v>14748</v>
      </c>
      <c r="E3328" s="106"/>
      <c r="F3328" s="103" t="s">
        <v>4678</v>
      </c>
      <c r="G3328" s="103" t="s">
        <v>4679</v>
      </c>
      <c r="H3328" s="103" t="s">
        <v>14749</v>
      </c>
      <c r="I3328" s="103" t="s">
        <v>14750</v>
      </c>
      <c r="J3328" s="104" t="s">
        <v>14751</v>
      </c>
      <c r="K3328" s="107" t="s">
        <v>14752</v>
      </c>
      <c r="L3328" s="105"/>
    </row>
    <row r="3329">
      <c r="A3329" s="103" t="s">
        <v>4676</v>
      </c>
      <c r="B3329" s="103">
        <v>1.10013649501E11</v>
      </c>
      <c r="C3329" s="105"/>
      <c r="D3329" s="104" t="s">
        <v>14748</v>
      </c>
      <c r="E3329" s="104" t="s">
        <v>14753</v>
      </c>
      <c r="F3329" s="103" t="s">
        <v>4678</v>
      </c>
      <c r="G3329" s="103" t="s">
        <v>4679</v>
      </c>
      <c r="H3329" s="103" t="s">
        <v>14749</v>
      </c>
      <c r="I3329" s="103" t="s">
        <v>14754</v>
      </c>
      <c r="J3329" s="104" t="s">
        <v>14755</v>
      </c>
      <c r="K3329" s="105"/>
      <c r="L3329" s="105"/>
    </row>
    <row r="3330">
      <c r="A3330" s="103" t="s">
        <v>4676</v>
      </c>
      <c r="B3330" s="103">
        <v>1.100136515E9</v>
      </c>
      <c r="C3330" s="105"/>
      <c r="D3330" s="104" t="s">
        <v>14756</v>
      </c>
      <c r="E3330" s="106"/>
      <c r="F3330" s="103" t="s">
        <v>4678</v>
      </c>
      <c r="G3330" s="103" t="s">
        <v>4679</v>
      </c>
      <c r="H3330" s="103" t="s">
        <v>14757</v>
      </c>
      <c r="I3330" s="103">
        <v>3.00612335E9</v>
      </c>
      <c r="J3330" s="104" t="s">
        <v>14758</v>
      </c>
      <c r="K3330" s="105"/>
      <c r="L3330" s="105"/>
    </row>
    <row r="3331">
      <c r="A3331" s="103" t="s">
        <v>4676</v>
      </c>
      <c r="B3331" s="103">
        <v>1.10013651502E11</v>
      </c>
      <c r="C3331" s="105"/>
      <c r="D3331" s="104" t="s">
        <v>14759</v>
      </c>
      <c r="E3331" s="104" t="s">
        <v>14760</v>
      </c>
      <c r="F3331" s="103" t="s">
        <v>4678</v>
      </c>
      <c r="G3331" s="103" t="s">
        <v>4679</v>
      </c>
      <c r="H3331" s="103" t="s">
        <v>14761</v>
      </c>
      <c r="I3331" s="103">
        <v>3.00612335E9</v>
      </c>
      <c r="J3331" s="104" t="s">
        <v>14758</v>
      </c>
      <c r="K3331" s="105"/>
      <c r="L3331" s="105"/>
    </row>
    <row r="3332">
      <c r="A3332" s="103" t="s">
        <v>4676</v>
      </c>
      <c r="B3332" s="103">
        <v>1.100136571E9</v>
      </c>
      <c r="C3332" s="105"/>
      <c r="D3332" s="104" t="s">
        <v>14762</v>
      </c>
      <c r="E3332" s="106"/>
      <c r="F3332" s="103" t="s">
        <v>4678</v>
      </c>
      <c r="G3332" s="103" t="s">
        <v>4679</v>
      </c>
      <c r="H3332" s="103" t="s">
        <v>14763</v>
      </c>
      <c r="I3332" s="103">
        <v>3.124542992E9</v>
      </c>
      <c r="J3332" s="104" t="s">
        <v>14764</v>
      </c>
      <c r="K3332" s="105"/>
      <c r="L3332" s="105"/>
    </row>
    <row r="3333">
      <c r="A3333" s="103" t="s">
        <v>4676</v>
      </c>
      <c r="B3333" s="103">
        <v>1.10013657101E11</v>
      </c>
      <c r="C3333" s="105"/>
      <c r="D3333" s="104" t="s">
        <v>14765</v>
      </c>
      <c r="E3333" s="104" t="s">
        <v>14766</v>
      </c>
      <c r="F3333" s="103" t="s">
        <v>4678</v>
      </c>
      <c r="G3333" s="103" t="s">
        <v>4679</v>
      </c>
      <c r="H3333" s="103" t="s">
        <v>14763</v>
      </c>
      <c r="I3333" s="103">
        <v>3.124542992E9</v>
      </c>
      <c r="J3333" s="104" t="s">
        <v>14764</v>
      </c>
      <c r="K3333" s="105"/>
      <c r="L3333" s="105"/>
    </row>
    <row r="3334">
      <c r="A3334" s="103" t="s">
        <v>4676</v>
      </c>
      <c r="B3334" s="103">
        <v>1.10013657102E11</v>
      </c>
      <c r="C3334" s="105"/>
      <c r="D3334" s="104" t="s">
        <v>14767</v>
      </c>
      <c r="E3334" s="104" t="s">
        <v>14766</v>
      </c>
      <c r="F3334" s="103" t="s">
        <v>4678</v>
      </c>
      <c r="G3334" s="103" t="s">
        <v>4679</v>
      </c>
      <c r="H3334" s="103" t="s">
        <v>14768</v>
      </c>
      <c r="I3334" s="103">
        <v>3.044762896E9</v>
      </c>
      <c r="J3334" s="104" t="s">
        <v>14764</v>
      </c>
      <c r="K3334" s="105"/>
      <c r="L3334" s="105"/>
    </row>
    <row r="3335">
      <c r="A3335" s="103" t="s">
        <v>4676</v>
      </c>
      <c r="B3335" s="103">
        <v>1.10013657103E11</v>
      </c>
      <c r="C3335" s="105"/>
      <c r="D3335" s="104" t="s">
        <v>14769</v>
      </c>
      <c r="E3335" s="104" t="s">
        <v>14766</v>
      </c>
      <c r="F3335" s="103" t="s">
        <v>4678</v>
      </c>
      <c r="G3335" s="103" t="s">
        <v>4679</v>
      </c>
      <c r="H3335" s="103" t="s">
        <v>14770</v>
      </c>
      <c r="I3335" s="103">
        <v>3.044762896E9</v>
      </c>
      <c r="J3335" s="104" t="s">
        <v>14764</v>
      </c>
      <c r="K3335" s="105"/>
      <c r="L3335" s="105"/>
    </row>
    <row r="3336">
      <c r="A3336" s="103" t="s">
        <v>4676</v>
      </c>
      <c r="B3336" s="103">
        <v>1.100136597E9</v>
      </c>
      <c r="C3336" s="105"/>
      <c r="D3336" s="104" t="s">
        <v>14771</v>
      </c>
      <c r="E3336" s="106"/>
      <c r="F3336" s="103" t="s">
        <v>4678</v>
      </c>
      <c r="G3336" s="103" t="s">
        <v>4679</v>
      </c>
      <c r="H3336" s="103" t="s">
        <v>14772</v>
      </c>
      <c r="I3336" s="103">
        <v>3.156916508E9</v>
      </c>
      <c r="J3336" s="104" t="s">
        <v>14773</v>
      </c>
      <c r="K3336" s="105"/>
      <c r="L3336" s="105"/>
    </row>
    <row r="3337">
      <c r="A3337" s="103" t="s">
        <v>4676</v>
      </c>
      <c r="B3337" s="103">
        <v>1.10013659701E11</v>
      </c>
      <c r="C3337" s="105"/>
      <c r="D3337" s="104" t="s">
        <v>14774</v>
      </c>
      <c r="E3337" s="104" t="s">
        <v>14775</v>
      </c>
      <c r="F3337" s="103" t="s">
        <v>4678</v>
      </c>
      <c r="G3337" s="103" t="s">
        <v>4679</v>
      </c>
      <c r="H3337" s="103" t="s">
        <v>14776</v>
      </c>
      <c r="I3337" s="103" t="s">
        <v>14777</v>
      </c>
      <c r="J3337" s="104" t="s">
        <v>14773</v>
      </c>
      <c r="K3337" s="105"/>
      <c r="L3337" s="105"/>
    </row>
    <row r="3338">
      <c r="A3338" s="103" t="s">
        <v>4676</v>
      </c>
      <c r="B3338" s="103">
        <v>1.100136598E9</v>
      </c>
      <c r="C3338" s="105"/>
      <c r="D3338" s="104" t="s">
        <v>14778</v>
      </c>
      <c r="E3338" s="106"/>
      <c r="F3338" s="103" t="s">
        <v>4678</v>
      </c>
      <c r="G3338" s="103" t="s">
        <v>4679</v>
      </c>
      <c r="H3338" s="103" t="s">
        <v>14779</v>
      </c>
      <c r="I3338" s="103">
        <v>3.10252442E9</v>
      </c>
      <c r="J3338" s="104" t="s">
        <v>14780</v>
      </c>
      <c r="K3338" s="107" t="s">
        <v>14781</v>
      </c>
      <c r="L3338" s="105"/>
    </row>
    <row r="3339">
      <c r="A3339" s="103" t="s">
        <v>4676</v>
      </c>
      <c r="B3339" s="103">
        <v>1.10013659801E11</v>
      </c>
      <c r="C3339" s="105"/>
      <c r="D3339" s="104" t="s">
        <v>14778</v>
      </c>
      <c r="E3339" s="104" t="s">
        <v>14782</v>
      </c>
      <c r="F3339" s="103" t="s">
        <v>4678</v>
      </c>
      <c r="G3339" s="103" t="s">
        <v>4679</v>
      </c>
      <c r="H3339" s="103" t="s">
        <v>14779</v>
      </c>
      <c r="I3339" s="103" t="s">
        <v>14783</v>
      </c>
      <c r="J3339" s="104" t="s">
        <v>14780</v>
      </c>
      <c r="K3339" s="105"/>
      <c r="L3339" s="105"/>
    </row>
    <row r="3340">
      <c r="A3340" s="103" t="s">
        <v>4676</v>
      </c>
      <c r="B3340" s="103">
        <v>1.100136673E9</v>
      </c>
      <c r="C3340" s="105"/>
      <c r="D3340" s="104" t="s">
        <v>14784</v>
      </c>
      <c r="E3340" s="106"/>
      <c r="F3340" s="103" t="s">
        <v>4678</v>
      </c>
      <c r="G3340" s="103" t="s">
        <v>4679</v>
      </c>
      <c r="H3340" s="103" t="s">
        <v>14785</v>
      </c>
      <c r="I3340" s="103" t="s">
        <v>14786</v>
      </c>
      <c r="J3340" s="104" t="s">
        <v>14787</v>
      </c>
      <c r="K3340" s="105"/>
      <c r="L3340" s="105"/>
    </row>
    <row r="3341">
      <c r="A3341" s="103" t="s">
        <v>4676</v>
      </c>
      <c r="B3341" s="103">
        <v>1.10013667301E11</v>
      </c>
      <c r="C3341" s="105"/>
      <c r="D3341" s="104" t="s">
        <v>14784</v>
      </c>
      <c r="E3341" s="104" t="s">
        <v>14788</v>
      </c>
      <c r="F3341" s="103" t="s">
        <v>4678</v>
      </c>
      <c r="G3341" s="103" t="s">
        <v>4679</v>
      </c>
      <c r="H3341" s="103" t="s">
        <v>14785</v>
      </c>
      <c r="I3341" s="103" t="s">
        <v>14786</v>
      </c>
      <c r="J3341" s="104" t="s">
        <v>14787</v>
      </c>
      <c r="K3341" s="105"/>
      <c r="L3341" s="105"/>
    </row>
    <row r="3342">
      <c r="A3342" s="103" t="s">
        <v>4676</v>
      </c>
      <c r="B3342" s="103">
        <v>1.100136693E9</v>
      </c>
      <c r="C3342" s="105"/>
      <c r="D3342" s="104" t="s">
        <v>14789</v>
      </c>
      <c r="E3342" s="106"/>
      <c r="F3342" s="103" t="s">
        <v>4678</v>
      </c>
      <c r="G3342" s="103" t="s">
        <v>4679</v>
      </c>
      <c r="H3342" s="103" t="s">
        <v>14790</v>
      </c>
      <c r="I3342" s="103" t="s">
        <v>14791</v>
      </c>
      <c r="J3342" s="104" t="s">
        <v>14792</v>
      </c>
      <c r="K3342" s="105"/>
      <c r="L3342" s="105"/>
    </row>
    <row r="3343">
      <c r="A3343" s="103" t="s">
        <v>4676</v>
      </c>
      <c r="B3343" s="103">
        <v>1.10013669301E11</v>
      </c>
      <c r="C3343" s="105"/>
      <c r="D3343" s="104" t="s">
        <v>14793</v>
      </c>
      <c r="E3343" s="104" t="s">
        <v>14794</v>
      </c>
      <c r="F3343" s="103" t="s">
        <v>4678</v>
      </c>
      <c r="G3343" s="103" t="s">
        <v>4679</v>
      </c>
      <c r="H3343" s="103" t="s">
        <v>14790</v>
      </c>
      <c r="I3343" s="103" t="s">
        <v>14795</v>
      </c>
      <c r="J3343" s="104" t="s">
        <v>14792</v>
      </c>
      <c r="K3343" s="105"/>
      <c r="L3343" s="105"/>
    </row>
    <row r="3344">
      <c r="A3344" s="103" t="s">
        <v>4676</v>
      </c>
      <c r="B3344" s="103">
        <v>1.100136704E9</v>
      </c>
      <c r="C3344" s="105"/>
      <c r="D3344" s="104" t="s">
        <v>14796</v>
      </c>
      <c r="E3344" s="106"/>
      <c r="F3344" s="103" t="s">
        <v>4678</v>
      </c>
      <c r="G3344" s="103" t="s">
        <v>4679</v>
      </c>
      <c r="H3344" s="103" t="s">
        <v>14797</v>
      </c>
      <c r="I3344" s="103">
        <v>3.248914922E9</v>
      </c>
      <c r="J3344" s="104" t="s">
        <v>14798</v>
      </c>
      <c r="K3344" s="105"/>
      <c r="L3344" s="105"/>
    </row>
    <row r="3345">
      <c r="A3345" s="103" t="s">
        <v>4676</v>
      </c>
      <c r="B3345" s="103">
        <v>1.10013670401E11</v>
      </c>
      <c r="C3345" s="105"/>
      <c r="D3345" s="104" t="s">
        <v>14799</v>
      </c>
      <c r="E3345" s="104" t="s">
        <v>14800</v>
      </c>
      <c r="F3345" s="103" t="s">
        <v>4678</v>
      </c>
      <c r="G3345" s="103" t="s">
        <v>4679</v>
      </c>
      <c r="H3345" s="103" t="s">
        <v>14797</v>
      </c>
      <c r="I3345" s="103">
        <v>3.223093995E9</v>
      </c>
      <c r="J3345" s="104" t="s">
        <v>14798</v>
      </c>
      <c r="K3345" s="105"/>
      <c r="L3345" s="105"/>
    </row>
    <row r="3346">
      <c r="A3346" s="103" t="s">
        <v>4676</v>
      </c>
      <c r="B3346" s="103">
        <v>1.100136715E9</v>
      </c>
      <c r="C3346" s="105"/>
      <c r="D3346" s="104" t="s">
        <v>14801</v>
      </c>
      <c r="E3346" s="106"/>
      <c r="F3346" s="103" t="s">
        <v>4678</v>
      </c>
      <c r="G3346" s="103" t="s">
        <v>4679</v>
      </c>
      <c r="H3346" s="103" t="s">
        <v>14802</v>
      </c>
      <c r="I3346" s="103" t="s">
        <v>14803</v>
      </c>
      <c r="J3346" s="104" t="s">
        <v>14804</v>
      </c>
      <c r="K3346" s="107" t="s">
        <v>14805</v>
      </c>
      <c r="L3346" s="105"/>
    </row>
    <row r="3347">
      <c r="A3347" s="103" t="s">
        <v>4676</v>
      </c>
      <c r="B3347" s="103">
        <v>1.10013671501E11</v>
      </c>
      <c r="C3347" s="105"/>
      <c r="D3347" s="104" t="s">
        <v>14801</v>
      </c>
      <c r="E3347" s="104" t="s">
        <v>14806</v>
      </c>
      <c r="F3347" s="103" t="s">
        <v>4678</v>
      </c>
      <c r="G3347" s="103" t="s">
        <v>4679</v>
      </c>
      <c r="H3347" s="103" t="s">
        <v>14802</v>
      </c>
      <c r="I3347" s="103" t="s">
        <v>14803</v>
      </c>
      <c r="J3347" s="104" t="s">
        <v>14804</v>
      </c>
      <c r="K3347" s="105"/>
      <c r="L3347" s="105"/>
    </row>
    <row r="3348">
      <c r="A3348" s="103" t="s">
        <v>4676</v>
      </c>
      <c r="B3348" s="103">
        <v>1.100136744E9</v>
      </c>
      <c r="C3348" s="105"/>
      <c r="D3348" s="104" t="s">
        <v>14807</v>
      </c>
      <c r="E3348" s="106"/>
      <c r="F3348" s="103" t="s">
        <v>4678</v>
      </c>
      <c r="G3348" s="103" t="s">
        <v>4679</v>
      </c>
      <c r="H3348" s="103" t="s">
        <v>14808</v>
      </c>
      <c r="I3348" s="103">
        <v>3.336025696E9</v>
      </c>
      <c r="J3348" s="104" t="s">
        <v>14809</v>
      </c>
      <c r="K3348" s="107" t="s">
        <v>14810</v>
      </c>
      <c r="L3348" s="105"/>
    </row>
    <row r="3349">
      <c r="A3349" s="103" t="s">
        <v>4676</v>
      </c>
      <c r="B3349" s="103">
        <v>1.10013674401E11</v>
      </c>
      <c r="C3349" s="105"/>
      <c r="D3349" s="104" t="s">
        <v>14811</v>
      </c>
      <c r="E3349" s="104" t="s">
        <v>14812</v>
      </c>
      <c r="F3349" s="103" t="s">
        <v>4678</v>
      </c>
      <c r="G3349" s="103" t="s">
        <v>4679</v>
      </c>
      <c r="H3349" s="103" t="s">
        <v>14808</v>
      </c>
      <c r="I3349" s="103">
        <v>3.336025629E9</v>
      </c>
      <c r="J3349" s="104" t="s">
        <v>14809</v>
      </c>
      <c r="K3349" s="105"/>
      <c r="L3349" s="105"/>
    </row>
    <row r="3350">
      <c r="A3350" s="103" t="s">
        <v>4676</v>
      </c>
      <c r="B3350" s="103">
        <v>1.100136771E9</v>
      </c>
      <c r="C3350" s="105"/>
      <c r="D3350" s="104" t="s">
        <v>14813</v>
      </c>
      <c r="E3350" s="106"/>
      <c r="F3350" s="103" t="s">
        <v>4678</v>
      </c>
      <c r="G3350" s="103" t="s">
        <v>4679</v>
      </c>
      <c r="H3350" s="103" t="s">
        <v>14814</v>
      </c>
      <c r="I3350" s="103" t="s">
        <v>14815</v>
      </c>
      <c r="J3350" s="104" t="s">
        <v>14816</v>
      </c>
      <c r="K3350" s="105"/>
      <c r="L3350" s="105"/>
    </row>
    <row r="3351">
      <c r="A3351" s="103" t="s">
        <v>4676</v>
      </c>
      <c r="B3351" s="103">
        <v>1.10013677101E11</v>
      </c>
      <c r="C3351" s="105"/>
      <c r="D3351" s="104" t="s">
        <v>14813</v>
      </c>
      <c r="E3351" s="104" t="s">
        <v>14817</v>
      </c>
      <c r="F3351" s="103" t="s">
        <v>4678</v>
      </c>
      <c r="G3351" s="103" t="s">
        <v>4679</v>
      </c>
      <c r="H3351" s="103" t="s">
        <v>14818</v>
      </c>
      <c r="I3351" s="103">
        <v>3.178535621E9</v>
      </c>
      <c r="J3351" s="104" t="s">
        <v>14816</v>
      </c>
      <c r="K3351" s="105"/>
      <c r="L3351" s="105"/>
    </row>
    <row r="3352">
      <c r="A3352" s="103" t="s">
        <v>4676</v>
      </c>
      <c r="B3352" s="103">
        <v>1.100136774E9</v>
      </c>
      <c r="C3352" s="105"/>
      <c r="D3352" s="104" t="s">
        <v>14819</v>
      </c>
      <c r="E3352" s="106"/>
      <c r="F3352" s="103" t="s">
        <v>4678</v>
      </c>
      <c r="G3352" s="103" t="s">
        <v>4679</v>
      </c>
      <c r="H3352" s="103" t="s">
        <v>14820</v>
      </c>
      <c r="I3352" s="103" t="s">
        <v>14821</v>
      </c>
      <c r="J3352" s="104" t="s">
        <v>14822</v>
      </c>
      <c r="K3352" s="105"/>
      <c r="L3352" s="105"/>
    </row>
    <row r="3353">
      <c r="A3353" s="103" t="s">
        <v>4676</v>
      </c>
      <c r="B3353" s="103">
        <v>1.10013677401E11</v>
      </c>
      <c r="C3353" s="105"/>
      <c r="D3353" s="104" t="s">
        <v>14823</v>
      </c>
      <c r="E3353" s="104" t="s">
        <v>14824</v>
      </c>
      <c r="F3353" s="103" t="s">
        <v>4678</v>
      </c>
      <c r="G3353" s="103" t="s">
        <v>4679</v>
      </c>
      <c r="H3353" s="103" t="s">
        <v>14825</v>
      </c>
      <c r="I3353" s="103" t="s">
        <v>14821</v>
      </c>
      <c r="J3353" s="104" t="s">
        <v>14826</v>
      </c>
      <c r="K3353" s="105"/>
      <c r="L3353" s="105"/>
    </row>
    <row r="3354">
      <c r="A3354" s="103" t="s">
        <v>4676</v>
      </c>
      <c r="B3354" s="103">
        <v>1.10013677402E11</v>
      </c>
      <c r="C3354" s="105"/>
      <c r="D3354" s="104" t="s">
        <v>14827</v>
      </c>
      <c r="E3354" s="104" t="s">
        <v>14824</v>
      </c>
      <c r="F3354" s="103" t="s">
        <v>4678</v>
      </c>
      <c r="G3354" s="103" t="s">
        <v>4679</v>
      </c>
      <c r="H3354" s="103" t="s">
        <v>14828</v>
      </c>
      <c r="I3354" s="103" t="s">
        <v>14821</v>
      </c>
      <c r="J3354" s="104" t="s">
        <v>14822</v>
      </c>
      <c r="K3354" s="105"/>
      <c r="L3354" s="105"/>
    </row>
    <row r="3355">
      <c r="A3355" s="103" t="s">
        <v>4676</v>
      </c>
      <c r="B3355" s="103">
        <v>1.100136787E9</v>
      </c>
      <c r="C3355" s="105"/>
      <c r="D3355" s="104" t="s">
        <v>14829</v>
      </c>
      <c r="E3355" s="106"/>
      <c r="F3355" s="103" t="s">
        <v>4678</v>
      </c>
      <c r="G3355" s="103" t="s">
        <v>4679</v>
      </c>
      <c r="H3355" s="103" t="s">
        <v>14830</v>
      </c>
      <c r="I3355" s="103">
        <v>3.045779362E9</v>
      </c>
      <c r="J3355" s="104" t="s">
        <v>14831</v>
      </c>
      <c r="K3355" s="105"/>
      <c r="L3355" s="105"/>
    </row>
    <row r="3356">
      <c r="A3356" s="103" t="s">
        <v>4676</v>
      </c>
      <c r="B3356" s="103">
        <v>1.10013678701E11</v>
      </c>
      <c r="C3356" s="105"/>
      <c r="D3356" s="104" t="s">
        <v>14829</v>
      </c>
      <c r="E3356" s="104" t="s">
        <v>14832</v>
      </c>
      <c r="F3356" s="103" t="s">
        <v>4678</v>
      </c>
      <c r="G3356" s="103" t="s">
        <v>4679</v>
      </c>
      <c r="H3356" s="103" t="s">
        <v>14830</v>
      </c>
      <c r="I3356" s="103">
        <v>3.045779362E9</v>
      </c>
      <c r="J3356" s="104" t="s">
        <v>14831</v>
      </c>
      <c r="K3356" s="105"/>
      <c r="L3356" s="105"/>
    </row>
    <row r="3357">
      <c r="A3357" s="103" t="s">
        <v>4676</v>
      </c>
      <c r="B3357" s="103">
        <v>1.100136838E9</v>
      </c>
      <c r="C3357" s="105"/>
      <c r="D3357" s="104" t="s">
        <v>14833</v>
      </c>
      <c r="E3357" s="106"/>
      <c r="F3357" s="103" t="s">
        <v>4678</v>
      </c>
      <c r="G3357" s="103" t="s">
        <v>4679</v>
      </c>
      <c r="H3357" s="103" t="s">
        <v>14834</v>
      </c>
      <c r="I3357" s="103">
        <v>3.214666882E9</v>
      </c>
      <c r="J3357" s="104" t="s">
        <v>14835</v>
      </c>
      <c r="K3357" s="107" t="s">
        <v>14836</v>
      </c>
      <c r="L3357" s="105"/>
    </row>
    <row r="3358">
      <c r="A3358" s="103" t="s">
        <v>4676</v>
      </c>
      <c r="B3358" s="103">
        <v>1.10013683801E11</v>
      </c>
      <c r="C3358" s="105"/>
      <c r="D3358" s="104" t="s">
        <v>14833</v>
      </c>
      <c r="E3358" s="104" t="s">
        <v>14837</v>
      </c>
      <c r="F3358" s="103" t="s">
        <v>4678</v>
      </c>
      <c r="G3358" s="103" t="s">
        <v>4679</v>
      </c>
      <c r="H3358" s="103" t="s">
        <v>14834</v>
      </c>
      <c r="I3358" s="103">
        <v>3.214666882E9</v>
      </c>
      <c r="J3358" s="104" t="s">
        <v>14835</v>
      </c>
      <c r="K3358" s="105"/>
      <c r="L3358" s="105"/>
    </row>
    <row r="3359">
      <c r="A3359" s="103" t="s">
        <v>4676</v>
      </c>
      <c r="B3359" s="103">
        <v>1.100136922E9</v>
      </c>
      <c r="C3359" s="105"/>
      <c r="D3359" s="104" t="s">
        <v>14838</v>
      </c>
      <c r="E3359" s="106"/>
      <c r="F3359" s="103" t="s">
        <v>4678</v>
      </c>
      <c r="G3359" s="103" t="s">
        <v>4679</v>
      </c>
      <c r="H3359" s="103" t="s">
        <v>14839</v>
      </c>
      <c r="I3359" s="103">
        <v>3.102752089E9</v>
      </c>
      <c r="J3359" s="104" t="s">
        <v>14840</v>
      </c>
      <c r="K3359" s="107" t="s">
        <v>14841</v>
      </c>
      <c r="L3359" s="105"/>
    </row>
    <row r="3360">
      <c r="A3360" s="103" t="s">
        <v>4676</v>
      </c>
      <c r="B3360" s="103">
        <v>1.10013692201E11</v>
      </c>
      <c r="C3360" s="105"/>
      <c r="D3360" s="104" t="s">
        <v>14842</v>
      </c>
      <c r="E3360" s="104" t="s">
        <v>14843</v>
      </c>
      <c r="F3360" s="103" t="s">
        <v>4678</v>
      </c>
      <c r="G3360" s="103" t="s">
        <v>4679</v>
      </c>
      <c r="H3360" s="103" t="s">
        <v>14844</v>
      </c>
      <c r="I3360" s="103">
        <v>3.102752089E9</v>
      </c>
      <c r="J3360" s="104" t="s">
        <v>14840</v>
      </c>
      <c r="K3360" s="105"/>
      <c r="L3360" s="105"/>
    </row>
    <row r="3361">
      <c r="A3361" s="103" t="s">
        <v>4676</v>
      </c>
      <c r="B3361" s="103">
        <v>1.10013692202E11</v>
      </c>
      <c r="C3361" s="105"/>
      <c r="D3361" s="104" t="s">
        <v>14845</v>
      </c>
      <c r="E3361" s="104" t="s">
        <v>14846</v>
      </c>
      <c r="F3361" s="103" t="s">
        <v>4678</v>
      </c>
      <c r="G3361" s="103" t="s">
        <v>4679</v>
      </c>
      <c r="H3361" s="103" t="s">
        <v>14847</v>
      </c>
      <c r="I3361" s="103">
        <v>3.102752089E9</v>
      </c>
      <c r="J3361" s="104" t="s">
        <v>14840</v>
      </c>
      <c r="K3361" s="105"/>
      <c r="L3361" s="105"/>
    </row>
    <row r="3362">
      <c r="A3362" s="103" t="s">
        <v>4676</v>
      </c>
      <c r="B3362" s="103">
        <v>1.10013692203E11</v>
      </c>
      <c r="C3362" s="105"/>
      <c r="D3362" s="104" t="s">
        <v>14848</v>
      </c>
      <c r="E3362" s="104" t="s">
        <v>14849</v>
      </c>
      <c r="F3362" s="103" t="s">
        <v>4678</v>
      </c>
      <c r="G3362" s="103" t="s">
        <v>4679</v>
      </c>
      <c r="H3362" s="103" t="s">
        <v>14850</v>
      </c>
      <c r="I3362" s="103">
        <v>7894562.0</v>
      </c>
      <c r="J3362" s="104" t="s">
        <v>14840</v>
      </c>
      <c r="K3362" s="105"/>
      <c r="L3362" s="105"/>
    </row>
    <row r="3363">
      <c r="A3363" s="103" t="s">
        <v>4676</v>
      </c>
      <c r="B3363" s="103">
        <v>1.100136939E9</v>
      </c>
      <c r="C3363" s="105"/>
      <c r="D3363" s="104" t="s">
        <v>14851</v>
      </c>
      <c r="E3363" s="106"/>
      <c r="F3363" s="103" t="s">
        <v>4678</v>
      </c>
      <c r="G3363" s="103" t="s">
        <v>4679</v>
      </c>
      <c r="H3363" s="103" t="s">
        <v>14852</v>
      </c>
      <c r="I3363" s="103">
        <v>3.175021023E9</v>
      </c>
      <c r="J3363" s="104" t="s">
        <v>14853</v>
      </c>
      <c r="K3363" s="107" t="s">
        <v>14854</v>
      </c>
      <c r="L3363" s="105"/>
    </row>
    <row r="3364">
      <c r="A3364" s="103" t="s">
        <v>4676</v>
      </c>
      <c r="B3364" s="103">
        <v>1.10013693901E11</v>
      </c>
      <c r="C3364" s="105"/>
      <c r="D3364" s="104" t="s">
        <v>14855</v>
      </c>
      <c r="E3364" s="104" t="s">
        <v>14856</v>
      </c>
      <c r="F3364" s="103" t="s">
        <v>4678</v>
      </c>
      <c r="G3364" s="103" t="s">
        <v>4679</v>
      </c>
      <c r="H3364" s="103" t="s">
        <v>14852</v>
      </c>
      <c r="I3364" s="103">
        <v>1.8000413646E10</v>
      </c>
      <c r="J3364" s="104" t="s">
        <v>14853</v>
      </c>
      <c r="K3364" s="105"/>
      <c r="L3364" s="105"/>
    </row>
    <row r="3365">
      <c r="A3365" s="103" t="s">
        <v>4676</v>
      </c>
      <c r="B3365" s="103">
        <v>1.100136958E9</v>
      </c>
      <c r="C3365" s="105"/>
      <c r="D3365" s="104" t="s">
        <v>14857</v>
      </c>
      <c r="E3365" s="106"/>
      <c r="F3365" s="103" t="s">
        <v>4678</v>
      </c>
      <c r="G3365" s="103" t="s">
        <v>4679</v>
      </c>
      <c r="H3365" s="103" t="s">
        <v>14858</v>
      </c>
      <c r="I3365" s="103" t="s">
        <v>14859</v>
      </c>
      <c r="J3365" s="104" t="s">
        <v>14860</v>
      </c>
      <c r="K3365" s="105"/>
      <c r="L3365" s="105"/>
    </row>
    <row r="3366">
      <c r="A3366" s="103" t="s">
        <v>4676</v>
      </c>
      <c r="B3366" s="103">
        <v>1.10013695801E11</v>
      </c>
      <c r="C3366" s="105"/>
      <c r="D3366" s="104" t="s">
        <v>14861</v>
      </c>
      <c r="E3366" s="104" t="s">
        <v>14862</v>
      </c>
      <c r="F3366" s="103" t="s">
        <v>4678</v>
      </c>
      <c r="G3366" s="103" t="s">
        <v>4679</v>
      </c>
      <c r="H3366" s="103" t="s">
        <v>14858</v>
      </c>
      <c r="I3366" s="103" t="s">
        <v>14863</v>
      </c>
      <c r="J3366" s="104" t="s">
        <v>14860</v>
      </c>
      <c r="K3366" s="105"/>
      <c r="L3366" s="105"/>
    </row>
    <row r="3367">
      <c r="A3367" s="103" t="s">
        <v>4676</v>
      </c>
      <c r="B3367" s="103">
        <v>1.100136961E9</v>
      </c>
      <c r="C3367" s="105"/>
      <c r="D3367" s="104" t="s">
        <v>14864</v>
      </c>
      <c r="E3367" s="106"/>
      <c r="F3367" s="103" t="s">
        <v>4678</v>
      </c>
      <c r="G3367" s="103" t="s">
        <v>4679</v>
      </c>
      <c r="H3367" s="103" t="s">
        <v>14865</v>
      </c>
      <c r="I3367" s="103">
        <v>3.183058818E9</v>
      </c>
      <c r="J3367" s="104" t="s">
        <v>14866</v>
      </c>
      <c r="K3367" s="105"/>
      <c r="L3367" s="105"/>
    </row>
    <row r="3368">
      <c r="A3368" s="103" t="s">
        <v>4676</v>
      </c>
      <c r="B3368" s="103">
        <v>1.10013696101E11</v>
      </c>
      <c r="C3368" s="105"/>
      <c r="D3368" s="104" t="s">
        <v>14867</v>
      </c>
      <c r="E3368" s="104" t="s">
        <v>14868</v>
      </c>
      <c r="F3368" s="103" t="s">
        <v>4678</v>
      </c>
      <c r="G3368" s="103" t="s">
        <v>4679</v>
      </c>
      <c r="H3368" s="103" t="s">
        <v>14865</v>
      </c>
      <c r="I3368" s="103">
        <v>3.183058818E9</v>
      </c>
      <c r="J3368" s="104" t="s">
        <v>14866</v>
      </c>
      <c r="K3368" s="105"/>
      <c r="L3368" s="105"/>
    </row>
    <row r="3369">
      <c r="A3369" s="103" t="s">
        <v>4676</v>
      </c>
      <c r="B3369" s="103">
        <v>1.100136968E9</v>
      </c>
      <c r="C3369" s="105"/>
      <c r="D3369" s="104" t="s">
        <v>14869</v>
      </c>
      <c r="E3369" s="106"/>
      <c r="F3369" s="103" t="s">
        <v>4678</v>
      </c>
      <c r="G3369" s="103" t="s">
        <v>4679</v>
      </c>
      <c r="H3369" s="103" t="s">
        <v>14870</v>
      </c>
      <c r="I3369" s="103">
        <v>3.118936766E9</v>
      </c>
      <c r="J3369" s="104" t="s">
        <v>14871</v>
      </c>
      <c r="K3369" s="105"/>
      <c r="L3369" s="105"/>
    </row>
    <row r="3370">
      <c r="A3370" s="103" t="s">
        <v>4676</v>
      </c>
      <c r="B3370" s="103">
        <v>1.10013696801E11</v>
      </c>
      <c r="C3370" s="105"/>
      <c r="D3370" s="104" t="s">
        <v>14869</v>
      </c>
      <c r="E3370" s="104" t="s">
        <v>14872</v>
      </c>
      <c r="F3370" s="103" t="s">
        <v>4678</v>
      </c>
      <c r="G3370" s="103" t="s">
        <v>4679</v>
      </c>
      <c r="H3370" s="103" t="s">
        <v>14873</v>
      </c>
      <c r="I3370" s="103" t="s">
        <v>14874</v>
      </c>
      <c r="J3370" s="104" t="s">
        <v>14875</v>
      </c>
      <c r="K3370" s="105"/>
      <c r="L3370" s="105"/>
    </row>
    <row r="3371">
      <c r="A3371" s="103" t="s">
        <v>4676</v>
      </c>
      <c r="B3371" s="103">
        <v>1.100136982E9</v>
      </c>
      <c r="C3371" s="105"/>
      <c r="D3371" s="104" t="s">
        <v>14876</v>
      </c>
      <c r="E3371" s="106"/>
      <c r="F3371" s="103" t="s">
        <v>4678</v>
      </c>
      <c r="G3371" s="103" t="s">
        <v>4679</v>
      </c>
      <c r="H3371" s="103" t="s">
        <v>14877</v>
      </c>
      <c r="I3371" s="103">
        <v>3.145509045E9</v>
      </c>
      <c r="J3371" s="104" t="s">
        <v>14878</v>
      </c>
      <c r="K3371" s="105"/>
      <c r="L3371" s="105"/>
    </row>
    <row r="3372">
      <c r="A3372" s="103" t="s">
        <v>4676</v>
      </c>
      <c r="B3372" s="103">
        <v>1.10013698201E11</v>
      </c>
      <c r="C3372" s="105"/>
      <c r="D3372" s="104" t="s">
        <v>14876</v>
      </c>
      <c r="E3372" s="104" t="s">
        <v>14879</v>
      </c>
      <c r="F3372" s="103" t="s">
        <v>4678</v>
      </c>
      <c r="G3372" s="103" t="s">
        <v>4679</v>
      </c>
      <c r="H3372" s="103" t="s">
        <v>14880</v>
      </c>
      <c r="I3372" s="103">
        <v>3.145509045E9</v>
      </c>
      <c r="J3372" s="104" t="s">
        <v>14878</v>
      </c>
      <c r="K3372" s="105"/>
      <c r="L3372" s="105"/>
    </row>
    <row r="3373">
      <c r="A3373" s="103" t="s">
        <v>4676</v>
      </c>
      <c r="B3373" s="103">
        <v>1.100136996E9</v>
      </c>
      <c r="C3373" s="105"/>
      <c r="D3373" s="104" t="s">
        <v>14881</v>
      </c>
      <c r="E3373" s="106"/>
      <c r="F3373" s="103" t="s">
        <v>4678</v>
      </c>
      <c r="G3373" s="103" t="s">
        <v>4679</v>
      </c>
      <c r="H3373" s="103" t="s">
        <v>14882</v>
      </c>
      <c r="I3373" s="103" t="s">
        <v>14883</v>
      </c>
      <c r="J3373" s="104" t="s">
        <v>14884</v>
      </c>
      <c r="K3373" s="107" t="s">
        <v>14885</v>
      </c>
      <c r="L3373" s="105"/>
    </row>
    <row r="3374">
      <c r="A3374" s="103" t="s">
        <v>4676</v>
      </c>
      <c r="B3374" s="103">
        <v>1.10013699601E11</v>
      </c>
      <c r="C3374" s="105"/>
      <c r="D3374" s="104" t="s">
        <v>14881</v>
      </c>
      <c r="E3374" s="104" t="s">
        <v>14886</v>
      </c>
      <c r="F3374" s="103" t="s">
        <v>4678</v>
      </c>
      <c r="G3374" s="103" t="s">
        <v>4679</v>
      </c>
      <c r="H3374" s="103" t="s">
        <v>14887</v>
      </c>
      <c r="I3374" s="103" t="s">
        <v>14888</v>
      </c>
      <c r="J3374" s="104" t="s">
        <v>14884</v>
      </c>
      <c r="K3374" s="105"/>
      <c r="L3374" s="105"/>
    </row>
    <row r="3375">
      <c r="A3375" s="103" t="s">
        <v>4676</v>
      </c>
      <c r="B3375" s="103">
        <v>1.100137012E9</v>
      </c>
      <c r="C3375" s="105"/>
      <c r="D3375" s="104" t="s">
        <v>14889</v>
      </c>
      <c r="E3375" s="106"/>
      <c r="F3375" s="103" t="s">
        <v>4678</v>
      </c>
      <c r="G3375" s="103" t="s">
        <v>4679</v>
      </c>
      <c r="H3375" s="103" t="s">
        <v>14890</v>
      </c>
      <c r="I3375" s="103">
        <v>2885328.0</v>
      </c>
      <c r="J3375" s="104" t="s">
        <v>14891</v>
      </c>
      <c r="K3375" s="107" t="s">
        <v>14892</v>
      </c>
      <c r="L3375" s="105"/>
    </row>
    <row r="3376">
      <c r="A3376" s="103" t="s">
        <v>4676</v>
      </c>
      <c r="B3376" s="103">
        <v>1.10013701201E11</v>
      </c>
      <c r="C3376" s="105"/>
      <c r="D3376" s="104" t="s">
        <v>14889</v>
      </c>
      <c r="E3376" s="104" t="s">
        <v>14893</v>
      </c>
      <c r="F3376" s="103" t="s">
        <v>4678</v>
      </c>
      <c r="G3376" s="103" t="s">
        <v>4679</v>
      </c>
      <c r="H3376" s="103" t="s">
        <v>14890</v>
      </c>
      <c r="I3376" s="103">
        <v>2885320.0</v>
      </c>
      <c r="J3376" s="104" t="s">
        <v>14891</v>
      </c>
      <c r="K3376" s="105"/>
      <c r="L3376" s="105"/>
    </row>
    <row r="3377">
      <c r="A3377" s="103" t="s">
        <v>4676</v>
      </c>
      <c r="B3377" s="103">
        <v>1.100137047E9</v>
      </c>
      <c r="C3377" s="105"/>
      <c r="D3377" s="104" t="s">
        <v>14894</v>
      </c>
      <c r="E3377" s="106"/>
      <c r="F3377" s="103" t="s">
        <v>4678</v>
      </c>
      <c r="G3377" s="103" t="s">
        <v>4679</v>
      </c>
      <c r="H3377" s="103" t="s">
        <v>14895</v>
      </c>
      <c r="I3377" s="103">
        <v>3.016158588E9</v>
      </c>
      <c r="J3377" s="104" t="s">
        <v>14896</v>
      </c>
      <c r="K3377" s="107" t="s">
        <v>14897</v>
      </c>
      <c r="L3377" s="105"/>
    </row>
    <row r="3378">
      <c r="A3378" s="103" t="s">
        <v>4676</v>
      </c>
      <c r="B3378" s="103">
        <v>1.10013704703E11</v>
      </c>
      <c r="C3378" s="105"/>
      <c r="D3378" s="104" t="s">
        <v>14898</v>
      </c>
      <c r="E3378" s="104" t="s">
        <v>14899</v>
      </c>
      <c r="F3378" s="103" t="s">
        <v>4678</v>
      </c>
      <c r="G3378" s="103" t="s">
        <v>4679</v>
      </c>
      <c r="H3378" s="103" t="s">
        <v>14900</v>
      </c>
      <c r="I3378" s="103" t="s">
        <v>14901</v>
      </c>
      <c r="J3378" s="104" t="s">
        <v>14902</v>
      </c>
      <c r="K3378" s="105"/>
      <c r="L3378" s="105"/>
    </row>
    <row r="3379">
      <c r="A3379" s="103" t="s">
        <v>4676</v>
      </c>
      <c r="B3379" s="103">
        <v>1.10013704706E11</v>
      </c>
      <c r="C3379" s="105"/>
      <c r="D3379" s="104" t="s">
        <v>14903</v>
      </c>
      <c r="E3379" s="104" t="s">
        <v>14899</v>
      </c>
      <c r="F3379" s="103" t="s">
        <v>4678</v>
      </c>
      <c r="G3379" s="103" t="s">
        <v>4679</v>
      </c>
      <c r="H3379" s="103" t="s">
        <v>14904</v>
      </c>
      <c r="I3379" s="103">
        <v>3.016158588E9</v>
      </c>
      <c r="J3379" s="104" t="s">
        <v>14896</v>
      </c>
      <c r="K3379" s="105"/>
      <c r="L3379" s="105"/>
    </row>
    <row r="3380">
      <c r="A3380" s="103" t="s">
        <v>4676</v>
      </c>
      <c r="B3380" s="103">
        <v>1.10013704707E11</v>
      </c>
      <c r="C3380" s="105"/>
      <c r="D3380" s="104" t="s">
        <v>14905</v>
      </c>
      <c r="E3380" s="104" t="s">
        <v>14906</v>
      </c>
      <c r="F3380" s="103" t="s">
        <v>4678</v>
      </c>
      <c r="G3380" s="103" t="s">
        <v>4679</v>
      </c>
      <c r="H3380" s="103" t="s">
        <v>14907</v>
      </c>
      <c r="I3380" s="103">
        <v>3.016158588E9</v>
      </c>
      <c r="J3380" s="104" t="s">
        <v>14896</v>
      </c>
      <c r="K3380" s="105"/>
      <c r="L3380" s="105"/>
    </row>
    <row r="3381">
      <c r="A3381" s="103" t="s">
        <v>4676</v>
      </c>
      <c r="B3381" s="103">
        <v>1.10013704708E11</v>
      </c>
      <c r="C3381" s="105"/>
      <c r="D3381" s="104" t="s">
        <v>14908</v>
      </c>
      <c r="E3381" s="104" t="s">
        <v>14906</v>
      </c>
      <c r="F3381" s="103" t="s">
        <v>4678</v>
      </c>
      <c r="G3381" s="103" t="s">
        <v>4679</v>
      </c>
      <c r="H3381" s="103" t="s">
        <v>14909</v>
      </c>
      <c r="I3381" s="103" t="s">
        <v>14901</v>
      </c>
      <c r="J3381" s="104" t="s">
        <v>14902</v>
      </c>
      <c r="K3381" s="105"/>
      <c r="L3381" s="105"/>
    </row>
    <row r="3382">
      <c r="A3382" s="103" t="s">
        <v>4676</v>
      </c>
      <c r="B3382" s="103">
        <v>1.10013704709E11</v>
      </c>
      <c r="C3382" s="105"/>
      <c r="D3382" s="104" t="s">
        <v>14910</v>
      </c>
      <c r="E3382" s="104" t="s">
        <v>14899</v>
      </c>
      <c r="F3382" s="103" t="s">
        <v>4678</v>
      </c>
      <c r="G3382" s="103" t="s">
        <v>4679</v>
      </c>
      <c r="H3382" s="103" t="s">
        <v>14911</v>
      </c>
      <c r="I3382" s="103" t="s">
        <v>14901</v>
      </c>
      <c r="J3382" s="104" t="s">
        <v>14902</v>
      </c>
      <c r="K3382" s="105"/>
      <c r="L3382" s="105"/>
    </row>
    <row r="3383">
      <c r="A3383" s="103" t="s">
        <v>4676</v>
      </c>
      <c r="B3383" s="103">
        <v>1.1001370471E11</v>
      </c>
      <c r="C3383" s="105"/>
      <c r="D3383" s="104" t="s">
        <v>14912</v>
      </c>
      <c r="E3383" s="104" t="s">
        <v>14906</v>
      </c>
      <c r="F3383" s="103" t="s">
        <v>4678</v>
      </c>
      <c r="G3383" s="103" t="s">
        <v>4679</v>
      </c>
      <c r="H3383" s="103" t="s">
        <v>14913</v>
      </c>
      <c r="I3383" s="103" t="s">
        <v>14901</v>
      </c>
      <c r="J3383" s="104" t="s">
        <v>14902</v>
      </c>
      <c r="K3383" s="105"/>
      <c r="L3383" s="105"/>
    </row>
    <row r="3384">
      <c r="A3384" s="103" t="s">
        <v>4676</v>
      </c>
      <c r="B3384" s="103">
        <v>1.10013704711E11</v>
      </c>
      <c r="C3384" s="105"/>
      <c r="D3384" s="104" t="s">
        <v>14914</v>
      </c>
      <c r="E3384" s="104" t="s">
        <v>14899</v>
      </c>
      <c r="F3384" s="103" t="s">
        <v>4678</v>
      </c>
      <c r="G3384" s="103" t="s">
        <v>4679</v>
      </c>
      <c r="H3384" s="103" t="s">
        <v>14915</v>
      </c>
      <c r="I3384" s="103">
        <v>3.20433682E9</v>
      </c>
      <c r="J3384" s="104" t="s">
        <v>14896</v>
      </c>
      <c r="K3384" s="105"/>
      <c r="L3384" s="105"/>
    </row>
    <row r="3385">
      <c r="A3385" s="103" t="s">
        <v>4676</v>
      </c>
      <c r="B3385" s="103">
        <v>1.10013704713E11</v>
      </c>
      <c r="C3385" s="105"/>
      <c r="D3385" s="104" t="s">
        <v>14916</v>
      </c>
      <c r="E3385" s="104" t="s">
        <v>14906</v>
      </c>
      <c r="F3385" s="103" t="s">
        <v>4678</v>
      </c>
      <c r="G3385" s="103" t="s">
        <v>4679</v>
      </c>
      <c r="H3385" s="103" t="s">
        <v>14917</v>
      </c>
      <c r="I3385" s="103" t="s">
        <v>14901</v>
      </c>
      <c r="J3385" s="104" t="s">
        <v>14902</v>
      </c>
      <c r="K3385" s="105"/>
      <c r="L3385" s="105"/>
    </row>
    <row r="3386">
      <c r="A3386" s="103" t="s">
        <v>4676</v>
      </c>
      <c r="B3386" s="103">
        <v>1.10013704716E11</v>
      </c>
      <c r="C3386" s="105"/>
      <c r="D3386" s="104" t="s">
        <v>14918</v>
      </c>
      <c r="E3386" s="104" t="s">
        <v>14899</v>
      </c>
      <c r="F3386" s="103" t="s">
        <v>4678</v>
      </c>
      <c r="G3386" s="103" t="s">
        <v>4679</v>
      </c>
      <c r="H3386" s="103" t="s">
        <v>14919</v>
      </c>
      <c r="I3386" s="103" t="s">
        <v>14901</v>
      </c>
      <c r="J3386" s="104" t="s">
        <v>14902</v>
      </c>
      <c r="K3386" s="105"/>
      <c r="L3386" s="105"/>
    </row>
    <row r="3387">
      <c r="A3387" s="103" t="s">
        <v>4676</v>
      </c>
      <c r="B3387" s="103">
        <v>1.10013704718E11</v>
      </c>
      <c r="C3387" s="105"/>
      <c r="D3387" s="104" t="s">
        <v>14920</v>
      </c>
      <c r="E3387" s="104" t="s">
        <v>14899</v>
      </c>
      <c r="F3387" s="103" t="s">
        <v>4678</v>
      </c>
      <c r="G3387" s="103" t="s">
        <v>4679</v>
      </c>
      <c r="H3387" s="103" t="s">
        <v>14921</v>
      </c>
      <c r="I3387" s="103">
        <v>3.016158588E9</v>
      </c>
      <c r="J3387" s="104" t="s">
        <v>14896</v>
      </c>
      <c r="K3387" s="105"/>
      <c r="L3387" s="105"/>
    </row>
    <row r="3388">
      <c r="A3388" s="103" t="s">
        <v>4676</v>
      </c>
      <c r="B3388" s="103">
        <v>1.10013704719E11</v>
      </c>
      <c r="C3388" s="105"/>
      <c r="D3388" s="104" t="s">
        <v>14922</v>
      </c>
      <c r="E3388" s="104" t="s">
        <v>14899</v>
      </c>
      <c r="F3388" s="103" t="s">
        <v>4678</v>
      </c>
      <c r="G3388" s="103" t="s">
        <v>4679</v>
      </c>
      <c r="H3388" s="103" t="s">
        <v>14923</v>
      </c>
      <c r="I3388" s="103">
        <v>3.016158588E9</v>
      </c>
      <c r="J3388" s="104" t="s">
        <v>14896</v>
      </c>
      <c r="K3388" s="105"/>
      <c r="L3388" s="105"/>
    </row>
    <row r="3389">
      <c r="A3389" s="103" t="s">
        <v>4676</v>
      </c>
      <c r="B3389" s="103">
        <v>1.10013704722E11</v>
      </c>
      <c r="C3389" s="105"/>
      <c r="D3389" s="104" t="s">
        <v>14924</v>
      </c>
      <c r="E3389" s="104" t="s">
        <v>14899</v>
      </c>
      <c r="F3389" s="103" t="s">
        <v>4678</v>
      </c>
      <c r="G3389" s="103" t="s">
        <v>4679</v>
      </c>
      <c r="H3389" s="103" t="s">
        <v>14925</v>
      </c>
      <c r="I3389" s="103">
        <v>3.016158588E9</v>
      </c>
      <c r="J3389" s="104" t="s">
        <v>14896</v>
      </c>
      <c r="K3389" s="105"/>
      <c r="L3389" s="105"/>
    </row>
    <row r="3390">
      <c r="A3390" s="103" t="s">
        <v>4676</v>
      </c>
      <c r="B3390" s="103">
        <v>1.10013704727E11</v>
      </c>
      <c r="C3390" s="105"/>
      <c r="D3390" s="104" t="s">
        <v>14926</v>
      </c>
      <c r="E3390" s="104" t="s">
        <v>14899</v>
      </c>
      <c r="F3390" s="103" t="s">
        <v>4678</v>
      </c>
      <c r="G3390" s="103" t="s">
        <v>4679</v>
      </c>
      <c r="H3390" s="103" t="s">
        <v>14927</v>
      </c>
      <c r="I3390" s="103">
        <v>3.016158588E9</v>
      </c>
      <c r="J3390" s="104" t="s">
        <v>14896</v>
      </c>
      <c r="K3390" s="105"/>
      <c r="L3390" s="105"/>
    </row>
    <row r="3391">
      <c r="A3391" s="103" t="s">
        <v>4676</v>
      </c>
      <c r="B3391" s="103">
        <v>1.1001370473E11</v>
      </c>
      <c r="C3391" s="105"/>
      <c r="D3391" s="104" t="s">
        <v>14928</v>
      </c>
      <c r="E3391" s="104" t="s">
        <v>14929</v>
      </c>
      <c r="F3391" s="103" t="s">
        <v>4678</v>
      </c>
      <c r="G3391" s="103" t="s">
        <v>4679</v>
      </c>
      <c r="H3391" s="103" t="s">
        <v>14930</v>
      </c>
      <c r="I3391" s="103" t="s">
        <v>14901</v>
      </c>
      <c r="J3391" s="104" t="s">
        <v>14902</v>
      </c>
      <c r="K3391" s="105"/>
      <c r="L3391" s="105"/>
    </row>
    <row r="3392">
      <c r="A3392" s="103" t="s">
        <v>4676</v>
      </c>
      <c r="B3392" s="103">
        <v>1.10013704731E11</v>
      </c>
      <c r="C3392" s="105"/>
      <c r="D3392" s="104" t="s">
        <v>14931</v>
      </c>
      <c r="E3392" s="104" t="s">
        <v>14929</v>
      </c>
      <c r="F3392" s="103" t="s">
        <v>4678</v>
      </c>
      <c r="G3392" s="103" t="s">
        <v>4679</v>
      </c>
      <c r="H3392" s="103" t="s">
        <v>14932</v>
      </c>
      <c r="I3392" s="103" t="s">
        <v>14933</v>
      </c>
      <c r="J3392" s="104" t="s">
        <v>14934</v>
      </c>
      <c r="K3392" s="105"/>
      <c r="L3392" s="105"/>
    </row>
    <row r="3393">
      <c r="A3393" s="103" t="s">
        <v>4676</v>
      </c>
      <c r="B3393" s="103">
        <v>1.100137079E9</v>
      </c>
      <c r="C3393" s="105"/>
      <c r="D3393" s="104" t="s">
        <v>14935</v>
      </c>
      <c r="E3393" s="106"/>
      <c r="F3393" s="103" t="s">
        <v>4678</v>
      </c>
      <c r="G3393" s="103" t="s">
        <v>4679</v>
      </c>
      <c r="H3393" s="103" t="s">
        <v>14936</v>
      </c>
      <c r="I3393" s="103">
        <v>3.207013893E9</v>
      </c>
      <c r="J3393" s="104" t="s">
        <v>14937</v>
      </c>
      <c r="K3393" s="105"/>
      <c r="L3393" s="105"/>
    </row>
    <row r="3394">
      <c r="A3394" s="103" t="s">
        <v>4676</v>
      </c>
      <c r="B3394" s="103">
        <v>1.10013707901E11</v>
      </c>
      <c r="C3394" s="105"/>
      <c r="D3394" s="104" t="s">
        <v>14938</v>
      </c>
      <c r="E3394" s="104" t="s">
        <v>14939</v>
      </c>
      <c r="F3394" s="103" t="s">
        <v>4678</v>
      </c>
      <c r="G3394" s="103" t="s">
        <v>4679</v>
      </c>
      <c r="H3394" s="103" t="s">
        <v>14940</v>
      </c>
      <c r="I3394" s="103">
        <v>3.207013893E9</v>
      </c>
      <c r="J3394" s="104" t="s">
        <v>14941</v>
      </c>
      <c r="K3394" s="105"/>
      <c r="L3394" s="105"/>
    </row>
    <row r="3395">
      <c r="A3395" s="103" t="s">
        <v>4676</v>
      </c>
      <c r="B3395" s="103">
        <v>1.100137122E9</v>
      </c>
      <c r="C3395" s="105"/>
      <c r="D3395" s="104" t="s">
        <v>14942</v>
      </c>
      <c r="E3395" s="106"/>
      <c r="F3395" s="103" t="s">
        <v>4678</v>
      </c>
      <c r="G3395" s="103" t="s">
        <v>4679</v>
      </c>
      <c r="H3395" s="103" t="s">
        <v>14943</v>
      </c>
      <c r="I3395" s="103">
        <v>3.015772645E9</v>
      </c>
      <c r="J3395" s="104" t="s">
        <v>14944</v>
      </c>
      <c r="K3395" s="107" t="s">
        <v>14945</v>
      </c>
      <c r="L3395" s="105"/>
    </row>
    <row r="3396">
      <c r="A3396" s="103" t="s">
        <v>4676</v>
      </c>
      <c r="B3396" s="103">
        <v>1.10013712201E11</v>
      </c>
      <c r="C3396" s="105"/>
      <c r="D3396" s="104" t="s">
        <v>14946</v>
      </c>
      <c r="E3396" s="104" t="s">
        <v>14947</v>
      </c>
      <c r="F3396" s="103" t="s">
        <v>4678</v>
      </c>
      <c r="G3396" s="103" t="s">
        <v>4679</v>
      </c>
      <c r="H3396" s="103" t="s">
        <v>14948</v>
      </c>
      <c r="I3396" s="103">
        <v>3.015772645E9</v>
      </c>
      <c r="J3396" s="104" t="s">
        <v>14944</v>
      </c>
      <c r="K3396" s="105"/>
      <c r="L3396" s="105"/>
    </row>
    <row r="3397">
      <c r="A3397" s="103" t="s">
        <v>4676</v>
      </c>
      <c r="B3397" s="103">
        <v>1.100137123E9</v>
      </c>
      <c r="C3397" s="105"/>
      <c r="D3397" s="104" t="s">
        <v>14949</v>
      </c>
      <c r="E3397" s="106"/>
      <c r="F3397" s="103" t="s">
        <v>4678</v>
      </c>
      <c r="G3397" s="103" t="s">
        <v>4679</v>
      </c>
      <c r="H3397" s="103" t="s">
        <v>14950</v>
      </c>
      <c r="I3397" s="103">
        <v>7026728.0</v>
      </c>
      <c r="J3397" s="104" t="s">
        <v>14951</v>
      </c>
      <c r="K3397" s="107" t="s">
        <v>14952</v>
      </c>
      <c r="L3397" s="105"/>
    </row>
    <row r="3398">
      <c r="A3398" s="103" t="s">
        <v>4676</v>
      </c>
      <c r="B3398" s="103">
        <v>1.10013712301E11</v>
      </c>
      <c r="C3398" s="105"/>
      <c r="D3398" s="104" t="s">
        <v>14949</v>
      </c>
      <c r="E3398" s="104" t="s">
        <v>14953</v>
      </c>
      <c r="F3398" s="103" t="s">
        <v>4678</v>
      </c>
      <c r="G3398" s="103" t="s">
        <v>4679</v>
      </c>
      <c r="H3398" s="103" t="s">
        <v>14954</v>
      </c>
      <c r="I3398" s="103" t="s">
        <v>14955</v>
      </c>
      <c r="J3398" s="104" t="s">
        <v>14951</v>
      </c>
      <c r="K3398" s="105"/>
      <c r="L3398" s="105"/>
    </row>
    <row r="3399">
      <c r="A3399" s="103" t="s">
        <v>4676</v>
      </c>
      <c r="B3399" s="103">
        <v>1.100137179E9</v>
      </c>
      <c r="C3399" s="105"/>
      <c r="D3399" s="104" t="s">
        <v>14956</v>
      </c>
      <c r="E3399" s="106"/>
      <c r="F3399" s="103" t="s">
        <v>4678</v>
      </c>
      <c r="G3399" s="103" t="s">
        <v>4679</v>
      </c>
      <c r="H3399" s="103" t="s">
        <v>14957</v>
      </c>
      <c r="I3399" s="103">
        <v>3.233224442E9</v>
      </c>
      <c r="J3399" s="104" t="s">
        <v>14958</v>
      </c>
      <c r="K3399" s="107" t="s">
        <v>14959</v>
      </c>
      <c r="L3399" s="105"/>
    </row>
    <row r="3400">
      <c r="A3400" s="103" t="s">
        <v>4676</v>
      </c>
      <c r="B3400" s="103">
        <v>1.10013717901E11</v>
      </c>
      <c r="C3400" s="105"/>
      <c r="D3400" s="104" t="s">
        <v>14956</v>
      </c>
      <c r="E3400" s="104" t="s">
        <v>14960</v>
      </c>
      <c r="F3400" s="103" t="s">
        <v>4678</v>
      </c>
      <c r="G3400" s="103" t="s">
        <v>4679</v>
      </c>
      <c r="H3400" s="103" t="s">
        <v>14961</v>
      </c>
      <c r="I3400" s="103">
        <v>3.233224442E9</v>
      </c>
      <c r="J3400" s="104" t="s">
        <v>14958</v>
      </c>
      <c r="K3400" s="105"/>
      <c r="L3400" s="105"/>
    </row>
    <row r="3401">
      <c r="A3401" s="103" t="s">
        <v>4676</v>
      </c>
      <c r="B3401" s="103">
        <v>1.100137198E9</v>
      </c>
      <c r="C3401" s="105"/>
      <c r="D3401" s="104" t="s">
        <v>14962</v>
      </c>
      <c r="E3401" s="106"/>
      <c r="F3401" s="103" t="s">
        <v>4678</v>
      </c>
      <c r="G3401" s="103" t="s">
        <v>4679</v>
      </c>
      <c r="H3401" s="103" t="s">
        <v>14963</v>
      </c>
      <c r="I3401" s="103">
        <v>3.33033362E9</v>
      </c>
      <c r="J3401" s="104" t="s">
        <v>14964</v>
      </c>
      <c r="K3401" s="105"/>
      <c r="L3401" s="105"/>
    </row>
    <row r="3402">
      <c r="A3402" s="103" t="s">
        <v>4676</v>
      </c>
      <c r="B3402" s="103">
        <v>1.10013719801E11</v>
      </c>
      <c r="C3402" s="105"/>
      <c r="D3402" s="104" t="s">
        <v>14962</v>
      </c>
      <c r="E3402" s="104" t="s">
        <v>11391</v>
      </c>
      <c r="F3402" s="103" t="s">
        <v>4678</v>
      </c>
      <c r="G3402" s="103" t="s">
        <v>4679</v>
      </c>
      <c r="H3402" s="103" t="s">
        <v>14963</v>
      </c>
      <c r="I3402" s="103">
        <v>3.228569984E9</v>
      </c>
      <c r="J3402" s="104" t="s">
        <v>14965</v>
      </c>
      <c r="K3402" s="105"/>
      <c r="L3402" s="105"/>
    </row>
    <row r="3403">
      <c r="A3403" s="103" t="s">
        <v>4676</v>
      </c>
      <c r="B3403" s="103">
        <v>1.10013719802E11</v>
      </c>
      <c r="C3403" s="105"/>
      <c r="D3403" s="104" t="s">
        <v>14966</v>
      </c>
      <c r="E3403" s="104" t="s">
        <v>14967</v>
      </c>
      <c r="F3403" s="103" t="s">
        <v>4678</v>
      </c>
      <c r="G3403" s="103" t="s">
        <v>4679</v>
      </c>
      <c r="H3403" s="103" t="s">
        <v>14968</v>
      </c>
      <c r="I3403" s="103">
        <v>3.228569984E9</v>
      </c>
      <c r="J3403" s="104" t="s">
        <v>14965</v>
      </c>
      <c r="K3403" s="105"/>
      <c r="L3403" s="105"/>
    </row>
    <row r="3404">
      <c r="A3404" s="103" t="s">
        <v>4676</v>
      </c>
      <c r="B3404" s="103">
        <v>1.10013719803E11</v>
      </c>
      <c r="C3404" s="105"/>
      <c r="D3404" s="104" t="s">
        <v>14969</v>
      </c>
      <c r="E3404" s="104" t="s">
        <v>14970</v>
      </c>
      <c r="F3404" s="103" t="s">
        <v>4678</v>
      </c>
      <c r="G3404" s="103" t="s">
        <v>4679</v>
      </c>
      <c r="H3404" s="103" t="s">
        <v>14971</v>
      </c>
      <c r="I3404" s="103">
        <v>3.33033362E9</v>
      </c>
      <c r="J3404" s="104" t="s">
        <v>14965</v>
      </c>
      <c r="K3404" s="105"/>
      <c r="L3404" s="105"/>
    </row>
    <row r="3405">
      <c r="A3405" s="103" t="s">
        <v>4676</v>
      </c>
      <c r="B3405" s="103">
        <v>1.100137217E9</v>
      </c>
      <c r="C3405" s="105"/>
      <c r="D3405" s="104" t="s">
        <v>14972</v>
      </c>
      <c r="E3405" s="106"/>
      <c r="F3405" s="103" t="s">
        <v>4678</v>
      </c>
      <c r="G3405" s="103" t="s">
        <v>4679</v>
      </c>
      <c r="H3405" s="103" t="s">
        <v>14973</v>
      </c>
      <c r="I3405" s="103">
        <v>3.195218592E9</v>
      </c>
      <c r="J3405" s="104" t="s">
        <v>14974</v>
      </c>
      <c r="K3405" s="107" t="s">
        <v>14975</v>
      </c>
      <c r="L3405" s="105"/>
    </row>
    <row r="3406">
      <c r="A3406" s="103" t="s">
        <v>4676</v>
      </c>
      <c r="B3406" s="103">
        <v>1.10013721701E11</v>
      </c>
      <c r="C3406" s="105"/>
      <c r="D3406" s="104" t="s">
        <v>14976</v>
      </c>
      <c r="E3406" s="104" t="s">
        <v>14977</v>
      </c>
      <c r="F3406" s="103" t="s">
        <v>4678</v>
      </c>
      <c r="G3406" s="103" t="s">
        <v>4679</v>
      </c>
      <c r="H3406" s="103" t="s">
        <v>14973</v>
      </c>
      <c r="I3406" s="103" t="s">
        <v>14978</v>
      </c>
      <c r="J3406" s="104" t="s">
        <v>14974</v>
      </c>
      <c r="K3406" s="105"/>
      <c r="L3406" s="105"/>
    </row>
    <row r="3407">
      <c r="A3407" s="103" t="s">
        <v>4676</v>
      </c>
      <c r="B3407" s="103">
        <v>1.100137243E9</v>
      </c>
      <c r="C3407" s="105"/>
      <c r="D3407" s="104" t="s">
        <v>14979</v>
      </c>
      <c r="E3407" s="106"/>
      <c r="F3407" s="103" t="s">
        <v>4678</v>
      </c>
      <c r="G3407" s="103" t="s">
        <v>4679</v>
      </c>
      <c r="H3407" s="103" t="s">
        <v>14980</v>
      </c>
      <c r="I3407" s="103">
        <v>3.243929824E9</v>
      </c>
      <c r="J3407" s="104" t="s">
        <v>14981</v>
      </c>
      <c r="K3407" s="105"/>
      <c r="L3407" s="105"/>
    </row>
    <row r="3408">
      <c r="A3408" s="103" t="s">
        <v>4676</v>
      </c>
      <c r="B3408" s="103">
        <v>1.10013724301E11</v>
      </c>
      <c r="C3408" s="105"/>
      <c r="D3408" s="104" t="s">
        <v>14979</v>
      </c>
      <c r="E3408" s="104" t="s">
        <v>14982</v>
      </c>
      <c r="F3408" s="103" t="s">
        <v>4678</v>
      </c>
      <c r="G3408" s="103" t="s">
        <v>4679</v>
      </c>
      <c r="H3408" s="103" t="s">
        <v>14983</v>
      </c>
      <c r="I3408" s="103">
        <v>3.243929824E9</v>
      </c>
      <c r="J3408" s="104" t="s">
        <v>14981</v>
      </c>
      <c r="K3408" s="105"/>
      <c r="L3408" s="105"/>
    </row>
    <row r="3409">
      <c r="A3409" s="103" t="s">
        <v>4676</v>
      </c>
      <c r="B3409" s="103">
        <v>1.100137321E9</v>
      </c>
      <c r="C3409" s="105"/>
      <c r="D3409" s="104" t="s">
        <v>14984</v>
      </c>
      <c r="E3409" s="106"/>
      <c r="F3409" s="103" t="s">
        <v>4678</v>
      </c>
      <c r="G3409" s="103" t="s">
        <v>4679</v>
      </c>
      <c r="H3409" s="103" t="s">
        <v>14985</v>
      </c>
      <c r="I3409" s="103">
        <v>3.108176607E9</v>
      </c>
      <c r="J3409" s="104" t="s">
        <v>14986</v>
      </c>
      <c r="K3409" s="105"/>
      <c r="L3409" s="105"/>
    </row>
    <row r="3410">
      <c r="A3410" s="103" t="s">
        <v>4676</v>
      </c>
      <c r="B3410" s="103">
        <v>1.10013732101E11</v>
      </c>
      <c r="C3410" s="105"/>
      <c r="D3410" s="104" t="s">
        <v>14984</v>
      </c>
      <c r="E3410" s="104" t="s">
        <v>14987</v>
      </c>
      <c r="F3410" s="103" t="s">
        <v>4678</v>
      </c>
      <c r="G3410" s="103" t="s">
        <v>4679</v>
      </c>
      <c r="H3410" s="103" t="s">
        <v>14985</v>
      </c>
      <c r="I3410" s="103">
        <v>3.108176607E9</v>
      </c>
      <c r="J3410" s="104" t="s">
        <v>14986</v>
      </c>
      <c r="K3410" s="105"/>
      <c r="L3410" s="105"/>
    </row>
    <row r="3411">
      <c r="A3411" s="103" t="s">
        <v>4676</v>
      </c>
      <c r="B3411" s="103">
        <v>1.100137341E9</v>
      </c>
      <c r="C3411" s="105"/>
      <c r="D3411" s="104" t="s">
        <v>14988</v>
      </c>
      <c r="E3411" s="106"/>
      <c r="F3411" s="103" t="s">
        <v>4678</v>
      </c>
      <c r="G3411" s="103" t="s">
        <v>4679</v>
      </c>
      <c r="H3411" s="103" t="s">
        <v>14989</v>
      </c>
      <c r="I3411" s="103">
        <v>3.17437941E9</v>
      </c>
      <c r="J3411" s="104" t="s">
        <v>14990</v>
      </c>
      <c r="K3411" s="105"/>
      <c r="L3411" s="105"/>
    </row>
    <row r="3412">
      <c r="A3412" s="103" t="s">
        <v>4676</v>
      </c>
      <c r="B3412" s="103">
        <v>1.10013734102E11</v>
      </c>
      <c r="C3412" s="105"/>
      <c r="D3412" s="104" t="s">
        <v>14991</v>
      </c>
      <c r="E3412" s="104" t="s">
        <v>14992</v>
      </c>
      <c r="F3412" s="103" t="s">
        <v>4678</v>
      </c>
      <c r="G3412" s="103" t="s">
        <v>4679</v>
      </c>
      <c r="H3412" s="103" t="s">
        <v>14993</v>
      </c>
      <c r="I3412" s="103">
        <v>3.17437941E9</v>
      </c>
      <c r="J3412" s="104" t="s">
        <v>14990</v>
      </c>
      <c r="K3412" s="105"/>
      <c r="L3412" s="105"/>
    </row>
    <row r="3413">
      <c r="A3413" s="103" t="s">
        <v>4676</v>
      </c>
      <c r="B3413" s="103">
        <v>1.10013734103E11</v>
      </c>
      <c r="C3413" s="105"/>
      <c r="D3413" s="104" t="s">
        <v>10113</v>
      </c>
      <c r="E3413" s="104" t="s">
        <v>14994</v>
      </c>
      <c r="F3413" s="103" t="s">
        <v>4678</v>
      </c>
      <c r="G3413" s="103" t="s">
        <v>4679</v>
      </c>
      <c r="H3413" s="103" t="s">
        <v>14995</v>
      </c>
      <c r="I3413" s="103">
        <v>3.17437941E9</v>
      </c>
      <c r="J3413" s="104" t="s">
        <v>14996</v>
      </c>
      <c r="K3413" s="105"/>
      <c r="L3413" s="105"/>
    </row>
    <row r="3414">
      <c r="A3414" s="103" t="s">
        <v>4676</v>
      </c>
      <c r="B3414" s="103">
        <v>1.100137346E9</v>
      </c>
      <c r="C3414" s="105"/>
      <c r="D3414" s="104" t="s">
        <v>14997</v>
      </c>
      <c r="E3414" s="106"/>
      <c r="F3414" s="103" t="s">
        <v>4678</v>
      </c>
      <c r="G3414" s="103" t="s">
        <v>4679</v>
      </c>
      <c r="H3414" s="103" t="s">
        <v>14998</v>
      </c>
      <c r="I3414" s="103">
        <v>6.017702119E9</v>
      </c>
      <c r="J3414" s="104" t="s">
        <v>14999</v>
      </c>
      <c r="K3414" s="105"/>
      <c r="L3414" s="105"/>
    </row>
    <row r="3415">
      <c r="A3415" s="103" t="s">
        <v>4676</v>
      </c>
      <c r="B3415" s="103">
        <v>1.10013734601E11</v>
      </c>
      <c r="C3415" s="105"/>
      <c r="D3415" s="104" t="s">
        <v>14997</v>
      </c>
      <c r="E3415" s="104" t="s">
        <v>15000</v>
      </c>
      <c r="F3415" s="103" t="s">
        <v>4678</v>
      </c>
      <c r="G3415" s="103" t="s">
        <v>4679</v>
      </c>
      <c r="H3415" s="103" t="s">
        <v>15001</v>
      </c>
      <c r="I3415" s="103">
        <v>6.017702119E9</v>
      </c>
      <c r="J3415" s="104" t="s">
        <v>14999</v>
      </c>
      <c r="K3415" s="105"/>
      <c r="L3415" s="105"/>
    </row>
    <row r="3416">
      <c r="A3416" s="103" t="s">
        <v>4676</v>
      </c>
      <c r="B3416" s="103">
        <v>1.100137371E9</v>
      </c>
      <c r="C3416" s="105"/>
      <c r="D3416" s="104" t="s">
        <v>15002</v>
      </c>
      <c r="E3416" s="106"/>
      <c r="F3416" s="103" t="s">
        <v>4678</v>
      </c>
      <c r="G3416" s="103" t="s">
        <v>4679</v>
      </c>
      <c r="H3416" s="103" t="s">
        <v>15003</v>
      </c>
      <c r="I3416" s="103">
        <v>3.165542976E9</v>
      </c>
      <c r="J3416" s="104" t="s">
        <v>15004</v>
      </c>
      <c r="K3416" s="107" t="s">
        <v>15005</v>
      </c>
      <c r="L3416" s="105"/>
    </row>
    <row r="3417">
      <c r="A3417" s="103" t="s">
        <v>4676</v>
      </c>
      <c r="B3417" s="103">
        <v>1.10013737102E11</v>
      </c>
      <c r="C3417" s="105"/>
      <c r="D3417" s="104" t="s">
        <v>15006</v>
      </c>
      <c r="E3417" s="104" t="s">
        <v>15007</v>
      </c>
      <c r="F3417" s="103" t="s">
        <v>4678</v>
      </c>
      <c r="G3417" s="103" t="s">
        <v>4679</v>
      </c>
      <c r="H3417" s="103" t="s">
        <v>15008</v>
      </c>
      <c r="I3417" s="103">
        <v>3.165542976E9</v>
      </c>
      <c r="J3417" s="104" t="s">
        <v>15004</v>
      </c>
      <c r="K3417" s="105"/>
      <c r="L3417" s="105"/>
    </row>
    <row r="3418">
      <c r="A3418" s="103" t="s">
        <v>4676</v>
      </c>
      <c r="B3418" s="103">
        <v>1.100137378E9</v>
      </c>
      <c r="C3418" s="105"/>
      <c r="D3418" s="104" t="s">
        <v>15009</v>
      </c>
      <c r="E3418" s="106"/>
      <c r="F3418" s="103" t="s">
        <v>4678</v>
      </c>
      <c r="G3418" s="103" t="s">
        <v>4679</v>
      </c>
      <c r="H3418" s="103" t="s">
        <v>15010</v>
      </c>
      <c r="I3418" s="103" t="s">
        <v>15011</v>
      </c>
      <c r="J3418" s="104" t="s">
        <v>15012</v>
      </c>
      <c r="K3418" s="105"/>
      <c r="L3418" s="105"/>
    </row>
    <row r="3419">
      <c r="A3419" s="103" t="s">
        <v>4676</v>
      </c>
      <c r="B3419" s="103">
        <v>1.10013737801E11</v>
      </c>
      <c r="C3419" s="105"/>
      <c r="D3419" s="104" t="s">
        <v>15009</v>
      </c>
      <c r="E3419" s="104" t="s">
        <v>15013</v>
      </c>
      <c r="F3419" s="103" t="s">
        <v>4678</v>
      </c>
      <c r="G3419" s="103" t="s">
        <v>4679</v>
      </c>
      <c r="H3419" s="103" t="s">
        <v>15010</v>
      </c>
      <c r="I3419" s="103" t="s">
        <v>15011</v>
      </c>
      <c r="J3419" s="104" t="s">
        <v>15014</v>
      </c>
      <c r="K3419" s="105"/>
      <c r="L3419" s="105"/>
    </row>
    <row r="3420">
      <c r="A3420" s="103" t="s">
        <v>4676</v>
      </c>
      <c r="B3420" s="103">
        <v>1.100137382E9</v>
      </c>
      <c r="C3420" s="105"/>
      <c r="D3420" s="104" t="s">
        <v>15015</v>
      </c>
      <c r="E3420" s="106"/>
      <c r="F3420" s="103" t="s">
        <v>4678</v>
      </c>
      <c r="G3420" s="103" t="s">
        <v>4679</v>
      </c>
      <c r="H3420" s="103" t="s">
        <v>15016</v>
      </c>
      <c r="I3420" s="103">
        <v>3.143261198E9</v>
      </c>
      <c r="J3420" s="104" t="s">
        <v>15017</v>
      </c>
      <c r="K3420" s="103" t="s">
        <v>15018</v>
      </c>
      <c r="L3420" s="105"/>
    </row>
    <row r="3421">
      <c r="A3421" s="103" t="s">
        <v>4676</v>
      </c>
      <c r="B3421" s="103">
        <v>1.10013738201E11</v>
      </c>
      <c r="C3421" s="105"/>
      <c r="D3421" s="104" t="s">
        <v>15015</v>
      </c>
      <c r="E3421" s="104" t="s">
        <v>15019</v>
      </c>
      <c r="F3421" s="103" t="s">
        <v>4678</v>
      </c>
      <c r="G3421" s="103" t="s">
        <v>4679</v>
      </c>
      <c r="H3421" s="103" t="s">
        <v>15016</v>
      </c>
      <c r="I3421" s="103">
        <v>3.186082963E9</v>
      </c>
      <c r="J3421" s="104" t="s">
        <v>15017</v>
      </c>
      <c r="K3421" s="105"/>
      <c r="L3421" s="105"/>
    </row>
    <row r="3422">
      <c r="A3422" s="103" t="s">
        <v>4676</v>
      </c>
      <c r="B3422" s="103">
        <v>1.100137419E9</v>
      </c>
      <c r="C3422" s="105"/>
      <c r="D3422" s="104" t="s">
        <v>15020</v>
      </c>
      <c r="E3422" s="106"/>
      <c r="F3422" s="103" t="s">
        <v>4678</v>
      </c>
      <c r="G3422" s="103" t="s">
        <v>4679</v>
      </c>
      <c r="H3422" s="103" t="s">
        <v>15021</v>
      </c>
      <c r="I3422" s="103">
        <v>3.183122397E9</v>
      </c>
      <c r="J3422" s="104" t="s">
        <v>15022</v>
      </c>
      <c r="K3422" s="105"/>
      <c r="L3422" s="105"/>
    </row>
    <row r="3423">
      <c r="A3423" s="103" t="s">
        <v>4676</v>
      </c>
      <c r="B3423" s="103">
        <v>1.10013741901E11</v>
      </c>
      <c r="C3423" s="105"/>
      <c r="D3423" s="104" t="s">
        <v>15020</v>
      </c>
      <c r="E3423" s="104" t="s">
        <v>15023</v>
      </c>
      <c r="F3423" s="103" t="s">
        <v>4678</v>
      </c>
      <c r="G3423" s="103" t="s">
        <v>4679</v>
      </c>
      <c r="H3423" s="103" t="s">
        <v>15021</v>
      </c>
      <c r="I3423" s="103">
        <v>3.208269102E9</v>
      </c>
      <c r="J3423" s="104" t="s">
        <v>15024</v>
      </c>
      <c r="K3423" s="105"/>
      <c r="L3423" s="105"/>
    </row>
    <row r="3424">
      <c r="A3424" s="103" t="s">
        <v>4676</v>
      </c>
      <c r="B3424" s="103">
        <v>1.100137431E9</v>
      </c>
      <c r="C3424" s="105"/>
      <c r="D3424" s="104" t="s">
        <v>15025</v>
      </c>
      <c r="E3424" s="106"/>
      <c r="F3424" s="103" t="s">
        <v>4678</v>
      </c>
      <c r="G3424" s="103" t="s">
        <v>4679</v>
      </c>
      <c r="H3424" s="103" t="s">
        <v>15026</v>
      </c>
      <c r="I3424" s="103">
        <v>3.214882104E9</v>
      </c>
      <c r="J3424" s="104" t="s">
        <v>15027</v>
      </c>
      <c r="K3424" s="105"/>
      <c r="L3424" s="105"/>
    </row>
    <row r="3425">
      <c r="A3425" s="103" t="s">
        <v>4676</v>
      </c>
      <c r="B3425" s="103">
        <v>1.10013743101E11</v>
      </c>
      <c r="C3425" s="105"/>
      <c r="D3425" s="104" t="s">
        <v>15028</v>
      </c>
      <c r="E3425" s="104" t="s">
        <v>15029</v>
      </c>
      <c r="F3425" s="103" t="s">
        <v>4678</v>
      </c>
      <c r="G3425" s="103" t="s">
        <v>4679</v>
      </c>
      <c r="H3425" s="103" t="s">
        <v>15026</v>
      </c>
      <c r="I3425" s="103">
        <v>3.214882104E9</v>
      </c>
      <c r="J3425" s="104" t="s">
        <v>15027</v>
      </c>
      <c r="K3425" s="105"/>
      <c r="L3425" s="105"/>
    </row>
    <row r="3426">
      <c r="A3426" s="103" t="s">
        <v>4676</v>
      </c>
      <c r="B3426" s="103">
        <v>1.100137472E9</v>
      </c>
      <c r="C3426" s="105"/>
      <c r="D3426" s="104" t="s">
        <v>15030</v>
      </c>
      <c r="E3426" s="106"/>
      <c r="F3426" s="103" t="s">
        <v>4678</v>
      </c>
      <c r="G3426" s="103" t="s">
        <v>4679</v>
      </c>
      <c r="H3426" s="103" t="s">
        <v>15031</v>
      </c>
      <c r="I3426" s="103">
        <v>3.178878705E9</v>
      </c>
      <c r="J3426" s="104" t="s">
        <v>15032</v>
      </c>
      <c r="K3426" s="107" t="s">
        <v>15033</v>
      </c>
      <c r="L3426" s="105"/>
    </row>
    <row r="3427">
      <c r="A3427" s="103" t="s">
        <v>4676</v>
      </c>
      <c r="B3427" s="103">
        <v>1.10013747201E11</v>
      </c>
      <c r="C3427" s="105"/>
      <c r="D3427" s="104" t="s">
        <v>15030</v>
      </c>
      <c r="E3427" s="104" t="s">
        <v>15034</v>
      </c>
      <c r="F3427" s="103" t="s">
        <v>4678</v>
      </c>
      <c r="G3427" s="103" t="s">
        <v>4679</v>
      </c>
      <c r="H3427" s="103" t="s">
        <v>15031</v>
      </c>
      <c r="I3427" s="103">
        <v>3.178878705E9</v>
      </c>
      <c r="J3427" s="104" t="s">
        <v>15032</v>
      </c>
      <c r="K3427" s="105"/>
      <c r="L3427" s="105"/>
    </row>
    <row r="3428">
      <c r="A3428" s="103" t="s">
        <v>4676</v>
      </c>
      <c r="B3428" s="103">
        <v>1.100137492E9</v>
      </c>
      <c r="C3428" s="105"/>
      <c r="D3428" s="104" t="s">
        <v>15035</v>
      </c>
      <c r="E3428" s="106"/>
      <c r="F3428" s="103" t="s">
        <v>4678</v>
      </c>
      <c r="G3428" s="103" t="s">
        <v>4679</v>
      </c>
      <c r="H3428" s="103" t="s">
        <v>15036</v>
      </c>
      <c r="I3428" s="103">
        <v>3.215109956E9</v>
      </c>
      <c r="J3428" s="104" t="s">
        <v>15037</v>
      </c>
      <c r="K3428" s="107" t="s">
        <v>15038</v>
      </c>
      <c r="L3428" s="105"/>
    </row>
    <row r="3429">
      <c r="A3429" s="103" t="s">
        <v>4676</v>
      </c>
      <c r="B3429" s="103">
        <v>1.10013749201E11</v>
      </c>
      <c r="C3429" s="105"/>
      <c r="D3429" s="104" t="s">
        <v>15039</v>
      </c>
      <c r="E3429" s="104" t="s">
        <v>15040</v>
      </c>
      <c r="F3429" s="103" t="s">
        <v>4678</v>
      </c>
      <c r="G3429" s="103" t="s">
        <v>4679</v>
      </c>
      <c r="H3429" s="103" t="s">
        <v>15041</v>
      </c>
      <c r="I3429" s="103">
        <v>3.215109956E9</v>
      </c>
      <c r="J3429" s="104" t="s">
        <v>15042</v>
      </c>
      <c r="K3429" s="105"/>
      <c r="L3429" s="105"/>
    </row>
    <row r="3430">
      <c r="A3430" s="103" t="s">
        <v>4676</v>
      </c>
      <c r="B3430" s="103">
        <v>1.100137497E9</v>
      </c>
      <c r="C3430" s="105"/>
      <c r="D3430" s="104" t="s">
        <v>15043</v>
      </c>
      <c r="E3430" s="106"/>
      <c r="F3430" s="103" t="s">
        <v>4678</v>
      </c>
      <c r="G3430" s="103" t="s">
        <v>4679</v>
      </c>
      <c r="H3430" s="103" t="s">
        <v>15044</v>
      </c>
      <c r="I3430" s="103">
        <v>6466060.0</v>
      </c>
      <c r="J3430" s="104" t="s">
        <v>15045</v>
      </c>
      <c r="K3430" s="107" t="s">
        <v>15046</v>
      </c>
      <c r="L3430" s="105"/>
    </row>
    <row r="3431">
      <c r="A3431" s="103" t="s">
        <v>4676</v>
      </c>
      <c r="B3431" s="103">
        <v>1.10013749701E11</v>
      </c>
      <c r="C3431" s="105"/>
      <c r="D3431" s="104" t="s">
        <v>15047</v>
      </c>
      <c r="E3431" s="104" t="s">
        <v>15048</v>
      </c>
      <c r="F3431" s="103" t="s">
        <v>4678</v>
      </c>
      <c r="G3431" s="103" t="s">
        <v>4679</v>
      </c>
      <c r="H3431" s="103" t="s">
        <v>15049</v>
      </c>
      <c r="I3431" s="103" t="s">
        <v>7712</v>
      </c>
      <c r="J3431" s="104" t="s">
        <v>15050</v>
      </c>
      <c r="K3431" s="105"/>
      <c r="L3431" s="105"/>
    </row>
    <row r="3432">
      <c r="A3432" s="103" t="s">
        <v>4676</v>
      </c>
      <c r="B3432" s="103">
        <v>1.10013749702E11</v>
      </c>
      <c r="C3432" s="105"/>
      <c r="D3432" s="104" t="s">
        <v>15051</v>
      </c>
      <c r="E3432" s="104" t="s">
        <v>15048</v>
      </c>
      <c r="F3432" s="103" t="s">
        <v>4678</v>
      </c>
      <c r="G3432" s="103" t="s">
        <v>4679</v>
      </c>
      <c r="H3432" s="103" t="s">
        <v>15052</v>
      </c>
      <c r="I3432" s="103">
        <v>6466060.0</v>
      </c>
      <c r="J3432" s="104" t="s">
        <v>15050</v>
      </c>
      <c r="K3432" s="105"/>
      <c r="L3432" s="105"/>
    </row>
    <row r="3433">
      <c r="A3433" s="103" t="s">
        <v>4676</v>
      </c>
      <c r="B3433" s="103">
        <v>1.10013749703E11</v>
      </c>
      <c r="C3433" s="105"/>
      <c r="D3433" s="104" t="s">
        <v>15053</v>
      </c>
      <c r="E3433" s="104" t="s">
        <v>15048</v>
      </c>
      <c r="F3433" s="103" t="s">
        <v>4678</v>
      </c>
      <c r="G3433" s="103" t="s">
        <v>4679</v>
      </c>
      <c r="H3433" s="103" t="s">
        <v>15054</v>
      </c>
      <c r="I3433" s="103" t="s">
        <v>7712</v>
      </c>
      <c r="J3433" s="104" t="s">
        <v>15050</v>
      </c>
      <c r="K3433" s="105"/>
      <c r="L3433" s="105"/>
    </row>
    <row r="3434">
      <c r="A3434" s="103" t="s">
        <v>4676</v>
      </c>
      <c r="B3434" s="103">
        <v>1.10013749705E11</v>
      </c>
      <c r="C3434" s="105"/>
      <c r="D3434" s="104" t="s">
        <v>15055</v>
      </c>
      <c r="E3434" s="104" t="s">
        <v>15048</v>
      </c>
      <c r="F3434" s="103" t="s">
        <v>4678</v>
      </c>
      <c r="G3434" s="103" t="s">
        <v>4679</v>
      </c>
      <c r="H3434" s="103" t="s">
        <v>15056</v>
      </c>
      <c r="I3434" s="103">
        <v>3.105610555E9</v>
      </c>
      <c r="J3434" s="104" t="s">
        <v>15050</v>
      </c>
      <c r="K3434" s="105"/>
      <c r="L3434" s="105"/>
    </row>
    <row r="3435">
      <c r="A3435" s="103" t="s">
        <v>4676</v>
      </c>
      <c r="B3435" s="103">
        <v>1.10013749706E11</v>
      </c>
      <c r="C3435" s="105"/>
      <c r="D3435" s="104" t="s">
        <v>15057</v>
      </c>
      <c r="E3435" s="104" t="s">
        <v>15048</v>
      </c>
      <c r="F3435" s="103" t="s">
        <v>4678</v>
      </c>
      <c r="G3435" s="103" t="s">
        <v>4679</v>
      </c>
      <c r="H3435" s="103" t="s">
        <v>15058</v>
      </c>
      <c r="I3435" s="103" t="s">
        <v>7712</v>
      </c>
      <c r="J3435" s="104" t="s">
        <v>15050</v>
      </c>
      <c r="K3435" s="105"/>
      <c r="L3435" s="105"/>
    </row>
    <row r="3436">
      <c r="A3436" s="103" t="s">
        <v>4676</v>
      </c>
      <c r="B3436" s="103">
        <v>1.10013749708E11</v>
      </c>
      <c r="C3436" s="105"/>
      <c r="D3436" s="104" t="s">
        <v>15059</v>
      </c>
      <c r="E3436" s="104" t="s">
        <v>15048</v>
      </c>
      <c r="F3436" s="103" t="s">
        <v>4678</v>
      </c>
      <c r="G3436" s="103" t="s">
        <v>4679</v>
      </c>
      <c r="H3436" s="103" t="s">
        <v>15060</v>
      </c>
      <c r="I3436" s="103" t="s">
        <v>7712</v>
      </c>
      <c r="J3436" s="104" t="s">
        <v>15050</v>
      </c>
      <c r="K3436" s="105"/>
      <c r="L3436" s="105"/>
    </row>
    <row r="3437">
      <c r="A3437" s="103" t="s">
        <v>4676</v>
      </c>
      <c r="B3437" s="103">
        <v>1.10013749709E11</v>
      </c>
      <c r="C3437" s="105"/>
      <c r="D3437" s="104" t="s">
        <v>15061</v>
      </c>
      <c r="E3437" s="104" t="s">
        <v>15048</v>
      </c>
      <c r="F3437" s="103" t="s">
        <v>4678</v>
      </c>
      <c r="G3437" s="103" t="s">
        <v>4679</v>
      </c>
      <c r="H3437" s="103" t="s">
        <v>15062</v>
      </c>
      <c r="I3437" s="103" t="s">
        <v>7712</v>
      </c>
      <c r="J3437" s="104" t="s">
        <v>15050</v>
      </c>
      <c r="K3437" s="105"/>
      <c r="L3437" s="105"/>
    </row>
    <row r="3438">
      <c r="A3438" s="103" t="s">
        <v>4676</v>
      </c>
      <c r="B3438" s="103">
        <v>1.1001374971E11</v>
      </c>
      <c r="C3438" s="105"/>
      <c r="D3438" s="104" t="s">
        <v>15063</v>
      </c>
      <c r="E3438" s="104" t="s">
        <v>15064</v>
      </c>
      <c r="F3438" s="103" t="s">
        <v>4678</v>
      </c>
      <c r="G3438" s="103" t="s">
        <v>4679</v>
      </c>
      <c r="H3438" s="103" t="s">
        <v>15065</v>
      </c>
      <c r="I3438" s="103">
        <v>6466060.0</v>
      </c>
      <c r="J3438" s="104" t="s">
        <v>15045</v>
      </c>
      <c r="K3438" s="105"/>
      <c r="L3438" s="105"/>
    </row>
    <row r="3439">
      <c r="A3439" s="103" t="s">
        <v>4676</v>
      </c>
      <c r="B3439" s="103">
        <v>1.10013749711E11</v>
      </c>
      <c r="C3439" s="105"/>
      <c r="D3439" s="104" t="s">
        <v>15066</v>
      </c>
      <c r="E3439" s="104" t="s">
        <v>15067</v>
      </c>
      <c r="F3439" s="103" t="s">
        <v>4678</v>
      </c>
      <c r="G3439" s="103" t="s">
        <v>4679</v>
      </c>
      <c r="H3439" s="103" t="s">
        <v>15068</v>
      </c>
      <c r="I3439" s="103" t="s">
        <v>15069</v>
      </c>
      <c r="J3439" s="104" t="s">
        <v>15045</v>
      </c>
      <c r="K3439" s="105"/>
      <c r="L3439" s="105"/>
    </row>
    <row r="3440">
      <c r="A3440" s="103" t="s">
        <v>4676</v>
      </c>
      <c r="B3440" s="103">
        <v>1.10013749712E11</v>
      </c>
      <c r="C3440" s="105"/>
      <c r="D3440" s="104" t="s">
        <v>15070</v>
      </c>
      <c r="E3440" s="104" t="s">
        <v>15067</v>
      </c>
      <c r="F3440" s="103" t="s">
        <v>4678</v>
      </c>
      <c r="G3440" s="103" t="s">
        <v>4679</v>
      </c>
      <c r="H3440" s="103" t="s">
        <v>15071</v>
      </c>
      <c r="I3440" s="103" t="s">
        <v>15072</v>
      </c>
      <c r="J3440" s="104" t="s">
        <v>15050</v>
      </c>
      <c r="K3440" s="105"/>
      <c r="L3440" s="105"/>
    </row>
    <row r="3441">
      <c r="A3441" s="103" t="s">
        <v>4676</v>
      </c>
      <c r="B3441" s="103">
        <v>1.10013749713E11</v>
      </c>
      <c r="C3441" s="105"/>
      <c r="D3441" s="104" t="s">
        <v>15073</v>
      </c>
      <c r="E3441" s="104" t="s">
        <v>15067</v>
      </c>
      <c r="F3441" s="103" t="s">
        <v>4678</v>
      </c>
      <c r="G3441" s="103" t="s">
        <v>4679</v>
      </c>
      <c r="H3441" s="103" t="s">
        <v>15074</v>
      </c>
      <c r="I3441" s="103" t="s">
        <v>15075</v>
      </c>
      <c r="J3441" s="104" t="s">
        <v>15050</v>
      </c>
      <c r="K3441" s="105"/>
      <c r="L3441" s="105"/>
    </row>
    <row r="3442">
      <c r="A3442" s="103" t="s">
        <v>4676</v>
      </c>
      <c r="B3442" s="103">
        <v>1.10013749714E11</v>
      </c>
      <c r="C3442" s="105"/>
      <c r="D3442" s="104" t="s">
        <v>15076</v>
      </c>
      <c r="E3442" s="104" t="s">
        <v>15067</v>
      </c>
      <c r="F3442" s="103" t="s">
        <v>4678</v>
      </c>
      <c r="G3442" s="103" t="s">
        <v>4679</v>
      </c>
      <c r="H3442" s="103" t="s">
        <v>15077</v>
      </c>
      <c r="I3442" s="103">
        <v>3.105610555E9</v>
      </c>
      <c r="J3442" s="104" t="s">
        <v>15050</v>
      </c>
      <c r="K3442" s="105"/>
      <c r="L3442" s="105"/>
    </row>
    <row r="3443">
      <c r="A3443" s="103" t="s">
        <v>4676</v>
      </c>
      <c r="B3443" s="103">
        <v>1.100137498E9</v>
      </c>
      <c r="C3443" s="105"/>
      <c r="D3443" s="104" t="s">
        <v>15078</v>
      </c>
      <c r="E3443" s="106"/>
      <c r="F3443" s="103" t="s">
        <v>4678</v>
      </c>
      <c r="G3443" s="103" t="s">
        <v>4679</v>
      </c>
      <c r="H3443" s="103" t="s">
        <v>15079</v>
      </c>
      <c r="I3443" s="103">
        <v>3.012337334E9</v>
      </c>
      <c r="J3443" s="104" t="s">
        <v>15080</v>
      </c>
      <c r="K3443" s="105"/>
      <c r="L3443" s="105"/>
    </row>
    <row r="3444">
      <c r="A3444" s="103" t="s">
        <v>4676</v>
      </c>
      <c r="B3444" s="103">
        <v>1.10013749801E11</v>
      </c>
      <c r="C3444" s="105"/>
      <c r="D3444" s="104" t="s">
        <v>15078</v>
      </c>
      <c r="E3444" s="104" t="s">
        <v>15081</v>
      </c>
      <c r="F3444" s="103" t="s">
        <v>4678</v>
      </c>
      <c r="G3444" s="103" t="s">
        <v>4679</v>
      </c>
      <c r="H3444" s="103" t="s">
        <v>15079</v>
      </c>
      <c r="I3444" s="103">
        <v>3.012337334E9</v>
      </c>
      <c r="J3444" s="104" t="s">
        <v>15080</v>
      </c>
      <c r="K3444" s="105"/>
      <c r="L3444" s="105"/>
    </row>
    <row r="3445">
      <c r="A3445" s="103" t="s">
        <v>4676</v>
      </c>
      <c r="B3445" s="103">
        <v>1.100137502E9</v>
      </c>
      <c r="C3445" s="105"/>
      <c r="D3445" s="104" t="s">
        <v>15082</v>
      </c>
      <c r="E3445" s="106"/>
      <c r="F3445" s="103" t="s">
        <v>4678</v>
      </c>
      <c r="G3445" s="103" t="s">
        <v>4679</v>
      </c>
      <c r="H3445" s="103" t="s">
        <v>15083</v>
      </c>
      <c r="I3445" s="103">
        <v>3.118899717E9</v>
      </c>
      <c r="J3445" s="104" t="s">
        <v>15084</v>
      </c>
      <c r="K3445" s="107" t="s">
        <v>15085</v>
      </c>
      <c r="L3445" s="105"/>
    </row>
    <row r="3446">
      <c r="A3446" s="103" t="s">
        <v>4676</v>
      </c>
      <c r="B3446" s="103">
        <v>1.10013750201E11</v>
      </c>
      <c r="C3446" s="105"/>
      <c r="D3446" s="104" t="s">
        <v>15086</v>
      </c>
      <c r="E3446" s="104" t="s">
        <v>15087</v>
      </c>
      <c r="F3446" s="103" t="s">
        <v>4678</v>
      </c>
      <c r="G3446" s="103" t="s">
        <v>4679</v>
      </c>
      <c r="H3446" s="103" t="s">
        <v>15083</v>
      </c>
      <c r="I3446" s="103">
        <v>3.118899717E9</v>
      </c>
      <c r="J3446" s="104" t="s">
        <v>15084</v>
      </c>
      <c r="K3446" s="105"/>
      <c r="L3446" s="105"/>
    </row>
    <row r="3447">
      <c r="A3447" s="103" t="s">
        <v>4676</v>
      </c>
      <c r="B3447" s="103">
        <v>1.100137515E9</v>
      </c>
      <c r="C3447" s="105"/>
      <c r="D3447" s="104" t="s">
        <v>15088</v>
      </c>
      <c r="E3447" s="106"/>
      <c r="F3447" s="103" t="s">
        <v>4678</v>
      </c>
      <c r="G3447" s="103" t="s">
        <v>4679</v>
      </c>
      <c r="H3447" s="103" t="s">
        <v>15089</v>
      </c>
      <c r="I3447" s="103">
        <v>3.142421233E9</v>
      </c>
      <c r="J3447" s="104" t="s">
        <v>15090</v>
      </c>
      <c r="K3447" s="103" t="s">
        <v>15091</v>
      </c>
      <c r="L3447" s="105"/>
    </row>
    <row r="3448">
      <c r="A3448" s="103" t="s">
        <v>4676</v>
      </c>
      <c r="B3448" s="103">
        <v>1.10013751501E11</v>
      </c>
      <c r="C3448" s="105"/>
      <c r="D3448" s="104" t="s">
        <v>15088</v>
      </c>
      <c r="E3448" s="104" t="s">
        <v>15092</v>
      </c>
      <c r="F3448" s="103" t="s">
        <v>4678</v>
      </c>
      <c r="G3448" s="103" t="s">
        <v>4679</v>
      </c>
      <c r="H3448" s="103" t="s">
        <v>15089</v>
      </c>
      <c r="I3448" s="103">
        <v>3.142421233E9</v>
      </c>
      <c r="J3448" s="104" t="s">
        <v>15090</v>
      </c>
      <c r="K3448" s="105"/>
      <c r="L3448" s="105"/>
    </row>
    <row r="3449">
      <c r="A3449" s="103" t="s">
        <v>4676</v>
      </c>
      <c r="B3449" s="103">
        <v>1.100137535E9</v>
      </c>
      <c r="C3449" s="105"/>
      <c r="D3449" s="104" t="s">
        <v>15093</v>
      </c>
      <c r="E3449" s="106"/>
      <c r="F3449" s="103" t="s">
        <v>4678</v>
      </c>
      <c r="G3449" s="103" t="s">
        <v>4679</v>
      </c>
      <c r="H3449" s="103" t="s">
        <v>15094</v>
      </c>
      <c r="I3449" s="103">
        <v>3.237385185E9</v>
      </c>
      <c r="J3449" s="104" t="s">
        <v>15095</v>
      </c>
      <c r="K3449" s="105"/>
      <c r="L3449" s="105"/>
    </row>
    <row r="3450">
      <c r="A3450" s="103" t="s">
        <v>4676</v>
      </c>
      <c r="B3450" s="103">
        <v>1.10013753501E11</v>
      </c>
      <c r="C3450" s="105"/>
      <c r="D3450" s="104" t="s">
        <v>15093</v>
      </c>
      <c r="E3450" s="104" t="s">
        <v>15096</v>
      </c>
      <c r="F3450" s="103" t="s">
        <v>4678</v>
      </c>
      <c r="G3450" s="103" t="s">
        <v>4679</v>
      </c>
      <c r="H3450" s="103" t="s">
        <v>15097</v>
      </c>
      <c r="I3450" s="103">
        <v>3.237385185E9</v>
      </c>
      <c r="J3450" s="104" t="s">
        <v>15095</v>
      </c>
      <c r="K3450" s="105"/>
      <c r="L3450" s="105"/>
    </row>
    <row r="3451">
      <c r="A3451" s="103" t="s">
        <v>4676</v>
      </c>
      <c r="B3451" s="103">
        <v>1.10013757E9</v>
      </c>
      <c r="C3451" s="105"/>
      <c r="D3451" s="104" t="s">
        <v>15098</v>
      </c>
      <c r="E3451" s="106"/>
      <c r="F3451" s="103" t="s">
        <v>4678</v>
      </c>
      <c r="G3451" s="103" t="s">
        <v>4679</v>
      </c>
      <c r="H3451" s="103" t="s">
        <v>15099</v>
      </c>
      <c r="I3451" s="103">
        <v>3.002831437E9</v>
      </c>
      <c r="J3451" s="104" t="s">
        <v>15100</v>
      </c>
      <c r="K3451" s="107" t="s">
        <v>15101</v>
      </c>
      <c r="L3451" s="105"/>
    </row>
    <row r="3452">
      <c r="A3452" s="103" t="s">
        <v>4676</v>
      </c>
      <c r="B3452" s="103">
        <v>1.10013757001E11</v>
      </c>
      <c r="C3452" s="105"/>
      <c r="D3452" s="104" t="s">
        <v>15098</v>
      </c>
      <c r="E3452" s="104" t="s">
        <v>15102</v>
      </c>
      <c r="F3452" s="103" t="s">
        <v>4678</v>
      </c>
      <c r="G3452" s="103" t="s">
        <v>4679</v>
      </c>
      <c r="H3452" s="103" t="s">
        <v>15099</v>
      </c>
      <c r="I3452" s="103">
        <v>3.002831437E9</v>
      </c>
      <c r="J3452" s="104" t="s">
        <v>15100</v>
      </c>
      <c r="K3452" s="105"/>
      <c r="L3452" s="105"/>
    </row>
    <row r="3453">
      <c r="A3453" s="103" t="s">
        <v>4676</v>
      </c>
      <c r="B3453" s="103">
        <v>1.100137581E9</v>
      </c>
      <c r="C3453" s="105"/>
      <c r="D3453" s="104" t="s">
        <v>15103</v>
      </c>
      <c r="E3453" s="106"/>
      <c r="F3453" s="103" t="s">
        <v>4678</v>
      </c>
      <c r="G3453" s="103" t="s">
        <v>4679</v>
      </c>
      <c r="H3453" s="103" t="s">
        <v>15104</v>
      </c>
      <c r="I3453" s="103">
        <v>3.15887353E9</v>
      </c>
      <c r="J3453" s="104" t="s">
        <v>15105</v>
      </c>
      <c r="K3453" s="103" t="s">
        <v>15106</v>
      </c>
      <c r="L3453" s="105"/>
    </row>
    <row r="3454">
      <c r="A3454" s="103" t="s">
        <v>4676</v>
      </c>
      <c r="B3454" s="103">
        <v>1.10013758101E11</v>
      </c>
      <c r="C3454" s="105"/>
      <c r="D3454" s="104" t="s">
        <v>15103</v>
      </c>
      <c r="E3454" s="104" t="s">
        <v>15107</v>
      </c>
      <c r="F3454" s="103" t="s">
        <v>4678</v>
      </c>
      <c r="G3454" s="103" t="s">
        <v>4679</v>
      </c>
      <c r="H3454" s="103" t="s">
        <v>15104</v>
      </c>
      <c r="I3454" s="103">
        <v>3.15887353E9</v>
      </c>
      <c r="J3454" s="104" t="s">
        <v>15105</v>
      </c>
      <c r="K3454" s="105"/>
      <c r="L3454" s="105"/>
    </row>
    <row r="3455">
      <c r="A3455" s="103" t="s">
        <v>4676</v>
      </c>
      <c r="B3455" s="103">
        <v>1.100137599E9</v>
      </c>
      <c r="C3455" s="105"/>
      <c r="D3455" s="104" t="s">
        <v>15108</v>
      </c>
      <c r="E3455" s="106"/>
      <c r="F3455" s="103" t="s">
        <v>4678</v>
      </c>
      <c r="G3455" s="103" t="s">
        <v>4679</v>
      </c>
      <c r="H3455" s="103" t="s">
        <v>15109</v>
      </c>
      <c r="I3455" s="103" t="s">
        <v>15110</v>
      </c>
      <c r="J3455" s="104" t="s">
        <v>15111</v>
      </c>
      <c r="K3455" s="107" t="s">
        <v>15112</v>
      </c>
      <c r="L3455" s="105"/>
    </row>
    <row r="3456">
      <c r="A3456" s="103" t="s">
        <v>4676</v>
      </c>
      <c r="B3456" s="103">
        <v>1.10013759901E11</v>
      </c>
      <c r="C3456" s="105"/>
      <c r="D3456" s="104" t="s">
        <v>15108</v>
      </c>
      <c r="E3456" s="104" t="s">
        <v>15113</v>
      </c>
      <c r="F3456" s="103" t="s">
        <v>4678</v>
      </c>
      <c r="G3456" s="103" t="s">
        <v>4679</v>
      </c>
      <c r="H3456" s="103" t="s">
        <v>15109</v>
      </c>
      <c r="I3456" s="103">
        <v>3.175490487E9</v>
      </c>
      <c r="J3456" s="104" t="s">
        <v>15114</v>
      </c>
      <c r="K3456" s="105"/>
      <c r="L3456" s="105"/>
    </row>
    <row r="3457">
      <c r="A3457" s="103" t="s">
        <v>4676</v>
      </c>
      <c r="B3457" s="103">
        <v>1.100137606E9</v>
      </c>
      <c r="C3457" s="105"/>
      <c r="D3457" s="104" t="s">
        <v>15115</v>
      </c>
      <c r="E3457" s="106"/>
      <c r="F3457" s="103" t="s">
        <v>4678</v>
      </c>
      <c r="G3457" s="103" t="s">
        <v>4679</v>
      </c>
      <c r="H3457" s="103" t="s">
        <v>15116</v>
      </c>
      <c r="I3457" s="103">
        <v>3.123828881E9</v>
      </c>
      <c r="J3457" s="104" t="s">
        <v>15117</v>
      </c>
      <c r="K3457" s="107" t="s">
        <v>15118</v>
      </c>
      <c r="L3457" s="105"/>
    </row>
    <row r="3458">
      <c r="A3458" s="103" t="s">
        <v>4676</v>
      </c>
      <c r="B3458" s="103">
        <v>1.10013760601E11</v>
      </c>
      <c r="C3458" s="105"/>
      <c r="D3458" s="104" t="s">
        <v>15119</v>
      </c>
      <c r="E3458" s="104" t="s">
        <v>15120</v>
      </c>
      <c r="F3458" s="103" t="s">
        <v>4678</v>
      </c>
      <c r="G3458" s="103" t="s">
        <v>4679</v>
      </c>
      <c r="H3458" s="103" t="s">
        <v>15116</v>
      </c>
      <c r="I3458" s="103">
        <v>3.123828881E9</v>
      </c>
      <c r="J3458" s="104" t="s">
        <v>15117</v>
      </c>
      <c r="K3458" s="105"/>
      <c r="L3458" s="105"/>
    </row>
    <row r="3459">
      <c r="A3459" s="103" t="s">
        <v>4676</v>
      </c>
      <c r="B3459" s="103">
        <v>1.100137626E9</v>
      </c>
      <c r="C3459" s="105"/>
      <c r="D3459" s="104" t="s">
        <v>15121</v>
      </c>
      <c r="E3459" s="106"/>
      <c r="F3459" s="103" t="s">
        <v>4678</v>
      </c>
      <c r="G3459" s="103" t="s">
        <v>4679</v>
      </c>
      <c r="H3459" s="103" t="s">
        <v>15122</v>
      </c>
      <c r="I3459" s="103">
        <v>3.245180661E9</v>
      </c>
      <c r="J3459" s="104" t="s">
        <v>15123</v>
      </c>
      <c r="K3459" s="105"/>
      <c r="L3459" s="105"/>
    </row>
    <row r="3460">
      <c r="A3460" s="103" t="s">
        <v>4676</v>
      </c>
      <c r="B3460" s="103">
        <v>1.10013762603E11</v>
      </c>
      <c r="C3460" s="105"/>
      <c r="D3460" s="104" t="s">
        <v>15124</v>
      </c>
      <c r="E3460" s="104" t="s">
        <v>15125</v>
      </c>
      <c r="F3460" s="103" t="s">
        <v>4678</v>
      </c>
      <c r="G3460" s="103" t="s">
        <v>4679</v>
      </c>
      <c r="H3460" s="103" t="s">
        <v>15126</v>
      </c>
      <c r="I3460" s="103">
        <v>3.147957213E9</v>
      </c>
      <c r="J3460" s="104" t="s">
        <v>15123</v>
      </c>
      <c r="K3460" s="105"/>
      <c r="L3460" s="105"/>
    </row>
    <row r="3461">
      <c r="A3461" s="103" t="s">
        <v>4676</v>
      </c>
      <c r="B3461" s="103">
        <v>1.100137632E9</v>
      </c>
      <c r="C3461" s="105"/>
      <c r="D3461" s="104" t="s">
        <v>15127</v>
      </c>
      <c r="E3461" s="106"/>
      <c r="F3461" s="103" t="s">
        <v>4678</v>
      </c>
      <c r="G3461" s="103" t="s">
        <v>4679</v>
      </c>
      <c r="H3461" s="103" t="s">
        <v>15128</v>
      </c>
      <c r="I3461" s="103">
        <v>3.218060147E9</v>
      </c>
      <c r="J3461" s="104" t="s">
        <v>15129</v>
      </c>
      <c r="K3461" s="107" t="s">
        <v>15130</v>
      </c>
      <c r="L3461" s="105"/>
    </row>
    <row r="3462">
      <c r="A3462" s="103" t="s">
        <v>4676</v>
      </c>
      <c r="B3462" s="103">
        <v>1.10013763201E11</v>
      </c>
      <c r="C3462" s="105"/>
      <c r="D3462" s="104" t="s">
        <v>15131</v>
      </c>
      <c r="E3462" s="104" t="s">
        <v>15132</v>
      </c>
      <c r="F3462" s="103" t="s">
        <v>4678</v>
      </c>
      <c r="G3462" s="103" t="s">
        <v>4679</v>
      </c>
      <c r="H3462" s="103" t="s">
        <v>15128</v>
      </c>
      <c r="I3462" s="103">
        <v>3.218060147E9</v>
      </c>
      <c r="J3462" s="104" t="s">
        <v>15129</v>
      </c>
      <c r="K3462" s="105"/>
      <c r="L3462" s="105"/>
    </row>
    <row r="3463">
      <c r="A3463" s="103" t="s">
        <v>4676</v>
      </c>
      <c r="B3463" s="103">
        <v>1.100137641E9</v>
      </c>
      <c r="C3463" s="105"/>
      <c r="D3463" s="104" t="s">
        <v>15133</v>
      </c>
      <c r="E3463" s="106"/>
      <c r="F3463" s="103" t="s">
        <v>4678</v>
      </c>
      <c r="G3463" s="103" t="s">
        <v>4679</v>
      </c>
      <c r="H3463" s="103" t="s">
        <v>15134</v>
      </c>
      <c r="I3463" s="103">
        <v>3.102821741E9</v>
      </c>
      <c r="J3463" s="104" t="s">
        <v>15135</v>
      </c>
      <c r="K3463" s="105"/>
      <c r="L3463" s="105"/>
    </row>
    <row r="3464">
      <c r="A3464" s="103" t="s">
        <v>4676</v>
      </c>
      <c r="B3464" s="103">
        <v>1.10013764101E11</v>
      </c>
      <c r="C3464" s="105"/>
      <c r="D3464" s="104" t="s">
        <v>15133</v>
      </c>
      <c r="E3464" s="104" t="s">
        <v>15136</v>
      </c>
      <c r="F3464" s="103" t="s">
        <v>4678</v>
      </c>
      <c r="G3464" s="103" t="s">
        <v>4679</v>
      </c>
      <c r="H3464" s="103" t="s">
        <v>15134</v>
      </c>
      <c r="I3464" s="103">
        <v>3.102821741E9</v>
      </c>
      <c r="J3464" s="104" t="s">
        <v>15135</v>
      </c>
      <c r="K3464" s="105"/>
      <c r="L3464" s="105"/>
    </row>
    <row r="3465">
      <c r="A3465" s="103" t="s">
        <v>4676</v>
      </c>
      <c r="B3465" s="103">
        <v>1.100137651E9</v>
      </c>
      <c r="C3465" s="105"/>
      <c r="D3465" s="104" t="s">
        <v>15137</v>
      </c>
      <c r="E3465" s="106"/>
      <c r="F3465" s="103" t="s">
        <v>4678</v>
      </c>
      <c r="G3465" s="103" t="s">
        <v>4679</v>
      </c>
      <c r="H3465" s="103" t="s">
        <v>15138</v>
      </c>
      <c r="I3465" s="103" t="s">
        <v>15139</v>
      </c>
      <c r="J3465" s="104" t="s">
        <v>15140</v>
      </c>
      <c r="K3465" s="107" t="s">
        <v>15141</v>
      </c>
      <c r="L3465" s="105"/>
    </row>
    <row r="3466">
      <c r="A3466" s="103" t="s">
        <v>4676</v>
      </c>
      <c r="B3466" s="103">
        <v>1.10013765101E11</v>
      </c>
      <c r="C3466" s="105"/>
      <c r="D3466" s="104" t="s">
        <v>15137</v>
      </c>
      <c r="E3466" s="104" t="s">
        <v>15142</v>
      </c>
      <c r="F3466" s="103" t="s">
        <v>4678</v>
      </c>
      <c r="G3466" s="103" t="s">
        <v>4679</v>
      </c>
      <c r="H3466" s="103" t="s">
        <v>15138</v>
      </c>
      <c r="I3466" s="103">
        <v>8915833.0</v>
      </c>
      <c r="J3466" s="104" t="s">
        <v>15140</v>
      </c>
      <c r="K3466" s="105"/>
      <c r="L3466" s="105"/>
    </row>
    <row r="3467">
      <c r="A3467" s="103" t="s">
        <v>4676</v>
      </c>
      <c r="B3467" s="103">
        <v>1.10013765102E11</v>
      </c>
      <c r="C3467" s="105"/>
      <c r="D3467" s="104" t="s">
        <v>15143</v>
      </c>
      <c r="E3467" s="104" t="s">
        <v>15142</v>
      </c>
      <c r="F3467" s="103" t="s">
        <v>4678</v>
      </c>
      <c r="G3467" s="103" t="s">
        <v>4679</v>
      </c>
      <c r="H3467" s="103" t="s">
        <v>15144</v>
      </c>
      <c r="I3467" s="103">
        <v>3.118192624E9</v>
      </c>
      <c r="J3467" s="104" t="s">
        <v>15140</v>
      </c>
      <c r="K3467" s="105"/>
      <c r="L3467" s="105"/>
    </row>
    <row r="3468">
      <c r="A3468" s="103" t="s">
        <v>4676</v>
      </c>
      <c r="B3468" s="103">
        <v>1.100137657E9</v>
      </c>
      <c r="C3468" s="105"/>
      <c r="D3468" s="104" t="s">
        <v>15145</v>
      </c>
      <c r="E3468" s="106"/>
      <c r="F3468" s="103" t="s">
        <v>4678</v>
      </c>
      <c r="G3468" s="103" t="s">
        <v>4679</v>
      </c>
      <c r="H3468" s="103" t="s">
        <v>15146</v>
      </c>
      <c r="I3468" s="103" t="s">
        <v>15147</v>
      </c>
      <c r="J3468" s="104" t="s">
        <v>15148</v>
      </c>
      <c r="K3468" s="107" t="s">
        <v>15149</v>
      </c>
      <c r="L3468" s="105"/>
    </row>
    <row r="3469">
      <c r="A3469" s="103" t="s">
        <v>4676</v>
      </c>
      <c r="B3469" s="103">
        <v>1.10013765701E11</v>
      </c>
      <c r="C3469" s="105"/>
      <c r="D3469" s="104" t="s">
        <v>15150</v>
      </c>
      <c r="E3469" s="104" t="s">
        <v>15151</v>
      </c>
      <c r="F3469" s="103" t="s">
        <v>4678</v>
      </c>
      <c r="G3469" s="103" t="s">
        <v>4679</v>
      </c>
      <c r="H3469" s="103" t="s">
        <v>15146</v>
      </c>
      <c r="I3469" s="103" t="s">
        <v>15147</v>
      </c>
      <c r="J3469" s="104" t="s">
        <v>15152</v>
      </c>
      <c r="K3469" s="105"/>
      <c r="L3469" s="105"/>
    </row>
    <row r="3470">
      <c r="A3470" s="103" t="s">
        <v>4676</v>
      </c>
      <c r="B3470" s="103">
        <v>1.100137658E9</v>
      </c>
      <c r="C3470" s="105"/>
      <c r="D3470" s="104" t="s">
        <v>15153</v>
      </c>
      <c r="E3470" s="106"/>
      <c r="F3470" s="103" t="s">
        <v>4678</v>
      </c>
      <c r="G3470" s="103" t="s">
        <v>4679</v>
      </c>
      <c r="H3470" s="103" t="s">
        <v>15154</v>
      </c>
      <c r="I3470" s="103">
        <v>3.16529587E9</v>
      </c>
      <c r="J3470" s="104" t="s">
        <v>15155</v>
      </c>
      <c r="K3470" s="105"/>
      <c r="L3470" s="105"/>
    </row>
    <row r="3471">
      <c r="A3471" s="103" t="s">
        <v>4676</v>
      </c>
      <c r="B3471" s="103">
        <v>1.10013765801E11</v>
      </c>
      <c r="C3471" s="105"/>
      <c r="D3471" s="104" t="s">
        <v>15156</v>
      </c>
      <c r="E3471" s="104" t="s">
        <v>15157</v>
      </c>
      <c r="F3471" s="103" t="s">
        <v>4678</v>
      </c>
      <c r="G3471" s="103" t="s">
        <v>4679</v>
      </c>
      <c r="H3471" s="103" t="s">
        <v>15158</v>
      </c>
      <c r="I3471" s="103">
        <v>3.132743468E9</v>
      </c>
      <c r="J3471" s="104" t="s">
        <v>15155</v>
      </c>
      <c r="K3471" s="105"/>
      <c r="L3471" s="105"/>
    </row>
    <row r="3472">
      <c r="A3472" s="103" t="s">
        <v>4676</v>
      </c>
      <c r="B3472" s="103">
        <v>1.10013765802E11</v>
      </c>
      <c r="C3472" s="105"/>
      <c r="D3472" s="104" t="s">
        <v>15159</v>
      </c>
      <c r="E3472" s="104" t="s">
        <v>15160</v>
      </c>
      <c r="F3472" s="103" t="s">
        <v>4678</v>
      </c>
      <c r="G3472" s="103" t="s">
        <v>4679</v>
      </c>
      <c r="H3472" s="103" t="s">
        <v>15161</v>
      </c>
      <c r="I3472" s="103">
        <v>3.16529587E9</v>
      </c>
      <c r="J3472" s="104" t="s">
        <v>15155</v>
      </c>
      <c r="K3472" s="105"/>
      <c r="L3472" s="105"/>
    </row>
    <row r="3473">
      <c r="A3473" s="103" t="s">
        <v>4676</v>
      </c>
      <c r="B3473" s="103">
        <v>1.10013765803E11</v>
      </c>
      <c r="C3473" s="105"/>
      <c r="D3473" s="104" t="s">
        <v>15162</v>
      </c>
      <c r="E3473" s="104" t="s">
        <v>15163</v>
      </c>
      <c r="F3473" s="103" t="s">
        <v>4678</v>
      </c>
      <c r="G3473" s="103" t="s">
        <v>4679</v>
      </c>
      <c r="H3473" s="103" t="s">
        <v>15164</v>
      </c>
      <c r="I3473" s="103" t="s">
        <v>15165</v>
      </c>
      <c r="J3473" s="104" t="s">
        <v>15166</v>
      </c>
      <c r="K3473" s="105"/>
      <c r="L3473" s="105"/>
    </row>
    <row r="3474">
      <c r="A3474" s="103" t="s">
        <v>4676</v>
      </c>
      <c r="B3474" s="103">
        <v>1.10013765804E11</v>
      </c>
      <c r="C3474" s="105"/>
      <c r="D3474" s="104" t="s">
        <v>15167</v>
      </c>
      <c r="E3474" s="104" t="s">
        <v>15160</v>
      </c>
      <c r="F3474" s="103" t="s">
        <v>4678</v>
      </c>
      <c r="G3474" s="103" t="s">
        <v>4679</v>
      </c>
      <c r="H3474" s="103" t="s">
        <v>15168</v>
      </c>
      <c r="I3474" s="103">
        <v>3.132743468E9</v>
      </c>
      <c r="J3474" s="104" t="s">
        <v>15166</v>
      </c>
      <c r="K3474" s="105"/>
      <c r="L3474" s="105"/>
    </row>
    <row r="3475">
      <c r="A3475" s="103" t="s">
        <v>4676</v>
      </c>
      <c r="B3475" s="103">
        <v>1.100137689E9</v>
      </c>
      <c r="C3475" s="105"/>
      <c r="D3475" s="104" t="s">
        <v>15169</v>
      </c>
      <c r="E3475" s="106"/>
      <c r="F3475" s="103" t="s">
        <v>4678</v>
      </c>
      <c r="G3475" s="103" t="s">
        <v>4679</v>
      </c>
      <c r="H3475" s="103" t="s">
        <v>15170</v>
      </c>
      <c r="I3475" s="103">
        <v>3.212180015E9</v>
      </c>
      <c r="J3475" s="104" t="s">
        <v>15171</v>
      </c>
      <c r="K3475" s="107" t="s">
        <v>15172</v>
      </c>
      <c r="L3475" s="105"/>
    </row>
    <row r="3476">
      <c r="A3476" s="103" t="s">
        <v>4676</v>
      </c>
      <c r="B3476" s="103">
        <v>1.10013768901E11</v>
      </c>
      <c r="C3476" s="105"/>
      <c r="D3476" s="104" t="s">
        <v>15169</v>
      </c>
      <c r="E3476" s="104" t="s">
        <v>15173</v>
      </c>
      <c r="F3476" s="103" t="s">
        <v>4678</v>
      </c>
      <c r="G3476" s="103" t="s">
        <v>4679</v>
      </c>
      <c r="H3476" s="103" t="s">
        <v>15174</v>
      </c>
      <c r="I3476" s="103">
        <v>3.212180015E9</v>
      </c>
      <c r="J3476" s="104" t="s">
        <v>15171</v>
      </c>
      <c r="K3476" s="105"/>
      <c r="L3476" s="105"/>
    </row>
    <row r="3477">
      <c r="A3477" s="103" t="s">
        <v>4676</v>
      </c>
      <c r="B3477" s="103">
        <v>1.10013769E9</v>
      </c>
      <c r="C3477" s="105"/>
      <c r="D3477" s="104" t="s">
        <v>15175</v>
      </c>
      <c r="E3477" s="106"/>
      <c r="F3477" s="103" t="s">
        <v>4678</v>
      </c>
      <c r="G3477" s="103" t="s">
        <v>4679</v>
      </c>
      <c r="H3477" s="103" t="s">
        <v>15176</v>
      </c>
      <c r="I3477" s="103">
        <v>3.134391122E9</v>
      </c>
      <c r="J3477" s="104" t="s">
        <v>15177</v>
      </c>
      <c r="K3477" s="107" t="s">
        <v>15178</v>
      </c>
      <c r="L3477" s="105"/>
    </row>
    <row r="3478">
      <c r="A3478" s="103" t="s">
        <v>4676</v>
      </c>
      <c r="B3478" s="103">
        <v>1.10013769001E11</v>
      </c>
      <c r="C3478" s="105"/>
      <c r="D3478" s="104" t="s">
        <v>15179</v>
      </c>
      <c r="E3478" s="104" t="s">
        <v>15180</v>
      </c>
      <c r="F3478" s="103" t="s">
        <v>4678</v>
      </c>
      <c r="G3478" s="103" t="s">
        <v>4679</v>
      </c>
      <c r="H3478" s="103" t="s">
        <v>15176</v>
      </c>
      <c r="I3478" s="103">
        <v>3.134391122E9</v>
      </c>
      <c r="J3478" s="104" t="s">
        <v>15177</v>
      </c>
      <c r="K3478" s="105"/>
      <c r="L3478" s="105"/>
    </row>
    <row r="3479">
      <c r="A3479" s="103" t="s">
        <v>4676</v>
      </c>
      <c r="B3479" s="103">
        <v>1.100137692E9</v>
      </c>
      <c r="C3479" s="105"/>
      <c r="D3479" s="104" t="s">
        <v>15181</v>
      </c>
      <c r="E3479" s="106"/>
      <c r="F3479" s="103" t="s">
        <v>4678</v>
      </c>
      <c r="G3479" s="103" t="s">
        <v>4679</v>
      </c>
      <c r="H3479" s="103" t="s">
        <v>15182</v>
      </c>
      <c r="I3479" s="103">
        <v>3.163333333E9</v>
      </c>
      <c r="J3479" s="104" t="s">
        <v>15183</v>
      </c>
      <c r="K3479" s="105"/>
      <c r="L3479" s="105"/>
    </row>
    <row r="3480">
      <c r="A3480" s="103" t="s">
        <v>4676</v>
      </c>
      <c r="B3480" s="103">
        <v>1.10013769201E11</v>
      </c>
      <c r="C3480" s="105"/>
      <c r="D3480" s="104" t="s">
        <v>15181</v>
      </c>
      <c r="E3480" s="104" t="s">
        <v>15184</v>
      </c>
      <c r="F3480" s="103" t="s">
        <v>4678</v>
      </c>
      <c r="G3480" s="103" t="s">
        <v>4679</v>
      </c>
      <c r="H3480" s="103" t="s">
        <v>15182</v>
      </c>
      <c r="I3480" s="103">
        <v>3.163333333E9</v>
      </c>
      <c r="J3480" s="104" t="s">
        <v>15183</v>
      </c>
      <c r="K3480" s="105"/>
      <c r="L3480" s="105"/>
    </row>
    <row r="3481">
      <c r="A3481" s="103" t="s">
        <v>4676</v>
      </c>
      <c r="B3481" s="103">
        <v>1.100137718E9</v>
      </c>
      <c r="C3481" s="105"/>
      <c r="D3481" s="104" t="s">
        <v>15185</v>
      </c>
      <c r="E3481" s="106"/>
      <c r="F3481" s="103" t="s">
        <v>4678</v>
      </c>
      <c r="G3481" s="103" t="s">
        <v>4679</v>
      </c>
      <c r="H3481" s="103" t="s">
        <v>15186</v>
      </c>
      <c r="I3481" s="103">
        <v>3.138162647E9</v>
      </c>
      <c r="J3481" s="104" t="s">
        <v>15187</v>
      </c>
      <c r="K3481" s="105"/>
      <c r="L3481" s="105"/>
    </row>
    <row r="3482">
      <c r="A3482" s="103" t="s">
        <v>4676</v>
      </c>
      <c r="B3482" s="103">
        <v>1.10013771801E11</v>
      </c>
      <c r="C3482" s="105"/>
      <c r="D3482" s="104" t="s">
        <v>15185</v>
      </c>
      <c r="E3482" s="104" t="s">
        <v>15188</v>
      </c>
      <c r="F3482" s="103" t="s">
        <v>4678</v>
      </c>
      <c r="G3482" s="103" t="s">
        <v>4679</v>
      </c>
      <c r="H3482" s="103" t="s">
        <v>15186</v>
      </c>
      <c r="I3482" s="103">
        <v>3.138162647E9</v>
      </c>
      <c r="J3482" s="104" t="s">
        <v>15189</v>
      </c>
      <c r="K3482" s="105"/>
      <c r="L3482" s="105"/>
    </row>
    <row r="3483">
      <c r="A3483" s="103" t="s">
        <v>4676</v>
      </c>
      <c r="B3483" s="103">
        <v>1.100137751E9</v>
      </c>
      <c r="C3483" s="105"/>
      <c r="D3483" s="104" t="s">
        <v>15190</v>
      </c>
      <c r="E3483" s="106"/>
      <c r="F3483" s="103" t="s">
        <v>4678</v>
      </c>
      <c r="G3483" s="103" t="s">
        <v>4679</v>
      </c>
      <c r="H3483" s="103" t="s">
        <v>15191</v>
      </c>
      <c r="I3483" s="103">
        <v>3.175604392E9</v>
      </c>
      <c r="J3483" s="104" t="s">
        <v>15192</v>
      </c>
      <c r="K3483" s="105"/>
      <c r="L3483" s="105"/>
    </row>
    <row r="3484">
      <c r="A3484" s="103" t="s">
        <v>4676</v>
      </c>
      <c r="B3484" s="103">
        <v>1.10013775101E11</v>
      </c>
      <c r="C3484" s="105"/>
      <c r="D3484" s="104" t="s">
        <v>15193</v>
      </c>
      <c r="E3484" s="104" t="s">
        <v>15194</v>
      </c>
      <c r="F3484" s="103" t="s">
        <v>4678</v>
      </c>
      <c r="G3484" s="103" t="s">
        <v>4679</v>
      </c>
      <c r="H3484" s="103" t="s">
        <v>15195</v>
      </c>
      <c r="I3484" s="103">
        <v>3.175604392E9</v>
      </c>
      <c r="J3484" s="104" t="s">
        <v>15192</v>
      </c>
      <c r="K3484" s="105"/>
      <c r="L3484" s="105"/>
    </row>
    <row r="3485">
      <c r="A3485" s="103" t="s">
        <v>4676</v>
      </c>
      <c r="B3485" s="103">
        <v>1.100137752E9</v>
      </c>
      <c r="C3485" s="105"/>
      <c r="D3485" s="104" t="s">
        <v>15196</v>
      </c>
      <c r="E3485" s="106"/>
      <c r="F3485" s="103" t="s">
        <v>4678</v>
      </c>
      <c r="G3485" s="103" t="s">
        <v>4679</v>
      </c>
      <c r="H3485" s="103" t="s">
        <v>15197</v>
      </c>
      <c r="I3485" s="103">
        <v>2857741.0</v>
      </c>
      <c r="J3485" s="104" t="s">
        <v>15198</v>
      </c>
      <c r="K3485" s="107" t="s">
        <v>15199</v>
      </c>
      <c r="L3485" s="105"/>
    </row>
    <row r="3486">
      <c r="A3486" s="103" t="s">
        <v>4676</v>
      </c>
      <c r="B3486" s="103">
        <v>1.10013775201E11</v>
      </c>
      <c r="C3486" s="105"/>
      <c r="D3486" s="104" t="s">
        <v>15196</v>
      </c>
      <c r="E3486" s="104" t="s">
        <v>15200</v>
      </c>
      <c r="F3486" s="103" t="s">
        <v>4678</v>
      </c>
      <c r="G3486" s="103" t="s">
        <v>4679</v>
      </c>
      <c r="H3486" s="103" t="s">
        <v>15201</v>
      </c>
      <c r="I3486" s="103">
        <v>2857741.0</v>
      </c>
      <c r="J3486" s="104" t="s">
        <v>15198</v>
      </c>
      <c r="K3486" s="105"/>
      <c r="L3486" s="105"/>
    </row>
    <row r="3487">
      <c r="A3487" s="103" t="s">
        <v>4676</v>
      </c>
      <c r="B3487" s="103">
        <v>1.10013778E9</v>
      </c>
      <c r="C3487" s="105"/>
      <c r="D3487" s="104" t="s">
        <v>15202</v>
      </c>
      <c r="E3487" s="106"/>
      <c r="F3487" s="103" t="s">
        <v>4678</v>
      </c>
      <c r="G3487" s="103" t="s">
        <v>4679</v>
      </c>
      <c r="H3487" s="103" t="s">
        <v>15203</v>
      </c>
      <c r="I3487" s="103">
        <v>3.12637196E9</v>
      </c>
      <c r="J3487" s="104" t="s">
        <v>15204</v>
      </c>
      <c r="K3487" s="107" t="s">
        <v>15205</v>
      </c>
      <c r="L3487" s="105"/>
    </row>
    <row r="3488">
      <c r="A3488" s="103" t="s">
        <v>4676</v>
      </c>
      <c r="B3488" s="103">
        <v>1.10013778001E11</v>
      </c>
      <c r="C3488" s="105"/>
      <c r="D3488" s="104" t="s">
        <v>15206</v>
      </c>
      <c r="E3488" s="104" t="s">
        <v>15207</v>
      </c>
      <c r="F3488" s="103" t="s">
        <v>4678</v>
      </c>
      <c r="G3488" s="103" t="s">
        <v>4679</v>
      </c>
      <c r="H3488" s="103" t="s">
        <v>15203</v>
      </c>
      <c r="I3488" s="103">
        <v>3.12637196E9</v>
      </c>
      <c r="J3488" s="104" t="s">
        <v>15204</v>
      </c>
      <c r="K3488" s="105"/>
      <c r="L3488" s="105"/>
    </row>
    <row r="3489">
      <c r="A3489" s="103" t="s">
        <v>4676</v>
      </c>
      <c r="B3489" s="103">
        <v>1.100137782E9</v>
      </c>
      <c r="C3489" s="105"/>
      <c r="D3489" s="104" t="s">
        <v>15208</v>
      </c>
      <c r="E3489" s="106"/>
      <c r="F3489" s="103" t="s">
        <v>4678</v>
      </c>
      <c r="G3489" s="103" t="s">
        <v>4679</v>
      </c>
      <c r="H3489" s="103" t="s">
        <v>15209</v>
      </c>
      <c r="I3489" s="103">
        <v>3.209453063E9</v>
      </c>
      <c r="J3489" s="104" t="s">
        <v>15210</v>
      </c>
      <c r="K3489" s="107" t="s">
        <v>15211</v>
      </c>
      <c r="L3489" s="105"/>
    </row>
    <row r="3490">
      <c r="A3490" s="103" t="s">
        <v>4676</v>
      </c>
      <c r="B3490" s="103">
        <v>1.10013778201E11</v>
      </c>
      <c r="C3490" s="105"/>
      <c r="D3490" s="104" t="s">
        <v>15208</v>
      </c>
      <c r="E3490" s="104" t="s">
        <v>15212</v>
      </c>
      <c r="F3490" s="103" t="s">
        <v>4678</v>
      </c>
      <c r="G3490" s="103" t="s">
        <v>4679</v>
      </c>
      <c r="H3490" s="103" t="s">
        <v>15213</v>
      </c>
      <c r="I3490" s="103">
        <v>3.209453063E9</v>
      </c>
      <c r="J3490" s="104" t="s">
        <v>15210</v>
      </c>
      <c r="K3490" s="105"/>
      <c r="L3490" s="105"/>
    </row>
    <row r="3491">
      <c r="A3491" s="103" t="s">
        <v>4676</v>
      </c>
      <c r="B3491" s="103">
        <v>1.100137801E9</v>
      </c>
      <c r="C3491" s="105"/>
      <c r="D3491" s="104" t="s">
        <v>15214</v>
      </c>
      <c r="E3491" s="106"/>
      <c r="F3491" s="103" t="s">
        <v>4678</v>
      </c>
      <c r="G3491" s="103" t="s">
        <v>4679</v>
      </c>
      <c r="H3491" s="103" t="s">
        <v>15215</v>
      </c>
      <c r="I3491" s="103">
        <v>3.153408333E9</v>
      </c>
      <c r="J3491" s="104" t="s">
        <v>15216</v>
      </c>
      <c r="K3491" s="105"/>
      <c r="L3491" s="105"/>
    </row>
    <row r="3492">
      <c r="A3492" s="103" t="s">
        <v>4676</v>
      </c>
      <c r="B3492" s="103">
        <v>1.10013780101E11</v>
      </c>
      <c r="C3492" s="105"/>
      <c r="D3492" s="104" t="s">
        <v>15217</v>
      </c>
      <c r="E3492" s="104" t="s">
        <v>15218</v>
      </c>
      <c r="F3492" s="103" t="s">
        <v>4678</v>
      </c>
      <c r="G3492" s="103" t="s">
        <v>4679</v>
      </c>
      <c r="H3492" s="103" t="s">
        <v>15219</v>
      </c>
      <c r="I3492" s="103">
        <v>3.153408333E9</v>
      </c>
      <c r="J3492" s="104" t="s">
        <v>15216</v>
      </c>
      <c r="K3492" s="105"/>
      <c r="L3492" s="105"/>
    </row>
    <row r="3493">
      <c r="A3493" s="103" t="s">
        <v>4676</v>
      </c>
      <c r="B3493" s="103">
        <v>1.100137833E9</v>
      </c>
      <c r="C3493" s="105"/>
      <c r="D3493" s="104" t="s">
        <v>15220</v>
      </c>
      <c r="E3493" s="106"/>
      <c r="F3493" s="103" t="s">
        <v>4678</v>
      </c>
      <c r="G3493" s="103" t="s">
        <v>4679</v>
      </c>
      <c r="H3493" s="103" t="s">
        <v>15221</v>
      </c>
      <c r="I3493" s="103">
        <v>3.114802421E9</v>
      </c>
      <c r="J3493" s="104" t="s">
        <v>15222</v>
      </c>
      <c r="K3493" s="107" t="s">
        <v>15223</v>
      </c>
      <c r="L3493" s="105"/>
    </row>
    <row r="3494">
      <c r="A3494" s="103" t="s">
        <v>4676</v>
      </c>
      <c r="B3494" s="103">
        <v>1.10013783301E11</v>
      </c>
      <c r="C3494" s="105"/>
      <c r="D3494" s="104" t="s">
        <v>15220</v>
      </c>
      <c r="E3494" s="104" t="s">
        <v>15224</v>
      </c>
      <c r="F3494" s="103" t="s">
        <v>4678</v>
      </c>
      <c r="G3494" s="103" t="s">
        <v>4679</v>
      </c>
      <c r="H3494" s="103" t="s">
        <v>15225</v>
      </c>
      <c r="I3494" s="103">
        <v>3.114802421E9</v>
      </c>
      <c r="J3494" s="104" t="s">
        <v>15226</v>
      </c>
      <c r="K3494" s="105"/>
      <c r="L3494" s="105"/>
    </row>
    <row r="3495">
      <c r="A3495" s="103" t="s">
        <v>4676</v>
      </c>
      <c r="B3495" s="103">
        <v>1.100137835E9</v>
      </c>
      <c r="C3495" s="105"/>
      <c r="D3495" s="104" t="s">
        <v>15227</v>
      </c>
      <c r="E3495" s="106"/>
      <c r="F3495" s="103" t="s">
        <v>4678</v>
      </c>
      <c r="G3495" s="103" t="s">
        <v>4679</v>
      </c>
      <c r="H3495" s="103" t="s">
        <v>15228</v>
      </c>
      <c r="I3495" s="103">
        <v>3.102312257E9</v>
      </c>
      <c r="J3495" s="104" t="s">
        <v>15229</v>
      </c>
      <c r="K3495" s="107" t="s">
        <v>15230</v>
      </c>
      <c r="L3495" s="105"/>
    </row>
    <row r="3496">
      <c r="A3496" s="103" t="s">
        <v>4676</v>
      </c>
      <c r="B3496" s="103">
        <v>1.10013783501E11</v>
      </c>
      <c r="C3496" s="105"/>
      <c r="D3496" s="104" t="s">
        <v>15231</v>
      </c>
      <c r="E3496" s="104" t="s">
        <v>15232</v>
      </c>
      <c r="F3496" s="103" t="s">
        <v>4678</v>
      </c>
      <c r="G3496" s="103" t="s">
        <v>4679</v>
      </c>
      <c r="H3496" s="103" t="s">
        <v>15228</v>
      </c>
      <c r="I3496" s="103">
        <v>3.107617529E9</v>
      </c>
      <c r="J3496" s="104" t="s">
        <v>15229</v>
      </c>
      <c r="K3496" s="105"/>
      <c r="L3496" s="105"/>
    </row>
    <row r="3497">
      <c r="A3497" s="103" t="s">
        <v>4676</v>
      </c>
      <c r="B3497" s="103">
        <v>1.10013783503E11</v>
      </c>
      <c r="C3497" s="105"/>
      <c r="D3497" s="104" t="s">
        <v>15233</v>
      </c>
      <c r="E3497" s="104" t="s">
        <v>15234</v>
      </c>
      <c r="F3497" s="103" t="s">
        <v>4678</v>
      </c>
      <c r="G3497" s="103" t="s">
        <v>4679</v>
      </c>
      <c r="H3497" s="103" t="s">
        <v>15235</v>
      </c>
      <c r="I3497" s="103">
        <v>3.107617529E9</v>
      </c>
      <c r="J3497" s="104" t="s">
        <v>15236</v>
      </c>
      <c r="K3497" s="105"/>
      <c r="L3497" s="105"/>
    </row>
    <row r="3498">
      <c r="A3498" s="103" t="s">
        <v>4676</v>
      </c>
      <c r="B3498" s="103">
        <v>1.100137868E9</v>
      </c>
      <c r="C3498" s="105"/>
      <c r="D3498" s="104" t="s">
        <v>15237</v>
      </c>
      <c r="E3498" s="106"/>
      <c r="F3498" s="103" t="s">
        <v>4678</v>
      </c>
      <c r="G3498" s="103" t="s">
        <v>4679</v>
      </c>
      <c r="H3498" s="103" t="s">
        <v>15238</v>
      </c>
      <c r="I3498" s="103">
        <v>3.143168539E9</v>
      </c>
      <c r="J3498" s="104" t="s">
        <v>15239</v>
      </c>
      <c r="K3498" s="105"/>
      <c r="L3498" s="105"/>
    </row>
    <row r="3499">
      <c r="A3499" s="103" t="s">
        <v>4676</v>
      </c>
      <c r="B3499" s="103">
        <v>1.10013786801E11</v>
      </c>
      <c r="C3499" s="105"/>
      <c r="D3499" s="104" t="s">
        <v>15237</v>
      </c>
      <c r="E3499" s="104" t="s">
        <v>15240</v>
      </c>
      <c r="F3499" s="103" t="s">
        <v>4678</v>
      </c>
      <c r="G3499" s="103" t="s">
        <v>4679</v>
      </c>
      <c r="H3499" s="103" t="s">
        <v>15238</v>
      </c>
      <c r="I3499" s="103">
        <v>3.143168539E9</v>
      </c>
      <c r="J3499" s="104" t="s">
        <v>15239</v>
      </c>
      <c r="K3499" s="105"/>
      <c r="L3499" s="105"/>
    </row>
    <row r="3500">
      <c r="A3500" s="103" t="s">
        <v>4676</v>
      </c>
      <c r="B3500" s="103">
        <v>1.100137871E9</v>
      </c>
      <c r="C3500" s="105"/>
      <c r="D3500" s="104" t="s">
        <v>15241</v>
      </c>
      <c r="E3500" s="106"/>
      <c r="F3500" s="103" t="s">
        <v>4678</v>
      </c>
      <c r="G3500" s="103" t="s">
        <v>4679</v>
      </c>
      <c r="H3500" s="103" t="s">
        <v>15242</v>
      </c>
      <c r="I3500" s="103">
        <v>3.183121532E9</v>
      </c>
      <c r="J3500" s="104" t="s">
        <v>15243</v>
      </c>
      <c r="K3500" s="107" t="s">
        <v>15244</v>
      </c>
      <c r="L3500" s="105"/>
    </row>
    <row r="3501">
      <c r="A3501" s="103" t="s">
        <v>4676</v>
      </c>
      <c r="B3501" s="103">
        <v>1.10013787101E11</v>
      </c>
      <c r="C3501" s="105"/>
      <c r="D3501" s="104" t="s">
        <v>15245</v>
      </c>
      <c r="E3501" s="104" t="s">
        <v>15246</v>
      </c>
      <c r="F3501" s="103" t="s">
        <v>4678</v>
      </c>
      <c r="G3501" s="103" t="s">
        <v>4679</v>
      </c>
      <c r="H3501" s="103" t="s">
        <v>15247</v>
      </c>
      <c r="I3501" s="103">
        <v>3.183121532E9</v>
      </c>
      <c r="J3501" s="104" t="s">
        <v>15248</v>
      </c>
      <c r="K3501" s="105"/>
      <c r="L3501" s="105"/>
    </row>
    <row r="3502">
      <c r="A3502" s="103" t="s">
        <v>4676</v>
      </c>
      <c r="B3502" s="103">
        <v>1.100137879E9</v>
      </c>
      <c r="C3502" s="105"/>
      <c r="D3502" s="104" t="s">
        <v>15249</v>
      </c>
      <c r="E3502" s="106"/>
      <c r="F3502" s="103" t="s">
        <v>4678</v>
      </c>
      <c r="G3502" s="103" t="s">
        <v>4679</v>
      </c>
      <c r="H3502" s="103" t="s">
        <v>15250</v>
      </c>
      <c r="I3502" s="103">
        <v>3.167567896E9</v>
      </c>
      <c r="J3502" s="104" t="s">
        <v>15251</v>
      </c>
      <c r="K3502" s="103" t="s">
        <v>15252</v>
      </c>
      <c r="L3502" s="105"/>
    </row>
    <row r="3503">
      <c r="A3503" s="103" t="s">
        <v>4676</v>
      </c>
      <c r="B3503" s="103">
        <v>1.10013787901E11</v>
      </c>
      <c r="C3503" s="105"/>
      <c r="D3503" s="104" t="s">
        <v>15249</v>
      </c>
      <c r="E3503" s="104" t="s">
        <v>15253</v>
      </c>
      <c r="F3503" s="103" t="s">
        <v>4678</v>
      </c>
      <c r="G3503" s="103" t="s">
        <v>4679</v>
      </c>
      <c r="H3503" s="103" t="s">
        <v>15250</v>
      </c>
      <c r="I3503" s="103">
        <v>3.167567896E9</v>
      </c>
      <c r="J3503" s="104" t="s">
        <v>15251</v>
      </c>
      <c r="K3503" s="105"/>
      <c r="L3503" s="105"/>
    </row>
    <row r="3504">
      <c r="A3504" s="103" t="s">
        <v>4676</v>
      </c>
      <c r="B3504" s="103">
        <v>1.100137882E9</v>
      </c>
      <c r="C3504" s="105"/>
      <c r="D3504" s="104" t="s">
        <v>15254</v>
      </c>
      <c r="E3504" s="106"/>
      <c r="F3504" s="103" t="s">
        <v>4678</v>
      </c>
      <c r="G3504" s="103" t="s">
        <v>4679</v>
      </c>
      <c r="H3504" s="103" t="s">
        <v>15255</v>
      </c>
      <c r="I3504" s="103">
        <v>6.016317949E9</v>
      </c>
      <c r="J3504" s="104" t="s">
        <v>15256</v>
      </c>
      <c r="K3504" s="107" t="s">
        <v>15257</v>
      </c>
      <c r="L3504" s="105"/>
    </row>
    <row r="3505">
      <c r="A3505" s="103" t="s">
        <v>4676</v>
      </c>
      <c r="B3505" s="103">
        <v>1.10013788201E11</v>
      </c>
      <c r="C3505" s="105"/>
      <c r="D3505" s="104" t="s">
        <v>15254</v>
      </c>
      <c r="E3505" s="104" t="s">
        <v>15258</v>
      </c>
      <c r="F3505" s="103" t="s">
        <v>4678</v>
      </c>
      <c r="G3505" s="103" t="s">
        <v>4679</v>
      </c>
      <c r="H3505" s="103" t="s">
        <v>15259</v>
      </c>
      <c r="I3505" s="103">
        <v>6.016317949E9</v>
      </c>
      <c r="J3505" s="104" t="s">
        <v>15260</v>
      </c>
      <c r="K3505" s="105"/>
      <c r="L3505" s="105"/>
    </row>
    <row r="3506">
      <c r="A3506" s="103" t="s">
        <v>4676</v>
      </c>
      <c r="B3506" s="103">
        <v>1.100137883E9</v>
      </c>
      <c r="C3506" s="105"/>
      <c r="D3506" s="104" t="s">
        <v>15261</v>
      </c>
      <c r="E3506" s="106"/>
      <c r="F3506" s="103" t="s">
        <v>4678</v>
      </c>
      <c r="G3506" s="103" t="s">
        <v>4679</v>
      </c>
      <c r="H3506" s="103" t="s">
        <v>15262</v>
      </c>
      <c r="I3506" s="103">
        <v>3.166505339E9</v>
      </c>
      <c r="J3506" s="104" t="s">
        <v>15263</v>
      </c>
      <c r="K3506" s="107" t="s">
        <v>15264</v>
      </c>
      <c r="L3506" s="105"/>
    </row>
    <row r="3507">
      <c r="A3507" s="103" t="s">
        <v>4676</v>
      </c>
      <c r="B3507" s="103">
        <v>1.10013788301E11</v>
      </c>
      <c r="C3507" s="105"/>
      <c r="D3507" s="104" t="s">
        <v>15261</v>
      </c>
      <c r="E3507" s="104" t="s">
        <v>15265</v>
      </c>
      <c r="F3507" s="103" t="s">
        <v>4678</v>
      </c>
      <c r="G3507" s="103" t="s">
        <v>4679</v>
      </c>
      <c r="H3507" s="103" t="s">
        <v>15262</v>
      </c>
      <c r="I3507" s="103">
        <v>3.166505339E9</v>
      </c>
      <c r="J3507" s="104" t="s">
        <v>15263</v>
      </c>
      <c r="K3507" s="105"/>
      <c r="L3507" s="105"/>
    </row>
    <row r="3508">
      <c r="A3508" s="103" t="s">
        <v>4676</v>
      </c>
      <c r="B3508" s="103">
        <v>1.100137904E9</v>
      </c>
      <c r="C3508" s="105"/>
      <c r="D3508" s="104" t="s">
        <v>15266</v>
      </c>
      <c r="E3508" s="106"/>
      <c r="F3508" s="103" t="s">
        <v>4678</v>
      </c>
      <c r="G3508" s="103" t="s">
        <v>4679</v>
      </c>
      <c r="H3508" s="103" t="s">
        <v>15267</v>
      </c>
      <c r="I3508" s="103">
        <v>3.21226637E9</v>
      </c>
      <c r="J3508" s="104" t="s">
        <v>15268</v>
      </c>
      <c r="K3508" s="105"/>
      <c r="L3508" s="105"/>
    </row>
    <row r="3509">
      <c r="A3509" s="103" t="s">
        <v>4676</v>
      </c>
      <c r="B3509" s="103">
        <v>1.10013790401E11</v>
      </c>
      <c r="C3509" s="105"/>
      <c r="D3509" s="104" t="s">
        <v>15269</v>
      </c>
      <c r="E3509" s="104" t="s">
        <v>15270</v>
      </c>
      <c r="F3509" s="103" t="s">
        <v>4678</v>
      </c>
      <c r="G3509" s="103" t="s">
        <v>4679</v>
      </c>
      <c r="H3509" s="103" t="s">
        <v>15271</v>
      </c>
      <c r="I3509" s="103">
        <v>3.21226637E9</v>
      </c>
      <c r="J3509" s="104" t="s">
        <v>15268</v>
      </c>
      <c r="K3509" s="105"/>
      <c r="L3509" s="105"/>
    </row>
    <row r="3510">
      <c r="A3510" s="103" t="s">
        <v>4676</v>
      </c>
      <c r="B3510" s="103">
        <v>1.100137914E9</v>
      </c>
      <c r="C3510" s="105"/>
      <c r="D3510" s="104" t="s">
        <v>15272</v>
      </c>
      <c r="E3510" s="106"/>
      <c r="F3510" s="103" t="s">
        <v>4678</v>
      </c>
      <c r="G3510" s="103" t="s">
        <v>4679</v>
      </c>
      <c r="H3510" s="103" t="s">
        <v>15273</v>
      </c>
      <c r="I3510" s="103">
        <v>3.238148443E9</v>
      </c>
      <c r="J3510" s="104" t="s">
        <v>15274</v>
      </c>
      <c r="K3510" s="107" t="s">
        <v>15275</v>
      </c>
      <c r="L3510" s="105"/>
    </row>
    <row r="3511">
      <c r="A3511" s="103" t="s">
        <v>4676</v>
      </c>
      <c r="B3511" s="103">
        <v>1.10013791401E11</v>
      </c>
      <c r="C3511" s="105"/>
      <c r="D3511" s="104" t="s">
        <v>15272</v>
      </c>
      <c r="E3511" s="104" t="s">
        <v>15276</v>
      </c>
      <c r="F3511" s="103" t="s">
        <v>4678</v>
      </c>
      <c r="G3511" s="103" t="s">
        <v>4679</v>
      </c>
      <c r="H3511" s="103" t="s">
        <v>15273</v>
      </c>
      <c r="I3511" s="103">
        <v>3.504780341E9</v>
      </c>
      <c r="J3511" s="104" t="s">
        <v>15274</v>
      </c>
      <c r="K3511" s="105"/>
      <c r="L3511" s="105"/>
    </row>
    <row r="3512">
      <c r="A3512" s="103" t="s">
        <v>4676</v>
      </c>
      <c r="B3512" s="103">
        <v>1.100137926E9</v>
      </c>
      <c r="C3512" s="105"/>
      <c r="D3512" s="104" t="s">
        <v>15277</v>
      </c>
      <c r="E3512" s="106"/>
      <c r="F3512" s="103" t="s">
        <v>4678</v>
      </c>
      <c r="G3512" s="103" t="s">
        <v>4679</v>
      </c>
      <c r="H3512" s="103" t="s">
        <v>15278</v>
      </c>
      <c r="I3512" s="103">
        <v>8617777.0</v>
      </c>
      <c r="J3512" s="104" t="s">
        <v>15279</v>
      </c>
      <c r="K3512" s="107" t="s">
        <v>15280</v>
      </c>
      <c r="L3512" s="105"/>
    </row>
    <row r="3513">
      <c r="A3513" s="103" t="s">
        <v>4676</v>
      </c>
      <c r="B3513" s="103">
        <v>1.10013792601E11</v>
      </c>
      <c r="C3513" s="105"/>
      <c r="D3513" s="104" t="s">
        <v>15281</v>
      </c>
      <c r="E3513" s="104" t="s">
        <v>15282</v>
      </c>
      <c r="F3513" s="103" t="s">
        <v>4678</v>
      </c>
      <c r="G3513" s="103" t="s">
        <v>4679</v>
      </c>
      <c r="H3513" s="103" t="s">
        <v>15278</v>
      </c>
      <c r="I3513" s="103">
        <v>8617777.0</v>
      </c>
      <c r="J3513" s="104" t="s">
        <v>15279</v>
      </c>
      <c r="K3513" s="105"/>
      <c r="L3513" s="105"/>
    </row>
    <row r="3514">
      <c r="A3514" s="103" t="s">
        <v>4676</v>
      </c>
      <c r="B3514" s="103">
        <v>1.100137928E9</v>
      </c>
      <c r="C3514" s="105"/>
      <c r="D3514" s="104" t="s">
        <v>15283</v>
      </c>
      <c r="E3514" s="106"/>
      <c r="F3514" s="103" t="s">
        <v>4678</v>
      </c>
      <c r="G3514" s="103" t="s">
        <v>4679</v>
      </c>
      <c r="H3514" s="103" t="s">
        <v>15284</v>
      </c>
      <c r="I3514" s="103">
        <v>3.108731876E9</v>
      </c>
      <c r="J3514" s="104" t="s">
        <v>15285</v>
      </c>
      <c r="K3514" s="105"/>
      <c r="L3514" s="105"/>
    </row>
    <row r="3515">
      <c r="A3515" s="103" t="s">
        <v>4676</v>
      </c>
      <c r="B3515" s="103">
        <v>1.10013792801E11</v>
      </c>
      <c r="C3515" s="105"/>
      <c r="D3515" s="104" t="s">
        <v>15283</v>
      </c>
      <c r="E3515" s="104" t="s">
        <v>15286</v>
      </c>
      <c r="F3515" s="103" t="s">
        <v>4678</v>
      </c>
      <c r="G3515" s="103" t="s">
        <v>4679</v>
      </c>
      <c r="H3515" s="103" t="s">
        <v>15284</v>
      </c>
      <c r="I3515" s="103">
        <v>3.108731876E9</v>
      </c>
      <c r="J3515" s="104" t="s">
        <v>15285</v>
      </c>
      <c r="K3515" s="105"/>
      <c r="L3515" s="105"/>
    </row>
    <row r="3516">
      <c r="A3516" s="103" t="s">
        <v>4676</v>
      </c>
      <c r="B3516" s="103">
        <v>1.100137932E9</v>
      </c>
      <c r="C3516" s="105"/>
      <c r="D3516" s="104" t="s">
        <v>15287</v>
      </c>
      <c r="E3516" s="106"/>
      <c r="F3516" s="103" t="s">
        <v>4678</v>
      </c>
      <c r="G3516" s="103" t="s">
        <v>4679</v>
      </c>
      <c r="H3516" s="103" t="s">
        <v>15288</v>
      </c>
      <c r="I3516" s="103" t="s">
        <v>15289</v>
      </c>
      <c r="J3516" s="104" t="s">
        <v>15290</v>
      </c>
      <c r="K3516" s="107" t="s">
        <v>15291</v>
      </c>
      <c r="L3516" s="105"/>
    </row>
    <row r="3517">
      <c r="A3517" s="103" t="s">
        <v>4676</v>
      </c>
      <c r="B3517" s="103">
        <v>1.10013793201E11</v>
      </c>
      <c r="C3517" s="105"/>
      <c r="D3517" s="104" t="s">
        <v>15292</v>
      </c>
      <c r="E3517" s="104" t="s">
        <v>15293</v>
      </c>
      <c r="F3517" s="103" t="s">
        <v>4678</v>
      </c>
      <c r="G3517" s="103" t="s">
        <v>4679</v>
      </c>
      <c r="H3517" s="103" t="s">
        <v>15288</v>
      </c>
      <c r="I3517" s="103">
        <v>3.192407437E9</v>
      </c>
      <c r="J3517" s="104" t="s">
        <v>15290</v>
      </c>
      <c r="K3517" s="105"/>
      <c r="L3517" s="105"/>
    </row>
    <row r="3518">
      <c r="A3518" s="103" t="s">
        <v>4676</v>
      </c>
      <c r="B3518" s="103">
        <v>1.100137964E9</v>
      </c>
      <c r="C3518" s="105"/>
      <c r="D3518" s="104" t="s">
        <v>15294</v>
      </c>
      <c r="E3518" s="106"/>
      <c r="F3518" s="103" t="s">
        <v>4678</v>
      </c>
      <c r="G3518" s="103" t="s">
        <v>4679</v>
      </c>
      <c r="H3518" s="103" t="s">
        <v>15295</v>
      </c>
      <c r="I3518" s="103">
        <v>3.136543518E9</v>
      </c>
      <c r="J3518" s="104" t="s">
        <v>15296</v>
      </c>
      <c r="K3518" s="105"/>
      <c r="L3518" s="105"/>
    </row>
    <row r="3519">
      <c r="A3519" s="103" t="s">
        <v>4676</v>
      </c>
      <c r="B3519" s="103">
        <v>1.10013796401E11</v>
      </c>
      <c r="C3519" s="105"/>
      <c r="D3519" s="104" t="s">
        <v>15294</v>
      </c>
      <c r="E3519" s="104" t="s">
        <v>15297</v>
      </c>
      <c r="F3519" s="103" t="s">
        <v>4678</v>
      </c>
      <c r="G3519" s="103" t="s">
        <v>4679</v>
      </c>
      <c r="H3519" s="103" t="s">
        <v>15295</v>
      </c>
      <c r="I3519" s="103">
        <v>3.136543518E9</v>
      </c>
      <c r="J3519" s="104" t="s">
        <v>15296</v>
      </c>
      <c r="K3519" s="105"/>
      <c r="L3519" s="105"/>
    </row>
    <row r="3520">
      <c r="A3520" s="103" t="s">
        <v>4676</v>
      </c>
      <c r="B3520" s="103">
        <v>1.100138004E9</v>
      </c>
      <c r="C3520" s="105"/>
      <c r="D3520" s="104" t="s">
        <v>15298</v>
      </c>
      <c r="E3520" s="106"/>
      <c r="F3520" s="103" t="s">
        <v>4678</v>
      </c>
      <c r="G3520" s="103" t="s">
        <v>4679</v>
      </c>
      <c r="H3520" s="103" t="s">
        <v>15299</v>
      </c>
      <c r="I3520" s="103">
        <v>3.202820651E9</v>
      </c>
      <c r="J3520" s="104" t="s">
        <v>15300</v>
      </c>
      <c r="K3520" s="105"/>
      <c r="L3520" s="105"/>
    </row>
    <row r="3521">
      <c r="A3521" s="103" t="s">
        <v>4676</v>
      </c>
      <c r="B3521" s="103">
        <v>1.10013800401E11</v>
      </c>
      <c r="C3521" s="105"/>
      <c r="D3521" s="104" t="s">
        <v>15298</v>
      </c>
      <c r="E3521" s="104" t="s">
        <v>15301</v>
      </c>
      <c r="F3521" s="103" t="s">
        <v>4678</v>
      </c>
      <c r="G3521" s="103" t="s">
        <v>4679</v>
      </c>
      <c r="H3521" s="103" t="s">
        <v>15302</v>
      </c>
      <c r="I3521" s="103">
        <v>3.202820651E9</v>
      </c>
      <c r="J3521" s="104" t="s">
        <v>15300</v>
      </c>
      <c r="K3521" s="105"/>
      <c r="L3521" s="105"/>
    </row>
    <row r="3522">
      <c r="A3522" s="103" t="s">
        <v>4676</v>
      </c>
      <c r="B3522" s="103">
        <v>1.100138018E9</v>
      </c>
      <c r="C3522" s="105"/>
      <c r="D3522" s="104" t="s">
        <v>15303</v>
      </c>
      <c r="E3522" s="106"/>
      <c r="F3522" s="103" t="s">
        <v>4678</v>
      </c>
      <c r="G3522" s="103" t="s">
        <v>4679</v>
      </c>
      <c r="H3522" s="103" t="s">
        <v>15304</v>
      </c>
      <c r="I3522" s="103">
        <v>3.005325309E9</v>
      </c>
      <c r="J3522" s="104" t="s">
        <v>15305</v>
      </c>
      <c r="K3522" s="107" t="s">
        <v>15306</v>
      </c>
      <c r="L3522" s="105"/>
    </row>
    <row r="3523">
      <c r="A3523" s="103" t="s">
        <v>4676</v>
      </c>
      <c r="B3523" s="103">
        <v>1.10013801801E11</v>
      </c>
      <c r="C3523" s="105"/>
      <c r="D3523" s="104" t="s">
        <v>15307</v>
      </c>
      <c r="E3523" s="104" t="s">
        <v>15308</v>
      </c>
      <c r="F3523" s="103" t="s">
        <v>4678</v>
      </c>
      <c r="G3523" s="103" t="s">
        <v>4679</v>
      </c>
      <c r="H3523" s="103" t="s">
        <v>15304</v>
      </c>
      <c r="I3523" s="103">
        <v>3.005325309E9</v>
      </c>
      <c r="J3523" s="104" t="s">
        <v>15305</v>
      </c>
      <c r="K3523" s="105"/>
      <c r="L3523" s="105"/>
    </row>
    <row r="3524">
      <c r="A3524" s="103" t="s">
        <v>4676</v>
      </c>
      <c r="B3524" s="103">
        <v>1.100138022E9</v>
      </c>
      <c r="C3524" s="105"/>
      <c r="D3524" s="104" t="s">
        <v>15309</v>
      </c>
      <c r="E3524" s="106"/>
      <c r="F3524" s="103" t="s">
        <v>4678</v>
      </c>
      <c r="G3524" s="103" t="s">
        <v>4679</v>
      </c>
      <c r="H3524" s="103" t="s">
        <v>15310</v>
      </c>
      <c r="I3524" s="103">
        <v>3.028322336E9</v>
      </c>
      <c r="J3524" s="104" t="s">
        <v>15311</v>
      </c>
      <c r="K3524" s="105"/>
      <c r="L3524" s="105"/>
    </row>
    <row r="3525">
      <c r="A3525" s="103" t="s">
        <v>4676</v>
      </c>
      <c r="B3525" s="103">
        <v>1.10013802201E11</v>
      </c>
      <c r="C3525" s="105"/>
      <c r="D3525" s="104" t="s">
        <v>15312</v>
      </c>
      <c r="E3525" s="104" t="s">
        <v>15313</v>
      </c>
      <c r="F3525" s="103" t="s">
        <v>4678</v>
      </c>
      <c r="G3525" s="103" t="s">
        <v>4679</v>
      </c>
      <c r="H3525" s="103" t="s">
        <v>15314</v>
      </c>
      <c r="I3525" s="103">
        <v>3.028322336E9</v>
      </c>
      <c r="J3525" s="104" t="s">
        <v>15311</v>
      </c>
      <c r="K3525" s="105"/>
      <c r="L3525" s="105"/>
    </row>
    <row r="3526">
      <c r="A3526" s="103" t="s">
        <v>4676</v>
      </c>
      <c r="B3526" s="103">
        <v>1.10013804E9</v>
      </c>
      <c r="C3526" s="105"/>
      <c r="D3526" s="104" t="s">
        <v>15315</v>
      </c>
      <c r="E3526" s="106"/>
      <c r="F3526" s="103" t="s">
        <v>4678</v>
      </c>
      <c r="G3526" s="103" t="s">
        <v>4679</v>
      </c>
      <c r="H3526" s="103" t="s">
        <v>15316</v>
      </c>
      <c r="I3526" s="103">
        <v>3.164568387E9</v>
      </c>
      <c r="J3526" s="104" t="s">
        <v>15317</v>
      </c>
      <c r="K3526" s="105"/>
      <c r="L3526" s="105"/>
    </row>
    <row r="3527">
      <c r="A3527" s="103" t="s">
        <v>4676</v>
      </c>
      <c r="B3527" s="103">
        <v>1.10013804001E11</v>
      </c>
      <c r="C3527" s="105"/>
      <c r="D3527" s="104" t="s">
        <v>15315</v>
      </c>
      <c r="E3527" s="104" t="s">
        <v>15318</v>
      </c>
      <c r="F3527" s="103" t="s">
        <v>4678</v>
      </c>
      <c r="G3527" s="103" t="s">
        <v>4679</v>
      </c>
      <c r="H3527" s="103" t="s">
        <v>15316</v>
      </c>
      <c r="I3527" s="103">
        <v>7032295.0</v>
      </c>
      <c r="J3527" s="104" t="s">
        <v>15319</v>
      </c>
      <c r="K3527" s="105"/>
      <c r="L3527" s="105"/>
    </row>
    <row r="3528">
      <c r="A3528" s="103" t="s">
        <v>4676</v>
      </c>
      <c r="B3528" s="103">
        <v>1.100138044E9</v>
      </c>
      <c r="C3528" s="105"/>
      <c r="D3528" s="104" t="s">
        <v>15320</v>
      </c>
      <c r="E3528" s="106"/>
      <c r="F3528" s="103" t="s">
        <v>4678</v>
      </c>
      <c r="G3528" s="103" t="s">
        <v>4679</v>
      </c>
      <c r="H3528" s="103" t="s">
        <v>15321</v>
      </c>
      <c r="I3528" s="103">
        <v>3.148131016E9</v>
      </c>
      <c r="J3528" s="104" t="s">
        <v>15322</v>
      </c>
      <c r="K3528" s="105"/>
      <c r="L3528" s="105"/>
    </row>
    <row r="3529">
      <c r="A3529" s="103" t="s">
        <v>4676</v>
      </c>
      <c r="B3529" s="103">
        <v>1.10013804401E11</v>
      </c>
      <c r="C3529" s="105"/>
      <c r="D3529" s="104" t="s">
        <v>15320</v>
      </c>
      <c r="E3529" s="104" t="s">
        <v>15323</v>
      </c>
      <c r="F3529" s="103" t="s">
        <v>4678</v>
      </c>
      <c r="G3529" s="103" t="s">
        <v>4679</v>
      </c>
      <c r="H3529" s="103" t="s">
        <v>15321</v>
      </c>
      <c r="I3529" s="103">
        <v>3.203379561E9</v>
      </c>
      <c r="J3529" s="104" t="s">
        <v>15322</v>
      </c>
      <c r="K3529" s="105"/>
      <c r="L3529" s="105"/>
    </row>
    <row r="3530">
      <c r="A3530" s="103" t="s">
        <v>4676</v>
      </c>
      <c r="B3530" s="103">
        <v>1.100138047E9</v>
      </c>
      <c r="C3530" s="105"/>
      <c r="D3530" s="104" t="s">
        <v>15324</v>
      </c>
      <c r="E3530" s="106"/>
      <c r="F3530" s="103" t="s">
        <v>4678</v>
      </c>
      <c r="G3530" s="103" t="s">
        <v>4679</v>
      </c>
      <c r="H3530" s="103" t="s">
        <v>15325</v>
      </c>
      <c r="I3530" s="103">
        <v>3.165270612E9</v>
      </c>
      <c r="J3530" s="104" t="s">
        <v>15326</v>
      </c>
      <c r="K3530" s="103" t="s">
        <v>15327</v>
      </c>
      <c r="L3530" s="105"/>
    </row>
    <row r="3531">
      <c r="A3531" s="103" t="s">
        <v>4676</v>
      </c>
      <c r="B3531" s="103">
        <v>1.10013804701E11</v>
      </c>
      <c r="C3531" s="105"/>
      <c r="D3531" s="104" t="s">
        <v>15324</v>
      </c>
      <c r="E3531" s="104" t="s">
        <v>15328</v>
      </c>
      <c r="F3531" s="103" t="s">
        <v>4678</v>
      </c>
      <c r="G3531" s="103" t="s">
        <v>4679</v>
      </c>
      <c r="H3531" s="103" t="s">
        <v>15329</v>
      </c>
      <c r="I3531" s="103">
        <v>3.165270612E9</v>
      </c>
      <c r="J3531" s="104" t="s">
        <v>15326</v>
      </c>
      <c r="K3531" s="105"/>
      <c r="L3531" s="105"/>
    </row>
    <row r="3532">
      <c r="A3532" s="103" t="s">
        <v>4676</v>
      </c>
      <c r="B3532" s="103">
        <v>1.100138064E9</v>
      </c>
      <c r="C3532" s="105"/>
      <c r="D3532" s="104" t="s">
        <v>15330</v>
      </c>
      <c r="E3532" s="106"/>
      <c r="F3532" s="103" t="s">
        <v>4678</v>
      </c>
      <c r="G3532" s="103" t="s">
        <v>4679</v>
      </c>
      <c r="H3532" s="103" t="s">
        <v>15331</v>
      </c>
      <c r="I3532" s="103">
        <v>9427086.0</v>
      </c>
      <c r="J3532" s="104" t="s">
        <v>15332</v>
      </c>
      <c r="K3532" s="105"/>
      <c r="L3532" s="105"/>
    </row>
    <row r="3533">
      <c r="A3533" s="103" t="s">
        <v>4676</v>
      </c>
      <c r="B3533" s="103">
        <v>1.10013806401E11</v>
      </c>
      <c r="C3533" s="105"/>
      <c r="D3533" s="104" t="s">
        <v>15330</v>
      </c>
      <c r="E3533" s="104" t="s">
        <v>15333</v>
      </c>
      <c r="F3533" s="103" t="s">
        <v>4678</v>
      </c>
      <c r="G3533" s="103" t="s">
        <v>4679</v>
      </c>
      <c r="H3533" s="103" t="s">
        <v>15334</v>
      </c>
      <c r="I3533" s="103">
        <v>9247086.0</v>
      </c>
      <c r="J3533" s="104" t="s">
        <v>15332</v>
      </c>
      <c r="K3533" s="105"/>
      <c r="L3533" s="105"/>
    </row>
    <row r="3534">
      <c r="A3534" s="103" t="s">
        <v>4676</v>
      </c>
      <c r="B3534" s="103">
        <v>1.100138077E9</v>
      </c>
      <c r="C3534" s="105"/>
      <c r="D3534" s="104" t="s">
        <v>15335</v>
      </c>
      <c r="E3534" s="106"/>
      <c r="F3534" s="103" t="s">
        <v>4678</v>
      </c>
      <c r="G3534" s="103" t="s">
        <v>4679</v>
      </c>
      <c r="H3534" s="103" t="s">
        <v>15336</v>
      </c>
      <c r="I3534" s="103">
        <v>3.102174344E9</v>
      </c>
      <c r="J3534" s="104" t="s">
        <v>15337</v>
      </c>
      <c r="K3534" s="103" t="s">
        <v>15338</v>
      </c>
      <c r="L3534" s="105"/>
    </row>
    <row r="3535">
      <c r="A3535" s="103" t="s">
        <v>4676</v>
      </c>
      <c r="B3535" s="103">
        <v>1.10013807701E11</v>
      </c>
      <c r="C3535" s="105"/>
      <c r="D3535" s="104" t="s">
        <v>15335</v>
      </c>
      <c r="E3535" s="104" t="s">
        <v>9794</v>
      </c>
      <c r="F3535" s="103" t="s">
        <v>4678</v>
      </c>
      <c r="G3535" s="103" t="s">
        <v>4679</v>
      </c>
      <c r="H3535" s="103" t="s">
        <v>15336</v>
      </c>
      <c r="I3535" s="103">
        <v>3.102174344E9</v>
      </c>
      <c r="J3535" s="104" t="s">
        <v>15337</v>
      </c>
      <c r="K3535" s="105"/>
      <c r="L3535" s="105"/>
    </row>
    <row r="3536">
      <c r="A3536" s="103" t="s">
        <v>4676</v>
      </c>
      <c r="B3536" s="103">
        <v>1.100138139E9</v>
      </c>
      <c r="C3536" s="105"/>
      <c r="D3536" s="104" t="s">
        <v>15339</v>
      </c>
      <c r="E3536" s="106"/>
      <c r="F3536" s="103" t="s">
        <v>4678</v>
      </c>
      <c r="G3536" s="103" t="s">
        <v>4679</v>
      </c>
      <c r="H3536" s="103" t="s">
        <v>15340</v>
      </c>
      <c r="I3536" s="103">
        <v>3.228820697E9</v>
      </c>
      <c r="J3536" s="104" t="s">
        <v>15341</v>
      </c>
      <c r="K3536" s="107" t="s">
        <v>15342</v>
      </c>
      <c r="L3536" s="105"/>
    </row>
    <row r="3537">
      <c r="A3537" s="103" t="s">
        <v>4676</v>
      </c>
      <c r="B3537" s="103">
        <v>1.10013813902E11</v>
      </c>
      <c r="C3537" s="105"/>
      <c r="D3537" s="104" t="s">
        <v>15343</v>
      </c>
      <c r="E3537" s="104" t="s">
        <v>15344</v>
      </c>
      <c r="F3537" s="103" t="s">
        <v>4678</v>
      </c>
      <c r="G3537" s="103" t="s">
        <v>4679</v>
      </c>
      <c r="H3537" s="103" t="s">
        <v>15340</v>
      </c>
      <c r="I3537" s="103">
        <v>3.108888223E9</v>
      </c>
      <c r="J3537" s="104" t="s">
        <v>15345</v>
      </c>
      <c r="K3537" s="105"/>
      <c r="L3537" s="105"/>
    </row>
    <row r="3538">
      <c r="A3538" s="103" t="s">
        <v>4676</v>
      </c>
      <c r="B3538" s="103">
        <v>1.10013813907E11</v>
      </c>
      <c r="C3538" s="105"/>
      <c r="D3538" s="104" t="s">
        <v>15346</v>
      </c>
      <c r="E3538" s="104" t="s">
        <v>15347</v>
      </c>
      <c r="F3538" s="103" t="s">
        <v>4678</v>
      </c>
      <c r="G3538" s="103" t="s">
        <v>4679</v>
      </c>
      <c r="H3538" s="103" t="s">
        <v>15348</v>
      </c>
      <c r="I3538" s="103">
        <v>3.108888223E9</v>
      </c>
      <c r="J3538" s="104" t="s">
        <v>15345</v>
      </c>
      <c r="K3538" s="105"/>
      <c r="L3538" s="105"/>
    </row>
    <row r="3539">
      <c r="A3539" s="103" t="s">
        <v>4676</v>
      </c>
      <c r="B3539" s="103">
        <v>1.100138158E9</v>
      </c>
      <c r="C3539" s="105"/>
      <c r="D3539" s="104" t="s">
        <v>15349</v>
      </c>
      <c r="E3539" s="106"/>
      <c r="F3539" s="103" t="s">
        <v>4678</v>
      </c>
      <c r="G3539" s="103" t="s">
        <v>4679</v>
      </c>
      <c r="H3539" s="103" t="s">
        <v>15350</v>
      </c>
      <c r="I3539" s="103" t="s">
        <v>15351</v>
      </c>
      <c r="J3539" s="104" t="s">
        <v>15352</v>
      </c>
      <c r="K3539" s="107" t="s">
        <v>15353</v>
      </c>
      <c r="L3539" s="105"/>
    </row>
    <row r="3540">
      <c r="A3540" s="103" t="s">
        <v>4676</v>
      </c>
      <c r="B3540" s="103">
        <v>1.10013815801E11</v>
      </c>
      <c r="C3540" s="105"/>
      <c r="D3540" s="104" t="s">
        <v>15349</v>
      </c>
      <c r="E3540" s="104" t="s">
        <v>15354</v>
      </c>
      <c r="F3540" s="103" t="s">
        <v>4678</v>
      </c>
      <c r="G3540" s="103" t="s">
        <v>4679</v>
      </c>
      <c r="H3540" s="103" t="s">
        <v>15355</v>
      </c>
      <c r="I3540" s="103" t="s">
        <v>15351</v>
      </c>
      <c r="J3540" s="104" t="s">
        <v>15352</v>
      </c>
      <c r="K3540" s="105"/>
      <c r="L3540" s="105"/>
    </row>
    <row r="3541">
      <c r="A3541" s="103" t="s">
        <v>4676</v>
      </c>
      <c r="B3541" s="103">
        <v>1.100138162E9</v>
      </c>
      <c r="C3541" s="105"/>
      <c r="D3541" s="104" t="s">
        <v>15356</v>
      </c>
      <c r="E3541" s="106"/>
      <c r="F3541" s="103" t="s">
        <v>4678</v>
      </c>
      <c r="G3541" s="103" t="s">
        <v>4679</v>
      </c>
      <c r="H3541" s="103" t="s">
        <v>15357</v>
      </c>
      <c r="I3541" s="103">
        <v>3.14609618E9</v>
      </c>
      <c r="J3541" s="104" t="s">
        <v>15358</v>
      </c>
      <c r="K3541" s="105"/>
      <c r="L3541" s="105"/>
    </row>
    <row r="3542">
      <c r="A3542" s="103" t="s">
        <v>4676</v>
      </c>
      <c r="B3542" s="103">
        <v>1.10013816201E11</v>
      </c>
      <c r="C3542" s="105"/>
      <c r="D3542" s="104" t="s">
        <v>15359</v>
      </c>
      <c r="E3542" s="104" t="s">
        <v>15360</v>
      </c>
      <c r="F3542" s="103" t="s">
        <v>4678</v>
      </c>
      <c r="G3542" s="103" t="s">
        <v>4679</v>
      </c>
      <c r="H3542" s="103" t="s">
        <v>15357</v>
      </c>
      <c r="I3542" s="103">
        <v>3.14609618E9</v>
      </c>
      <c r="J3542" s="104" t="s">
        <v>15358</v>
      </c>
      <c r="K3542" s="105"/>
      <c r="L3542" s="105"/>
    </row>
    <row r="3543">
      <c r="A3543" s="103" t="s">
        <v>4676</v>
      </c>
      <c r="B3543" s="103">
        <v>1.100138198E9</v>
      </c>
      <c r="C3543" s="105"/>
      <c r="D3543" s="104" t="s">
        <v>15361</v>
      </c>
      <c r="E3543" s="106"/>
      <c r="F3543" s="103" t="s">
        <v>4678</v>
      </c>
      <c r="G3543" s="103" t="s">
        <v>4679</v>
      </c>
      <c r="H3543" s="103" t="s">
        <v>15362</v>
      </c>
      <c r="I3543" s="103">
        <v>3.005699054E9</v>
      </c>
      <c r="J3543" s="104" t="s">
        <v>15363</v>
      </c>
      <c r="K3543" s="105"/>
      <c r="L3543" s="105"/>
    </row>
    <row r="3544">
      <c r="A3544" s="103" t="s">
        <v>4676</v>
      </c>
      <c r="B3544" s="103">
        <v>1.10013819801E11</v>
      </c>
      <c r="C3544" s="105"/>
      <c r="D3544" s="104" t="s">
        <v>15361</v>
      </c>
      <c r="E3544" s="104" t="s">
        <v>15364</v>
      </c>
      <c r="F3544" s="103" t="s">
        <v>4678</v>
      </c>
      <c r="G3544" s="103" t="s">
        <v>4679</v>
      </c>
      <c r="H3544" s="103" t="s">
        <v>15362</v>
      </c>
      <c r="I3544" s="103">
        <v>3.005699054E9</v>
      </c>
      <c r="J3544" s="104" t="s">
        <v>15363</v>
      </c>
      <c r="K3544" s="105"/>
      <c r="L3544" s="105"/>
    </row>
    <row r="3545">
      <c r="A3545" s="103" t="s">
        <v>4676</v>
      </c>
      <c r="B3545" s="103">
        <v>1.100138219E9</v>
      </c>
      <c r="C3545" s="105"/>
      <c r="D3545" s="104" t="s">
        <v>15365</v>
      </c>
      <c r="E3545" s="106"/>
      <c r="F3545" s="103" t="s">
        <v>4678</v>
      </c>
      <c r="G3545" s="103" t="s">
        <v>4679</v>
      </c>
      <c r="H3545" s="103" t="s">
        <v>15366</v>
      </c>
      <c r="I3545" s="103">
        <v>5316000.0</v>
      </c>
      <c r="J3545" s="104" t="s">
        <v>15367</v>
      </c>
      <c r="K3545" s="107" t="s">
        <v>15368</v>
      </c>
      <c r="L3545" s="105"/>
    </row>
    <row r="3546">
      <c r="A3546" s="103" t="s">
        <v>4676</v>
      </c>
      <c r="B3546" s="103">
        <v>1.10013821901E11</v>
      </c>
      <c r="C3546" s="105"/>
      <c r="D3546" s="104" t="s">
        <v>15369</v>
      </c>
      <c r="E3546" s="104" t="s">
        <v>15370</v>
      </c>
      <c r="F3546" s="103" t="s">
        <v>4678</v>
      </c>
      <c r="G3546" s="103" t="s">
        <v>4679</v>
      </c>
      <c r="H3546" s="103" t="s">
        <v>15371</v>
      </c>
      <c r="I3546" s="103">
        <v>5.316E7</v>
      </c>
      <c r="J3546" s="104" t="s">
        <v>15367</v>
      </c>
      <c r="K3546" s="105"/>
      <c r="L3546" s="105"/>
    </row>
    <row r="3547">
      <c r="A3547" s="103" t="s">
        <v>4676</v>
      </c>
      <c r="B3547" s="103">
        <v>1.100138235E9</v>
      </c>
      <c r="C3547" s="105"/>
      <c r="D3547" s="104" t="s">
        <v>15372</v>
      </c>
      <c r="E3547" s="106"/>
      <c r="F3547" s="103" t="s">
        <v>4678</v>
      </c>
      <c r="G3547" s="103" t="s">
        <v>4679</v>
      </c>
      <c r="H3547" s="103" t="s">
        <v>15373</v>
      </c>
      <c r="I3547" s="103">
        <v>3.008152984E9</v>
      </c>
      <c r="J3547" s="104" t="s">
        <v>15374</v>
      </c>
      <c r="K3547" s="107" t="s">
        <v>15375</v>
      </c>
      <c r="L3547" s="105"/>
    </row>
    <row r="3548">
      <c r="A3548" s="103" t="s">
        <v>4676</v>
      </c>
      <c r="B3548" s="103">
        <v>1.10013823501E11</v>
      </c>
      <c r="C3548" s="105"/>
      <c r="D3548" s="104" t="s">
        <v>15372</v>
      </c>
      <c r="E3548" s="104" t="s">
        <v>15376</v>
      </c>
      <c r="F3548" s="103" t="s">
        <v>4678</v>
      </c>
      <c r="G3548" s="103" t="s">
        <v>4679</v>
      </c>
      <c r="H3548" s="103" t="s">
        <v>15377</v>
      </c>
      <c r="I3548" s="103">
        <v>3.008152984E9</v>
      </c>
      <c r="J3548" s="104" t="s">
        <v>15374</v>
      </c>
      <c r="K3548" s="105"/>
      <c r="L3548" s="105"/>
    </row>
    <row r="3549">
      <c r="A3549" s="103" t="s">
        <v>4676</v>
      </c>
      <c r="B3549" s="103">
        <v>1.100138248E9</v>
      </c>
      <c r="C3549" s="105"/>
      <c r="D3549" s="104" t="s">
        <v>15378</v>
      </c>
      <c r="E3549" s="106"/>
      <c r="F3549" s="103" t="s">
        <v>4678</v>
      </c>
      <c r="G3549" s="103" t="s">
        <v>4679</v>
      </c>
      <c r="H3549" s="103" t="s">
        <v>15379</v>
      </c>
      <c r="I3549" s="103">
        <v>3.176485898E9</v>
      </c>
      <c r="J3549" s="104" t="s">
        <v>15380</v>
      </c>
      <c r="K3549" s="107" t="s">
        <v>15130</v>
      </c>
      <c r="L3549" s="105"/>
    </row>
    <row r="3550">
      <c r="A3550" s="103" t="s">
        <v>4676</v>
      </c>
      <c r="B3550" s="103">
        <v>1.10013824801E11</v>
      </c>
      <c r="C3550" s="105"/>
      <c r="D3550" s="104" t="s">
        <v>15378</v>
      </c>
      <c r="E3550" s="104" t="s">
        <v>15381</v>
      </c>
      <c r="F3550" s="103" t="s">
        <v>4678</v>
      </c>
      <c r="G3550" s="103" t="s">
        <v>4679</v>
      </c>
      <c r="H3550" s="103" t="s">
        <v>15379</v>
      </c>
      <c r="I3550" s="103">
        <v>3.124419771E9</v>
      </c>
      <c r="J3550" s="104" t="s">
        <v>15380</v>
      </c>
      <c r="K3550" s="105"/>
      <c r="L3550" s="105"/>
    </row>
    <row r="3551">
      <c r="A3551" s="103" t="s">
        <v>4676</v>
      </c>
      <c r="B3551" s="103">
        <v>1.100138266E9</v>
      </c>
      <c r="C3551" s="105"/>
      <c r="D3551" s="104" t="s">
        <v>15382</v>
      </c>
      <c r="E3551" s="106"/>
      <c r="F3551" s="103" t="s">
        <v>4678</v>
      </c>
      <c r="G3551" s="103" t="s">
        <v>4679</v>
      </c>
      <c r="H3551" s="103" t="s">
        <v>15383</v>
      </c>
      <c r="I3551" s="103">
        <v>7630221.0</v>
      </c>
      <c r="J3551" s="104" t="s">
        <v>15384</v>
      </c>
      <c r="K3551" s="105"/>
      <c r="L3551" s="105"/>
    </row>
    <row r="3552">
      <c r="A3552" s="103" t="s">
        <v>4676</v>
      </c>
      <c r="B3552" s="103">
        <v>1.10013826601E11</v>
      </c>
      <c r="C3552" s="105"/>
      <c r="D3552" s="104" t="s">
        <v>15382</v>
      </c>
      <c r="E3552" s="104" t="s">
        <v>15385</v>
      </c>
      <c r="F3552" s="103" t="s">
        <v>4678</v>
      </c>
      <c r="G3552" s="103" t="s">
        <v>4679</v>
      </c>
      <c r="H3552" s="103" t="s">
        <v>15383</v>
      </c>
      <c r="I3552" s="103">
        <v>7630221.0</v>
      </c>
      <c r="J3552" s="104" t="s">
        <v>15384</v>
      </c>
      <c r="K3552" s="105"/>
      <c r="L3552" s="105"/>
    </row>
    <row r="3553">
      <c r="A3553" s="103" t="s">
        <v>4676</v>
      </c>
      <c r="B3553" s="103">
        <v>1.100138286E9</v>
      </c>
      <c r="C3553" s="105"/>
      <c r="D3553" s="104" t="s">
        <v>15386</v>
      </c>
      <c r="E3553" s="106"/>
      <c r="F3553" s="103" t="s">
        <v>4678</v>
      </c>
      <c r="G3553" s="103" t="s">
        <v>4679</v>
      </c>
      <c r="H3553" s="103" t="s">
        <v>15387</v>
      </c>
      <c r="I3553" s="103">
        <v>3.102247112E9</v>
      </c>
      <c r="J3553" s="104" t="s">
        <v>15388</v>
      </c>
      <c r="K3553" s="107" t="s">
        <v>15389</v>
      </c>
      <c r="L3553" s="105"/>
    </row>
    <row r="3554">
      <c r="A3554" s="103" t="s">
        <v>4676</v>
      </c>
      <c r="B3554" s="103">
        <v>1.10013828601E11</v>
      </c>
      <c r="C3554" s="105"/>
      <c r="D3554" s="104" t="s">
        <v>15390</v>
      </c>
      <c r="E3554" s="104" t="s">
        <v>15391</v>
      </c>
      <c r="F3554" s="103" t="s">
        <v>4678</v>
      </c>
      <c r="G3554" s="103" t="s">
        <v>4679</v>
      </c>
      <c r="H3554" s="103" t="s">
        <v>15392</v>
      </c>
      <c r="I3554" s="103">
        <v>3.102247112E9</v>
      </c>
      <c r="J3554" s="104" t="s">
        <v>15388</v>
      </c>
      <c r="K3554" s="105"/>
      <c r="L3554" s="105"/>
    </row>
    <row r="3555">
      <c r="A3555" s="103" t="s">
        <v>4676</v>
      </c>
      <c r="B3555" s="103">
        <v>1.100138296E9</v>
      </c>
      <c r="C3555" s="105"/>
      <c r="D3555" s="104" t="s">
        <v>15393</v>
      </c>
      <c r="E3555" s="106"/>
      <c r="F3555" s="103" t="s">
        <v>4678</v>
      </c>
      <c r="G3555" s="103" t="s">
        <v>4679</v>
      </c>
      <c r="H3555" s="103" t="s">
        <v>15394</v>
      </c>
      <c r="I3555" s="103">
        <v>3.016572232E9</v>
      </c>
      <c r="J3555" s="104" t="s">
        <v>15395</v>
      </c>
      <c r="K3555" s="107" t="s">
        <v>15396</v>
      </c>
      <c r="L3555" s="105"/>
    </row>
    <row r="3556">
      <c r="A3556" s="103" t="s">
        <v>4676</v>
      </c>
      <c r="B3556" s="103">
        <v>1.10013829601E11</v>
      </c>
      <c r="C3556" s="105"/>
      <c r="D3556" s="104" t="s">
        <v>15393</v>
      </c>
      <c r="E3556" s="104" t="s">
        <v>15397</v>
      </c>
      <c r="F3556" s="103" t="s">
        <v>4678</v>
      </c>
      <c r="G3556" s="103" t="s">
        <v>4679</v>
      </c>
      <c r="H3556" s="103" t="s">
        <v>15398</v>
      </c>
      <c r="I3556" s="103">
        <v>3.016572232E9</v>
      </c>
      <c r="J3556" s="104" t="s">
        <v>15395</v>
      </c>
      <c r="K3556" s="105"/>
      <c r="L3556" s="105"/>
    </row>
    <row r="3557">
      <c r="A3557" s="103" t="s">
        <v>4676</v>
      </c>
      <c r="B3557" s="103">
        <v>1.100138308E9</v>
      </c>
      <c r="C3557" s="105"/>
      <c r="D3557" s="104" t="s">
        <v>15399</v>
      </c>
      <c r="E3557" s="106"/>
      <c r="F3557" s="103" t="s">
        <v>4678</v>
      </c>
      <c r="G3557" s="103" t="s">
        <v>4679</v>
      </c>
      <c r="H3557" s="103" t="s">
        <v>15400</v>
      </c>
      <c r="I3557" s="103">
        <v>3.114701494E9</v>
      </c>
      <c r="J3557" s="104" t="s">
        <v>15401</v>
      </c>
      <c r="K3557" s="105"/>
      <c r="L3557" s="105"/>
    </row>
    <row r="3558">
      <c r="A3558" s="103" t="s">
        <v>4676</v>
      </c>
      <c r="B3558" s="103">
        <v>1.10013830801E11</v>
      </c>
      <c r="C3558" s="105"/>
      <c r="D3558" s="104" t="s">
        <v>15399</v>
      </c>
      <c r="E3558" s="104" t="s">
        <v>15402</v>
      </c>
      <c r="F3558" s="103" t="s">
        <v>4678</v>
      </c>
      <c r="G3558" s="103" t="s">
        <v>4679</v>
      </c>
      <c r="H3558" s="103" t="s">
        <v>15400</v>
      </c>
      <c r="I3558" s="103">
        <v>3.114701494E9</v>
      </c>
      <c r="J3558" s="104" t="s">
        <v>15401</v>
      </c>
      <c r="K3558" s="105"/>
      <c r="L3558" s="105"/>
    </row>
    <row r="3559">
      <c r="A3559" s="103" t="s">
        <v>4676</v>
      </c>
      <c r="B3559" s="103">
        <v>1.100138316E9</v>
      </c>
      <c r="C3559" s="105"/>
      <c r="D3559" s="104" t="s">
        <v>15403</v>
      </c>
      <c r="E3559" s="106"/>
      <c r="F3559" s="103" t="s">
        <v>4678</v>
      </c>
      <c r="G3559" s="103" t="s">
        <v>4679</v>
      </c>
      <c r="H3559" s="103" t="s">
        <v>15404</v>
      </c>
      <c r="I3559" s="103">
        <v>3.105541353E9</v>
      </c>
      <c r="J3559" s="104" t="s">
        <v>15405</v>
      </c>
      <c r="K3559" s="103" t="s">
        <v>15406</v>
      </c>
      <c r="L3559" s="105"/>
    </row>
    <row r="3560">
      <c r="A3560" s="103" t="s">
        <v>4676</v>
      </c>
      <c r="B3560" s="103">
        <v>1.10013831601E11</v>
      </c>
      <c r="C3560" s="105"/>
      <c r="D3560" s="104" t="s">
        <v>15407</v>
      </c>
      <c r="E3560" s="104" t="s">
        <v>15408</v>
      </c>
      <c r="F3560" s="103" t="s">
        <v>4678</v>
      </c>
      <c r="G3560" s="103" t="s">
        <v>4679</v>
      </c>
      <c r="H3560" s="103" t="s">
        <v>15409</v>
      </c>
      <c r="I3560" s="103">
        <v>3.227373252E9</v>
      </c>
      <c r="J3560" s="104" t="s">
        <v>15405</v>
      </c>
      <c r="K3560" s="105"/>
      <c r="L3560" s="105"/>
    </row>
    <row r="3561">
      <c r="A3561" s="103" t="s">
        <v>4676</v>
      </c>
      <c r="B3561" s="103">
        <v>1.100138329E9</v>
      </c>
      <c r="C3561" s="105"/>
      <c r="D3561" s="104" t="s">
        <v>15410</v>
      </c>
      <c r="E3561" s="106"/>
      <c r="F3561" s="103" t="s">
        <v>4678</v>
      </c>
      <c r="G3561" s="103" t="s">
        <v>4679</v>
      </c>
      <c r="H3561" s="103" t="s">
        <v>15411</v>
      </c>
      <c r="I3561" s="103">
        <v>3.156702239E9</v>
      </c>
      <c r="J3561" s="104" t="s">
        <v>15412</v>
      </c>
      <c r="K3561" s="105"/>
      <c r="L3561" s="105"/>
    </row>
    <row r="3562">
      <c r="A3562" s="103" t="s">
        <v>4676</v>
      </c>
      <c r="B3562" s="103">
        <v>1.10013832901E11</v>
      </c>
      <c r="C3562" s="105"/>
      <c r="D3562" s="104" t="s">
        <v>15413</v>
      </c>
      <c r="E3562" s="104" t="s">
        <v>15414</v>
      </c>
      <c r="F3562" s="103" t="s">
        <v>4678</v>
      </c>
      <c r="G3562" s="103" t="s">
        <v>4679</v>
      </c>
      <c r="H3562" s="103" t="s">
        <v>15411</v>
      </c>
      <c r="I3562" s="103">
        <v>3.156702239E9</v>
      </c>
      <c r="J3562" s="104" t="s">
        <v>15412</v>
      </c>
      <c r="K3562" s="105"/>
      <c r="L3562" s="105"/>
    </row>
    <row r="3563">
      <c r="A3563" s="103" t="s">
        <v>4676</v>
      </c>
      <c r="B3563" s="103">
        <v>1.100138362E9</v>
      </c>
      <c r="C3563" s="105"/>
      <c r="D3563" s="104" t="s">
        <v>15415</v>
      </c>
      <c r="E3563" s="106"/>
      <c r="F3563" s="103" t="s">
        <v>4678</v>
      </c>
      <c r="G3563" s="103" t="s">
        <v>4679</v>
      </c>
      <c r="H3563" s="103" t="s">
        <v>15416</v>
      </c>
      <c r="I3563" s="103">
        <v>3.148648793E9</v>
      </c>
      <c r="J3563" s="104" t="s">
        <v>15417</v>
      </c>
      <c r="K3563" s="103" t="s">
        <v>15418</v>
      </c>
      <c r="L3563" s="105"/>
    </row>
    <row r="3564">
      <c r="A3564" s="103" t="s">
        <v>4676</v>
      </c>
      <c r="B3564" s="103">
        <v>1.10013836201E11</v>
      </c>
      <c r="C3564" s="105"/>
      <c r="D3564" s="104" t="s">
        <v>15415</v>
      </c>
      <c r="E3564" s="104" t="s">
        <v>15419</v>
      </c>
      <c r="F3564" s="103" t="s">
        <v>4678</v>
      </c>
      <c r="G3564" s="103" t="s">
        <v>4679</v>
      </c>
      <c r="H3564" s="103" t="s">
        <v>15416</v>
      </c>
      <c r="I3564" s="103">
        <v>3.148648793E9</v>
      </c>
      <c r="J3564" s="104" t="s">
        <v>15417</v>
      </c>
      <c r="K3564" s="105"/>
      <c r="L3564" s="105"/>
    </row>
    <row r="3565">
      <c r="A3565" s="103" t="s">
        <v>4676</v>
      </c>
      <c r="B3565" s="103">
        <v>1.100138376E9</v>
      </c>
      <c r="C3565" s="105"/>
      <c r="D3565" s="104" t="s">
        <v>15420</v>
      </c>
      <c r="E3565" s="106"/>
      <c r="F3565" s="103" t="s">
        <v>4678</v>
      </c>
      <c r="G3565" s="103" t="s">
        <v>4679</v>
      </c>
      <c r="H3565" s="103" t="s">
        <v>15421</v>
      </c>
      <c r="I3565" s="103">
        <v>3.213494616E9</v>
      </c>
      <c r="J3565" s="104" t="s">
        <v>15422</v>
      </c>
      <c r="K3565" s="107" t="s">
        <v>15423</v>
      </c>
      <c r="L3565" s="105"/>
    </row>
    <row r="3566">
      <c r="A3566" s="103" t="s">
        <v>4676</v>
      </c>
      <c r="B3566" s="103">
        <v>1.10013837601E11</v>
      </c>
      <c r="C3566" s="105"/>
      <c r="D3566" s="104" t="s">
        <v>15420</v>
      </c>
      <c r="E3566" s="104" t="s">
        <v>15424</v>
      </c>
      <c r="F3566" s="103" t="s">
        <v>4678</v>
      </c>
      <c r="G3566" s="103" t="s">
        <v>4679</v>
      </c>
      <c r="H3566" s="103" t="s">
        <v>15421</v>
      </c>
      <c r="I3566" s="103">
        <v>3.213494616E9</v>
      </c>
      <c r="J3566" s="104" t="s">
        <v>15422</v>
      </c>
      <c r="K3566" s="105"/>
      <c r="L3566" s="105"/>
    </row>
    <row r="3567">
      <c r="A3567" s="103" t="s">
        <v>4676</v>
      </c>
      <c r="B3567" s="103">
        <v>1.10013839E9</v>
      </c>
      <c r="C3567" s="105"/>
      <c r="D3567" s="104" t="s">
        <v>15425</v>
      </c>
      <c r="E3567" s="106"/>
      <c r="F3567" s="103" t="s">
        <v>4678</v>
      </c>
      <c r="G3567" s="103" t="s">
        <v>4679</v>
      </c>
      <c r="H3567" s="103" t="s">
        <v>15426</v>
      </c>
      <c r="I3567" s="103">
        <v>6.013003152E9</v>
      </c>
      <c r="J3567" s="104" t="s">
        <v>15427</v>
      </c>
      <c r="K3567" s="105"/>
      <c r="L3567" s="105"/>
    </row>
    <row r="3568">
      <c r="A3568" s="103" t="s">
        <v>4676</v>
      </c>
      <c r="B3568" s="103">
        <v>1.10013839001E11</v>
      </c>
      <c r="C3568" s="105"/>
      <c r="D3568" s="104" t="s">
        <v>15425</v>
      </c>
      <c r="E3568" s="104" t="s">
        <v>15428</v>
      </c>
      <c r="F3568" s="103" t="s">
        <v>4678</v>
      </c>
      <c r="G3568" s="103" t="s">
        <v>4679</v>
      </c>
      <c r="H3568" s="103" t="s">
        <v>15429</v>
      </c>
      <c r="I3568" s="103">
        <v>6.013003152E9</v>
      </c>
      <c r="J3568" s="104" t="s">
        <v>15427</v>
      </c>
      <c r="K3568" s="105"/>
      <c r="L3568" s="105"/>
    </row>
    <row r="3569">
      <c r="A3569" s="103" t="s">
        <v>4676</v>
      </c>
      <c r="B3569" s="103">
        <v>1.100138391E9</v>
      </c>
      <c r="C3569" s="105"/>
      <c r="D3569" s="104" t="s">
        <v>15430</v>
      </c>
      <c r="E3569" s="106"/>
      <c r="F3569" s="103" t="s">
        <v>4678</v>
      </c>
      <c r="G3569" s="103" t="s">
        <v>4679</v>
      </c>
      <c r="H3569" s="103" t="s">
        <v>15431</v>
      </c>
      <c r="I3569" s="103">
        <v>3.106409121E9</v>
      </c>
      <c r="J3569" s="104" t="s">
        <v>15432</v>
      </c>
      <c r="K3569" s="107" t="s">
        <v>15433</v>
      </c>
      <c r="L3569" s="105"/>
    </row>
    <row r="3570">
      <c r="A3570" s="103" t="s">
        <v>4676</v>
      </c>
      <c r="B3570" s="103">
        <v>1.10013839101E11</v>
      </c>
      <c r="C3570" s="105"/>
      <c r="D3570" s="104" t="s">
        <v>15434</v>
      </c>
      <c r="E3570" s="104" t="s">
        <v>15435</v>
      </c>
      <c r="F3570" s="103" t="s">
        <v>4678</v>
      </c>
      <c r="G3570" s="103" t="s">
        <v>4679</v>
      </c>
      <c r="H3570" s="103" t="s">
        <v>15436</v>
      </c>
      <c r="I3570" s="103">
        <v>3.106409121E9</v>
      </c>
      <c r="J3570" s="104" t="s">
        <v>15432</v>
      </c>
      <c r="K3570" s="105"/>
      <c r="L3570" s="105"/>
    </row>
    <row r="3571">
      <c r="A3571" s="103" t="s">
        <v>4676</v>
      </c>
      <c r="B3571" s="103">
        <v>1.10013839102E11</v>
      </c>
      <c r="C3571" s="105"/>
      <c r="D3571" s="104" t="s">
        <v>15437</v>
      </c>
      <c r="E3571" s="104" t="s">
        <v>15435</v>
      </c>
      <c r="F3571" s="103" t="s">
        <v>4678</v>
      </c>
      <c r="G3571" s="103" t="s">
        <v>4679</v>
      </c>
      <c r="H3571" s="103" t="s">
        <v>15438</v>
      </c>
      <c r="I3571" s="103">
        <v>3.106409121E9</v>
      </c>
      <c r="J3571" s="104" t="s">
        <v>15432</v>
      </c>
      <c r="K3571" s="105"/>
      <c r="L3571" s="105"/>
    </row>
    <row r="3572">
      <c r="A3572" s="103" t="s">
        <v>4676</v>
      </c>
      <c r="B3572" s="103">
        <v>1.100138392E9</v>
      </c>
      <c r="C3572" s="105"/>
      <c r="D3572" s="104" t="s">
        <v>15439</v>
      </c>
      <c r="E3572" s="106"/>
      <c r="F3572" s="103" t="s">
        <v>4678</v>
      </c>
      <c r="G3572" s="103" t="s">
        <v>4679</v>
      </c>
      <c r="H3572" s="103" t="s">
        <v>15440</v>
      </c>
      <c r="I3572" s="103">
        <v>3.176595588E9</v>
      </c>
      <c r="J3572" s="104" t="s">
        <v>15441</v>
      </c>
      <c r="K3572" s="107" t="s">
        <v>15442</v>
      </c>
      <c r="L3572" s="105"/>
    </row>
    <row r="3573">
      <c r="A3573" s="103" t="s">
        <v>4676</v>
      </c>
      <c r="B3573" s="103">
        <v>1.10013839201E11</v>
      </c>
      <c r="C3573" s="105"/>
      <c r="D3573" s="104" t="s">
        <v>15443</v>
      </c>
      <c r="E3573" s="104" t="s">
        <v>15444</v>
      </c>
      <c r="F3573" s="103" t="s">
        <v>4678</v>
      </c>
      <c r="G3573" s="103" t="s">
        <v>4679</v>
      </c>
      <c r="H3573" s="103" t="s">
        <v>15445</v>
      </c>
      <c r="I3573" s="103">
        <v>5275977.0</v>
      </c>
      <c r="J3573" s="104" t="s">
        <v>15441</v>
      </c>
      <c r="K3573" s="105"/>
      <c r="L3573" s="105"/>
    </row>
    <row r="3574">
      <c r="A3574" s="103" t="s">
        <v>4676</v>
      </c>
      <c r="B3574" s="103">
        <v>1.100138401E9</v>
      </c>
      <c r="C3574" s="105"/>
      <c r="D3574" s="104" t="s">
        <v>15446</v>
      </c>
      <c r="E3574" s="106"/>
      <c r="F3574" s="103" t="s">
        <v>4678</v>
      </c>
      <c r="G3574" s="103" t="s">
        <v>4679</v>
      </c>
      <c r="H3574" s="103" t="s">
        <v>15447</v>
      </c>
      <c r="I3574" s="103">
        <v>3.124772669E9</v>
      </c>
      <c r="J3574" s="104" t="s">
        <v>15448</v>
      </c>
      <c r="K3574" s="103" t="s">
        <v>15449</v>
      </c>
      <c r="L3574" s="105"/>
    </row>
    <row r="3575">
      <c r="A3575" s="103" t="s">
        <v>4676</v>
      </c>
      <c r="B3575" s="103">
        <v>1.10013840101E11</v>
      </c>
      <c r="C3575" s="105"/>
      <c r="D3575" s="104" t="s">
        <v>15446</v>
      </c>
      <c r="E3575" s="104" t="s">
        <v>15450</v>
      </c>
      <c r="F3575" s="103" t="s">
        <v>4678</v>
      </c>
      <c r="G3575" s="103" t="s">
        <v>4679</v>
      </c>
      <c r="H3575" s="103" t="s">
        <v>15447</v>
      </c>
      <c r="I3575" s="103">
        <v>3.124472669E9</v>
      </c>
      <c r="J3575" s="104" t="s">
        <v>15448</v>
      </c>
      <c r="K3575" s="105"/>
      <c r="L3575" s="105"/>
    </row>
    <row r="3576">
      <c r="A3576" s="103" t="s">
        <v>4676</v>
      </c>
      <c r="B3576" s="103">
        <v>1.100138406E9</v>
      </c>
      <c r="C3576" s="105"/>
      <c r="D3576" s="104" t="s">
        <v>15451</v>
      </c>
      <c r="E3576" s="106"/>
      <c r="F3576" s="103" t="s">
        <v>4678</v>
      </c>
      <c r="G3576" s="103" t="s">
        <v>4679</v>
      </c>
      <c r="H3576" s="103" t="s">
        <v>15452</v>
      </c>
      <c r="I3576" s="103">
        <v>3.147284115E9</v>
      </c>
      <c r="J3576" s="104" t="s">
        <v>15453</v>
      </c>
      <c r="K3576" s="107" t="s">
        <v>15454</v>
      </c>
      <c r="L3576" s="105"/>
    </row>
    <row r="3577">
      <c r="A3577" s="103" t="s">
        <v>4676</v>
      </c>
      <c r="B3577" s="103">
        <v>1.10013840601E11</v>
      </c>
      <c r="C3577" s="105"/>
      <c r="D3577" s="104" t="s">
        <v>15455</v>
      </c>
      <c r="E3577" s="104" t="s">
        <v>15456</v>
      </c>
      <c r="F3577" s="103" t="s">
        <v>4678</v>
      </c>
      <c r="G3577" s="103" t="s">
        <v>4679</v>
      </c>
      <c r="H3577" s="103" t="s">
        <v>15457</v>
      </c>
      <c r="I3577" s="103">
        <v>3.147284115E9</v>
      </c>
      <c r="J3577" s="104" t="s">
        <v>15453</v>
      </c>
      <c r="K3577" s="105"/>
      <c r="L3577" s="105"/>
    </row>
    <row r="3578">
      <c r="A3578" s="103" t="s">
        <v>4676</v>
      </c>
      <c r="B3578" s="103">
        <v>1.100138408E9</v>
      </c>
      <c r="C3578" s="105"/>
      <c r="D3578" s="104" t="s">
        <v>15458</v>
      </c>
      <c r="E3578" s="106"/>
      <c r="F3578" s="103" t="s">
        <v>4678</v>
      </c>
      <c r="G3578" s="103" t="s">
        <v>4679</v>
      </c>
      <c r="H3578" s="103" t="s">
        <v>15459</v>
      </c>
      <c r="I3578" s="103">
        <v>3.123100113E9</v>
      </c>
      <c r="J3578" s="104" t="s">
        <v>15460</v>
      </c>
      <c r="K3578" s="105"/>
      <c r="L3578" s="105"/>
    </row>
    <row r="3579">
      <c r="A3579" s="103" t="s">
        <v>4676</v>
      </c>
      <c r="B3579" s="103">
        <v>1.10013840801E11</v>
      </c>
      <c r="C3579" s="105"/>
      <c r="D3579" s="104" t="s">
        <v>15461</v>
      </c>
      <c r="E3579" s="104" t="s">
        <v>15462</v>
      </c>
      <c r="F3579" s="103" t="s">
        <v>4678</v>
      </c>
      <c r="G3579" s="103" t="s">
        <v>4679</v>
      </c>
      <c r="H3579" s="103" t="s">
        <v>15459</v>
      </c>
      <c r="I3579" s="103">
        <v>3.123100113E9</v>
      </c>
      <c r="J3579" s="104" t="s">
        <v>15460</v>
      </c>
      <c r="K3579" s="105"/>
      <c r="L3579" s="105"/>
    </row>
    <row r="3580">
      <c r="A3580" s="103" t="s">
        <v>4676</v>
      </c>
      <c r="B3580" s="103">
        <v>1.100138428E9</v>
      </c>
      <c r="C3580" s="105"/>
      <c r="D3580" s="104" t="s">
        <v>15463</v>
      </c>
      <c r="E3580" s="106"/>
      <c r="F3580" s="103" t="s">
        <v>4678</v>
      </c>
      <c r="G3580" s="103" t="s">
        <v>4679</v>
      </c>
      <c r="H3580" s="103" t="s">
        <v>15464</v>
      </c>
      <c r="I3580" s="103">
        <v>4824274.0</v>
      </c>
      <c r="J3580" s="104" t="s">
        <v>15465</v>
      </c>
      <c r="K3580" s="107" t="s">
        <v>15466</v>
      </c>
      <c r="L3580" s="105"/>
    </row>
    <row r="3581">
      <c r="A3581" s="103" t="s">
        <v>4676</v>
      </c>
      <c r="B3581" s="103">
        <v>1.10013842801E11</v>
      </c>
      <c r="C3581" s="105"/>
      <c r="D3581" s="104" t="s">
        <v>15463</v>
      </c>
      <c r="E3581" s="104" t="s">
        <v>15467</v>
      </c>
      <c r="F3581" s="103" t="s">
        <v>4678</v>
      </c>
      <c r="G3581" s="103" t="s">
        <v>4679</v>
      </c>
      <c r="H3581" s="103" t="s">
        <v>15468</v>
      </c>
      <c r="I3581" s="103">
        <v>4824274.0</v>
      </c>
      <c r="J3581" s="104" t="s">
        <v>15465</v>
      </c>
      <c r="K3581" s="105"/>
      <c r="L3581" s="105"/>
    </row>
    <row r="3582">
      <c r="A3582" s="103" t="s">
        <v>4676</v>
      </c>
      <c r="B3582" s="103">
        <v>1.100138432E9</v>
      </c>
      <c r="C3582" s="105"/>
      <c r="D3582" s="104" t="s">
        <v>15469</v>
      </c>
      <c r="E3582" s="106"/>
      <c r="F3582" s="103" t="s">
        <v>4678</v>
      </c>
      <c r="G3582" s="103" t="s">
        <v>4679</v>
      </c>
      <c r="H3582" s="103" t="s">
        <v>15470</v>
      </c>
      <c r="I3582" s="103">
        <v>2222208.0</v>
      </c>
      <c r="J3582" s="104" t="s">
        <v>15471</v>
      </c>
      <c r="K3582" s="105"/>
      <c r="L3582" s="105"/>
    </row>
    <row r="3583">
      <c r="A3583" s="103" t="s">
        <v>4676</v>
      </c>
      <c r="B3583" s="103">
        <v>1.10013843201E11</v>
      </c>
      <c r="C3583" s="105"/>
      <c r="D3583" s="104" t="s">
        <v>15469</v>
      </c>
      <c r="E3583" s="104" t="s">
        <v>15472</v>
      </c>
      <c r="F3583" s="103" t="s">
        <v>4678</v>
      </c>
      <c r="G3583" s="103" t="s">
        <v>4679</v>
      </c>
      <c r="H3583" s="103" t="s">
        <v>15473</v>
      </c>
      <c r="I3583" s="103">
        <v>2222208.0</v>
      </c>
      <c r="J3583" s="104" t="s">
        <v>15471</v>
      </c>
      <c r="K3583" s="105"/>
      <c r="L3583" s="105"/>
    </row>
    <row r="3584">
      <c r="A3584" s="103" t="s">
        <v>4676</v>
      </c>
      <c r="B3584" s="103">
        <v>1.100138433E9</v>
      </c>
      <c r="C3584" s="105"/>
      <c r="D3584" s="104" t="s">
        <v>15474</v>
      </c>
      <c r="E3584" s="106"/>
      <c r="F3584" s="103" t="s">
        <v>4678</v>
      </c>
      <c r="G3584" s="103" t="s">
        <v>4679</v>
      </c>
      <c r="H3584" s="103" t="s">
        <v>15475</v>
      </c>
      <c r="I3584" s="103">
        <v>3.104673299E9</v>
      </c>
      <c r="J3584" s="104" t="s">
        <v>15476</v>
      </c>
      <c r="K3584" s="105"/>
      <c r="L3584" s="105"/>
    </row>
    <row r="3585">
      <c r="A3585" s="103" t="s">
        <v>4676</v>
      </c>
      <c r="B3585" s="103">
        <v>1.10013843301E11</v>
      </c>
      <c r="C3585" s="105"/>
      <c r="D3585" s="104" t="s">
        <v>15474</v>
      </c>
      <c r="E3585" s="104" t="s">
        <v>15477</v>
      </c>
      <c r="F3585" s="103" t="s">
        <v>4678</v>
      </c>
      <c r="G3585" s="103" t="s">
        <v>4679</v>
      </c>
      <c r="H3585" s="103" t="s">
        <v>15475</v>
      </c>
      <c r="I3585" s="103">
        <v>3.104673299E9</v>
      </c>
      <c r="J3585" s="104" t="s">
        <v>15476</v>
      </c>
      <c r="K3585" s="105"/>
      <c r="L3585" s="105"/>
    </row>
    <row r="3586">
      <c r="A3586" s="103" t="s">
        <v>4676</v>
      </c>
      <c r="B3586" s="103">
        <v>1.10013845E9</v>
      </c>
      <c r="C3586" s="105"/>
      <c r="D3586" s="104" t="s">
        <v>15478</v>
      </c>
      <c r="E3586" s="106"/>
      <c r="F3586" s="103" t="s">
        <v>4678</v>
      </c>
      <c r="G3586" s="103" t="s">
        <v>4679</v>
      </c>
      <c r="H3586" s="103" t="s">
        <v>15479</v>
      </c>
      <c r="I3586" s="103">
        <v>3.175860832E9</v>
      </c>
      <c r="J3586" s="104" t="s">
        <v>15480</v>
      </c>
      <c r="K3586" s="103" t="s">
        <v>15481</v>
      </c>
      <c r="L3586" s="105"/>
    </row>
    <row r="3587">
      <c r="A3587" s="103" t="s">
        <v>4676</v>
      </c>
      <c r="B3587" s="103">
        <v>1.10013845001E11</v>
      </c>
      <c r="C3587" s="105"/>
      <c r="D3587" s="104" t="s">
        <v>15478</v>
      </c>
      <c r="E3587" s="104" t="s">
        <v>15482</v>
      </c>
      <c r="F3587" s="103" t="s">
        <v>4678</v>
      </c>
      <c r="G3587" s="103" t="s">
        <v>4679</v>
      </c>
      <c r="H3587" s="103" t="s">
        <v>15479</v>
      </c>
      <c r="I3587" s="103">
        <v>3.1525734E9</v>
      </c>
      <c r="J3587" s="104" t="s">
        <v>15480</v>
      </c>
      <c r="K3587" s="105"/>
      <c r="L3587" s="105"/>
    </row>
    <row r="3588">
      <c r="A3588" s="103" t="s">
        <v>4676</v>
      </c>
      <c r="B3588" s="103">
        <v>1.100138463E9</v>
      </c>
      <c r="C3588" s="105"/>
      <c r="D3588" s="104" t="s">
        <v>15483</v>
      </c>
      <c r="E3588" s="106"/>
      <c r="F3588" s="103" t="s">
        <v>4678</v>
      </c>
      <c r="G3588" s="103" t="s">
        <v>4679</v>
      </c>
      <c r="H3588" s="103" t="s">
        <v>15484</v>
      </c>
      <c r="I3588" s="103">
        <v>3.160282213E9</v>
      </c>
      <c r="J3588" s="104" t="s">
        <v>15485</v>
      </c>
      <c r="K3588" s="107" t="s">
        <v>15486</v>
      </c>
      <c r="L3588" s="105"/>
    </row>
    <row r="3589">
      <c r="A3589" s="103" t="s">
        <v>4676</v>
      </c>
      <c r="B3589" s="103">
        <v>1.10013846301E11</v>
      </c>
      <c r="C3589" s="105"/>
      <c r="D3589" s="104" t="s">
        <v>15483</v>
      </c>
      <c r="E3589" s="104" t="s">
        <v>15487</v>
      </c>
      <c r="F3589" s="103" t="s">
        <v>4678</v>
      </c>
      <c r="G3589" s="103" t="s">
        <v>4679</v>
      </c>
      <c r="H3589" s="103" t="s">
        <v>15484</v>
      </c>
      <c r="I3589" s="103">
        <v>3.202152228E9</v>
      </c>
      <c r="J3589" s="104" t="s">
        <v>15488</v>
      </c>
      <c r="K3589" s="105"/>
      <c r="L3589" s="105"/>
    </row>
    <row r="3590">
      <c r="A3590" s="103" t="s">
        <v>4676</v>
      </c>
      <c r="B3590" s="103">
        <v>1.100138471E9</v>
      </c>
      <c r="C3590" s="105"/>
      <c r="D3590" s="104" t="s">
        <v>15489</v>
      </c>
      <c r="E3590" s="106"/>
      <c r="F3590" s="103" t="s">
        <v>4678</v>
      </c>
      <c r="G3590" s="103" t="s">
        <v>4679</v>
      </c>
      <c r="H3590" s="103" t="s">
        <v>15490</v>
      </c>
      <c r="I3590" s="103">
        <v>3.114043757E9</v>
      </c>
      <c r="J3590" s="104" t="s">
        <v>15491</v>
      </c>
      <c r="K3590" s="105"/>
      <c r="L3590" s="105"/>
    </row>
    <row r="3591">
      <c r="A3591" s="103" t="s">
        <v>4676</v>
      </c>
      <c r="B3591" s="103">
        <v>1.10013847101E11</v>
      </c>
      <c r="C3591" s="105"/>
      <c r="D3591" s="104" t="s">
        <v>15492</v>
      </c>
      <c r="E3591" s="104" t="s">
        <v>15493</v>
      </c>
      <c r="F3591" s="103" t="s">
        <v>4678</v>
      </c>
      <c r="G3591" s="103" t="s">
        <v>4679</v>
      </c>
      <c r="H3591" s="103" t="s">
        <v>15490</v>
      </c>
      <c r="I3591" s="103">
        <v>3.114043757E9</v>
      </c>
      <c r="J3591" s="104" t="s">
        <v>15491</v>
      </c>
      <c r="K3591" s="105"/>
      <c r="L3591" s="105"/>
    </row>
    <row r="3592">
      <c r="A3592" s="103" t="s">
        <v>4676</v>
      </c>
      <c r="B3592" s="103">
        <v>1.100138475E9</v>
      </c>
      <c r="C3592" s="105"/>
      <c r="D3592" s="104" t="s">
        <v>15494</v>
      </c>
      <c r="E3592" s="106"/>
      <c r="F3592" s="103" t="s">
        <v>4678</v>
      </c>
      <c r="G3592" s="103" t="s">
        <v>4679</v>
      </c>
      <c r="H3592" s="103" t="s">
        <v>15495</v>
      </c>
      <c r="I3592" s="103">
        <v>3.202134145E9</v>
      </c>
      <c r="J3592" s="104" t="s">
        <v>15496</v>
      </c>
      <c r="K3592" s="107" t="s">
        <v>15497</v>
      </c>
      <c r="L3592" s="105"/>
    </row>
    <row r="3593">
      <c r="A3593" s="103" t="s">
        <v>4676</v>
      </c>
      <c r="B3593" s="103">
        <v>1.10013847501E11</v>
      </c>
      <c r="C3593" s="105"/>
      <c r="D3593" s="104" t="s">
        <v>15498</v>
      </c>
      <c r="E3593" s="104" t="s">
        <v>15499</v>
      </c>
      <c r="F3593" s="103" t="s">
        <v>4678</v>
      </c>
      <c r="G3593" s="103" t="s">
        <v>4679</v>
      </c>
      <c r="H3593" s="103" t="s">
        <v>15495</v>
      </c>
      <c r="I3593" s="103">
        <v>3.202134145E9</v>
      </c>
      <c r="J3593" s="104" t="s">
        <v>15496</v>
      </c>
      <c r="K3593" s="105"/>
      <c r="L3593" s="105"/>
    </row>
    <row r="3594">
      <c r="A3594" s="103" t="s">
        <v>4676</v>
      </c>
      <c r="B3594" s="103">
        <v>1.100138492E9</v>
      </c>
      <c r="C3594" s="105"/>
      <c r="D3594" s="104" t="s">
        <v>15500</v>
      </c>
      <c r="E3594" s="106"/>
      <c r="F3594" s="103" t="s">
        <v>4678</v>
      </c>
      <c r="G3594" s="103" t="s">
        <v>4679</v>
      </c>
      <c r="H3594" s="103" t="s">
        <v>15501</v>
      </c>
      <c r="I3594" s="103">
        <v>3.105653478E9</v>
      </c>
      <c r="J3594" s="104" t="s">
        <v>15502</v>
      </c>
      <c r="K3594" s="105"/>
      <c r="L3594" s="105"/>
    </row>
    <row r="3595">
      <c r="A3595" s="103" t="s">
        <v>4676</v>
      </c>
      <c r="B3595" s="103">
        <v>1.10013849201E11</v>
      </c>
      <c r="C3595" s="105"/>
      <c r="D3595" s="104" t="s">
        <v>15503</v>
      </c>
      <c r="E3595" s="104" t="s">
        <v>15504</v>
      </c>
      <c r="F3595" s="103" t="s">
        <v>4678</v>
      </c>
      <c r="G3595" s="103" t="s">
        <v>4679</v>
      </c>
      <c r="H3595" s="103" t="s">
        <v>15501</v>
      </c>
      <c r="I3595" s="103">
        <v>3.105653478E9</v>
      </c>
      <c r="J3595" s="104" t="s">
        <v>15502</v>
      </c>
      <c r="K3595" s="105"/>
      <c r="L3595" s="105"/>
    </row>
    <row r="3596">
      <c r="A3596" s="103" t="s">
        <v>4676</v>
      </c>
      <c r="B3596" s="103">
        <v>1.10013849202E11</v>
      </c>
      <c r="C3596" s="105"/>
      <c r="D3596" s="104" t="s">
        <v>15505</v>
      </c>
      <c r="E3596" s="104" t="s">
        <v>15506</v>
      </c>
      <c r="F3596" s="103" t="s">
        <v>4678</v>
      </c>
      <c r="G3596" s="103" t="s">
        <v>4679</v>
      </c>
      <c r="H3596" s="103" t="s">
        <v>15507</v>
      </c>
      <c r="I3596" s="103">
        <v>3.132617638E9</v>
      </c>
      <c r="J3596" s="104" t="s">
        <v>15502</v>
      </c>
      <c r="K3596" s="105"/>
      <c r="L3596" s="105"/>
    </row>
    <row r="3597">
      <c r="A3597" s="103" t="s">
        <v>4676</v>
      </c>
      <c r="B3597" s="103">
        <v>1.100138494E9</v>
      </c>
      <c r="C3597" s="105"/>
      <c r="D3597" s="104" t="s">
        <v>15508</v>
      </c>
      <c r="E3597" s="106"/>
      <c r="F3597" s="103" t="s">
        <v>4678</v>
      </c>
      <c r="G3597" s="103" t="s">
        <v>4679</v>
      </c>
      <c r="H3597" s="103" t="s">
        <v>15509</v>
      </c>
      <c r="I3597" s="103">
        <v>3.168279779E9</v>
      </c>
      <c r="J3597" s="104" t="s">
        <v>15510</v>
      </c>
      <c r="K3597" s="107" t="s">
        <v>15511</v>
      </c>
      <c r="L3597" s="105"/>
    </row>
    <row r="3598">
      <c r="A3598" s="103" t="s">
        <v>4676</v>
      </c>
      <c r="B3598" s="103">
        <v>1.10013849401E11</v>
      </c>
      <c r="C3598" s="105"/>
      <c r="D3598" s="104" t="s">
        <v>15508</v>
      </c>
      <c r="E3598" s="104" t="s">
        <v>15512</v>
      </c>
      <c r="F3598" s="103" t="s">
        <v>4678</v>
      </c>
      <c r="G3598" s="103" t="s">
        <v>4679</v>
      </c>
      <c r="H3598" s="103" t="s">
        <v>15509</v>
      </c>
      <c r="I3598" s="103">
        <v>3.168279779E9</v>
      </c>
      <c r="J3598" s="104" t="s">
        <v>15510</v>
      </c>
      <c r="K3598" s="105"/>
      <c r="L3598" s="105"/>
    </row>
    <row r="3599">
      <c r="A3599" s="103" t="s">
        <v>4676</v>
      </c>
      <c r="B3599" s="103">
        <v>1.100138501E9</v>
      </c>
      <c r="C3599" s="105"/>
      <c r="D3599" s="104" t="s">
        <v>15513</v>
      </c>
      <c r="E3599" s="106"/>
      <c r="F3599" s="103" t="s">
        <v>4678</v>
      </c>
      <c r="G3599" s="103" t="s">
        <v>4679</v>
      </c>
      <c r="H3599" s="103" t="s">
        <v>15514</v>
      </c>
      <c r="I3599" s="103">
        <v>3.153113581E9</v>
      </c>
      <c r="J3599" s="104" t="s">
        <v>15515</v>
      </c>
      <c r="K3599" s="107" t="s">
        <v>15516</v>
      </c>
      <c r="L3599" s="105"/>
    </row>
    <row r="3600">
      <c r="A3600" s="103" t="s">
        <v>4676</v>
      </c>
      <c r="B3600" s="103">
        <v>1.10013850101E11</v>
      </c>
      <c r="C3600" s="105"/>
      <c r="D3600" s="104" t="s">
        <v>15513</v>
      </c>
      <c r="E3600" s="104" t="s">
        <v>15517</v>
      </c>
      <c r="F3600" s="103" t="s">
        <v>4678</v>
      </c>
      <c r="G3600" s="103" t="s">
        <v>4679</v>
      </c>
      <c r="H3600" s="103" t="s">
        <v>15514</v>
      </c>
      <c r="I3600" s="103">
        <v>3.153113581E9</v>
      </c>
      <c r="J3600" s="104" t="s">
        <v>15515</v>
      </c>
      <c r="K3600" s="105"/>
      <c r="L3600" s="105"/>
    </row>
    <row r="3601">
      <c r="A3601" s="103" t="s">
        <v>4676</v>
      </c>
      <c r="B3601" s="103">
        <v>1.100138507E9</v>
      </c>
      <c r="C3601" s="105"/>
      <c r="D3601" s="104" t="s">
        <v>15518</v>
      </c>
      <c r="E3601" s="106"/>
      <c r="F3601" s="103" t="s">
        <v>4678</v>
      </c>
      <c r="G3601" s="103" t="s">
        <v>4679</v>
      </c>
      <c r="H3601" s="103" t="s">
        <v>15519</v>
      </c>
      <c r="I3601" s="103">
        <v>3.003186335E9</v>
      </c>
      <c r="J3601" s="104" t="s">
        <v>15520</v>
      </c>
      <c r="K3601" s="107" t="s">
        <v>15521</v>
      </c>
      <c r="L3601" s="105"/>
    </row>
    <row r="3602">
      <c r="A3602" s="103" t="s">
        <v>4676</v>
      </c>
      <c r="B3602" s="103">
        <v>1.10013850701E11</v>
      </c>
      <c r="C3602" s="105"/>
      <c r="D3602" s="104" t="s">
        <v>15518</v>
      </c>
      <c r="E3602" s="104" t="s">
        <v>15522</v>
      </c>
      <c r="F3602" s="103" t="s">
        <v>4678</v>
      </c>
      <c r="G3602" s="103" t="s">
        <v>4679</v>
      </c>
      <c r="H3602" s="103" t="s">
        <v>15519</v>
      </c>
      <c r="I3602" s="103">
        <v>3.003186335E9</v>
      </c>
      <c r="J3602" s="104" t="s">
        <v>15520</v>
      </c>
      <c r="K3602" s="105"/>
      <c r="L3602" s="105"/>
    </row>
    <row r="3603">
      <c r="A3603" s="103" t="s">
        <v>4676</v>
      </c>
      <c r="B3603" s="103">
        <v>1.100138513E9</v>
      </c>
      <c r="C3603" s="105"/>
      <c r="D3603" s="104" t="s">
        <v>15523</v>
      </c>
      <c r="E3603" s="106"/>
      <c r="F3603" s="103" t="s">
        <v>4678</v>
      </c>
      <c r="G3603" s="103" t="s">
        <v>4679</v>
      </c>
      <c r="H3603" s="103" t="s">
        <v>15524</v>
      </c>
      <c r="I3603" s="103">
        <v>3.123782956E9</v>
      </c>
      <c r="J3603" s="104" t="s">
        <v>15525</v>
      </c>
      <c r="K3603" s="105"/>
      <c r="L3603" s="105"/>
    </row>
    <row r="3604">
      <c r="A3604" s="103" t="s">
        <v>4676</v>
      </c>
      <c r="B3604" s="103">
        <v>1.10013851301E11</v>
      </c>
      <c r="C3604" s="105"/>
      <c r="D3604" s="104" t="s">
        <v>15523</v>
      </c>
      <c r="E3604" s="104" t="s">
        <v>15526</v>
      </c>
      <c r="F3604" s="103" t="s">
        <v>4678</v>
      </c>
      <c r="G3604" s="103" t="s">
        <v>4679</v>
      </c>
      <c r="H3604" s="103" t="s">
        <v>15524</v>
      </c>
      <c r="I3604" s="103">
        <v>3.123782956E9</v>
      </c>
      <c r="J3604" s="104" t="s">
        <v>15525</v>
      </c>
      <c r="K3604" s="105"/>
      <c r="L3604" s="105"/>
    </row>
    <row r="3605">
      <c r="A3605" s="103" t="s">
        <v>4676</v>
      </c>
      <c r="B3605" s="103">
        <v>1.100138514E9</v>
      </c>
      <c r="C3605" s="105"/>
      <c r="D3605" s="104" t="s">
        <v>15527</v>
      </c>
      <c r="E3605" s="106"/>
      <c r="F3605" s="103" t="s">
        <v>4678</v>
      </c>
      <c r="G3605" s="103" t="s">
        <v>4679</v>
      </c>
      <c r="H3605" s="103" t="s">
        <v>15528</v>
      </c>
      <c r="I3605" s="103" t="s">
        <v>15529</v>
      </c>
      <c r="J3605" s="104" t="s">
        <v>15530</v>
      </c>
      <c r="K3605" s="107" t="s">
        <v>15531</v>
      </c>
      <c r="L3605" s="105"/>
    </row>
    <row r="3606">
      <c r="A3606" s="103" t="s">
        <v>4676</v>
      </c>
      <c r="B3606" s="103">
        <v>1.10013851401E11</v>
      </c>
      <c r="C3606" s="105"/>
      <c r="D3606" s="104" t="s">
        <v>15532</v>
      </c>
      <c r="E3606" s="104" t="s">
        <v>15533</v>
      </c>
      <c r="F3606" s="103" t="s">
        <v>4678</v>
      </c>
      <c r="G3606" s="103" t="s">
        <v>4679</v>
      </c>
      <c r="H3606" s="103" t="s">
        <v>15528</v>
      </c>
      <c r="I3606" s="103">
        <v>3.124320602E9</v>
      </c>
      <c r="J3606" s="104" t="s">
        <v>15534</v>
      </c>
      <c r="K3606" s="105"/>
      <c r="L3606" s="105"/>
    </row>
    <row r="3607">
      <c r="A3607" s="103" t="s">
        <v>4676</v>
      </c>
      <c r="B3607" s="103">
        <v>1.10013851402E11</v>
      </c>
      <c r="C3607" s="105"/>
      <c r="D3607" s="104" t="s">
        <v>15535</v>
      </c>
      <c r="E3607" s="104" t="s">
        <v>15536</v>
      </c>
      <c r="F3607" s="103" t="s">
        <v>4678</v>
      </c>
      <c r="G3607" s="103" t="s">
        <v>4679</v>
      </c>
      <c r="H3607" s="103" t="s">
        <v>15537</v>
      </c>
      <c r="I3607" s="103">
        <v>3.124320602E9</v>
      </c>
      <c r="J3607" s="104" t="s">
        <v>15534</v>
      </c>
      <c r="K3607" s="105"/>
      <c r="L3607" s="105"/>
    </row>
    <row r="3608">
      <c r="A3608" s="103" t="s">
        <v>4676</v>
      </c>
      <c r="B3608" s="103">
        <v>1.100138519E9</v>
      </c>
      <c r="C3608" s="105"/>
      <c r="D3608" s="104" t="s">
        <v>15538</v>
      </c>
      <c r="E3608" s="106"/>
      <c r="F3608" s="103" t="s">
        <v>4678</v>
      </c>
      <c r="G3608" s="103" t="s">
        <v>4679</v>
      </c>
      <c r="H3608" s="103" t="s">
        <v>15539</v>
      </c>
      <c r="I3608" s="103">
        <v>3.157840045E9</v>
      </c>
      <c r="J3608" s="104" t="s">
        <v>15540</v>
      </c>
      <c r="K3608" s="103" t="s">
        <v>15541</v>
      </c>
      <c r="L3608" s="105"/>
    </row>
    <row r="3609">
      <c r="A3609" s="103" t="s">
        <v>4676</v>
      </c>
      <c r="B3609" s="103">
        <v>1.10013851901E11</v>
      </c>
      <c r="C3609" s="105"/>
      <c r="D3609" s="104" t="s">
        <v>15538</v>
      </c>
      <c r="E3609" s="104" t="s">
        <v>10272</v>
      </c>
      <c r="F3609" s="103" t="s">
        <v>4678</v>
      </c>
      <c r="G3609" s="103" t="s">
        <v>4679</v>
      </c>
      <c r="H3609" s="103" t="s">
        <v>15542</v>
      </c>
      <c r="I3609" s="103">
        <v>3.157840045E9</v>
      </c>
      <c r="J3609" s="104" t="s">
        <v>15540</v>
      </c>
      <c r="K3609" s="105"/>
      <c r="L3609" s="105"/>
    </row>
    <row r="3610">
      <c r="A3610" s="103" t="s">
        <v>4676</v>
      </c>
      <c r="B3610" s="103">
        <v>1.100138526E9</v>
      </c>
      <c r="C3610" s="105"/>
      <c r="D3610" s="104" t="s">
        <v>15543</v>
      </c>
      <c r="E3610" s="106"/>
      <c r="F3610" s="103" t="s">
        <v>4678</v>
      </c>
      <c r="G3610" s="103" t="s">
        <v>4679</v>
      </c>
      <c r="H3610" s="103" t="s">
        <v>15544</v>
      </c>
      <c r="I3610" s="103">
        <v>3.15363479E9</v>
      </c>
      <c r="J3610" s="104" t="s">
        <v>15545</v>
      </c>
      <c r="K3610" s="107" t="s">
        <v>15546</v>
      </c>
      <c r="L3610" s="105"/>
    </row>
    <row r="3611">
      <c r="A3611" s="103" t="s">
        <v>4676</v>
      </c>
      <c r="B3611" s="103">
        <v>1.10013852601E11</v>
      </c>
      <c r="C3611" s="105"/>
      <c r="D3611" s="104" t="s">
        <v>15543</v>
      </c>
      <c r="E3611" s="104" t="s">
        <v>15547</v>
      </c>
      <c r="F3611" s="103" t="s">
        <v>4678</v>
      </c>
      <c r="G3611" s="103" t="s">
        <v>4679</v>
      </c>
      <c r="H3611" s="103" t="s">
        <v>15544</v>
      </c>
      <c r="I3611" s="103">
        <v>3.017625242E9</v>
      </c>
      <c r="J3611" s="104" t="s">
        <v>15545</v>
      </c>
      <c r="K3611" s="105"/>
      <c r="L3611" s="105"/>
    </row>
    <row r="3612">
      <c r="A3612" s="103" t="s">
        <v>4676</v>
      </c>
      <c r="B3612" s="103">
        <v>1.100138528E9</v>
      </c>
      <c r="C3612" s="105"/>
      <c r="D3612" s="104" t="s">
        <v>15548</v>
      </c>
      <c r="E3612" s="106"/>
      <c r="F3612" s="103" t="s">
        <v>4678</v>
      </c>
      <c r="G3612" s="103" t="s">
        <v>4679</v>
      </c>
      <c r="H3612" s="103" t="s">
        <v>15549</v>
      </c>
      <c r="I3612" s="103">
        <v>3.114666772E9</v>
      </c>
      <c r="J3612" s="104" t="s">
        <v>15550</v>
      </c>
      <c r="K3612" s="105"/>
      <c r="L3612" s="105"/>
    </row>
    <row r="3613">
      <c r="A3613" s="103" t="s">
        <v>4676</v>
      </c>
      <c r="B3613" s="103">
        <v>1.10013852801E11</v>
      </c>
      <c r="C3613" s="105"/>
      <c r="D3613" s="104" t="s">
        <v>15551</v>
      </c>
      <c r="E3613" s="104" t="s">
        <v>15552</v>
      </c>
      <c r="F3613" s="103" t="s">
        <v>4678</v>
      </c>
      <c r="G3613" s="103" t="s">
        <v>4679</v>
      </c>
      <c r="H3613" s="103" t="s">
        <v>15553</v>
      </c>
      <c r="I3613" s="103">
        <v>3.114666772E9</v>
      </c>
      <c r="J3613" s="104" t="s">
        <v>15550</v>
      </c>
      <c r="K3613" s="105"/>
      <c r="L3613" s="105"/>
    </row>
    <row r="3614">
      <c r="A3614" s="103" t="s">
        <v>4676</v>
      </c>
      <c r="B3614" s="103">
        <v>1.100138532E9</v>
      </c>
      <c r="C3614" s="105"/>
      <c r="D3614" s="104" t="s">
        <v>15554</v>
      </c>
      <c r="E3614" s="106"/>
      <c r="F3614" s="103" t="s">
        <v>4678</v>
      </c>
      <c r="G3614" s="103" t="s">
        <v>4679</v>
      </c>
      <c r="H3614" s="103" t="s">
        <v>15555</v>
      </c>
      <c r="I3614" s="103">
        <v>4687738.0</v>
      </c>
      <c r="J3614" s="104" t="s">
        <v>15556</v>
      </c>
      <c r="K3614" s="107" t="s">
        <v>15557</v>
      </c>
      <c r="L3614" s="105"/>
    </row>
    <row r="3615">
      <c r="A3615" s="103" t="s">
        <v>4676</v>
      </c>
      <c r="B3615" s="103">
        <v>1.10013853201E11</v>
      </c>
      <c r="C3615" s="105"/>
      <c r="D3615" s="104" t="s">
        <v>15558</v>
      </c>
      <c r="E3615" s="104" t="s">
        <v>15559</v>
      </c>
      <c r="F3615" s="103" t="s">
        <v>4678</v>
      </c>
      <c r="G3615" s="103" t="s">
        <v>4679</v>
      </c>
      <c r="H3615" s="103" t="s">
        <v>15560</v>
      </c>
      <c r="I3615" s="103">
        <v>4687738.0</v>
      </c>
      <c r="J3615" s="104" t="s">
        <v>15561</v>
      </c>
      <c r="K3615" s="105"/>
      <c r="L3615" s="105"/>
    </row>
    <row r="3616">
      <c r="A3616" s="103" t="s">
        <v>4676</v>
      </c>
      <c r="B3616" s="103">
        <v>1.100138537E9</v>
      </c>
      <c r="C3616" s="105"/>
      <c r="D3616" s="104" t="s">
        <v>15562</v>
      </c>
      <c r="E3616" s="106"/>
      <c r="F3616" s="103" t="s">
        <v>4678</v>
      </c>
      <c r="G3616" s="103" t="s">
        <v>4679</v>
      </c>
      <c r="H3616" s="103" t="s">
        <v>15563</v>
      </c>
      <c r="I3616" s="103">
        <v>6.017454421E9</v>
      </c>
      <c r="J3616" s="104" t="s">
        <v>15564</v>
      </c>
      <c r="K3616" s="107" t="s">
        <v>15565</v>
      </c>
      <c r="L3616" s="105"/>
    </row>
    <row r="3617">
      <c r="A3617" s="103" t="s">
        <v>4676</v>
      </c>
      <c r="B3617" s="103">
        <v>1.10013853701E11</v>
      </c>
      <c r="C3617" s="105"/>
      <c r="D3617" s="104" t="s">
        <v>15562</v>
      </c>
      <c r="E3617" s="104" t="s">
        <v>15566</v>
      </c>
      <c r="F3617" s="103" t="s">
        <v>4678</v>
      </c>
      <c r="G3617" s="103" t="s">
        <v>4679</v>
      </c>
      <c r="H3617" s="103" t="s">
        <v>15563</v>
      </c>
      <c r="I3617" s="103">
        <v>6.017454421E9</v>
      </c>
      <c r="J3617" s="104" t="s">
        <v>15564</v>
      </c>
      <c r="K3617" s="105"/>
      <c r="L3617" s="105"/>
    </row>
    <row r="3618">
      <c r="A3618" s="103" t="s">
        <v>4676</v>
      </c>
      <c r="B3618" s="103">
        <v>1.100138539E9</v>
      </c>
      <c r="C3618" s="105"/>
      <c r="D3618" s="104" t="s">
        <v>15567</v>
      </c>
      <c r="E3618" s="106"/>
      <c r="F3618" s="103" t="s">
        <v>4678</v>
      </c>
      <c r="G3618" s="103" t="s">
        <v>4679</v>
      </c>
      <c r="H3618" s="103" t="s">
        <v>15568</v>
      </c>
      <c r="I3618" s="103">
        <v>6.015245767E9</v>
      </c>
      <c r="J3618" s="104" t="s">
        <v>15569</v>
      </c>
      <c r="K3618" s="103" t="s">
        <v>15570</v>
      </c>
      <c r="L3618" s="105"/>
    </row>
    <row r="3619">
      <c r="A3619" s="103" t="s">
        <v>4676</v>
      </c>
      <c r="B3619" s="103">
        <v>1.10013853901E11</v>
      </c>
      <c r="C3619" s="105"/>
      <c r="D3619" s="104" t="s">
        <v>15571</v>
      </c>
      <c r="E3619" s="104" t="s">
        <v>15572</v>
      </c>
      <c r="F3619" s="103" t="s">
        <v>4678</v>
      </c>
      <c r="G3619" s="103" t="s">
        <v>4679</v>
      </c>
      <c r="H3619" s="103" t="s">
        <v>15568</v>
      </c>
      <c r="I3619" s="103">
        <v>6.015245767E9</v>
      </c>
      <c r="J3619" s="104" t="s">
        <v>15569</v>
      </c>
      <c r="K3619" s="105"/>
      <c r="L3619" s="105"/>
    </row>
    <row r="3620">
      <c r="A3620" s="103" t="s">
        <v>4676</v>
      </c>
      <c r="B3620" s="103">
        <v>1.10013853902E11</v>
      </c>
      <c r="C3620" s="105"/>
      <c r="D3620" s="104" t="s">
        <v>15573</v>
      </c>
      <c r="E3620" s="104" t="s">
        <v>15572</v>
      </c>
      <c r="F3620" s="103" t="s">
        <v>4678</v>
      </c>
      <c r="G3620" s="103" t="s">
        <v>4679</v>
      </c>
      <c r="H3620" s="103" t="s">
        <v>15574</v>
      </c>
      <c r="I3620" s="103">
        <v>3.158946457E9</v>
      </c>
      <c r="J3620" s="104" t="s">
        <v>15569</v>
      </c>
      <c r="K3620" s="105"/>
      <c r="L3620" s="105"/>
    </row>
    <row r="3621">
      <c r="A3621" s="103" t="s">
        <v>4676</v>
      </c>
      <c r="B3621" s="103">
        <v>1.100138541E9</v>
      </c>
      <c r="C3621" s="105"/>
      <c r="D3621" s="104" t="s">
        <v>15575</v>
      </c>
      <c r="E3621" s="106"/>
      <c r="F3621" s="103" t="s">
        <v>4678</v>
      </c>
      <c r="G3621" s="103" t="s">
        <v>4679</v>
      </c>
      <c r="H3621" s="103" t="s">
        <v>15576</v>
      </c>
      <c r="I3621" s="103">
        <v>6.017429124E9</v>
      </c>
      <c r="J3621" s="104" t="s">
        <v>15577</v>
      </c>
      <c r="K3621" s="105"/>
      <c r="L3621" s="105"/>
    </row>
    <row r="3622">
      <c r="A3622" s="103" t="s">
        <v>4676</v>
      </c>
      <c r="B3622" s="103">
        <v>1.10013854101E11</v>
      </c>
      <c r="C3622" s="105"/>
      <c r="D3622" s="104" t="s">
        <v>15578</v>
      </c>
      <c r="E3622" s="104" t="s">
        <v>15579</v>
      </c>
      <c r="F3622" s="103" t="s">
        <v>4678</v>
      </c>
      <c r="G3622" s="103" t="s">
        <v>4679</v>
      </c>
      <c r="H3622" s="103" t="s">
        <v>15580</v>
      </c>
      <c r="I3622" s="103">
        <v>6.017429124E9</v>
      </c>
      <c r="J3622" s="104" t="s">
        <v>15577</v>
      </c>
      <c r="K3622" s="105"/>
      <c r="L3622" s="105"/>
    </row>
    <row r="3623">
      <c r="A3623" s="103" t="s">
        <v>4676</v>
      </c>
      <c r="B3623" s="103">
        <v>1.10013854102E11</v>
      </c>
      <c r="C3623" s="105"/>
      <c r="D3623" s="104" t="s">
        <v>15581</v>
      </c>
      <c r="E3623" s="104" t="s">
        <v>15579</v>
      </c>
      <c r="F3623" s="103" t="s">
        <v>4678</v>
      </c>
      <c r="G3623" s="103" t="s">
        <v>4679</v>
      </c>
      <c r="H3623" s="103" t="s">
        <v>15582</v>
      </c>
      <c r="I3623" s="103">
        <v>3.102805363E9</v>
      </c>
      <c r="J3623" s="104" t="s">
        <v>15577</v>
      </c>
      <c r="K3623" s="105"/>
      <c r="L3623" s="105"/>
    </row>
    <row r="3624">
      <c r="A3624" s="103" t="s">
        <v>4676</v>
      </c>
      <c r="B3624" s="103">
        <v>1.100138544E9</v>
      </c>
      <c r="C3624" s="105"/>
      <c r="D3624" s="104" t="s">
        <v>15583</v>
      </c>
      <c r="E3624" s="106"/>
      <c r="F3624" s="103" t="s">
        <v>4678</v>
      </c>
      <c r="G3624" s="103" t="s">
        <v>4679</v>
      </c>
      <c r="H3624" s="103" t="s">
        <v>15584</v>
      </c>
      <c r="I3624" s="103">
        <v>3.124592435E9</v>
      </c>
      <c r="J3624" s="104" t="s">
        <v>15585</v>
      </c>
      <c r="K3624" s="107" t="s">
        <v>15586</v>
      </c>
      <c r="L3624" s="105"/>
    </row>
    <row r="3625">
      <c r="A3625" s="103" t="s">
        <v>4676</v>
      </c>
      <c r="B3625" s="103">
        <v>1.10013854401E11</v>
      </c>
      <c r="C3625" s="105"/>
      <c r="D3625" s="104" t="s">
        <v>15583</v>
      </c>
      <c r="E3625" s="104" t="s">
        <v>15587</v>
      </c>
      <c r="F3625" s="103" t="s">
        <v>4678</v>
      </c>
      <c r="G3625" s="103" t="s">
        <v>4679</v>
      </c>
      <c r="H3625" s="103" t="s">
        <v>15584</v>
      </c>
      <c r="I3625" s="103">
        <v>3.124592435E9</v>
      </c>
      <c r="J3625" s="104" t="s">
        <v>15585</v>
      </c>
      <c r="K3625" s="105"/>
      <c r="L3625" s="105"/>
    </row>
    <row r="3626">
      <c r="A3626" s="103" t="s">
        <v>4676</v>
      </c>
      <c r="B3626" s="103">
        <v>1.100138549E9</v>
      </c>
      <c r="C3626" s="105"/>
      <c r="D3626" s="104" t="s">
        <v>15588</v>
      </c>
      <c r="E3626" s="106"/>
      <c r="F3626" s="103" t="s">
        <v>4678</v>
      </c>
      <c r="G3626" s="103" t="s">
        <v>4679</v>
      </c>
      <c r="H3626" s="103" t="s">
        <v>15589</v>
      </c>
      <c r="I3626" s="103">
        <v>3.219198702E9</v>
      </c>
      <c r="J3626" s="104" t="s">
        <v>15590</v>
      </c>
      <c r="K3626" s="107" t="s">
        <v>15591</v>
      </c>
      <c r="L3626" s="105"/>
    </row>
    <row r="3627">
      <c r="A3627" s="103" t="s">
        <v>4676</v>
      </c>
      <c r="B3627" s="103">
        <v>1.10013854901E11</v>
      </c>
      <c r="C3627" s="105"/>
      <c r="D3627" s="104" t="s">
        <v>15588</v>
      </c>
      <c r="E3627" s="104" t="s">
        <v>15592</v>
      </c>
      <c r="F3627" s="103" t="s">
        <v>4678</v>
      </c>
      <c r="G3627" s="103" t="s">
        <v>4679</v>
      </c>
      <c r="H3627" s="103" t="s">
        <v>15593</v>
      </c>
      <c r="I3627" s="103">
        <v>3.219198702E9</v>
      </c>
      <c r="J3627" s="104" t="s">
        <v>15590</v>
      </c>
      <c r="K3627" s="105"/>
      <c r="L3627" s="105"/>
    </row>
    <row r="3628">
      <c r="A3628" s="103" t="s">
        <v>4676</v>
      </c>
      <c r="B3628" s="103">
        <v>1.10013855E9</v>
      </c>
      <c r="C3628" s="105"/>
      <c r="D3628" s="104" t="s">
        <v>15594</v>
      </c>
      <c r="E3628" s="106"/>
      <c r="F3628" s="103" t="s">
        <v>4678</v>
      </c>
      <c r="G3628" s="103" t="s">
        <v>4679</v>
      </c>
      <c r="H3628" s="103" t="s">
        <v>15595</v>
      </c>
      <c r="I3628" s="103">
        <v>3.217575936E9</v>
      </c>
      <c r="J3628" s="104" t="s">
        <v>15596</v>
      </c>
      <c r="K3628" s="105"/>
      <c r="L3628" s="105"/>
    </row>
    <row r="3629">
      <c r="A3629" s="103" t="s">
        <v>4676</v>
      </c>
      <c r="B3629" s="103">
        <v>1.10013855001E11</v>
      </c>
      <c r="C3629" s="105"/>
      <c r="D3629" s="104" t="s">
        <v>15597</v>
      </c>
      <c r="E3629" s="104" t="s">
        <v>15598</v>
      </c>
      <c r="F3629" s="103" t="s">
        <v>4678</v>
      </c>
      <c r="G3629" s="103" t="s">
        <v>4679</v>
      </c>
      <c r="H3629" s="103" t="s">
        <v>15599</v>
      </c>
      <c r="I3629" s="103">
        <v>3.217575936E9</v>
      </c>
      <c r="J3629" s="104" t="s">
        <v>15600</v>
      </c>
      <c r="K3629" s="105"/>
      <c r="L3629" s="105"/>
    </row>
    <row r="3630">
      <c r="A3630" s="103" t="s">
        <v>4676</v>
      </c>
      <c r="B3630" s="103">
        <v>1.100138556E9</v>
      </c>
      <c r="C3630" s="105"/>
      <c r="D3630" s="104" t="s">
        <v>15601</v>
      </c>
      <c r="E3630" s="106"/>
      <c r="F3630" s="103" t="s">
        <v>4678</v>
      </c>
      <c r="G3630" s="103" t="s">
        <v>4679</v>
      </c>
      <c r="H3630" s="103" t="s">
        <v>15602</v>
      </c>
      <c r="I3630" s="103">
        <v>3.118268828E9</v>
      </c>
      <c r="J3630" s="104" t="s">
        <v>15603</v>
      </c>
      <c r="K3630" s="107" t="s">
        <v>15604</v>
      </c>
      <c r="L3630" s="105"/>
    </row>
    <row r="3631">
      <c r="A3631" s="103" t="s">
        <v>4676</v>
      </c>
      <c r="B3631" s="103">
        <v>1.10013855601E11</v>
      </c>
      <c r="C3631" s="105"/>
      <c r="D3631" s="104" t="s">
        <v>15605</v>
      </c>
      <c r="E3631" s="104" t="s">
        <v>15606</v>
      </c>
      <c r="F3631" s="103" t="s">
        <v>4678</v>
      </c>
      <c r="G3631" s="103" t="s">
        <v>4679</v>
      </c>
      <c r="H3631" s="103" t="s">
        <v>15602</v>
      </c>
      <c r="I3631" s="103">
        <v>3.118268828E9</v>
      </c>
      <c r="J3631" s="104" t="s">
        <v>15603</v>
      </c>
      <c r="K3631" s="105"/>
      <c r="L3631" s="105"/>
    </row>
    <row r="3632">
      <c r="A3632" s="103" t="s">
        <v>4676</v>
      </c>
      <c r="B3632" s="103">
        <v>1.10013856E9</v>
      </c>
      <c r="C3632" s="105"/>
      <c r="D3632" s="104" t="s">
        <v>15607</v>
      </c>
      <c r="E3632" s="106"/>
      <c r="F3632" s="103" t="s">
        <v>4678</v>
      </c>
      <c r="G3632" s="103" t="s">
        <v>4679</v>
      </c>
      <c r="H3632" s="103" t="s">
        <v>15608</v>
      </c>
      <c r="I3632" s="103">
        <v>3.118046E9</v>
      </c>
      <c r="J3632" s="104" t="s">
        <v>15609</v>
      </c>
      <c r="K3632" s="107" t="s">
        <v>15130</v>
      </c>
      <c r="L3632" s="105"/>
    </row>
    <row r="3633">
      <c r="A3633" s="103" t="s">
        <v>4676</v>
      </c>
      <c r="B3633" s="103">
        <v>1.10013856001E11</v>
      </c>
      <c r="C3633" s="105"/>
      <c r="D3633" s="104" t="s">
        <v>15607</v>
      </c>
      <c r="E3633" s="104" t="s">
        <v>15610</v>
      </c>
      <c r="F3633" s="103" t="s">
        <v>4678</v>
      </c>
      <c r="G3633" s="103" t="s">
        <v>4679</v>
      </c>
      <c r="H3633" s="103" t="s">
        <v>15608</v>
      </c>
      <c r="I3633" s="103">
        <v>3.118046E9</v>
      </c>
      <c r="J3633" s="104" t="s">
        <v>15609</v>
      </c>
      <c r="K3633" s="105"/>
      <c r="L3633" s="105"/>
    </row>
    <row r="3634">
      <c r="A3634" s="103" t="s">
        <v>4676</v>
      </c>
      <c r="B3634" s="103">
        <v>1.100138572E9</v>
      </c>
      <c r="C3634" s="105"/>
      <c r="D3634" s="104" t="s">
        <v>15611</v>
      </c>
      <c r="E3634" s="106"/>
      <c r="F3634" s="103" t="s">
        <v>4678</v>
      </c>
      <c r="G3634" s="103" t="s">
        <v>4679</v>
      </c>
      <c r="H3634" s="103" t="s">
        <v>15612</v>
      </c>
      <c r="I3634" s="103">
        <v>3.106272064E9</v>
      </c>
      <c r="J3634" s="104" t="s">
        <v>15613</v>
      </c>
      <c r="K3634" s="105"/>
      <c r="L3634" s="105"/>
    </row>
    <row r="3635">
      <c r="A3635" s="103" t="s">
        <v>4676</v>
      </c>
      <c r="B3635" s="103">
        <v>1.10013857201E11</v>
      </c>
      <c r="C3635" s="105"/>
      <c r="D3635" s="104" t="s">
        <v>15611</v>
      </c>
      <c r="E3635" s="104" t="s">
        <v>15614</v>
      </c>
      <c r="F3635" s="103" t="s">
        <v>4678</v>
      </c>
      <c r="G3635" s="103" t="s">
        <v>4679</v>
      </c>
      <c r="H3635" s="103" t="s">
        <v>15615</v>
      </c>
      <c r="I3635" s="103">
        <v>3.106272064E9</v>
      </c>
      <c r="J3635" s="104" t="s">
        <v>15613</v>
      </c>
      <c r="K3635" s="105"/>
      <c r="L3635" s="105"/>
    </row>
    <row r="3636">
      <c r="A3636" s="103" t="s">
        <v>4676</v>
      </c>
      <c r="B3636" s="103">
        <v>1.10013857202E11</v>
      </c>
      <c r="C3636" s="105"/>
      <c r="D3636" s="104" t="s">
        <v>15616</v>
      </c>
      <c r="E3636" s="104" t="s">
        <v>15614</v>
      </c>
      <c r="F3636" s="103" t="s">
        <v>4678</v>
      </c>
      <c r="G3636" s="103" t="s">
        <v>4679</v>
      </c>
      <c r="H3636" s="103" t="s">
        <v>15617</v>
      </c>
      <c r="I3636" s="103">
        <v>3.106272064E9</v>
      </c>
      <c r="J3636" s="104" t="s">
        <v>15613</v>
      </c>
      <c r="K3636" s="105"/>
      <c r="L3636" s="105"/>
    </row>
    <row r="3637">
      <c r="A3637" s="103" t="s">
        <v>4676</v>
      </c>
      <c r="B3637" s="103">
        <v>1.100138573E9</v>
      </c>
      <c r="C3637" s="105"/>
      <c r="D3637" s="104" t="s">
        <v>15618</v>
      </c>
      <c r="E3637" s="106"/>
      <c r="F3637" s="103" t="s">
        <v>4678</v>
      </c>
      <c r="G3637" s="103" t="s">
        <v>4679</v>
      </c>
      <c r="H3637" s="103" t="s">
        <v>15619</v>
      </c>
      <c r="I3637" s="103">
        <v>3.006090217E9</v>
      </c>
      <c r="J3637" s="104" t="s">
        <v>15620</v>
      </c>
      <c r="K3637" s="103" t="s">
        <v>15621</v>
      </c>
      <c r="L3637" s="105"/>
    </row>
    <row r="3638">
      <c r="A3638" s="103" t="s">
        <v>4676</v>
      </c>
      <c r="B3638" s="103">
        <v>1.10013857301E11</v>
      </c>
      <c r="C3638" s="105"/>
      <c r="D3638" s="104" t="s">
        <v>15618</v>
      </c>
      <c r="E3638" s="104" t="s">
        <v>15622</v>
      </c>
      <c r="F3638" s="103" t="s">
        <v>4678</v>
      </c>
      <c r="G3638" s="103" t="s">
        <v>4679</v>
      </c>
      <c r="H3638" s="103" t="s">
        <v>15619</v>
      </c>
      <c r="I3638" s="103">
        <v>3.006090217E9</v>
      </c>
      <c r="J3638" s="104" t="s">
        <v>15620</v>
      </c>
      <c r="K3638" s="105"/>
      <c r="L3638" s="105"/>
    </row>
    <row r="3639">
      <c r="A3639" s="103" t="s">
        <v>4676</v>
      </c>
      <c r="B3639" s="103">
        <v>1.10013857302E11</v>
      </c>
      <c r="C3639" s="105"/>
      <c r="D3639" s="104" t="s">
        <v>15623</v>
      </c>
      <c r="E3639" s="104" t="s">
        <v>15622</v>
      </c>
      <c r="F3639" s="103" t="s">
        <v>4678</v>
      </c>
      <c r="G3639" s="103" t="s">
        <v>4679</v>
      </c>
      <c r="H3639" s="103" t="s">
        <v>15624</v>
      </c>
      <c r="I3639" s="103">
        <v>3.006090217E9</v>
      </c>
      <c r="J3639" s="104" t="s">
        <v>15620</v>
      </c>
      <c r="K3639" s="105"/>
      <c r="L3639" s="105"/>
    </row>
    <row r="3640">
      <c r="A3640" s="103" t="s">
        <v>4676</v>
      </c>
      <c r="B3640" s="103">
        <v>1.10013858E9</v>
      </c>
      <c r="C3640" s="105"/>
      <c r="D3640" s="104" t="s">
        <v>15625</v>
      </c>
      <c r="E3640" s="106"/>
      <c r="F3640" s="103" t="s">
        <v>4678</v>
      </c>
      <c r="G3640" s="103" t="s">
        <v>4679</v>
      </c>
      <c r="H3640" s="103" t="s">
        <v>15626</v>
      </c>
      <c r="I3640" s="103">
        <v>3.002080609E9</v>
      </c>
      <c r="J3640" s="104" t="s">
        <v>15627</v>
      </c>
      <c r="K3640" s="107" t="s">
        <v>15628</v>
      </c>
      <c r="L3640" s="105"/>
    </row>
    <row r="3641">
      <c r="A3641" s="103" t="s">
        <v>4676</v>
      </c>
      <c r="B3641" s="103">
        <v>1.10013858001E11</v>
      </c>
      <c r="C3641" s="105"/>
      <c r="D3641" s="104" t="s">
        <v>15629</v>
      </c>
      <c r="E3641" s="104" t="s">
        <v>15630</v>
      </c>
      <c r="F3641" s="103" t="s">
        <v>4678</v>
      </c>
      <c r="G3641" s="103" t="s">
        <v>4679</v>
      </c>
      <c r="H3641" s="103" t="s">
        <v>15626</v>
      </c>
      <c r="I3641" s="103">
        <v>3.002080609E9</v>
      </c>
      <c r="J3641" s="104" t="s">
        <v>15627</v>
      </c>
      <c r="K3641" s="105"/>
      <c r="L3641" s="105"/>
    </row>
    <row r="3642">
      <c r="A3642" s="103" t="s">
        <v>4676</v>
      </c>
      <c r="B3642" s="103">
        <v>1.100138581E9</v>
      </c>
      <c r="C3642" s="105"/>
      <c r="D3642" s="104" t="s">
        <v>15631</v>
      </c>
      <c r="E3642" s="106"/>
      <c r="F3642" s="103" t="s">
        <v>4678</v>
      </c>
      <c r="G3642" s="103" t="s">
        <v>4679</v>
      </c>
      <c r="H3642" s="103" t="s">
        <v>15632</v>
      </c>
      <c r="I3642" s="103">
        <v>3.17383465E9</v>
      </c>
      <c r="J3642" s="104" t="s">
        <v>15633</v>
      </c>
      <c r="K3642" s="107" t="s">
        <v>15634</v>
      </c>
      <c r="L3642" s="105"/>
    </row>
    <row r="3643">
      <c r="A3643" s="103" t="s">
        <v>4676</v>
      </c>
      <c r="B3643" s="103">
        <v>1.10013858101E11</v>
      </c>
      <c r="C3643" s="105"/>
      <c r="D3643" s="104" t="s">
        <v>15631</v>
      </c>
      <c r="E3643" s="104" t="s">
        <v>15635</v>
      </c>
      <c r="F3643" s="103" t="s">
        <v>4678</v>
      </c>
      <c r="G3643" s="103" t="s">
        <v>4679</v>
      </c>
      <c r="H3643" s="103" t="s">
        <v>15636</v>
      </c>
      <c r="I3643" s="103">
        <v>3.17383465E9</v>
      </c>
      <c r="J3643" s="104" t="s">
        <v>15637</v>
      </c>
      <c r="K3643" s="105"/>
      <c r="L3643" s="105"/>
    </row>
    <row r="3644">
      <c r="A3644" s="103" t="s">
        <v>4676</v>
      </c>
      <c r="B3644" s="103">
        <v>1.100138586E9</v>
      </c>
      <c r="C3644" s="105"/>
      <c r="D3644" s="104" t="s">
        <v>15638</v>
      </c>
      <c r="E3644" s="106"/>
      <c r="F3644" s="103" t="s">
        <v>4678</v>
      </c>
      <c r="G3644" s="103" t="s">
        <v>4679</v>
      </c>
      <c r="H3644" s="103" t="s">
        <v>15639</v>
      </c>
      <c r="I3644" s="103">
        <v>6.01745036E9</v>
      </c>
      <c r="J3644" s="104" t="s">
        <v>15640</v>
      </c>
      <c r="K3644" s="107" t="s">
        <v>15641</v>
      </c>
      <c r="L3644" s="105"/>
    </row>
    <row r="3645">
      <c r="A3645" s="103" t="s">
        <v>4676</v>
      </c>
      <c r="B3645" s="103">
        <v>1.10013858601E11</v>
      </c>
      <c r="C3645" s="105"/>
      <c r="D3645" s="104" t="s">
        <v>15638</v>
      </c>
      <c r="E3645" s="104" t="s">
        <v>15642</v>
      </c>
      <c r="F3645" s="103" t="s">
        <v>4678</v>
      </c>
      <c r="G3645" s="103" t="s">
        <v>4679</v>
      </c>
      <c r="H3645" s="103" t="s">
        <v>15643</v>
      </c>
      <c r="I3645" s="103">
        <v>6.01745036E9</v>
      </c>
      <c r="J3645" s="104" t="s">
        <v>15640</v>
      </c>
      <c r="K3645" s="105"/>
      <c r="L3645" s="105"/>
    </row>
    <row r="3646">
      <c r="A3646" s="103" t="s">
        <v>4676</v>
      </c>
      <c r="B3646" s="103">
        <v>1.100138593E9</v>
      </c>
      <c r="C3646" s="105"/>
      <c r="D3646" s="104" t="s">
        <v>15644</v>
      </c>
      <c r="E3646" s="106"/>
      <c r="F3646" s="103" t="s">
        <v>4678</v>
      </c>
      <c r="G3646" s="103" t="s">
        <v>4679</v>
      </c>
      <c r="H3646" s="103" t="s">
        <v>15645</v>
      </c>
      <c r="I3646" s="103">
        <v>3.124796911E9</v>
      </c>
      <c r="J3646" s="104" t="s">
        <v>15646</v>
      </c>
      <c r="K3646" s="107" t="s">
        <v>15647</v>
      </c>
      <c r="L3646" s="105"/>
    </row>
    <row r="3647">
      <c r="A3647" s="103" t="s">
        <v>4676</v>
      </c>
      <c r="B3647" s="103">
        <v>1.10013859301E11</v>
      </c>
      <c r="C3647" s="105"/>
      <c r="D3647" s="104" t="s">
        <v>15648</v>
      </c>
      <c r="E3647" s="104" t="s">
        <v>15649</v>
      </c>
      <c r="F3647" s="103" t="s">
        <v>4678</v>
      </c>
      <c r="G3647" s="103" t="s">
        <v>4679</v>
      </c>
      <c r="H3647" s="103" t="s">
        <v>15645</v>
      </c>
      <c r="I3647" s="103">
        <v>3.124796911E9</v>
      </c>
      <c r="J3647" s="104" t="s">
        <v>15646</v>
      </c>
      <c r="K3647" s="105"/>
      <c r="L3647" s="105"/>
    </row>
    <row r="3648">
      <c r="A3648" s="103" t="s">
        <v>4676</v>
      </c>
      <c r="B3648" s="103">
        <v>1.100138604E9</v>
      </c>
      <c r="C3648" s="105"/>
      <c r="D3648" s="104" t="s">
        <v>15650</v>
      </c>
      <c r="E3648" s="106"/>
      <c r="F3648" s="103" t="s">
        <v>4678</v>
      </c>
      <c r="G3648" s="103" t="s">
        <v>4679</v>
      </c>
      <c r="H3648" s="103" t="s">
        <v>15651</v>
      </c>
      <c r="I3648" s="103">
        <v>3.103270512E9</v>
      </c>
      <c r="J3648" s="104" t="s">
        <v>15652</v>
      </c>
      <c r="K3648" s="107" t="s">
        <v>15653</v>
      </c>
      <c r="L3648" s="105"/>
    </row>
    <row r="3649">
      <c r="A3649" s="103" t="s">
        <v>4676</v>
      </c>
      <c r="B3649" s="103">
        <v>1.10013860401E11</v>
      </c>
      <c r="C3649" s="105"/>
      <c r="D3649" s="104" t="s">
        <v>15654</v>
      </c>
      <c r="E3649" s="104" t="s">
        <v>15655</v>
      </c>
      <c r="F3649" s="103" t="s">
        <v>4678</v>
      </c>
      <c r="G3649" s="103" t="s">
        <v>4679</v>
      </c>
      <c r="H3649" s="103" t="s">
        <v>15656</v>
      </c>
      <c r="I3649" s="103">
        <v>3.103270512E9</v>
      </c>
      <c r="J3649" s="104" t="s">
        <v>15657</v>
      </c>
      <c r="K3649" s="105"/>
      <c r="L3649" s="105"/>
    </row>
    <row r="3650">
      <c r="A3650" s="103" t="s">
        <v>4676</v>
      </c>
      <c r="B3650" s="103">
        <v>1.100138626E9</v>
      </c>
      <c r="C3650" s="105"/>
      <c r="D3650" s="104" t="s">
        <v>15658</v>
      </c>
      <c r="E3650" s="106"/>
      <c r="F3650" s="103" t="s">
        <v>4678</v>
      </c>
      <c r="G3650" s="103" t="s">
        <v>4679</v>
      </c>
      <c r="H3650" s="103" t="s">
        <v>15659</v>
      </c>
      <c r="I3650" s="103">
        <v>3.229655507E9</v>
      </c>
      <c r="J3650" s="104" t="s">
        <v>15660</v>
      </c>
      <c r="K3650" s="107" t="s">
        <v>15661</v>
      </c>
      <c r="L3650" s="105"/>
    </row>
    <row r="3651">
      <c r="A3651" s="103" t="s">
        <v>4676</v>
      </c>
      <c r="B3651" s="103">
        <v>1.10013862601E11</v>
      </c>
      <c r="C3651" s="105"/>
      <c r="D3651" s="104" t="s">
        <v>15658</v>
      </c>
      <c r="E3651" s="104" t="s">
        <v>15662</v>
      </c>
      <c r="F3651" s="103" t="s">
        <v>4678</v>
      </c>
      <c r="G3651" s="103" t="s">
        <v>4679</v>
      </c>
      <c r="H3651" s="103" t="s">
        <v>15659</v>
      </c>
      <c r="I3651" s="103">
        <v>3.229655507E9</v>
      </c>
      <c r="J3651" s="104" t="s">
        <v>15660</v>
      </c>
      <c r="K3651" s="105"/>
      <c r="L3651" s="105"/>
    </row>
    <row r="3652">
      <c r="A3652" s="103" t="s">
        <v>4676</v>
      </c>
      <c r="B3652" s="103">
        <v>1.100138634E9</v>
      </c>
      <c r="C3652" s="105"/>
      <c r="D3652" s="104" t="s">
        <v>15663</v>
      </c>
      <c r="E3652" s="106"/>
      <c r="F3652" s="103" t="s">
        <v>4678</v>
      </c>
      <c r="G3652" s="103" t="s">
        <v>4679</v>
      </c>
      <c r="H3652" s="103" t="s">
        <v>15664</v>
      </c>
      <c r="I3652" s="103">
        <v>3.175867106E9</v>
      </c>
      <c r="J3652" s="104" t="s">
        <v>15665</v>
      </c>
      <c r="K3652" s="107" t="s">
        <v>15666</v>
      </c>
      <c r="L3652" s="105"/>
    </row>
    <row r="3653">
      <c r="A3653" s="103" t="s">
        <v>4676</v>
      </c>
      <c r="B3653" s="103">
        <v>1.10013863401E11</v>
      </c>
      <c r="C3653" s="105"/>
      <c r="D3653" s="104" t="s">
        <v>15663</v>
      </c>
      <c r="E3653" s="104" t="s">
        <v>15667</v>
      </c>
      <c r="F3653" s="103" t="s">
        <v>4678</v>
      </c>
      <c r="G3653" s="103" t="s">
        <v>4679</v>
      </c>
      <c r="H3653" s="103" t="s">
        <v>15664</v>
      </c>
      <c r="I3653" s="103">
        <v>3.175867106E9</v>
      </c>
      <c r="J3653" s="104" t="s">
        <v>15665</v>
      </c>
      <c r="K3653" s="105"/>
      <c r="L3653" s="105"/>
    </row>
    <row r="3654">
      <c r="A3654" s="103" t="s">
        <v>4676</v>
      </c>
      <c r="B3654" s="103">
        <v>1.100138643E9</v>
      </c>
      <c r="C3654" s="105"/>
      <c r="D3654" s="104" t="s">
        <v>15668</v>
      </c>
      <c r="E3654" s="106"/>
      <c r="F3654" s="103" t="s">
        <v>4678</v>
      </c>
      <c r="G3654" s="103" t="s">
        <v>4679</v>
      </c>
      <c r="H3654" s="103" t="s">
        <v>15669</v>
      </c>
      <c r="I3654" s="103">
        <v>3.006947022E9</v>
      </c>
      <c r="J3654" s="104" t="s">
        <v>15670</v>
      </c>
      <c r="K3654" s="107" t="s">
        <v>15671</v>
      </c>
      <c r="L3654" s="105"/>
    </row>
    <row r="3655">
      <c r="A3655" s="103" t="s">
        <v>4676</v>
      </c>
      <c r="B3655" s="103">
        <v>1.10013864301E11</v>
      </c>
      <c r="C3655" s="105"/>
      <c r="D3655" s="104" t="s">
        <v>15668</v>
      </c>
      <c r="E3655" s="104" t="s">
        <v>15672</v>
      </c>
      <c r="F3655" s="103" t="s">
        <v>4678</v>
      </c>
      <c r="G3655" s="103" t="s">
        <v>4679</v>
      </c>
      <c r="H3655" s="103" t="s">
        <v>15669</v>
      </c>
      <c r="I3655" s="103">
        <v>3.006947022E9</v>
      </c>
      <c r="J3655" s="104" t="s">
        <v>15670</v>
      </c>
      <c r="K3655" s="105"/>
      <c r="L3655" s="105"/>
    </row>
    <row r="3656">
      <c r="A3656" s="103" t="s">
        <v>4676</v>
      </c>
      <c r="B3656" s="103">
        <v>1.100138647E9</v>
      </c>
      <c r="C3656" s="105"/>
      <c r="D3656" s="104" t="s">
        <v>15673</v>
      </c>
      <c r="E3656" s="106"/>
      <c r="F3656" s="103" t="s">
        <v>4678</v>
      </c>
      <c r="G3656" s="103" t="s">
        <v>4679</v>
      </c>
      <c r="H3656" s="103" t="s">
        <v>15674</v>
      </c>
      <c r="I3656" s="103">
        <v>6.01214744E9</v>
      </c>
      <c r="J3656" s="104" t="s">
        <v>15675</v>
      </c>
      <c r="K3656" s="105"/>
      <c r="L3656" s="105"/>
    </row>
    <row r="3657">
      <c r="A3657" s="103" t="s">
        <v>4676</v>
      </c>
      <c r="B3657" s="103">
        <v>1.10013864701E11</v>
      </c>
      <c r="C3657" s="105"/>
      <c r="D3657" s="104" t="s">
        <v>15673</v>
      </c>
      <c r="E3657" s="104" t="s">
        <v>15676</v>
      </c>
      <c r="F3657" s="103" t="s">
        <v>4678</v>
      </c>
      <c r="G3657" s="103" t="s">
        <v>4679</v>
      </c>
      <c r="H3657" s="103" t="s">
        <v>15674</v>
      </c>
      <c r="I3657" s="103">
        <v>6.01214744E9</v>
      </c>
      <c r="J3657" s="104" t="s">
        <v>15675</v>
      </c>
      <c r="K3657" s="105"/>
      <c r="L3657" s="105"/>
    </row>
    <row r="3658">
      <c r="A3658" s="103" t="s">
        <v>4676</v>
      </c>
      <c r="B3658" s="103">
        <v>1.100138649E9</v>
      </c>
      <c r="C3658" s="105"/>
      <c r="D3658" s="104" t="s">
        <v>15677</v>
      </c>
      <c r="E3658" s="106"/>
      <c r="F3658" s="103" t="s">
        <v>4678</v>
      </c>
      <c r="G3658" s="103" t="s">
        <v>4679</v>
      </c>
      <c r="H3658" s="103" t="s">
        <v>15678</v>
      </c>
      <c r="I3658" s="103">
        <v>3.203838574E9</v>
      </c>
      <c r="J3658" s="104" t="s">
        <v>15679</v>
      </c>
      <c r="K3658" s="105"/>
      <c r="L3658" s="105"/>
    </row>
    <row r="3659">
      <c r="A3659" s="103" t="s">
        <v>4676</v>
      </c>
      <c r="B3659" s="103">
        <v>1.10013864901E11</v>
      </c>
      <c r="C3659" s="105"/>
      <c r="D3659" s="104" t="s">
        <v>15677</v>
      </c>
      <c r="E3659" s="104" t="s">
        <v>15680</v>
      </c>
      <c r="F3659" s="103" t="s">
        <v>4678</v>
      </c>
      <c r="G3659" s="103" t="s">
        <v>4679</v>
      </c>
      <c r="H3659" s="103" t="s">
        <v>15678</v>
      </c>
      <c r="I3659" s="103">
        <v>3.203838574E9</v>
      </c>
      <c r="J3659" s="104" t="s">
        <v>15679</v>
      </c>
      <c r="K3659" s="105"/>
      <c r="L3659" s="105"/>
    </row>
    <row r="3660">
      <c r="A3660" s="103" t="s">
        <v>4676</v>
      </c>
      <c r="B3660" s="103">
        <v>1.100138672E9</v>
      </c>
      <c r="C3660" s="105"/>
      <c r="D3660" s="104" t="s">
        <v>15681</v>
      </c>
      <c r="E3660" s="106"/>
      <c r="F3660" s="103" t="s">
        <v>4678</v>
      </c>
      <c r="G3660" s="103" t="s">
        <v>4679</v>
      </c>
      <c r="H3660" s="103" t="s">
        <v>15682</v>
      </c>
      <c r="I3660" s="103">
        <v>6.012800653E9</v>
      </c>
      <c r="J3660" s="104" t="s">
        <v>15683</v>
      </c>
      <c r="K3660" s="107" t="s">
        <v>15684</v>
      </c>
      <c r="L3660" s="105"/>
    </row>
    <row r="3661">
      <c r="A3661" s="103" t="s">
        <v>4676</v>
      </c>
      <c r="B3661" s="103">
        <v>1.10013867201E11</v>
      </c>
      <c r="C3661" s="105"/>
      <c r="D3661" s="104" t="s">
        <v>15685</v>
      </c>
      <c r="E3661" s="104" t="s">
        <v>15686</v>
      </c>
      <c r="F3661" s="103" t="s">
        <v>4678</v>
      </c>
      <c r="G3661" s="103" t="s">
        <v>4679</v>
      </c>
      <c r="H3661" s="103" t="s">
        <v>15687</v>
      </c>
      <c r="I3661" s="103">
        <v>6.012800653E9</v>
      </c>
      <c r="J3661" s="104" t="s">
        <v>15683</v>
      </c>
      <c r="K3661" s="105"/>
      <c r="L3661" s="105"/>
    </row>
    <row r="3662">
      <c r="A3662" s="103" t="s">
        <v>4676</v>
      </c>
      <c r="B3662" s="103">
        <v>1.10013867202E11</v>
      </c>
      <c r="C3662" s="105"/>
      <c r="D3662" s="104" t="s">
        <v>15688</v>
      </c>
      <c r="E3662" s="104" t="s">
        <v>15689</v>
      </c>
      <c r="F3662" s="103" t="s">
        <v>4678</v>
      </c>
      <c r="G3662" s="103" t="s">
        <v>4679</v>
      </c>
      <c r="H3662" s="103" t="s">
        <v>15690</v>
      </c>
      <c r="I3662" s="103">
        <v>6.012800653E9</v>
      </c>
      <c r="J3662" s="104" t="s">
        <v>15683</v>
      </c>
      <c r="K3662" s="105"/>
      <c r="L3662" s="105"/>
    </row>
    <row r="3663">
      <c r="A3663" s="103" t="s">
        <v>4676</v>
      </c>
      <c r="B3663" s="103">
        <v>1.100138673E9</v>
      </c>
      <c r="C3663" s="105"/>
      <c r="D3663" s="104" t="s">
        <v>15691</v>
      </c>
      <c r="E3663" s="106"/>
      <c r="F3663" s="103" t="s">
        <v>4678</v>
      </c>
      <c r="G3663" s="103" t="s">
        <v>4679</v>
      </c>
      <c r="H3663" s="103" t="s">
        <v>15692</v>
      </c>
      <c r="I3663" s="103">
        <v>6.014786787E9</v>
      </c>
      <c r="J3663" s="104" t="s">
        <v>15693</v>
      </c>
      <c r="K3663" s="107" t="s">
        <v>15694</v>
      </c>
      <c r="L3663" s="105"/>
    </row>
    <row r="3664">
      <c r="A3664" s="103" t="s">
        <v>4676</v>
      </c>
      <c r="B3664" s="103">
        <v>1.10013867301E11</v>
      </c>
      <c r="C3664" s="105"/>
      <c r="D3664" s="104" t="s">
        <v>15691</v>
      </c>
      <c r="E3664" s="104" t="s">
        <v>15695</v>
      </c>
      <c r="F3664" s="103" t="s">
        <v>4678</v>
      </c>
      <c r="G3664" s="103" t="s">
        <v>4679</v>
      </c>
      <c r="H3664" s="103" t="s">
        <v>15696</v>
      </c>
      <c r="I3664" s="103">
        <v>6.014786787E9</v>
      </c>
      <c r="J3664" s="104" t="s">
        <v>15693</v>
      </c>
      <c r="K3664" s="105"/>
      <c r="L3664" s="105"/>
    </row>
    <row r="3665">
      <c r="A3665" s="103" t="s">
        <v>4676</v>
      </c>
      <c r="B3665" s="103">
        <v>1.100138683E9</v>
      </c>
      <c r="C3665" s="105"/>
      <c r="D3665" s="104" t="s">
        <v>15697</v>
      </c>
      <c r="E3665" s="106"/>
      <c r="F3665" s="103" t="s">
        <v>4678</v>
      </c>
      <c r="G3665" s="103" t="s">
        <v>4679</v>
      </c>
      <c r="H3665" s="103" t="s">
        <v>15698</v>
      </c>
      <c r="I3665" s="103">
        <v>7910171.0</v>
      </c>
      <c r="J3665" s="104" t="s">
        <v>15699</v>
      </c>
      <c r="K3665" s="107" t="s">
        <v>15700</v>
      </c>
      <c r="L3665" s="105"/>
    </row>
    <row r="3666">
      <c r="A3666" s="103" t="s">
        <v>4676</v>
      </c>
      <c r="B3666" s="103">
        <v>1.10013868301E11</v>
      </c>
      <c r="C3666" s="105"/>
      <c r="D3666" s="104" t="s">
        <v>15697</v>
      </c>
      <c r="E3666" s="104" t="s">
        <v>15701</v>
      </c>
      <c r="F3666" s="103" t="s">
        <v>4678</v>
      </c>
      <c r="G3666" s="103" t="s">
        <v>4679</v>
      </c>
      <c r="H3666" s="103" t="s">
        <v>15702</v>
      </c>
      <c r="I3666" s="103">
        <v>7910171.0</v>
      </c>
      <c r="J3666" s="104" t="s">
        <v>15699</v>
      </c>
      <c r="K3666" s="105"/>
      <c r="L3666" s="105"/>
    </row>
    <row r="3667">
      <c r="A3667" s="103" t="s">
        <v>4676</v>
      </c>
      <c r="B3667" s="103">
        <v>1.100138686E9</v>
      </c>
      <c r="C3667" s="105"/>
      <c r="D3667" s="104" t="s">
        <v>15703</v>
      </c>
      <c r="E3667" s="106"/>
      <c r="F3667" s="103" t="s">
        <v>4678</v>
      </c>
      <c r="G3667" s="103" t="s">
        <v>4679</v>
      </c>
      <c r="H3667" s="103" t="s">
        <v>15704</v>
      </c>
      <c r="I3667" s="103">
        <v>3.237992223E9</v>
      </c>
      <c r="J3667" s="104" t="s">
        <v>15705</v>
      </c>
      <c r="K3667" s="107" t="s">
        <v>15706</v>
      </c>
      <c r="L3667" s="105"/>
    </row>
    <row r="3668">
      <c r="A3668" s="103" t="s">
        <v>4676</v>
      </c>
      <c r="B3668" s="103">
        <v>1.10013868601E11</v>
      </c>
      <c r="C3668" s="105"/>
      <c r="D3668" s="104" t="s">
        <v>15703</v>
      </c>
      <c r="E3668" s="104" t="s">
        <v>15707</v>
      </c>
      <c r="F3668" s="103" t="s">
        <v>4678</v>
      </c>
      <c r="G3668" s="103" t="s">
        <v>4679</v>
      </c>
      <c r="H3668" s="103" t="s">
        <v>15708</v>
      </c>
      <c r="I3668" s="103">
        <v>3.237992223E9</v>
      </c>
      <c r="J3668" s="104" t="s">
        <v>15705</v>
      </c>
      <c r="K3668" s="105"/>
      <c r="L3668" s="105"/>
    </row>
    <row r="3669">
      <c r="A3669" s="103" t="s">
        <v>4676</v>
      </c>
      <c r="B3669" s="103">
        <v>1.100138689E9</v>
      </c>
      <c r="C3669" s="105"/>
      <c r="D3669" s="104" t="s">
        <v>15709</v>
      </c>
      <c r="E3669" s="106"/>
      <c r="F3669" s="103" t="s">
        <v>4678</v>
      </c>
      <c r="G3669" s="103" t="s">
        <v>4679</v>
      </c>
      <c r="H3669" s="103" t="s">
        <v>15710</v>
      </c>
      <c r="I3669" s="103">
        <v>3.13340277E9</v>
      </c>
      <c r="J3669" s="104" t="s">
        <v>15711</v>
      </c>
      <c r="K3669" s="103" t="s">
        <v>15712</v>
      </c>
      <c r="L3669" s="105"/>
    </row>
    <row r="3670">
      <c r="A3670" s="103" t="s">
        <v>4676</v>
      </c>
      <c r="B3670" s="103">
        <v>1.10013868901E11</v>
      </c>
      <c r="C3670" s="105"/>
      <c r="D3670" s="104" t="s">
        <v>15709</v>
      </c>
      <c r="E3670" s="104" t="s">
        <v>15713</v>
      </c>
      <c r="F3670" s="103" t="s">
        <v>4678</v>
      </c>
      <c r="G3670" s="103" t="s">
        <v>4679</v>
      </c>
      <c r="H3670" s="103" t="s">
        <v>15710</v>
      </c>
      <c r="I3670" s="103">
        <v>3.13340277E9</v>
      </c>
      <c r="J3670" s="104" t="s">
        <v>15711</v>
      </c>
      <c r="K3670" s="105"/>
      <c r="L3670" s="105"/>
    </row>
    <row r="3671">
      <c r="A3671" s="103" t="s">
        <v>4676</v>
      </c>
      <c r="B3671" s="103">
        <v>1.100138734E9</v>
      </c>
      <c r="C3671" s="105"/>
      <c r="D3671" s="104" t="s">
        <v>15714</v>
      </c>
      <c r="E3671" s="106"/>
      <c r="F3671" s="103" t="s">
        <v>4678</v>
      </c>
      <c r="G3671" s="103" t="s">
        <v>4679</v>
      </c>
      <c r="H3671" s="103" t="s">
        <v>15715</v>
      </c>
      <c r="I3671" s="103">
        <v>3.003359573E9</v>
      </c>
      <c r="J3671" s="104" t="s">
        <v>15716</v>
      </c>
      <c r="K3671" s="105"/>
      <c r="L3671" s="105"/>
    </row>
    <row r="3672">
      <c r="A3672" s="103" t="s">
        <v>4676</v>
      </c>
      <c r="B3672" s="103">
        <v>1.10013873401E11</v>
      </c>
      <c r="C3672" s="105"/>
      <c r="D3672" s="104" t="s">
        <v>15714</v>
      </c>
      <c r="E3672" s="104" t="s">
        <v>15717</v>
      </c>
      <c r="F3672" s="103" t="s">
        <v>4678</v>
      </c>
      <c r="G3672" s="103" t="s">
        <v>4679</v>
      </c>
      <c r="H3672" s="103" t="s">
        <v>15715</v>
      </c>
      <c r="I3672" s="103">
        <v>3.003359573E9</v>
      </c>
      <c r="J3672" s="104" t="s">
        <v>15716</v>
      </c>
      <c r="K3672" s="105"/>
      <c r="L3672" s="105"/>
    </row>
    <row r="3673">
      <c r="A3673" s="103" t="s">
        <v>4676</v>
      </c>
      <c r="B3673" s="103">
        <v>1.100138737E9</v>
      </c>
      <c r="C3673" s="105"/>
      <c r="D3673" s="104" t="s">
        <v>15718</v>
      </c>
      <c r="E3673" s="106"/>
      <c r="F3673" s="103" t="s">
        <v>4678</v>
      </c>
      <c r="G3673" s="103" t="s">
        <v>4679</v>
      </c>
      <c r="H3673" s="103" t="s">
        <v>15719</v>
      </c>
      <c r="I3673" s="103">
        <v>3.134942854E9</v>
      </c>
      <c r="J3673" s="104" t="s">
        <v>15720</v>
      </c>
      <c r="K3673" s="107" t="s">
        <v>15721</v>
      </c>
      <c r="L3673" s="105"/>
    </row>
    <row r="3674">
      <c r="A3674" s="103" t="s">
        <v>4676</v>
      </c>
      <c r="B3674" s="103">
        <v>1.10013873701E11</v>
      </c>
      <c r="C3674" s="105"/>
      <c r="D3674" s="104" t="s">
        <v>15722</v>
      </c>
      <c r="E3674" s="104" t="s">
        <v>15723</v>
      </c>
      <c r="F3674" s="103" t="s">
        <v>4678</v>
      </c>
      <c r="G3674" s="103" t="s">
        <v>4679</v>
      </c>
      <c r="H3674" s="103" t="s">
        <v>15719</v>
      </c>
      <c r="I3674" s="103">
        <v>3.134942854E9</v>
      </c>
      <c r="J3674" s="104" t="s">
        <v>15724</v>
      </c>
      <c r="K3674" s="105"/>
      <c r="L3674" s="105"/>
    </row>
    <row r="3675">
      <c r="A3675" s="103" t="s">
        <v>4676</v>
      </c>
      <c r="B3675" s="103">
        <v>1.100138743E9</v>
      </c>
      <c r="C3675" s="105"/>
      <c r="D3675" s="104" t="s">
        <v>15725</v>
      </c>
      <c r="E3675" s="106"/>
      <c r="F3675" s="103" t="s">
        <v>4678</v>
      </c>
      <c r="G3675" s="103" t="s">
        <v>4679</v>
      </c>
      <c r="H3675" s="103" t="s">
        <v>15726</v>
      </c>
      <c r="I3675" s="103">
        <v>3.114736402E9</v>
      </c>
      <c r="J3675" s="104" t="s">
        <v>15727</v>
      </c>
      <c r="K3675" s="103" t="s">
        <v>15728</v>
      </c>
      <c r="L3675" s="105"/>
    </row>
    <row r="3676">
      <c r="A3676" s="103" t="s">
        <v>4676</v>
      </c>
      <c r="B3676" s="103">
        <v>1.10013874301E11</v>
      </c>
      <c r="C3676" s="105"/>
      <c r="D3676" s="104" t="s">
        <v>15725</v>
      </c>
      <c r="E3676" s="104" t="s">
        <v>15729</v>
      </c>
      <c r="F3676" s="103" t="s">
        <v>4678</v>
      </c>
      <c r="G3676" s="103" t="s">
        <v>4679</v>
      </c>
      <c r="H3676" s="103" t="s">
        <v>15730</v>
      </c>
      <c r="I3676" s="103">
        <v>3.114736402E9</v>
      </c>
      <c r="J3676" s="104" t="s">
        <v>15727</v>
      </c>
      <c r="K3676" s="105"/>
      <c r="L3676" s="105"/>
    </row>
    <row r="3677">
      <c r="A3677" s="103" t="s">
        <v>4676</v>
      </c>
      <c r="B3677" s="103">
        <v>1.100138751E9</v>
      </c>
      <c r="C3677" s="105"/>
      <c r="D3677" s="104" t="s">
        <v>15731</v>
      </c>
      <c r="E3677" s="106"/>
      <c r="F3677" s="103" t="s">
        <v>4678</v>
      </c>
      <c r="G3677" s="103" t="s">
        <v>4679</v>
      </c>
      <c r="H3677" s="103" t="s">
        <v>15732</v>
      </c>
      <c r="I3677" s="103">
        <v>3.133399212E9</v>
      </c>
      <c r="J3677" s="104" t="s">
        <v>15733</v>
      </c>
      <c r="K3677" s="103" t="s">
        <v>15734</v>
      </c>
      <c r="L3677" s="105"/>
    </row>
    <row r="3678">
      <c r="A3678" s="103" t="s">
        <v>4676</v>
      </c>
      <c r="B3678" s="103">
        <v>1.10013875101E11</v>
      </c>
      <c r="C3678" s="105"/>
      <c r="D3678" s="104" t="s">
        <v>15735</v>
      </c>
      <c r="E3678" s="104" t="s">
        <v>15736</v>
      </c>
      <c r="F3678" s="103" t="s">
        <v>4678</v>
      </c>
      <c r="G3678" s="103" t="s">
        <v>4679</v>
      </c>
      <c r="H3678" s="103" t="s">
        <v>15732</v>
      </c>
      <c r="I3678" s="103">
        <v>3.133399212E9</v>
      </c>
      <c r="J3678" s="104" t="s">
        <v>15733</v>
      </c>
      <c r="K3678" s="105"/>
      <c r="L3678" s="105"/>
    </row>
    <row r="3679">
      <c r="A3679" s="103" t="s">
        <v>4676</v>
      </c>
      <c r="B3679" s="103">
        <v>1.100138773E9</v>
      </c>
      <c r="C3679" s="105"/>
      <c r="D3679" s="104" t="s">
        <v>15737</v>
      </c>
      <c r="E3679" s="106"/>
      <c r="F3679" s="103" t="s">
        <v>4678</v>
      </c>
      <c r="G3679" s="103" t="s">
        <v>4679</v>
      </c>
      <c r="H3679" s="103" t="s">
        <v>15738</v>
      </c>
      <c r="I3679" s="103">
        <v>3.17366106E9</v>
      </c>
      <c r="J3679" s="104" t="s">
        <v>15739</v>
      </c>
      <c r="K3679" s="105"/>
      <c r="L3679" s="105"/>
    </row>
    <row r="3680">
      <c r="A3680" s="103" t="s">
        <v>4676</v>
      </c>
      <c r="B3680" s="103">
        <v>1.10013877301E11</v>
      </c>
      <c r="C3680" s="105"/>
      <c r="D3680" s="104" t="s">
        <v>15737</v>
      </c>
      <c r="E3680" s="104" t="s">
        <v>15740</v>
      </c>
      <c r="F3680" s="103" t="s">
        <v>4678</v>
      </c>
      <c r="G3680" s="103" t="s">
        <v>4679</v>
      </c>
      <c r="H3680" s="103" t="s">
        <v>15738</v>
      </c>
      <c r="I3680" s="103">
        <v>3.17366106E9</v>
      </c>
      <c r="J3680" s="104" t="s">
        <v>15739</v>
      </c>
      <c r="K3680" s="105"/>
      <c r="L3680" s="105"/>
    </row>
    <row r="3681">
      <c r="A3681" s="103" t="s">
        <v>4676</v>
      </c>
      <c r="B3681" s="103">
        <v>1.100138776E9</v>
      </c>
      <c r="C3681" s="105"/>
      <c r="D3681" s="104" t="s">
        <v>15741</v>
      </c>
      <c r="E3681" s="106"/>
      <c r="F3681" s="103" t="s">
        <v>4678</v>
      </c>
      <c r="G3681" s="103" t="s">
        <v>4679</v>
      </c>
      <c r="H3681" s="103" t="s">
        <v>15742</v>
      </c>
      <c r="I3681" s="103" t="s">
        <v>15743</v>
      </c>
      <c r="J3681" s="104" t="s">
        <v>15744</v>
      </c>
      <c r="K3681" s="107" t="s">
        <v>15745</v>
      </c>
      <c r="L3681" s="105"/>
    </row>
    <row r="3682">
      <c r="A3682" s="103" t="s">
        <v>4676</v>
      </c>
      <c r="B3682" s="103">
        <v>1.10013877601E11</v>
      </c>
      <c r="C3682" s="105"/>
      <c r="D3682" s="104" t="s">
        <v>15746</v>
      </c>
      <c r="E3682" s="104" t="s">
        <v>15747</v>
      </c>
      <c r="F3682" s="103" t="s">
        <v>4678</v>
      </c>
      <c r="G3682" s="103" t="s">
        <v>4679</v>
      </c>
      <c r="H3682" s="103" t="s">
        <v>15748</v>
      </c>
      <c r="I3682" s="103" t="s">
        <v>15749</v>
      </c>
      <c r="J3682" s="104" t="s">
        <v>12331</v>
      </c>
      <c r="K3682" s="105"/>
      <c r="L3682" s="105"/>
    </row>
    <row r="3683">
      <c r="A3683" s="103" t="s">
        <v>4676</v>
      </c>
      <c r="B3683" s="103">
        <v>1.10013877602E11</v>
      </c>
      <c r="C3683" s="105"/>
      <c r="D3683" s="104" t="s">
        <v>15750</v>
      </c>
      <c r="E3683" s="104" t="s">
        <v>15747</v>
      </c>
      <c r="F3683" s="103" t="s">
        <v>4678</v>
      </c>
      <c r="G3683" s="103" t="s">
        <v>4679</v>
      </c>
      <c r="H3683" s="103" t="s">
        <v>15751</v>
      </c>
      <c r="I3683" s="103" t="s">
        <v>15752</v>
      </c>
      <c r="J3683" s="104" t="s">
        <v>12331</v>
      </c>
      <c r="K3683" s="105"/>
      <c r="L3683" s="105"/>
    </row>
    <row r="3684">
      <c r="A3684" s="103" t="s">
        <v>4676</v>
      </c>
      <c r="B3684" s="103">
        <v>1.100138789E9</v>
      </c>
      <c r="C3684" s="105"/>
      <c r="D3684" s="104" t="s">
        <v>15753</v>
      </c>
      <c r="E3684" s="106"/>
      <c r="F3684" s="103" t="s">
        <v>4678</v>
      </c>
      <c r="G3684" s="103" t="s">
        <v>4679</v>
      </c>
      <c r="H3684" s="103" t="s">
        <v>15754</v>
      </c>
      <c r="I3684" s="103">
        <v>3.158521757E9</v>
      </c>
      <c r="J3684" s="104" t="s">
        <v>15755</v>
      </c>
      <c r="K3684" s="107" t="s">
        <v>15756</v>
      </c>
      <c r="L3684" s="105"/>
    </row>
    <row r="3685">
      <c r="A3685" s="103" t="s">
        <v>4676</v>
      </c>
      <c r="B3685" s="103">
        <v>1.10013878901E11</v>
      </c>
      <c r="C3685" s="105"/>
      <c r="D3685" s="104" t="s">
        <v>15757</v>
      </c>
      <c r="E3685" s="104" t="s">
        <v>15758</v>
      </c>
      <c r="F3685" s="103" t="s">
        <v>4678</v>
      </c>
      <c r="G3685" s="103" t="s">
        <v>4679</v>
      </c>
      <c r="H3685" s="103" t="s">
        <v>15754</v>
      </c>
      <c r="I3685" s="103">
        <v>3.158521757E9</v>
      </c>
      <c r="J3685" s="104" t="s">
        <v>15755</v>
      </c>
      <c r="K3685" s="105"/>
      <c r="L3685" s="105"/>
    </row>
    <row r="3686">
      <c r="A3686" s="103" t="s">
        <v>4676</v>
      </c>
      <c r="B3686" s="103">
        <v>1.100138833E9</v>
      </c>
      <c r="C3686" s="105"/>
      <c r="D3686" s="104" t="s">
        <v>15759</v>
      </c>
      <c r="E3686" s="106"/>
      <c r="F3686" s="103" t="s">
        <v>4678</v>
      </c>
      <c r="G3686" s="103" t="s">
        <v>4679</v>
      </c>
      <c r="H3686" s="103" t="s">
        <v>15760</v>
      </c>
      <c r="I3686" s="103">
        <v>3.133565545E9</v>
      </c>
      <c r="J3686" s="104" t="s">
        <v>15761</v>
      </c>
      <c r="K3686" s="103" t="s">
        <v>15762</v>
      </c>
      <c r="L3686" s="105"/>
    </row>
    <row r="3687">
      <c r="A3687" s="103" t="s">
        <v>4676</v>
      </c>
      <c r="B3687" s="103">
        <v>1.10013883301E11</v>
      </c>
      <c r="C3687" s="105"/>
      <c r="D3687" s="104" t="s">
        <v>15759</v>
      </c>
      <c r="E3687" s="104" t="s">
        <v>15763</v>
      </c>
      <c r="F3687" s="103" t="s">
        <v>4678</v>
      </c>
      <c r="G3687" s="103" t="s">
        <v>4679</v>
      </c>
      <c r="H3687" s="103" t="s">
        <v>15760</v>
      </c>
      <c r="I3687" s="103">
        <v>3.133565545E9</v>
      </c>
      <c r="J3687" s="104" t="s">
        <v>15761</v>
      </c>
      <c r="K3687" s="105"/>
      <c r="L3687" s="105"/>
    </row>
    <row r="3688">
      <c r="A3688" s="103" t="s">
        <v>4676</v>
      </c>
      <c r="B3688" s="103">
        <v>1.100138846E9</v>
      </c>
      <c r="C3688" s="105"/>
      <c r="D3688" s="104" t="s">
        <v>15764</v>
      </c>
      <c r="E3688" s="106"/>
      <c r="F3688" s="103" t="s">
        <v>4678</v>
      </c>
      <c r="G3688" s="103" t="s">
        <v>4679</v>
      </c>
      <c r="H3688" s="103" t="s">
        <v>15765</v>
      </c>
      <c r="I3688" s="103">
        <v>3.125308332E9</v>
      </c>
      <c r="J3688" s="104" t="s">
        <v>15766</v>
      </c>
      <c r="K3688" s="105"/>
      <c r="L3688" s="105"/>
    </row>
    <row r="3689">
      <c r="A3689" s="103" t="s">
        <v>4676</v>
      </c>
      <c r="B3689" s="103">
        <v>1.10013884601E11</v>
      </c>
      <c r="C3689" s="105"/>
      <c r="D3689" s="104" t="s">
        <v>15764</v>
      </c>
      <c r="E3689" s="104" t="s">
        <v>15767</v>
      </c>
      <c r="F3689" s="103" t="s">
        <v>4678</v>
      </c>
      <c r="G3689" s="103" t="s">
        <v>4679</v>
      </c>
      <c r="H3689" s="103" t="s">
        <v>15765</v>
      </c>
      <c r="I3689" s="103">
        <v>3.125308332E9</v>
      </c>
      <c r="J3689" s="104" t="s">
        <v>15766</v>
      </c>
      <c r="K3689" s="105"/>
      <c r="L3689" s="105"/>
    </row>
    <row r="3690">
      <c r="A3690" s="103" t="s">
        <v>4676</v>
      </c>
      <c r="B3690" s="103">
        <v>1.100138852E9</v>
      </c>
      <c r="C3690" s="105"/>
      <c r="D3690" s="104" t="s">
        <v>15768</v>
      </c>
      <c r="E3690" s="106"/>
      <c r="F3690" s="103" t="s">
        <v>4678</v>
      </c>
      <c r="G3690" s="103" t="s">
        <v>4679</v>
      </c>
      <c r="H3690" s="103" t="s">
        <v>15769</v>
      </c>
      <c r="I3690" s="103">
        <v>3.102979033E9</v>
      </c>
      <c r="J3690" s="104" t="s">
        <v>15770</v>
      </c>
      <c r="K3690" s="107" t="s">
        <v>15771</v>
      </c>
      <c r="L3690" s="105"/>
    </row>
    <row r="3691">
      <c r="A3691" s="103" t="s">
        <v>4676</v>
      </c>
      <c r="B3691" s="103">
        <v>1.10013885201E11</v>
      </c>
      <c r="C3691" s="105"/>
      <c r="D3691" s="104" t="s">
        <v>15772</v>
      </c>
      <c r="E3691" s="104" t="s">
        <v>15773</v>
      </c>
      <c r="F3691" s="103" t="s">
        <v>4678</v>
      </c>
      <c r="G3691" s="103" t="s">
        <v>4679</v>
      </c>
      <c r="H3691" s="103" t="s">
        <v>15774</v>
      </c>
      <c r="I3691" s="103">
        <v>3.102979033E9</v>
      </c>
      <c r="J3691" s="104" t="s">
        <v>15770</v>
      </c>
      <c r="K3691" s="105"/>
      <c r="L3691" s="105"/>
    </row>
    <row r="3692">
      <c r="A3692" s="103" t="s">
        <v>4676</v>
      </c>
      <c r="B3692" s="103">
        <v>1.100138862E9</v>
      </c>
      <c r="C3692" s="105"/>
      <c r="D3692" s="104" t="s">
        <v>15775</v>
      </c>
      <c r="E3692" s="106"/>
      <c r="F3692" s="103" t="s">
        <v>4678</v>
      </c>
      <c r="G3692" s="103" t="s">
        <v>4679</v>
      </c>
      <c r="H3692" s="103" t="s">
        <v>15776</v>
      </c>
      <c r="I3692" s="103">
        <v>3.112345121E9</v>
      </c>
      <c r="J3692" s="104" t="s">
        <v>15777</v>
      </c>
      <c r="K3692" s="105"/>
      <c r="L3692" s="105"/>
    </row>
    <row r="3693">
      <c r="A3693" s="103" t="s">
        <v>4676</v>
      </c>
      <c r="B3693" s="103">
        <v>1.10013886201E11</v>
      </c>
      <c r="C3693" s="105"/>
      <c r="D3693" s="104" t="s">
        <v>15775</v>
      </c>
      <c r="E3693" s="104" t="s">
        <v>15778</v>
      </c>
      <c r="F3693" s="103" t="s">
        <v>4678</v>
      </c>
      <c r="G3693" s="103" t="s">
        <v>4679</v>
      </c>
      <c r="H3693" s="103" t="s">
        <v>15779</v>
      </c>
      <c r="I3693" s="103">
        <v>3.112345121E9</v>
      </c>
      <c r="J3693" s="104" t="s">
        <v>15777</v>
      </c>
      <c r="K3693" s="105"/>
      <c r="L3693" s="105"/>
    </row>
    <row r="3694">
      <c r="A3694" s="103" t="s">
        <v>4676</v>
      </c>
      <c r="B3694" s="103">
        <v>1.10013886202E11</v>
      </c>
      <c r="C3694" s="105"/>
      <c r="D3694" s="104" t="s">
        <v>15775</v>
      </c>
      <c r="E3694" s="104" t="s">
        <v>15778</v>
      </c>
      <c r="F3694" s="103" t="s">
        <v>4678</v>
      </c>
      <c r="G3694" s="103" t="s">
        <v>4679</v>
      </c>
      <c r="H3694" s="103" t="s">
        <v>15780</v>
      </c>
      <c r="I3694" s="103">
        <v>3.112345121E9</v>
      </c>
      <c r="J3694" s="104" t="s">
        <v>15777</v>
      </c>
      <c r="K3694" s="105"/>
      <c r="L3694" s="105"/>
    </row>
    <row r="3695">
      <c r="A3695" s="103" t="s">
        <v>4676</v>
      </c>
      <c r="B3695" s="103">
        <v>1.100138876E9</v>
      </c>
      <c r="C3695" s="105"/>
      <c r="D3695" s="104" t="s">
        <v>15781</v>
      </c>
      <c r="E3695" s="106"/>
      <c r="F3695" s="103" t="s">
        <v>4678</v>
      </c>
      <c r="G3695" s="103" t="s">
        <v>4679</v>
      </c>
      <c r="H3695" s="103" t="s">
        <v>15782</v>
      </c>
      <c r="I3695" s="103">
        <v>3.107863936E9</v>
      </c>
      <c r="J3695" s="104" t="s">
        <v>15783</v>
      </c>
      <c r="K3695" s="107" t="s">
        <v>15784</v>
      </c>
      <c r="L3695" s="105"/>
    </row>
    <row r="3696">
      <c r="A3696" s="103" t="s">
        <v>4676</v>
      </c>
      <c r="B3696" s="103">
        <v>1.10013887601E11</v>
      </c>
      <c r="C3696" s="105"/>
      <c r="D3696" s="104" t="s">
        <v>15781</v>
      </c>
      <c r="E3696" s="104" t="s">
        <v>15785</v>
      </c>
      <c r="F3696" s="103" t="s">
        <v>4678</v>
      </c>
      <c r="G3696" s="103" t="s">
        <v>4679</v>
      </c>
      <c r="H3696" s="103" t="s">
        <v>15782</v>
      </c>
      <c r="I3696" s="103">
        <v>3.107863936E9</v>
      </c>
      <c r="J3696" s="104" t="s">
        <v>15783</v>
      </c>
      <c r="K3696" s="105"/>
      <c r="L3696" s="105"/>
    </row>
    <row r="3697">
      <c r="A3697" s="103" t="s">
        <v>4676</v>
      </c>
      <c r="B3697" s="103">
        <v>1.100138902E9</v>
      </c>
      <c r="C3697" s="105"/>
      <c r="D3697" s="104" t="s">
        <v>15786</v>
      </c>
      <c r="E3697" s="106"/>
      <c r="F3697" s="103" t="s">
        <v>4678</v>
      </c>
      <c r="G3697" s="103" t="s">
        <v>4679</v>
      </c>
      <c r="H3697" s="103" t="s">
        <v>15787</v>
      </c>
      <c r="I3697" s="103">
        <v>3.17437941E9</v>
      </c>
      <c r="J3697" s="104" t="s">
        <v>14990</v>
      </c>
      <c r="K3697" s="107" t="s">
        <v>15788</v>
      </c>
      <c r="L3697" s="105"/>
    </row>
    <row r="3698">
      <c r="A3698" s="103" t="s">
        <v>4676</v>
      </c>
      <c r="B3698" s="103">
        <v>1.10013890201E11</v>
      </c>
      <c r="C3698" s="105"/>
      <c r="D3698" s="104" t="s">
        <v>15789</v>
      </c>
      <c r="E3698" s="104" t="s">
        <v>15790</v>
      </c>
      <c r="F3698" s="103" t="s">
        <v>4678</v>
      </c>
      <c r="G3698" s="103" t="s">
        <v>4679</v>
      </c>
      <c r="H3698" s="103" t="s">
        <v>15791</v>
      </c>
      <c r="I3698" s="103">
        <v>3.17437941E9</v>
      </c>
      <c r="J3698" s="104" t="s">
        <v>14990</v>
      </c>
      <c r="K3698" s="105"/>
      <c r="L3698" s="105"/>
    </row>
    <row r="3699">
      <c r="A3699" s="103" t="s">
        <v>4676</v>
      </c>
      <c r="B3699" s="103">
        <v>1.100138912E9</v>
      </c>
      <c r="C3699" s="105"/>
      <c r="D3699" s="104" t="s">
        <v>15792</v>
      </c>
      <c r="E3699" s="106"/>
      <c r="F3699" s="103" t="s">
        <v>4678</v>
      </c>
      <c r="G3699" s="103" t="s">
        <v>4679</v>
      </c>
      <c r="H3699" s="103" t="s">
        <v>15793</v>
      </c>
      <c r="I3699" s="103">
        <v>3.188686761E9</v>
      </c>
      <c r="J3699" s="104" t="s">
        <v>15794</v>
      </c>
      <c r="K3699" s="107" t="s">
        <v>15795</v>
      </c>
      <c r="L3699" s="105"/>
    </row>
    <row r="3700">
      <c r="A3700" s="103" t="s">
        <v>4676</v>
      </c>
      <c r="B3700" s="103">
        <v>1.10013891201E11</v>
      </c>
      <c r="C3700" s="105"/>
      <c r="D3700" s="104" t="s">
        <v>15792</v>
      </c>
      <c r="E3700" s="104" t="s">
        <v>15796</v>
      </c>
      <c r="F3700" s="103" t="s">
        <v>4678</v>
      </c>
      <c r="G3700" s="103" t="s">
        <v>4679</v>
      </c>
      <c r="H3700" s="103" t="s">
        <v>15797</v>
      </c>
      <c r="I3700" s="103">
        <v>3.188686761E9</v>
      </c>
      <c r="J3700" s="104" t="s">
        <v>15794</v>
      </c>
      <c r="K3700" s="105"/>
      <c r="L3700" s="105"/>
    </row>
    <row r="3701">
      <c r="A3701" s="103" t="s">
        <v>4676</v>
      </c>
      <c r="B3701" s="103">
        <v>1.100138918E9</v>
      </c>
      <c r="C3701" s="105"/>
      <c r="D3701" s="104" t="s">
        <v>15798</v>
      </c>
      <c r="E3701" s="106"/>
      <c r="F3701" s="103" t="s">
        <v>4678</v>
      </c>
      <c r="G3701" s="103" t="s">
        <v>4679</v>
      </c>
      <c r="H3701" s="103" t="s">
        <v>15799</v>
      </c>
      <c r="I3701" s="103">
        <v>3.208625038E9</v>
      </c>
      <c r="J3701" s="104" t="s">
        <v>15800</v>
      </c>
      <c r="K3701" s="105"/>
      <c r="L3701" s="105"/>
    </row>
    <row r="3702">
      <c r="A3702" s="103" t="s">
        <v>4676</v>
      </c>
      <c r="B3702" s="103">
        <v>1.10013891801E11</v>
      </c>
      <c r="C3702" s="105"/>
      <c r="D3702" s="104" t="s">
        <v>15798</v>
      </c>
      <c r="E3702" s="104" t="s">
        <v>15801</v>
      </c>
      <c r="F3702" s="103" t="s">
        <v>4678</v>
      </c>
      <c r="G3702" s="103" t="s">
        <v>4679</v>
      </c>
      <c r="H3702" s="103" t="s">
        <v>15799</v>
      </c>
      <c r="I3702" s="103">
        <v>3.208625038E9</v>
      </c>
      <c r="J3702" s="104" t="s">
        <v>15800</v>
      </c>
      <c r="K3702" s="105"/>
      <c r="L3702" s="105"/>
    </row>
    <row r="3703">
      <c r="A3703" s="103" t="s">
        <v>4676</v>
      </c>
      <c r="B3703" s="103">
        <v>1.100138919E9</v>
      </c>
      <c r="C3703" s="105"/>
      <c r="D3703" s="104" t="s">
        <v>15802</v>
      </c>
      <c r="E3703" s="106"/>
      <c r="F3703" s="103" t="s">
        <v>4678</v>
      </c>
      <c r="G3703" s="103" t="s">
        <v>4679</v>
      </c>
      <c r="H3703" s="103" t="s">
        <v>15803</v>
      </c>
      <c r="I3703" s="103">
        <v>3.016721264E9</v>
      </c>
      <c r="J3703" s="104" t="s">
        <v>15804</v>
      </c>
      <c r="K3703" s="103" t="s">
        <v>15805</v>
      </c>
      <c r="L3703" s="105"/>
    </row>
    <row r="3704">
      <c r="A3704" s="103" t="s">
        <v>4676</v>
      </c>
      <c r="B3704" s="103">
        <v>1.10013891901E11</v>
      </c>
      <c r="C3704" s="105"/>
      <c r="D3704" s="104" t="s">
        <v>15802</v>
      </c>
      <c r="E3704" s="104" t="s">
        <v>15806</v>
      </c>
      <c r="F3704" s="103" t="s">
        <v>4678</v>
      </c>
      <c r="G3704" s="103" t="s">
        <v>4679</v>
      </c>
      <c r="H3704" s="103" t="s">
        <v>15803</v>
      </c>
      <c r="I3704" s="103">
        <v>3.016721264E9</v>
      </c>
      <c r="J3704" s="104" t="s">
        <v>15804</v>
      </c>
      <c r="K3704" s="105"/>
      <c r="L3704" s="105"/>
    </row>
    <row r="3705">
      <c r="A3705" s="103" t="s">
        <v>4676</v>
      </c>
      <c r="B3705" s="103">
        <v>1.100138931E9</v>
      </c>
      <c r="C3705" s="105"/>
      <c r="D3705" s="104" t="s">
        <v>15807</v>
      </c>
      <c r="E3705" s="106"/>
      <c r="F3705" s="103" t="s">
        <v>4678</v>
      </c>
      <c r="G3705" s="103" t="s">
        <v>4679</v>
      </c>
      <c r="H3705" s="103" t="s">
        <v>15808</v>
      </c>
      <c r="I3705" s="103">
        <v>3.112259437E9</v>
      </c>
      <c r="J3705" s="104" t="s">
        <v>15809</v>
      </c>
      <c r="K3705" s="105"/>
      <c r="L3705" s="105"/>
    </row>
    <row r="3706">
      <c r="A3706" s="103" t="s">
        <v>4676</v>
      </c>
      <c r="B3706" s="103">
        <v>1.10013893101E11</v>
      </c>
      <c r="C3706" s="105"/>
      <c r="D3706" s="104" t="s">
        <v>15807</v>
      </c>
      <c r="E3706" s="104" t="s">
        <v>15810</v>
      </c>
      <c r="F3706" s="103" t="s">
        <v>4678</v>
      </c>
      <c r="G3706" s="103" t="s">
        <v>4679</v>
      </c>
      <c r="H3706" s="103" t="s">
        <v>15811</v>
      </c>
      <c r="I3706" s="103">
        <v>3.112259437E9</v>
      </c>
      <c r="J3706" s="104" t="s">
        <v>15809</v>
      </c>
      <c r="K3706" s="105"/>
      <c r="L3706" s="105"/>
    </row>
    <row r="3707">
      <c r="A3707" s="103" t="s">
        <v>4676</v>
      </c>
      <c r="B3707" s="103">
        <v>1.10013894E9</v>
      </c>
      <c r="C3707" s="105"/>
      <c r="D3707" s="104" t="s">
        <v>15812</v>
      </c>
      <c r="E3707" s="106"/>
      <c r="F3707" s="103" t="s">
        <v>4678</v>
      </c>
      <c r="G3707" s="103" t="s">
        <v>4679</v>
      </c>
      <c r="H3707" s="103" t="s">
        <v>15813</v>
      </c>
      <c r="I3707" s="103">
        <v>6489000.0</v>
      </c>
      <c r="J3707" s="104" t="s">
        <v>15814</v>
      </c>
      <c r="K3707" s="105"/>
      <c r="L3707" s="105"/>
    </row>
    <row r="3708">
      <c r="A3708" s="103" t="s">
        <v>4676</v>
      </c>
      <c r="B3708" s="103">
        <v>1.10013894001E11</v>
      </c>
      <c r="C3708" s="105"/>
      <c r="D3708" s="104" t="s">
        <v>15812</v>
      </c>
      <c r="E3708" s="104" t="s">
        <v>15815</v>
      </c>
      <c r="F3708" s="103" t="s">
        <v>4678</v>
      </c>
      <c r="G3708" s="103" t="s">
        <v>4679</v>
      </c>
      <c r="H3708" s="103" t="s">
        <v>15813</v>
      </c>
      <c r="I3708" s="103">
        <v>6489000.0</v>
      </c>
      <c r="J3708" s="104" t="s">
        <v>15814</v>
      </c>
      <c r="K3708" s="105"/>
      <c r="L3708" s="105"/>
    </row>
    <row r="3709">
      <c r="A3709" s="103" t="s">
        <v>4676</v>
      </c>
      <c r="B3709" s="103">
        <v>1.10013894002E11</v>
      </c>
      <c r="C3709" s="105"/>
      <c r="D3709" s="104" t="s">
        <v>15816</v>
      </c>
      <c r="E3709" s="104" t="s">
        <v>15817</v>
      </c>
      <c r="F3709" s="103" t="s">
        <v>4678</v>
      </c>
      <c r="G3709" s="103" t="s">
        <v>4679</v>
      </c>
      <c r="H3709" s="103" t="s">
        <v>15818</v>
      </c>
      <c r="I3709" s="103">
        <v>3.16744376E9</v>
      </c>
      <c r="J3709" s="104" t="s">
        <v>15819</v>
      </c>
      <c r="K3709" s="105"/>
      <c r="L3709" s="105"/>
    </row>
    <row r="3710">
      <c r="A3710" s="103" t="s">
        <v>4676</v>
      </c>
      <c r="B3710" s="103">
        <v>1.100138942E9</v>
      </c>
      <c r="C3710" s="105"/>
      <c r="D3710" s="104" t="s">
        <v>15820</v>
      </c>
      <c r="E3710" s="106"/>
      <c r="F3710" s="103" t="s">
        <v>4678</v>
      </c>
      <c r="G3710" s="103" t="s">
        <v>4679</v>
      </c>
      <c r="H3710" s="103" t="s">
        <v>15821</v>
      </c>
      <c r="I3710" s="103">
        <v>3.175841735E9</v>
      </c>
      <c r="J3710" s="104" t="s">
        <v>15822</v>
      </c>
      <c r="K3710" s="107" t="s">
        <v>15823</v>
      </c>
      <c r="L3710" s="105"/>
    </row>
    <row r="3711">
      <c r="A3711" s="103" t="s">
        <v>4676</v>
      </c>
      <c r="B3711" s="103">
        <v>1.10013894201E11</v>
      </c>
      <c r="C3711" s="105"/>
      <c r="D3711" s="104" t="s">
        <v>15820</v>
      </c>
      <c r="E3711" s="104" t="s">
        <v>15824</v>
      </c>
      <c r="F3711" s="103" t="s">
        <v>4678</v>
      </c>
      <c r="G3711" s="103" t="s">
        <v>4679</v>
      </c>
      <c r="H3711" s="103" t="s">
        <v>15825</v>
      </c>
      <c r="I3711" s="103">
        <v>3.75841735E8</v>
      </c>
      <c r="J3711" s="104" t="s">
        <v>15822</v>
      </c>
      <c r="K3711" s="105"/>
      <c r="L3711" s="105"/>
    </row>
    <row r="3712">
      <c r="A3712" s="103" t="s">
        <v>4676</v>
      </c>
      <c r="B3712" s="103">
        <v>1.100138945E9</v>
      </c>
      <c r="C3712" s="105"/>
      <c r="D3712" s="104" t="s">
        <v>15826</v>
      </c>
      <c r="E3712" s="106"/>
      <c r="F3712" s="103" t="s">
        <v>4678</v>
      </c>
      <c r="G3712" s="103" t="s">
        <v>4679</v>
      </c>
      <c r="H3712" s="103" t="s">
        <v>15827</v>
      </c>
      <c r="I3712" s="103">
        <v>3.222011277E9</v>
      </c>
      <c r="J3712" s="104" t="s">
        <v>15828</v>
      </c>
      <c r="K3712" s="105"/>
      <c r="L3712" s="105"/>
    </row>
    <row r="3713">
      <c r="A3713" s="103" t="s">
        <v>4676</v>
      </c>
      <c r="B3713" s="103">
        <v>1.10013894501E11</v>
      </c>
      <c r="C3713" s="105"/>
      <c r="D3713" s="104" t="s">
        <v>15826</v>
      </c>
      <c r="E3713" s="104" t="s">
        <v>15829</v>
      </c>
      <c r="F3713" s="103" t="s">
        <v>4678</v>
      </c>
      <c r="G3713" s="103" t="s">
        <v>4679</v>
      </c>
      <c r="H3713" s="103" t="s">
        <v>15827</v>
      </c>
      <c r="I3713" s="103">
        <v>3.222011277E9</v>
      </c>
      <c r="J3713" s="104" t="s">
        <v>15828</v>
      </c>
      <c r="K3713" s="105"/>
      <c r="L3713" s="105"/>
    </row>
    <row r="3714">
      <c r="A3714" s="103" t="s">
        <v>4676</v>
      </c>
      <c r="B3714" s="103">
        <v>1.100138966E9</v>
      </c>
      <c r="C3714" s="105"/>
      <c r="D3714" s="104" t="s">
        <v>15830</v>
      </c>
      <c r="E3714" s="106"/>
      <c r="F3714" s="103" t="s">
        <v>4678</v>
      </c>
      <c r="G3714" s="103" t="s">
        <v>4679</v>
      </c>
      <c r="H3714" s="103" t="s">
        <v>15831</v>
      </c>
      <c r="I3714" s="103">
        <v>3.116556403E9</v>
      </c>
      <c r="J3714" s="104" t="s">
        <v>15832</v>
      </c>
      <c r="K3714" s="107" t="s">
        <v>15833</v>
      </c>
      <c r="L3714" s="105"/>
    </row>
    <row r="3715">
      <c r="A3715" s="103" t="s">
        <v>4676</v>
      </c>
      <c r="B3715" s="103">
        <v>1.10013896601E11</v>
      </c>
      <c r="C3715" s="105"/>
      <c r="D3715" s="104" t="s">
        <v>15830</v>
      </c>
      <c r="E3715" s="104" t="s">
        <v>15834</v>
      </c>
      <c r="F3715" s="103" t="s">
        <v>4678</v>
      </c>
      <c r="G3715" s="103" t="s">
        <v>4679</v>
      </c>
      <c r="H3715" s="103" t="s">
        <v>15835</v>
      </c>
      <c r="I3715" s="103">
        <v>3.116556403E9</v>
      </c>
      <c r="J3715" s="104" t="s">
        <v>15832</v>
      </c>
      <c r="K3715" s="105"/>
      <c r="L3715" s="105"/>
    </row>
    <row r="3716">
      <c r="A3716" s="103" t="s">
        <v>4676</v>
      </c>
      <c r="B3716" s="103">
        <v>1.100138967E9</v>
      </c>
      <c r="C3716" s="105"/>
      <c r="D3716" s="104" t="s">
        <v>15836</v>
      </c>
      <c r="E3716" s="106"/>
      <c r="F3716" s="103" t="s">
        <v>4678</v>
      </c>
      <c r="G3716" s="103" t="s">
        <v>4679</v>
      </c>
      <c r="H3716" s="103" t="s">
        <v>15837</v>
      </c>
      <c r="I3716" s="103">
        <v>3.219769146E9</v>
      </c>
      <c r="J3716" s="104" t="s">
        <v>15838</v>
      </c>
      <c r="K3716" s="105"/>
      <c r="L3716" s="105"/>
    </row>
    <row r="3717">
      <c r="A3717" s="103" t="s">
        <v>4676</v>
      </c>
      <c r="B3717" s="103">
        <v>1.10013896701E11</v>
      </c>
      <c r="C3717" s="105"/>
      <c r="D3717" s="104" t="s">
        <v>15836</v>
      </c>
      <c r="E3717" s="104" t="s">
        <v>15839</v>
      </c>
      <c r="F3717" s="103" t="s">
        <v>4678</v>
      </c>
      <c r="G3717" s="103" t="s">
        <v>4679</v>
      </c>
      <c r="H3717" s="103" t="s">
        <v>15837</v>
      </c>
      <c r="I3717" s="103">
        <v>3.219769146E9</v>
      </c>
      <c r="J3717" s="104" t="s">
        <v>15838</v>
      </c>
      <c r="K3717" s="105"/>
      <c r="L3717" s="105"/>
    </row>
    <row r="3718">
      <c r="A3718" s="103" t="s">
        <v>4676</v>
      </c>
      <c r="B3718" s="103">
        <v>1.100138968E9</v>
      </c>
      <c r="C3718" s="105"/>
      <c r="D3718" s="104" t="s">
        <v>15840</v>
      </c>
      <c r="E3718" s="106"/>
      <c r="F3718" s="103" t="s">
        <v>4678</v>
      </c>
      <c r="G3718" s="103" t="s">
        <v>4679</v>
      </c>
      <c r="H3718" s="103" t="s">
        <v>15841</v>
      </c>
      <c r="I3718" s="103">
        <v>3.017593941E9</v>
      </c>
      <c r="J3718" s="104" t="s">
        <v>15842</v>
      </c>
      <c r="K3718" s="107" t="s">
        <v>15843</v>
      </c>
      <c r="L3718" s="105"/>
    </row>
    <row r="3719">
      <c r="A3719" s="103" t="s">
        <v>4676</v>
      </c>
      <c r="B3719" s="103">
        <v>1.10013896801E11</v>
      </c>
      <c r="C3719" s="105"/>
      <c r="D3719" s="104" t="s">
        <v>15844</v>
      </c>
      <c r="E3719" s="104" t="s">
        <v>15845</v>
      </c>
      <c r="F3719" s="103" t="s">
        <v>4678</v>
      </c>
      <c r="G3719" s="103" t="s">
        <v>4679</v>
      </c>
      <c r="H3719" s="103" t="s">
        <v>15841</v>
      </c>
      <c r="I3719" s="103">
        <v>3.016771276E9</v>
      </c>
      <c r="J3719" s="104" t="s">
        <v>15842</v>
      </c>
      <c r="K3719" s="105"/>
      <c r="L3719" s="105"/>
    </row>
    <row r="3720">
      <c r="A3720" s="103" t="s">
        <v>4676</v>
      </c>
      <c r="B3720" s="103">
        <v>1.100138997E9</v>
      </c>
      <c r="C3720" s="105"/>
      <c r="D3720" s="104" t="s">
        <v>15846</v>
      </c>
      <c r="E3720" s="106"/>
      <c r="F3720" s="103" t="s">
        <v>4678</v>
      </c>
      <c r="G3720" s="103" t="s">
        <v>4679</v>
      </c>
      <c r="H3720" s="103" t="s">
        <v>15847</v>
      </c>
      <c r="I3720" s="103">
        <v>3.125215573E9</v>
      </c>
      <c r="J3720" s="104" t="s">
        <v>15848</v>
      </c>
      <c r="K3720" s="105"/>
      <c r="L3720" s="105"/>
    </row>
    <row r="3721">
      <c r="A3721" s="103" t="s">
        <v>4676</v>
      </c>
      <c r="B3721" s="103">
        <v>1.10013899701E11</v>
      </c>
      <c r="C3721" s="105"/>
      <c r="D3721" s="104" t="s">
        <v>15849</v>
      </c>
      <c r="E3721" s="104" t="s">
        <v>15850</v>
      </c>
      <c r="F3721" s="103" t="s">
        <v>4678</v>
      </c>
      <c r="G3721" s="103" t="s">
        <v>4679</v>
      </c>
      <c r="H3721" s="103" t="s">
        <v>15847</v>
      </c>
      <c r="I3721" s="103">
        <v>3.125215573E9</v>
      </c>
      <c r="J3721" s="104" t="s">
        <v>15848</v>
      </c>
      <c r="K3721" s="105"/>
      <c r="L3721" s="105"/>
    </row>
    <row r="3722">
      <c r="A3722" s="103" t="s">
        <v>4676</v>
      </c>
      <c r="B3722" s="103">
        <v>1.100139007E9</v>
      </c>
      <c r="C3722" s="105"/>
      <c r="D3722" s="104" t="s">
        <v>15851</v>
      </c>
      <c r="E3722" s="106"/>
      <c r="F3722" s="103" t="s">
        <v>4678</v>
      </c>
      <c r="G3722" s="103" t="s">
        <v>4679</v>
      </c>
      <c r="H3722" s="103" t="s">
        <v>15852</v>
      </c>
      <c r="I3722" s="103">
        <v>3.023942435E9</v>
      </c>
      <c r="J3722" s="104" t="s">
        <v>15853</v>
      </c>
      <c r="K3722" s="105"/>
      <c r="L3722" s="105"/>
    </row>
    <row r="3723">
      <c r="A3723" s="103" t="s">
        <v>4676</v>
      </c>
      <c r="B3723" s="103">
        <v>1.10013900701E11</v>
      </c>
      <c r="C3723" s="105"/>
      <c r="D3723" s="104" t="s">
        <v>15851</v>
      </c>
      <c r="E3723" s="104" t="s">
        <v>15854</v>
      </c>
      <c r="F3723" s="103" t="s">
        <v>4678</v>
      </c>
      <c r="G3723" s="103" t="s">
        <v>4679</v>
      </c>
      <c r="H3723" s="103" t="s">
        <v>15852</v>
      </c>
      <c r="I3723" s="103">
        <v>3.023942435E9</v>
      </c>
      <c r="J3723" s="104" t="s">
        <v>15853</v>
      </c>
      <c r="K3723" s="105"/>
      <c r="L3723" s="105"/>
    </row>
    <row r="3724">
      <c r="A3724" s="103" t="s">
        <v>4676</v>
      </c>
      <c r="B3724" s="103">
        <v>1.100139049E9</v>
      </c>
      <c r="C3724" s="105"/>
      <c r="D3724" s="104" t="s">
        <v>15855</v>
      </c>
      <c r="E3724" s="106"/>
      <c r="F3724" s="103" t="s">
        <v>4678</v>
      </c>
      <c r="G3724" s="103" t="s">
        <v>4679</v>
      </c>
      <c r="H3724" s="103" t="s">
        <v>15856</v>
      </c>
      <c r="I3724" s="103">
        <v>3.219387894E9</v>
      </c>
      <c r="J3724" s="104" t="s">
        <v>15857</v>
      </c>
      <c r="K3724" s="107" t="s">
        <v>15858</v>
      </c>
      <c r="L3724" s="105"/>
    </row>
    <row r="3725">
      <c r="A3725" s="103" t="s">
        <v>4676</v>
      </c>
      <c r="B3725" s="103">
        <v>1.10013904901E11</v>
      </c>
      <c r="C3725" s="105"/>
      <c r="D3725" s="104" t="s">
        <v>15855</v>
      </c>
      <c r="E3725" s="104" t="s">
        <v>15859</v>
      </c>
      <c r="F3725" s="103" t="s">
        <v>4678</v>
      </c>
      <c r="G3725" s="103" t="s">
        <v>4679</v>
      </c>
      <c r="H3725" s="103" t="s">
        <v>15856</v>
      </c>
      <c r="I3725" s="103">
        <v>3.219387894E9</v>
      </c>
      <c r="J3725" s="104" t="s">
        <v>15857</v>
      </c>
      <c r="K3725" s="105"/>
      <c r="L3725" s="105"/>
    </row>
    <row r="3726">
      <c r="A3726" s="103" t="s">
        <v>4676</v>
      </c>
      <c r="B3726" s="103">
        <v>1.100139059E9</v>
      </c>
      <c r="C3726" s="105"/>
      <c r="D3726" s="104" t="s">
        <v>15860</v>
      </c>
      <c r="E3726" s="106"/>
      <c r="F3726" s="103" t="s">
        <v>4678</v>
      </c>
      <c r="G3726" s="103" t="s">
        <v>4679</v>
      </c>
      <c r="H3726" s="103" t="s">
        <v>15861</v>
      </c>
      <c r="I3726" s="103">
        <v>3.00284053E9</v>
      </c>
      <c r="J3726" s="104" t="s">
        <v>15862</v>
      </c>
      <c r="K3726" s="105"/>
      <c r="L3726" s="105"/>
    </row>
    <row r="3727">
      <c r="A3727" s="103" t="s">
        <v>4676</v>
      </c>
      <c r="B3727" s="103">
        <v>1.10013905901E11</v>
      </c>
      <c r="C3727" s="105"/>
      <c r="D3727" s="104" t="s">
        <v>15860</v>
      </c>
      <c r="E3727" s="104" t="s">
        <v>15863</v>
      </c>
      <c r="F3727" s="103" t="s">
        <v>4678</v>
      </c>
      <c r="G3727" s="103" t="s">
        <v>4679</v>
      </c>
      <c r="H3727" s="103" t="s">
        <v>15861</v>
      </c>
      <c r="I3727" s="103">
        <v>3.00284053E9</v>
      </c>
      <c r="J3727" s="104" t="s">
        <v>15862</v>
      </c>
      <c r="K3727" s="105"/>
      <c r="L3727" s="105"/>
    </row>
    <row r="3728">
      <c r="A3728" s="103" t="s">
        <v>4676</v>
      </c>
      <c r="B3728" s="103">
        <v>1.10013906E9</v>
      </c>
      <c r="C3728" s="105"/>
      <c r="D3728" s="104" t="s">
        <v>15864</v>
      </c>
      <c r="E3728" s="106"/>
      <c r="F3728" s="103" t="s">
        <v>4678</v>
      </c>
      <c r="G3728" s="103" t="s">
        <v>4679</v>
      </c>
      <c r="H3728" s="103" t="s">
        <v>15865</v>
      </c>
      <c r="I3728" s="103">
        <v>3.106022731E9</v>
      </c>
      <c r="J3728" s="104" t="s">
        <v>15866</v>
      </c>
      <c r="K3728" s="107" t="s">
        <v>15867</v>
      </c>
      <c r="L3728" s="105"/>
    </row>
    <row r="3729">
      <c r="A3729" s="103" t="s">
        <v>4676</v>
      </c>
      <c r="B3729" s="103">
        <v>1.10013906001E11</v>
      </c>
      <c r="C3729" s="105"/>
      <c r="D3729" s="104" t="s">
        <v>15868</v>
      </c>
      <c r="E3729" s="104" t="s">
        <v>15869</v>
      </c>
      <c r="F3729" s="103" t="s">
        <v>4678</v>
      </c>
      <c r="G3729" s="103" t="s">
        <v>4679</v>
      </c>
      <c r="H3729" s="103" t="s">
        <v>15870</v>
      </c>
      <c r="I3729" s="103">
        <v>3.013953917E9</v>
      </c>
      <c r="J3729" s="104" t="s">
        <v>15871</v>
      </c>
      <c r="K3729" s="105"/>
      <c r="L3729" s="105"/>
    </row>
    <row r="3730">
      <c r="A3730" s="103" t="s">
        <v>4676</v>
      </c>
      <c r="B3730" s="103">
        <v>1.10013906002E11</v>
      </c>
      <c r="C3730" s="105"/>
      <c r="D3730" s="104" t="s">
        <v>15872</v>
      </c>
      <c r="E3730" s="104" t="s">
        <v>15873</v>
      </c>
      <c r="F3730" s="103" t="s">
        <v>4678</v>
      </c>
      <c r="G3730" s="103" t="s">
        <v>4679</v>
      </c>
      <c r="H3730" s="103" t="s">
        <v>15874</v>
      </c>
      <c r="I3730" s="103">
        <v>3.21876223E9</v>
      </c>
      <c r="J3730" s="104" t="s">
        <v>15871</v>
      </c>
      <c r="K3730" s="105"/>
      <c r="L3730" s="105"/>
    </row>
    <row r="3731">
      <c r="A3731" s="103" t="s">
        <v>4676</v>
      </c>
      <c r="B3731" s="103">
        <v>1.10013906005E11</v>
      </c>
      <c r="C3731" s="105"/>
      <c r="D3731" s="104" t="s">
        <v>15875</v>
      </c>
      <c r="E3731" s="104" t="s">
        <v>15873</v>
      </c>
      <c r="F3731" s="103" t="s">
        <v>4678</v>
      </c>
      <c r="G3731" s="103" t="s">
        <v>4679</v>
      </c>
      <c r="H3731" s="103" t="s">
        <v>15876</v>
      </c>
      <c r="I3731" s="103">
        <v>3.242700802E9</v>
      </c>
      <c r="J3731" s="104" t="s">
        <v>15871</v>
      </c>
      <c r="K3731" s="105"/>
      <c r="L3731" s="105"/>
    </row>
    <row r="3732">
      <c r="A3732" s="103" t="s">
        <v>4676</v>
      </c>
      <c r="B3732" s="103">
        <v>1.10013906008E11</v>
      </c>
      <c r="C3732" s="105"/>
      <c r="D3732" s="104" t="s">
        <v>15877</v>
      </c>
      <c r="E3732" s="104" t="s">
        <v>15878</v>
      </c>
      <c r="F3732" s="103" t="s">
        <v>4678</v>
      </c>
      <c r="G3732" s="103" t="s">
        <v>4679</v>
      </c>
      <c r="H3732" s="103" t="s">
        <v>15879</v>
      </c>
      <c r="I3732" s="103">
        <v>3.188276307E9</v>
      </c>
      <c r="J3732" s="104" t="s">
        <v>15880</v>
      </c>
      <c r="K3732" s="105"/>
      <c r="L3732" s="105"/>
    </row>
    <row r="3733">
      <c r="A3733" s="103" t="s">
        <v>4676</v>
      </c>
      <c r="B3733" s="103">
        <v>1.10013907E9</v>
      </c>
      <c r="C3733" s="105"/>
      <c r="D3733" s="104" t="s">
        <v>15881</v>
      </c>
      <c r="E3733" s="106"/>
      <c r="F3733" s="103" t="s">
        <v>4678</v>
      </c>
      <c r="G3733" s="103" t="s">
        <v>4679</v>
      </c>
      <c r="H3733" s="103" t="s">
        <v>15882</v>
      </c>
      <c r="I3733" s="103">
        <v>3.20886329E9</v>
      </c>
      <c r="J3733" s="104" t="s">
        <v>15883</v>
      </c>
      <c r="K3733" s="105"/>
      <c r="L3733" s="105"/>
    </row>
    <row r="3734">
      <c r="A3734" s="103" t="s">
        <v>4676</v>
      </c>
      <c r="B3734" s="103">
        <v>1.10013907001E11</v>
      </c>
      <c r="C3734" s="105"/>
      <c r="D3734" s="104" t="s">
        <v>15881</v>
      </c>
      <c r="E3734" s="104" t="s">
        <v>15884</v>
      </c>
      <c r="F3734" s="103" t="s">
        <v>4678</v>
      </c>
      <c r="G3734" s="103" t="s">
        <v>4679</v>
      </c>
      <c r="H3734" s="103" t="s">
        <v>15882</v>
      </c>
      <c r="I3734" s="103">
        <v>3.20886329E9</v>
      </c>
      <c r="J3734" s="104" t="s">
        <v>15883</v>
      </c>
      <c r="K3734" s="105"/>
      <c r="L3734" s="105"/>
    </row>
    <row r="3735">
      <c r="A3735" s="103" t="s">
        <v>4676</v>
      </c>
      <c r="B3735" s="103">
        <v>1.100139071E9</v>
      </c>
      <c r="C3735" s="105"/>
      <c r="D3735" s="104" t="s">
        <v>15885</v>
      </c>
      <c r="E3735" s="106"/>
      <c r="F3735" s="103" t="s">
        <v>4678</v>
      </c>
      <c r="G3735" s="103" t="s">
        <v>4679</v>
      </c>
      <c r="H3735" s="103" t="s">
        <v>15886</v>
      </c>
      <c r="I3735" s="103">
        <v>3.176577283E9</v>
      </c>
      <c r="J3735" s="104" t="s">
        <v>15887</v>
      </c>
      <c r="K3735" s="105"/>
      <c r="L3735" s="105"/>
    </row>
    <row r="3736">
      <c r="A3736" s="103" t="s">
        <v>4676</v>
      </c>
      <c r="B3736" s="103">
        <v>1.10013907101E11</v>
      </c>
      <c r="C3736" s="105"/>
      <c r="D3736" s="104" t="s">
        <v>15888</v>
      </c>
      <c r="E3736" s="104" t="s">
        <v>15889</v>
      </c>
      <c r="F3736" s="103" t="s">
        <v>4678</v>
      </c>
      <c r="G3736" s="103" t="s">
        <v>4679</v>
      </c>
      <c r="H3736" s="103" t="s">
        <v>15890</v>
      </c>
      <c r="I3736" s="103">
        <v>3.176577283E9</v>
      </c>
      <c r="J3736" s="104" t="s">
        <v>15887</v>
      </c>
      <c r="K3736" s="105"/>
      <c r="L3736" s="105"/>
    </row>
    <row r="3737">
      <c r="A3737" s="103" t="s">
        <v>4676</v>
      </c>
      <c r="B3737" s="103">
        <v>1.100139099E9</v>
      </c>
      <c r="C3737" s="105"/>
      <c r="D3737" s="104" t="s">
        <v>15891</v>
      </c>
      <c r="E3737" s="106"/>
      <c r="F3737" s="103" t="s">
        <v>4678</v>
      </c>
      <c r="G3737" s="103" t="s">
        <v>4679</v>
      </c>
      <c r="H3737" s="103" t="s">
        <v>15892</v>
      </c>
      <c r="I3737" s="103">
        <v>6.015727655E9</v>
      </c>
      <c r="J3737" s="104" t="s">
        <v>15893</v>
      </c>
      <c r="K3737" s="107" t="s">
        <v>15894</v>
      </c>
      <c r="L3737" s="105"/>
    </row>
    <row r="3738">
      <c r="A3738" s="103" t="s">
        <v>4676</v>
      </c>
      <c r="B3738" s="103">
        <v>1.10013909901E11</v>
      </c>
      <c r="C3738" s="105"/>
      <c r="D3738" s="104" t="s">
        <v>15895</v>
      </c>
      <c r="E3738" s="104" t="s">
        <v>15896</v>
      </c>
      <c r="F3738" s="103" t="s">
        <v>4678</v>
      </c>
      <c r="G3738" s="103" t="s">
        <v>4679</v>
      </c>
      <c r="H3738" s="103" t="s">
        <v>15897</v>
      </c>
      <c r="I3738" s="103">
        <v>6.015727655E9</v>
      </c>
      <c r="J3738" s="104" t="s">
        <v>15898</v>
      </c>
      <c r="K3738" s="105"/>
      <c r="L3738" s="105"/>
    </row>
    <row r="3739">
      <c r="A3739" s="103" t="s">
        <v>4676</v>
      </c>
      <c r="B3739" s="103">
        <v>1.100139154E9</v>
      </c>
      <c r="C3739" s="105"/>
      <c r="D3739" s="104" t="s">
        <v>15899</v>
      </c>
      <c r="E3739" s="106"/>
      <c r="F3739" s="103" t="s">
        <v>4678</v>
      </c>
      <c r="G3739" s="103" t="s">
        <v>4679</v>
      </c>
      <c r="H3739" s="103" t="s">
        <v>15900</v>
      </c>
      <c r="I3739" s="103">
        <v>3.183023024E9</v>
      </c>
      <c r="J3739" s="104" t="s">
        <v>15901</v>
      </c>
      <c r="K3739" s="107" t="s">
        <v>15902</v>
      </c>
      <c r="L3739" s="105"/>
    </row>
    <row r="3740">
      <c r="A3740" s="103" t="s">
        <v>4676</v>
      </c>
      <c r="B3740" s="103">
        <v>1.10013915401E11</v>
      </c>
      <c r="C3740" s="105"/>
      <c r="D3740" s="104" t="s">
        <v>15899</v>
      </c>
      <c r="E3740" s="104" t="s">
        <v>15903</v>
      </c>
      <c r="F3740" s="103" t="s">
        <v>4678</v>
      </c>
      <c r="G3740" s="103" t="s">
        <v>4679</v>
      </c>
      <c r="H3740" s="103" t="s">
        <v>15904</v>
      </c>
      <c r="I3740" s="103">
        <v>3.183023024E9</v>
      </c>
      <c r="J3740" s="104" t="s">
        <v>15901</v>
      </c>
      <c r="K3740" s="105"/>
      <c r="L3740" s="105"/>
    </row>
    <row r="3741">
      <c r="A3741" s="103" t="s">
        <v>4676</v>
      </c>
      <c r="B3741" s="103">
        <v>1.10013916E9</v>
      </c>
      <c r="C3741" s="105"/>
      <c r="D3741" s="104" t="s">
        <v>15905</v>
      </c>
      <c r="E3741" s="106"/>
      <c r="F3741" s="103" t="s">
        <v>4678</v>
      </c>
      <c r="G3741" s="103" t="s">
        <v>4679</v>
      </c>
      <c r="H3741" s="103" t="s">
        <v>15906</v>
      </c>
      <c r="I3741" s="103">
        <v>6.016533063E9</v>
      </c>
      <c r="J3741" s="104" t="s">
        <v>15907</v>
      </c>
      <c r="K3741" s="107" t="s">
        <v>15908</v>
      </c>
      <c r="L3741" s="105"/>
    </row>
    <row r="3742">
      <c r="A3742" s="103" t="s">
        <v>4676</v>
      </c>
      <c r="B3742" s="103">
        <v>1.10013916001E11</v>
      </c>
      <c r="C3742" s="105"/>
      <c r="D3742" s="104" t="s">
        <v>15905</v>
      </c>
      <c r="E3742" s="104" t="s">
        <v>15909</v>
      </c>
      <c r="F3742" s="103" t="s">
        <v>4678</v>
      </c>
      <c r="G3742" s="103" t="s">
        <v>4679</v>
      </c>
      <c r="H3742" s="103" t="s">
        <v>15906</v>
      </c>
      <c r="I3742" s="103">
        <v>3.115023907E9</v>
      </c>
      <c r="J3742" s="104" t="s">
        <v>15907</v>
      </c>
      <c r="K3742" s="105"/>
      <c r="L3742" s="105"/>
    </row>
    <row r="3743">
      <c r="A3743" s="103" t="s">
        <v>4676</v>
      </c>
      <c r="B3743" s="103">
        <v>1.10013916002E11</v>
      </c>
      <c r="C3743" s="105"/>
      <c r="D3743" s="104" t="s">
        <v>15910</v>
      </c>
      <c r="E3743" s="104" t="s">
        <v>15911</v>
      </c>
      <c r="F3743" s="103" t="s">
        <v>4678</v>
      </c>
      <c r="G3743" s="103" t="s">
        <v>4679</v>
      </c>
      <c r="H3743" s="103" t="s">
        <v>15912</v>
      </c>
      <c r="I3743" s="103">
        <v>3.01573887E9</v>
      </c>
      <c r="J3743" s="104" t="s">
        <v>15913</v>
      </c>
      <c r="K3743" s="105"/>
      <c r="L3743" s="105"/>
    </row>
    <row r="3744">
      <c r="A3744" s="103" t="s">
        <v>4676</v>
      </c>
      <c r="B3744" s="103">
        <v>1.100139168E9</v>
      </c>
      <c r="C3744" s="105"/>
      <c r="D3744" s="104" t="s">
        <v>15914</v>
      </c>
      <c r="E3744" s="106"/>
      <c r="F3744" s="103" t="s">
        <v>4678</v>
      </c>
      <c r="G3744" s="103" t="s">
        <v>4679</v>
      </c>
      <c r="H3744" s="103" t="s">
        <v>15915</v>
      </c>
      <c r="I3744" s="103">
        <v>3.202036314E9</v>
      </c>
      <c r="J3744" s="104" t="s">
        <v>15916</v>
      </c>
      <c r="K3744" s="107" t="s">
        <v>15917</v>
      </c>
      <c r="L3744" s="105"/>
    </row>
    <row r="3745">
      <c r="A3745" s="103" t="s">
        <v>4676</v>
      </c>
      <c r="B3745" s="103">
        <v>1.10013916801E11</v>
      </c>
      <c r="C3745" s="105"/>
      <c r="D3745" s="104" t="s">
        <v>15914</v>
      </c>
      <c r="E3745" s="104" t="s">
        <v>15918</v>
      </c>
      <c r="F3745" s="103" t="s">
        <v>4678</v>
      </c>
      <c r="G3745" s="103" t="s">
        <v>4679</v>
      </c>
      <c r="H3745" s="103" t="s">
        <v>15915</v>
      </c>
      <c r="I3745" s="103">
        <v>3.202036314E9</v>
      </c>
      <c r="J3745" s="104" t="s">
        <v>15916</v>
      </c>
      <c r="K3745" s="105"/>
      <c r="L3745" s="105"/>
    </row>
    <row r="3746">
      <c r="A3746" s="103" t="s">
        <v>4676</v>
      </c>
      <c r="B3746" s="103">
        <v>1.100139169E9</v>
      </c>
      <c r="C3746" s="105"/>
      <c r="D3746" s="104" t="s">
        <v>15919</v>
      </c>
      <c r="E3746" s="106"/>
      <c r="F3746" s="103" t="s">
        <v>4678</v>
      </c>
      <c r="G3746" s="103" t="s">
        <v>4679</v>
      </c>
      <c r="H3746" s="103" t="s">
        <v>15920</v>
      </c>
      <c r="I3746" s="103">
        <v>3.173705208E9</v>
      </c>
      <c r="J3746" s="104" t="s">
        <v>15921</v>
      </c>
      <c r="K3746" s="105"/>
      <c r="L3746" s="105"/>
    </row>
    <row r="3747">
      <c r="A3747" s="103" t="s">
        <v>4676</v>
      </c>
      <c r="B3747" s="103">
        <v>1.10013916901E11</v>
      </c>
      <c r="C3747" s="105"/>
      <c r="D3747" s="104" t="s">
        <v>15922</v>
      </c>
      <c r="E3747" s="104" t="s">
        <v>15923</v>
      </c>
      <c r="F3747" s="103" t="s">
        <v>4678</v>
      </c>
      <c r="G3747" s="103" t="s">
        <v>4679</v>
      </c>
      <c r="H3747" s="103" t="s">
        <v>15920</v>
      </c>
      <c r="I3747" s="103">
        <v>3.173705208E9</v>
      </c>
      <c r="J3747" s="104" t="s">
        <v>15921</v>
      </c>
      <c r="K3747" s="105"/>
      <c r="L3747" s="105"/>
    </row>
    <row r="3748">
      <c r="A3748" s="103" t="s">
        <v>4676</v>
      </c>
      <c r="B3748" s="103">
        <v>1.100139201E9</v>
      </c>
      <c r="C3748" s="105"/>
      <c r="D3748" s="104" t="s">
        <v>15924</v>
      </c>
      <c r="E3748" s="106"/>
      <c r="F3748" s="103" t="s">
        <v>4678</v>
      </c>
      <c r="G3748" s="103" t="s">
        <v>4679</v>
      </c>
      <c r="H3748" s="103" t="s">
        <v>15925</v>
      </c>
      <c r="I3748" s="103">
        <v>3.174368179E9</v>
      </c>
      <c r="J3748" s="104" t="s">
        <v>15926</v>
      </c>
      <c r="K3748" s="107" t="s">
        <v>15927</v>
      </c>
      <c r="L3748" s="105"/>
    </row>
    <row r="3749">
      <c r="A3749" s="103" t="s">
        <v>4676</v>
      </c>
      <c r="B3749" s="103">
        <v>1.10013920101E11</v>
      </c>
      <c r="C3749" s="105"/>
      <c r="D3749" s="104" t="s">
        <v>15928</v>
      </c>
      <c r="E3749" s="104" t="s">
        <v>15929</v>
      </c>
      <c r="F3749" s="103" t="s">
        <v>4678</v>
      </c>
      <c r="G3749" s="103" t="s">
        <v>4679</v>
      </c>
      <c r="H3749" s="103" t="s">
        <v>15930</v>
      </c>
      <c r="I3749" s="103">
        <v>3.174368179E9</v>
      </c>
      <c r="J3749" s="104" t="s">
        <v>15926</v>
      </c>
      <c r="K3749" s="105"/>
      <c r="L3749" s="105"/>
    </row>
    <row r="3750">
      <c r="A3750" s="103" t="s">
        <v>4676</v>
      </c>
      <c r="B3750" s="103">
        <v>1.100139202E9</v>
      </c>
      <c r="C3750" s="105"/>
      <c r="D3750" s="104" t="s">
        <v>15931</v>
      </c>
      <c r="E3750" s="106"/>
      <c r="F3750" s="103" t="s">
        <v>4678</v>
      </c>
      <c r="G3750" s="103" t="s">
        <v>4679</v>
      </c>
      <c r="H3750" s="103" t="s">
        <v>15932</v>
      </c>
      <c r="I3750" s="103">
        <v>3.104377394E9</v>
      </c>
      <c r="J3750" s="104" t="s">
        <v>15933</v>
      </c>
      <c r="K3750" s="107" t="s">
        <v>15934</v>
      </c>
      <c r="L3750" s="105"/>
    </row>
    <row r="3751">
      <c r="A3751" s="103" t="s">
        <v>4676</v>
      </c>
      <c r="B3751" s="103">
        <v>1.10013920201E11</v>
      </c>
      <c r="C3751" s="105"/>
      <c r="D3751" s="104" t="s">
        <v>15935</v>
      </c>
      <c r="E3751" s="104" t="s">
        <v>15936</v>
      </c>
      <c r="F3751" s="103" t="s">
        <v>4678</v>
      </c>
      <c r="G3751" s="103" t="s">
        <v>4679</v>
      </c>
      <c r="H3751" s="103" t="s">
        <v>15932</v>
      </c>
      <c r="I3751" s="103">
        <v>3.134060043E9</v>
      </c>
      <c r="J3751" s="104" t="s">
        <v>15933</v>
      </c>
      <c r="K3751" s="105"/>
      <c r="L3751" s="105"/>
    </row>
    <row r="3752">
      <c r="A3752" s="103" t="s">
        <v>4676</v>
      </c>
      <c r="B3752" s="103">
        <v>1.100139241E9</v>
      </c>
      <c r="C3752" s="105"/>
      <c r="D3752" s="104" t="s">
        <v>15937</v>
      </c>
      <c r="E3752" s="106"/>
      <c r="F3752" s="103" t="s">
        <v>4678</v>
      </c>
      <c r="G3752" s="103" t="s">
        <v>4679</v>
      </c>
      <c r="H3752" s="103" t="s">
        <v>15938</v>
      </c>
      <c r="I3752" s="103">
        <v>3.022523001E9</v>
      </c>
      <c r="J3752" s="104" t="s">
        <v>15939</v>
      </c>
      <c r="K3752" s="107" t="s">
        <v>15940</v>
      </c>
      <c r="L3752" s="105"/>
    </row>
    <row r="3753">
      <c r="A3753" s="103" t="s">
        <v>4676</v>
      </c>
      <c r="B3753" s="103">
        <v>1.10013924101E11</v>
      </c>
      <c r="C3753" s="105"/>
      <c r="D3753" s="104" t="s">
        <v>15937</v>
      </c>
      <c r="E3753" s="104" t="s">
        <v>15941</v>
      </c>
      <c r="F3753" s="103" t="s">
        <v>4678</v>
      </c>
      <c r="G3753" s="103" t="s">
        <v>4679</v>
      </c>
      <c r="H3753" s="103" t="s">
        <v>15938</v>
      </c>
      <c r="I3753" s="103">
        <v>3.022523001E9</v>
      </c>
      <c r="J3753" s="104" t="s">
        <v>15939</v>
      </c>
      <c r="K3753" s="105"/>
      <c r="L3753" s="105"/>
    </row>
    <row r="3754">
      <c r="A3754" s="103" t="s">
        <v>4676</v>
      </c>
      <c r="B3754" s="103">
        <v>1.100139261E9</v>
      </c>
      <c r="C3754" s="105"/>
      <c r="D3754" s="104" t="s">
        <v>15942</v>
      </c>
      <c r="E3754" s="106"/>
      <c r="F3754" s="103" t="s">
        <v>4678</v>
      </c>
      <c r="G3754" s="103" t="s">
        <v>4679</v>
      </c>
      <c r="H3754" s="103" t="s">
        <v>15943</v>
      </c>
      <c r="I3754" s="103">
        <v>3.108743839E9</v>
      </c>
      <c r="J3754" s="104" t="s">
        <v>15944</v>
      </c>
      <c r="K3754" s="105"/>
      <c r="L3754" s="105"/>
    </row>
    <row r="3755">
      <c r="A3755" s="103" t="s">
        <v>4676</v>
      </c>
      <c r="B3755" s="103">
        <v>1.10013926101E11</v>
      </c>
      <c r="C3755" s="105"/>
      <c r="D3755" s="104" t="s">
        <v>15942</v>
      </c>
      <c r="E3755" s="104" t="s">
        <v>15945</v>
      </c>
      <c r="F3755" s="103" t="s">
        <v>4678</v>
      </c>
      <c r="G3755" s="103" t="s">
        <v>4679</v>
      </c>
      <c r="H3755" s="103" t="s">
        <v>15943</v>
      </c>
      <c r="I3755" s="103">
        <v>3.108743839E9</v>
      </c>
      <c r="J3755" s="104" t="s">
        <v>15944</v>
      </c>
      <c r="K3755" s="105"/>
      <c r="L3755" s="105"/>
    </row>
    <row r="3756">
      <c r="A3756" s="103" t="s">
        <v>4676</v>
      </c>
      <c r="B3756" s="103">
        <v>1.100139296E9</v>
      </c>
      <c r="C3756" s="105"/>
      <c r="D3756" s="104" t="s">
        <v>15946</v>
      </c>
      <c r="E3756" s="106"/>
      <c r="F3756" s="103" t="s">
        <v>4678</v>
      </c>
      <c r="G3756" s="103" t="s">
        <v>4679</v>
      </c>
      <c r="H3756" s="103" t="s">
        <v>15947</v>
      </c>
      <c r="I3756" s="103">
        <v>3.14224924E9</v>
      </c>
      <c r="J3756" s="104" t="s">
        <v>15948</v>
      </c>
      <c r="K3756" s="105"/>
      <c r="L3756" s="105"/>
    </row>
    <row r="3757">
      <c r="A3757" s="103" t="s">
        <v>4676</v>
      </c>
      <c r="B3757" s="103">
        <v>1.10013929601E11</v>
      </c>
      <c r="C3757" s="105"/>
      <c r="D3757" s="104" t="s">
        <v>15949</v>
      </c>
      <c r="E3757" s="104" t="s">
        <v>15950</v>
      </c>
      <c r="F3757" s="103" t="s">
        <v>4678</v>
      </c>
      <c r="G3757" s="103" t="s">
        <v>4679</v>
      </c>
      <c r="H3757" s="103" t="s">
        <v>15947</v>
      </c>
      <c r="I3757" s="103">
        <v>3.14224924E9</v>
      </c>
      <c r="J3757" s="104" t="s">
        <v>15948</v>
      </c>
      <c r="K3757" s="105"/>
      <c r="L3757" s="105"/>
    </row>
    <row r="3758">
      <c r="A3758" s="103" t="s">
        <v>4676</v>
      </c>
      <c r="B3758" s="103">
        <v>1.10013931E9</v>
      </c>
      <c r="C3758" s="105"/>
      <c r="D3758" s="104" t="s">
        <v>15951</v>
      </c>
      <c r="E3758" s="106"/>
      <c r="F3758" s="103" t="s">
        <v>4678</v>
      </c>
      <c r="G3758" s="103" t="s">
        <v>4679</v>
      </c>
      <c r="H3758" s="103" t="s">
        <v>15952</v>
      </c>
      <c r="I3758" s="103">
        <v>3.123530163E9</v>
      </c>
      <c r="J3758" s="104" t="s">
        <v>15953</v>
      </c>
      <c r="K3758" s="105"/>
      <c r="L3758" s="105"/>
    </row>
    <row r="3759">
      <c r="A3759" s="103" t="s">
        <v>4676</v>
      </c>
      <c r="B3759" s="103">
        <v>1.10013931001E11</v>
      </c>
      <c r="C3759" s="105"/>
      <c r="D3759" s="104" t="s">
        <v>15951</v>
      </c>
      <c r="E3759" s="104" t="s">
        <v>15954</v>
      </c>
      <c r="F3759" s="103" t="s">
        <v>4678</v>
      </c>
      <c r="G3759" s="103" t="s">
        <v>4679</v>
      </c>
      <c r="H3759" s="103" t="s">
        <v>15955</v>
      </c>
      <c r="I3759" s="103">
        <v>3.123530163E9</v>
      </c>
      <c r="J3759" s="104" t="s">
        <v>15953</v>
      </c>
      <c r="K3759" s="105"/>
      <c r="L3759" s="105"/>
    </row>
    <row r="3760">
      <c r="A3760" s="103" t="s">
        <v>4676</v>
      </c>
      <c r="B3760" s="103">
        <v>1.100139337E9</v>
      </c>
      <c r="C3760" s="105"/>
      <c r="D3760" s="104" t="s">
        <v>15956</v>
      </c>
      <c r="E3760" s="106"/>
      <c r="F3760" s="103" t="s">
        <v>4678</v>
      </c>
      <c r="G3760" s="103" t="s">
        <v>4679</v>
      </c>
      <c r="H3760" s="103" t="s">
        <v>15957</v>
      </c>
      <c r="I3760" s="103">
        <v>3.176471638E9</v>
      </c>
      <c r="J3760" s="104" t="s">
        <v>15958</v>
      </c>
      <c r="K3760" s="105"/>
      <c r="L3760" s="105"/>
    </row>
    <row r="3761">
      <c r="A3761" s="103" t="s">
        <v>4676</v>
      </c>
      <c r="B3761" s="103">
        <v>1.10013933701E11</v>
      </c>
      <c r="C3761" s="105"/>
      <c r="D3761" s="104" t="s">
        <v>15956</v>
      </c>
      <c r="E3761" s="104" t="s">
        <v>15959</v>
      </c>
      <c r="F3761" s="103" t="s">
        <v>4678</v>
      </c>
      <c r="G3761" s="103" t="s">
        <v>4679</v>
      </c>
      <c r="H3761" s="103" t="s">
        <v>15957</v>
      </c>
      <c r="I3761" s="103">
        <v>3.176471638E9</v>
      </c>
      <c r="J3761" s="104" t="s">
        <v>15958</v>
      </c>
      <c r="K3761" s="105"/>
      <c r="L3761" s="105"/>
    </row>
    <row r="3762">
      <c r="A3762" s="103" t="s">
        <v>4676</v>
      </c>
      <c r="B3762" s="103">
        <v>1.100139355E9</v>
      </c>
      <c r="C3762" s="105"/>
      <c r="D3762" s="104" t="s">
        <v>15960</v>
      </c>
      <c r="E3762" s="106"/>
      <c r="F3762" s="103" t="s">
        <v>4678</v>
      </c>
      <c r="G3762" s="103" t="s">
        <v>4679</v>
      </c>
      <c r="H3762" s="103" t="s">
        <v>15961</v>
      </c>
      <c r="I3762" s="103">
        <v>3.057367025E9</v>
      </c>
      <c r="J3762" s="104" t="s">
        <v>15962</v>
      </c>
      <c r="K3762" s="107" t="s">
        <v>15963</v>
      </c>
      <c r="L3762" s="105"/>
    </row>
    <row r="3763">
      <c r="A3763" s="103" t="s">
        <v>4676</v>
      </c>
      <c r="B3763" s="103">
        <v>1.10013935501E11</v>
      </c>
      <c r="C3763" s="105"/>
      <c r="D3763" s="104" t="s">
        <v>15960</v>
      </c>
      <c r="E3763" s="104" t="s">
        <v>15964</v>
      </c>
      <c r="F3763" s="103" t="s">
        <v>4678</v>
      </c>
      <c r="G3763" s="103" t="s">
        <v>4679</v>
      </c>
      <c r="H3763" s="103" t="s">
        <v>15961</v>
      </c>
      <c r="I3763" s="103">
        <v>3.057367025E9</v>
      </c>
      <c r="J3763" s="104" t="s">
        <v>15962</v>
      </c>
      <c r="K3763" s="105"/>
      <c r="L3763" s="105"/>
    </row>
    <row r="3764">
      <c r="A3764" s="103" t="s">
        <v>4676</v>
      </c>
      <c r="B3764" s="103">
        <v>1.100139384E9</v>
      </c>
      <c r="C3764" s="105"/>
      <c r="D3764" s="104" t="s">
        <v>15965</v>
      </c>
      <c r="E3764" s="106"/>
      <c r="F3764" s="103" t="s">
        <v>4678</v>
      </c>
      <c r="G3764" s="103" t="s">
        <v>4679</v>
      </c>
      <c r="H3764" s="103" t="s">
        <v>15966</v>
      </c>
      <c r="I3764" s="103">
        <v>3.214327376E9</v>
      </c>
      <c r="J3764" s="104" t="s">
        <v>15967</v>
      </c>
      <c r="K3764" s="105"/>
      <c r="L3764" s="105"/>
    </row>
    <row r="3765">
      <c r="A3765" s="103" t="s">
        <v>4676</v>
      </c>
      <c r="B3765" s="103">
        <v>1.10013938401E11</v>
      </c>
      <c r="C3765" s="105"/>
      <c r="D3765" s="104" t="s">
        <v>15968</v>
      </c>
      <c r="E3765" s="104" t="s">
        <v>15969</v>
      </c>
      <c r="F3765" s="103" t="s">
        <v>4678</v>
      </c>
      <c r="G3765" s="103" t="s">
        <v>4679</v>
      </c>
      <c r="H3765" s="103" t="s">
        <v>15970</v>
      </c>
      <c r="I3765" s="103">
        <v>3.214327376E9</v>
      </c>
      <c r="J3765" s="104" t="s">
        <v>15967</v>
      </c>
      <c r="K3765" s="105"/>
      <c r="L3765" s="105"/>
    </row>
    <row r="3766">
      <c r="A3766" s="103" t="s">
        <v>4676</v>
      </c>
      <c r="B3766" s="103">
        <v>1.100139389E9</v>
      </c>
      <c r="C3766" s="105"/>
      <c r="D3766" s="104" t="s">
        <v>15971</v>
      </c>
      <c r="E3766" s="106"/>
      <c r="F3766" s="103" t="s">
        <v>4678</v>
      </c>
      <c r="G3766" s="103" t="s">
        <v>4679</v>
      </c>
      <c r="H3766" s="103" t="s">
        <v>15972</v>
      </c>
      <c r="I3766" s="103">
        <v>7044648.0</v>
      </c>
      <c r="J3766" s="104" t="s">
        <v>15973</v>
      </c>
      <c r="K3766" s="107" t="s">
        <v>15974</v>
      </c>
      <c r="L3766" s="105"/>
    </row>
    <row r="3767">
      <c r="A3767" s="103" t="s">
        <v>4676</v>
      </c>
      <c r="B3767" s="103">
        <v>1.10013938901E11</v>
      </c>
      <c r="C3767" s="105"/>
      <c r="D3767" s="104" t="s">
        <v>15975</v>
      </c>
      <c r="E3767" s="104" t="s">
        <v>15976</v>
      </c>
      <c r="F3767" s="103" t="s">
        <v>4678</v>
      </c>
      <c r="G3767" s="103" t="s">
        <v>4679</v>
      </c>
      <c r="H3767" s="103" t="s">
        <v>15977</v>
      </c>
      <c r="I3767" s="103">
        <v>7044648.0</v>
      </c>
      <c r="J3767" s="104" t="s">
        <v>15973</v>
      </c>
      <c r="K3767" s="105"/>
      <c r="L3767" s="105"/>
    </row>
    <row r="3768">
      <c r="A3768" s="103" t="s">
        <v>4676</v>
      </c>
      <c r="B3768" s="103">
        <v>1.10013944E9</v>
      </c>
      <c r="C3768" s="105"/>
      <c r="D3768" s="104" t="s">
        <v>15978</v>
      </c>
      <c r="E3768" s="106"/>
      <c r="F3768" s="103" t="s">
        <v>4678</v>
      </c>
      <c r="G3768" s="103" t="s">
        <v>4679</v>
      </c>
      <c r="H3768" s="103" t="s">
        <v>15979</v>
      </c>
      <c r="I3768" s="103">
        <v>3.507108887E9</v>
      </c>
      <c r="J3768" s="104" t="s">
        <v>15980</v>
      </c>
      <c r="K3768" s="103" t="s">
        <v>15712</v>
      </c>
      <c r="L3768" s="105"/>
    </row>
    <row r="3769">
      <c r="A3769" s="103" t="s">
        <v>4676</v>
      </c>
      <c r="B3769" s="103">
        <v>1.10013944001E11</v>
      </c>
      <c r="C3769" s="105"/>
      <c r="D3769" s="104" t="s">
        <v>15978</v>
      </c>
      <c r="E3769" s="104" t="s">
        <v>15981</v>
      </c>
      <c r="F3769" s="103" t="s">
        <v>4678</v>
      </c>
      <c r="G3769" s="103" t="s">
        <v>4679</v>
      </c>
      <c r="H3769" s="103" t="s">
        <v>15979</v>
      </c>
      <c r="I3769" s="103">
        <v>3.507108887E9</v>
      </c>
      <c r="J3769" s="104" t="s">
        <v>15980</v>
      </c>
      <c r="K3769" s="105"/>
      <c r="L3769" s="105"/>
    </row>
    <row r="3770">
      <c r="A3770" s="103" t="s">
        <v>4676</v>
      </c>
      <c r="B3770" s="103">
        <v>1.100139443E9</v>
      </c>
      <c r="C3770" s="105"/>
      <c r="D3770" s="104" t="s">
        <v>15982</v>
      </c>
      <c r="E3770" s="106"/>
      <c r="F3770" s="103" t="s">
        <v>4678</v>
      </c>
      <c r="G3770" s="103" t="s">
        <v>4679</v>
      </c>
      <c r="H3770" s="103" t="s">
        <v>15983</v>
      </c>
      <c r="I3770" s="103">
        <v>3.203535405E9</v>
      </c>
      <c r="J3770" s="104" t="s">
        <v>15984</v>
      </c>
      <c r="K3770" s="103" t="s">
        <v>15985</v>
      </c>
      <c r="L3770" s="105"/>
    </row>
    <row r="3771">
      <c r="A3771" s="103" t="s">
        <v>4676</v>
      </c>
      <c r="B3771" s="103">
        <v>1.10013944301E11</v>
      </c>
      <c r="C3771" s="105"/>
      <c r="D3771" s="104" t="s">
        <v>15982</v>
      </c>
      <c r="E3771" s="104" t="s">
        <v>15986</v>
      </c>
      <c r="F3771" s="103" t="s">
        <v>4678</v>
      </c>
      <c r="G3771" s="103" t="s">
        <v>4679</v>
      </c>
      <c r="H3771" s="103" t="s">
        <v>15983</v>
      </c>
      <c r="I3771" s="103">
        <v>3.203535405E9</v>
      </c>
      <c r="J3771" s="104" t="s">
        <v>15984</v>
      </c>
      <c r="K3771" s="105"/>
      <c r="L3771" s="105"/>
    </row>
    <row r="3772">
      <c r="A3772" s="103" t="s">
        <v>4676</v>
      </c>
      <c r="B3772" s="103">
        <v>1.100139466E9</v>
      </c>
      <c r="C3772" s="105"/>
      <c r="D3772" s="104" t="s">
        <v>15987</v>
      </c>
      <c r="E3772" s="106"/>
      <c r="F3772" s="103" t="s">
        <v>4678</v>
      </c>
      <c r="G3772" s="103" t="s">
        <v>4679</v>
      </c>
      <c r="H3772" s="103" t="s">
        <v>15988</v>
      </c>
      <c r="I3772" s="103">
        <v>3.147752016E9</v>
      </c>
      <c r="J3772" s="104" t="s">
        <v>15989</v>
      </c>
      <c r="K3772" s="105"/>
      <c r="L3772" s="105"/>
    </row>
    <row r="3773">
      <c r="A3773" s="103" t="s">
        <v>4676</v>
      </c>
      <c r="B3773" s="103">
        <v>1.10013946601E11</v>
      </c>
      <c r="C3773" s="105"/>
      <c r="D3773" s="104" t="s">
        <v>15987</v>
      </c>
      <c r="E3773" s="104" t="s">
        <v>15990</v>
      </c>
      <c r="F3773" s="103" t="s">
        <v>4678</v>
      </c>
      <c r="G3773" s="103" t="s">
        <v>4679</v>
      </c>
      <c r="H3773" s="103" t="s">
        <v>15988</v>
      </c>
      <c r="I3773" s="103">
        <v>3.147752016E9</v>
      </c>
      <c r="J3773" s="104" t="s">
        <v>15989</v>
      </c>
      <c r="K3773" s="105"/>
      <c r="L3773" s="105"/>
    </row>
    <row r="3774">
      <c r="A3774" s="103" t="s">
        <v>4676</v>
      </c>
      <c r="B3774" s="103">
        <v>1.100139473E9</v>
      </c>
      <c r="C3774" s="105"/>
      <c r="D3774" s="104" t="s">
        <v>15991</v>
      </c>
      <c r="E3774" s="106"/>
      <c r="F3774" s="103" t="s">
        <v>4678</v>
      </c>
      <c r="G3774" s="103" t="s">
        <v>4679</v>
      </c>
      <c r="H3774" s="103" t="s">
        <v>15992</v>
      </c>
      <c r="I3774" s="103">
        <v>3.014904827E9</v>
      </c>
      <c r="J3774" s="104" t="s">
        <v>15993</v>
      </c>
      <c r="K3774" s="107" t="s">
        <v>15994</v>
      </c>
      <c r="L3774" s="105"/>
    </row>
    <row r="3775">
      <c r="A3775" s="103" t="s">
        <v>4676</v>
      </c>
      <c r="B3775" s="103">
        <v>1.10013947301E11</v>
      </c>
      <c r="C3775" s="105"/>
      <c r="D3775" s="104" t="s">
        <v>15995</v>
      </c>
      <c r="E3775" s="104" t="s">
        <v>15996</v>
      </c>
      <c r="F3775" s="103" t="s">
        <v>4678</v>
      </c>
      <c r="G3775" s="103" t="s">
        <v>4679</v>
      </c>
      <c r="H3775" s="103" t="s">
        <v>15997</v>
      </c>
      <c r="I3775" s="103">
        <v>3.014904827E9</v>
      </c>
      <c r="J3775" s="104" t="s">
        <v>15993</v>
      </c>
      <c r="K3775" s="105"/>
      <c r="L3775" s="105"/>
    </row>
    <row r="3776">
      <c r="A3776" s="103" t="s">
        <v>4676</v>
      </c>
      <c r="B3776" s="103">
        <v>1.100139502E9</v>
      </c>
      <c r="C3776" s="105"/>
      <c r="D3776" s="104" t="s">
        <v>15998</v>
      </c>
      <c r="E3776" s="106"/>
      <c r="F3776" s="103" t="s">
        <v>4678</v>
      </c>
      <c r="G3776" s="103" t="s">
        <v>4679</v>
      </c>
      <c r="H3776" s="103" t="s">
        <v>15999</v>
      </c>
      <c r="I3776" s="103">
        <v>3.103920937E9</v>
      </c>
      <c r="J3776" s="104" t="s">
        <v>16000</v>
      </c>
      <c r="K3776" s="107" t="s">
        <v>16001</v>
      </c>
      <c r="L3776" s="105"/>
    </row>
    <row r="3777">
      <c r="A3777" s="103" t="s">
        <v>4676</v>
      </c>
      <c r="B3777" s="103">
        <v>1.10013950201E11</v>
      </c>
      <c r="C3777" s="105"/>
      <c r="D3777" s="104" t="s">
        <v>15998</v>
      </c>
      <c r="E3777" s="104" t="s">
        <v>16002</v>
      </c>
      <c r="F3777" s="103" t="s">
        <v>4678</v>
      </c>
      <c r="G3777" s="103" t="s">
        <v>4679</v>
      </c>
      <c r="H3777" s="103" t="s">
        <v>15999</v>
      </c>
      <c r="I3777" s="103">
        <v>3.103920937E9</v>
      </c>
      <c r="J3777" s="104" t="s">
        <v>16000</v>
      </c>
      <c r="K3777" s="105"/>
      <c r="L3777" s="105"/>
    </row>
    <row r="3778">
      <c r="A3778" s="103" t="s">
        <v>4676</v>
      </c>
      <c r="B3778" s="103">
        <v>1.100139509E9</v>
      </c>
      <c r="C3778" s="105"/>
      <c r="D3778" s="104" t="s">
        <v>16003</v>
      </c>
      <c r="E3778" s="106"/>
      <c r="F3778" s="103" t="s">
        <v>4678</v>
      </c>
      <c r="G3778" s="103" t="s">
        <v>4679</v>
      </c>
      <c r="H3778" s="103" t="s">
        <v>16004</v>
      </c>
      <c r="I3778" s="103">
        <v>3.112265426E9</v>
      </c>
      <c r="J3778" s="104" t="s">
        <v>16005</v>
      </c>
      <c r="K3778" s="107" t="s">
        <v>16006</v>
      </c>
      <c r="L3778" s="105"/>
    </row>
    <row r="3779">
      <c r="A3779" s="103" t="s">
        <v>4676</v>
      </c>
      <c r="B3779" s="103">
        <v>1.10013950901E11</v>
      </c>
      <c r="C3779" s="105"/>
      <c r="D3779" s="104" t="s">
        <v>16007</v>
      </c>
      <c r="E3779" s="104" t="s">
        <v>16008</v>
      </c>
      <c r="F3779" s="103" t="s">
        <v>4678</v>
      </c>
      <c r="G3779" s="103" t="s">
        <v>4679</v>
      </c>
      <c r="H3779" s="103" t="s">
        <v>16004</v>
      </c>
      <c r="I3779" s="103">
        <v>3.112265426E9</v>
      </c>
      <c r="J3779" s="104" t="s">
        <v>16005</v>
      </c>
      <c r="K3779" s="105"/>
      <c r="L3779" s="105"/>
    </row>
    <row r="3780">
      <c r="A3780" s="103" t="s">
        <v>4676</v>
      </c>
      <c r="B3780" s="103">
        <v>1.100139516E9</v>
      </c>
      <c r="C3780" s="105"/>
      <c r="D3780" s="104" t="s">
        <v>16009</v>
      </c>
      <c r="E3780" s="106"/>
      <c r="F3780" s="103" t="s">
        <v>4678</v>
      </c>
      <c r="G3780" s="103" t="s">
        <v>4679</v>
      </c>
      <c r="H3780" s="103" t="s">
        <v>16010</v>
      </c>
      <c r="I3780" s="103">
        <v>3.004864618E9</v>
      </c>
      <c r="J3780" s="104" t="s">
        <v>16011</v>
      </c>
      <c r="K3780" s="105"/>
      <c r="L3780" s="105"/>
    </row>
    <row r="3781">
      <c r="A3781" s="103" t="s">
        <v>4676</v>
      </c>
      <c r="B3781" s="103">
        <v>1.10013951601E11</v>
      </c>
      <c r="C3781" s="105"/>
      <c r="D3781" s="104" t="s">
        <v>16012</v>
      </c>
      <c r="E3781" s="104" t="s">
        <v>16013</v>
      </c>
      <c r="F3781" s="103" t="s">
        <v>4678</v>
      </c>
      <c r="G3781" s="103" t="s">
        <v>4679</v>
      </c>
      <c r="H3781" s="103" t="s">
        <v>16010</v>
      </c>
      <c r="I3781" s="103">
        <v>3.004864618E9</v>
      </c>
      <c r="J3781" s="104" t="s">
        <v>16011</v>
      </c>
      <c r="K3781" s="105"/>
      <c r="L3781" s="105"/>
    </row>
    <row r="3782">
      <c r="A3782" s="103" t="s">
        <v>4676</v>
      </c>
      <c r="B3782" s="103">
        <v>1.100139519E9</v>
      </c>
      <c r="C3782" s="105"/>
      <c r="D3782" s="104" t="s">
        <v>16014</v>
      </c>
      <c r="E3782" s="106"/>
      <c r="F3782" s="103" t="s">
        <v>4678</v>
      </c>
      <c r="G3782" s="103" t="s">
        <v>4679</v>
      </c>
      <c r="H3782" s="103" t="s">
        <v>16015</v>
      </c>
      <c r="I3782" s="103">
        <v>3.226066338E9</v>
      </c>
      <c r="J3782" s="104" t="s">
        <v>16016</v>
      </c>
      <c r="K3782" s="107" t="s">
        <v>16017</v>
      </c>
      <c r="L3782" s="105"/>
    </row>
    <row r="3783">
      <c r="A3783" s="103" t="s">
        <v>4676</v>
      </c>
      <c r="B3783" s="103">
        <v>1.10013951901E11</v>
      </c>
      <c r="C3783" s="105"/>
      <c r="D3783" s="104" t="s">
        <v>16014</v>
      </c>
      <c r="E3783" s="104" t="s">
        <v>16018</v>
      </c>
      <c r="F3783" s="103" t="s">
        <v>4678</v>
      </c>
      <c r="G3783" s="103" t="s">
        <v>4679</v>
      </c>
      <c r="H3783" s="103" t="s">
        <v>16015</v>
      </c>
      <c r="I3783" s="103">
        <v>3.226066338E9</v>
      </c>
      <c r="J3783" s="104" t="s">
        <v>16016</v>
      </c>
      <c r="K3783" s="105"/>
      <c r="L3783" s="105"/>
    </row>
    <row r="3784">
      <c r="A3784" s="103" t="s">
        <v>4676</v>
      </c>
      <c r="B3784" s="103">
        <v>1.100139546E9</v>
      </c>
      <c r="C3784" s="105"/>
      <c r="D3784" s="104" t="s">
        <v>16019</v>
      </c>
      <c r="E3784" s="106"/>
      <c r="F3784" s="103" t="s">
        <v>4678</v>
      </c>
      <c r="G3784" s="103" t="s">
        <v>4679</v>
      </c>
      <c r="H3784" s="103" t="s">
        <v>16020</v>
      </c>
      <c r="I3784" s="103">
        <v>3.214028257E9</v>
      </c>
      <c r="J3784" s="104" t="s">
        <v>16021</v>
      </c>
      <c r="K3784" s="105"/>
      <c r="L3784" s="105"/>
    </row>
    <row r="3785">
      <c r="A3785" s="103" t="s">
        <v>4676</v>
      </c>
      <c r="B3785" s="103">
        <v>1.10013954601E11</v>
      </c>
      <c r="C3785" s="105"/>
      <c r="D3785" s="104" t="s">
        <v>16019</v>
      </c>
      <c r="E3785" s="104" t="s">
        <v>16022</v>
      </c>
      <c r="F3785" s="103" t="s">
        <v>4678</v>
      </c>
      <c r="G3785" s="103" t="s">
        <v>4679</v>
      </c>
      <c r="H3785" s="103" t="s">
        <v>16020</v>
      </c>
      <c r="I3785" s="103">
        <v>3.214028257E9</v>
      </c>
      <c r="J3785" s="104" t="s">
        <v>16021</v>
      </c>
      <c r="K3785" s="105"/>
      <c r="L3785" s="105"/>
    </row>
    <row r="3786">
      <c r="A3786" s="103" t="s">
        <v>4676</v>
      </c>
      <c r="B3786" s="103">
        <v>1.100139547E9</v>
      </c>
      <c r="C3786" s="105"/>
      <c r="D3786" s="104" t="s">
        <v>16023</v>
      </c>
      <c r="E3786" s="106"/>
      <c r="F3786" s="103" t="s">
        <v>4678</v>
      </c>
      <c r="G3786" s="103" t="s">
        <v>4679</v>
      </c>
      <c r="H3786" s="103" t="s">
        <v>16024</v>
      </c>
      <c r="I3786" s="103">
        <v>3.004932405E9</v>
      </c>
      <c r="J3786" s="104" t="s">
        <v>16025</v>
      </c>
      <c r="K3786" s="103" t="s">
        <v>16026</v>
      </c>
      <c r="L3786" s="105"/>
    </row>
    <row r="3787">
      <c r="A3787" s="103" t="s">
        <v>4676</v>
      </c>
      <c r="B3787" s="103">
        <v>1.10013954701E11</v>
      </c>
      <c r="C3787" s="105"/>
      <c r="D3787" s="104" t="s">
        <v>16027</v>
      </c>
      <c r="E3787" s="104" t="s">
        <v>16028</v>
      </c>
      <c r="F3787" s="103" t="s">
        <v>4678</v>
      </c>
      <c r="G3787" s="103" t="s">
        <v>4679</v>
      </c>
      <c r="H3787" s="103" t="s">
        <v>16024</v>
      </c>
      <c r="I3787" s="103">
        <v>3.004932405E9</v>
      </c>
      <c r="J3787" s="104" t="s">
        <v>16025</v>
      </c>
      <c r="K3787" s="105"/>
      <c r="L3787" s="105"/>
    </row>
    <row r="3788">
      <c r="A3788" s="103" t="s">
        <v>4676</v>
      </c>
      <c r="B3788" s="103">
        <v>1.100139549E9</v>
      </c>
      <c r="C3788" s="105"/>
      <c r="D3788" s="104" t="s">
        <v>16029</v>
      </c>
      <c r="E3788" s="106"/>
      <c r="F3788" s="103" t="s">
        <v>4678</v>
      </c>
      <c r="G3788" s="103" t="s">
        <v>4679</v>
      </c>
      <c r="H3788" s="103" t="s">
        <v>16030</v>
      </c>
      <c r="I3788" s="103">
        <v>3.125756112E9</v>
      </c>
      <c r="J3788" s="104" t="s">
        <v>16031</v>
      </c>
      <c r="K3788" s="105"/>
      <c r="L3788" s="105"/>
    </row>
    <row r="3789">
      <c r="A3789" s="103" t="s">
        <v>4676</v>
      </c>
      <c r="B3789" s="103">
        <v>1.10013954901E11</v>
      </c>
      <c r="C3789" s="105"/>
      <c r="D3789" s="104" t="s">
        <v>16029</v>
      </c>
      <c r="E3789" s="104" t="s">
        <v>16032</v>
      </c>
      <c r="F3789" s="103" t="s">
        <v>4678</v>
      </c>
      <c r="G3789" s="103" t="s">
        <v>4679</v>
      </c>
      <c r="H3789" s="103" t="s">
        <v>16033</v>
      </c>
      <c r="I3789" s="103">
        <v>3.154204701E9</v>
      </c>
      <c r="J3789" s="104" t="s">
        <v>16034</v>
      </c>
      <c r="K3789" s="105"/>
      <c r="L3789" s="105"/>
    </row>
    <row r="3790">
      <c r="A3790" s="103" t="s">
        <v>4676</v>
      </c>
      <c r="B3790" s="103">
        <v>1.10013955E9</v>
      </c>
      <c r="C3790" s="105"/>
      <c r="D3790" s="104" t="s">
        <v>16035</v>
      </c>
      <c r="E3790" s="106"/>
      <c r="F3790" s="103" t="s">
        <v>4678</v>
      </c>
      <c r="G3790" s="103" t="s">
        <v>4679</v>
      </c>
      <c r="H3790" s="103" t="s">
        <v>16036</v>
      </c>
      <c r="I3790" s="103">
        <v>3.143064033E9</v>
      </c>
      <c r="J3790" s="104" t="s">
        <v>16037</v>
      </c>
      <c r="K3790" s="107" t="s">
        <v>16038</v>
      </c>
      <c r="L3790" s="105"/>
    </row>
    <row r="3791">
      <c r="A3791" s="103" t="s">
        <v>4676</v>
      </c>
      <c r="B3791" s="103">
        <v>1.10013955001E11</v>
      </c>
      <c r="C3791" s="105"/>
      <c r="D3791" s="104" t="s">
        <v>16035</v>
      </c>
      <c r="E3791" s="104" t="s">
        <v>16039</v>
      </c>
      <c r="F3791" s="103" t="s">
        <v>4678</v>
      </c>
      <c r="G3791" s="103" t="s">
        <v>4679</v>
      </c>
      <c r="H3791" s="103" t="s">
        <v>16040</v>
      </c>
      <c r="I3791" s="103">
        <v>3.143064033E9</v>
      </c>
      <c r="J3791" s="104" t="s">
        <v>16037</v>
      </c>
      <c r="K3791" s="105"/>
      <c r="L3791" s="105"/>
    </row>
    <row r="3792">
      <c r="A3792" s="103" t="s">
        <v>4676</v>
      </c>
      <c r="B3792" s="103">
        <v>1.100139551E9</v>
      </c>
      <c r="C3792" s="105"/>
      <c r="D3792" s="104" t="s">
        <v>16041</v>
      </c>
      <c r="E3792" s="106"/>
      <c r="F3792" s="103" t="s">
        <v>4678</v>
      </c>
      <c r="G3792" s="103" t="s">
        <v>4679</v>
      </c>
      <c r="H3792" s="103" t="s">
        <v>16042</v>
      </c>
      <c r="I3792" s="103">
        <v>3.178877548E9</v>
      </c>
      <c r="J3792" s="104" t="s">
        <v>16043</v>
      </c>
      <c r="K3792" s="107" t="s">
        <v>16044</v>
      </c>
      <c r="L3792" s="105"/>
    </row>
    <row r="3793">
      <c r="A3793" s="103" t="s">
        <v>4676</v>
      </c>
      <c r="B3793" s="103">
        <v>1.10013955101E11</v>
      </c>
      <c r="C3793" s="105"/>
      <c r="D3793" s="104" t="s">
        <v>16041</v>
      </c>
      <c r="E3793" s="104" t="s">
        <v>16045</v>
      </c>
      <c r="F3793" s="103" t="s">
        <v>4678</v>
      </c>
      <c r="G3793" s="103" t="s">
        <v>4679</v>
      </c>
      <c r="H3793" s="103" t="s">
        <v>16046</v>
      </c>
      <c r="I3793" s="103">
        <v>6.017033306E9</v>
      </c>
      <c r="J3793" s="104" t="s">
        <v>16043</v>
      </c>
      <c r="K3793" s="105"/>
      <c r="L3793" s="105"/>
    </row>
    <row r="3794">
      <c r="A3794" s="103" t="s">
        <v>4676</v>
      </c>
      <c r="B3794" s="103">
        <v>1.100139552E9</v>
      </c>
      <c r="C3794" s="105"/>
      <c r="D3794" s="104" t="s">
        <v>16047</v>
      </c>
      <c r="E3794" s="106"/>
      <c r="F3794" s="103" t="s">
        <v>4678</v>
      </c>
      <c r="G3794" s="103" t="s">
        <v>4679</v>
      </c>
      <c r="H3794" s="103" t="s">
        <v>16048</v>
      </c>
      <c r="I3794" s="103">
        <v>3.105509287E9</v>
      </c>
      <c r="J3794" s="104" t="s">
        <v>16049</v>
      </c>
      <c r="K3794" s="103" t="s">
        <v>16050</v>
      </c>
      <c r="L3794" s="105"/>
    </row>
    <row r="3795">
      <c r="A3795" s="103" t="s">
        <v>4676</v>
      </c>
      <c r="B3795" s="103">
        <v>1.10013955201E11</v>
      </c>
      <c r="C3795" s="105"/>
      <c r="D3795" s="104" t="s">
        <v>16051</v>
      </c>
      <c r="E3795" s="104" t="s">
        <v>16052</v>
      </c>
      <c r="F3795" s="103" t="s">
        <v>4678</v>
      </c>
      <c r="G3795" s="103" t="s">
        <v>4679</v>
      </c>
      <c r="H3795" s="103" t="s">
        <v>16048</v>
      </c>
      <c r="I3795" s="103">
        <v>3.105509287E9</v>
      </c>
      <c r="J3795" s="104" t="s">
        <v>16049</v>
      </c>
      <c r="K3795" s="105"/>
      <c r="L3795" s="105"/>
    </row>
    <row r="3796">
      <c r="A3796" s="103" t="s">
        <v>4676</v>
      </c>
      <c r="B3796" s="103">
        <v>1.10013955203E11</v>
      </c>
      <c r="C3796" s="105"/>
      <c r="D3796" s="104" t="s">
        <v>16053</v>
      </c>
      <c r="E3796" s="104" t="s">
        <v>16052</v>
      </c>
      <c r="F3796" s="103" t="s">
        <v>4678</v>
      </c>
      <c r="G3796" s="103" t="s">
        <v>4679</v>
      </c>
      <c r="H3796" s="103" t="s">
        <v>16054</v>
      </c>
      <c r="I3796" s="103" t="s">
        <v>16055</v>
      </c>
      <c r="J3796" s="104" t="s">
        <v>16056</v>
      </c>
      <c r="K3796" s="105"/>
      <c r="L3796" s="105"/>
    </row>
    <row r="3797">
      <c r="A3797" s="103" t="s">
        <v>4676</v>
      </c>
      <c r="B3797" s="103">
        <v>1.100139553E9</v>
      </c>
      <c r="C3797" s="105"/>
      <c r="D3797" s="104" t="s">
        <v>16057</v>
      </c>
      <c r="E3797" s="106"/>
      <c r="F3797" s="103" t="s">
        <v>4678</v>
      </c>
      <c r="G3797" s="103" t="s">
        <v>4679</v>
      </c>
      <c r="H3797" s="103" t="s">
        <v>16058</v>
      </c>
      <c r="I3797" s="103">
        <v>3.007869034E9</v>
      </c>
      <c r="J3797" s="104" t="s">
        <v>16059</v>
      </c>
      <c r="K3797" s="103" t="s">
        <v>16060</v>
      </c>
      <c r="L3797" s="105"/>
    </row>
    <row r="3798">
      <c r="A3798" s="103" t="s">
        <v>4676</v>
      </c>
      <c r="B3798" s="103">
        <v>1.10013955301E11</v>
      </c>
      <c r="C3798" s="105"/>
      <c r="D3798" s="104" t="s">
        <v>16061</v>
      </c>
      <c r="E3798" s="104" t="s">
        <v>16062</v>
      </c>
      <c r="F3798" s="103" t="s">
        <v>4678</v>
      </c>
      <c r="G3798" s="103" t="s">
        <v>4679</v>
      </c>
      <c r="H3798" s="103" t="s">
        <v>16063</v>
      </c>
      <c r="I3798" s="103">
        <v>3.007869034E9</v>
      </c>
      <c r="J3798" s="104" t="s">
        <v>16059</v>
      </c>
      <c r="K3798" s="105"/>
      <c r="L3798" s="105"/>
    </row>
    <row r="3799">
      <c r="A3799" s="103" t="s">
        <v>4676</v>
      </c>
      <c r="B3799" s="103">
        <v>1.10013955302E11</v>
      </c>
      <c r="C3799" s="105"/>
      <c r="D3799" s="104" t="s">
        <v>16064</v>
      </c>
      <c r="E3799" s="104" t="s">
        <v>16062</v>
      </c>
      <c r="F3799" s="103" t="s">
        <v>4678</v>
      </c>
      <c r="G3799" s="103" t="s">
        <v>4679</v>
      </c>
      <c r="H3799" s="103" t="s">
        <v>16065</v>
      </c>
      <c r="I3799" s="103">
        <v>3.007869034E9</v>
      </c>
      <c r="J3799" s="104" t="s">
        <v>16059</v>
      </c>
      <c r="K3799" s="105"/>
      <c r="L3799" s="105"/>
    </row>
    <row r="3800">
      <c r="A3800" s="103" t="s">
        <v>4676</v>
      </c>
      <c r="B3800" s="103">
        <v>1.100139555E9</v>
      </c>
      <c r="C3800" s="105"/>
      <c r="D3800" s="104" t="s">
        <v>16066</v>
      </c>
      <c r="E3800" s="106"/>
      <c r="F3800" s="103" t="s">
        <v>4678</v>
      </c>
      <c r="G3800" s="103" t="s">
        <v>4679</v>
      </c>
      <c r="H3800" s="103" t="s">
        <v>16067</v>
      </c>
      <c r="I3800" s="103">
        <v>3.013717485E9</v>
      </c>
      <c r="J3800" s="104" t="s">
        <v>16068</v>
      </c>
      <c r="K3800" s="105"/>
      <c r="L3800" s="105"/>
    </row>
    <row r="3801">
      <c r="A3801" s="103" t="s">
        <v>4676</v>
      </c>
      <c r="B3801" s="103">
        <v>1.10013955501E11</v>
      </c>
      <c r="C3801" s="105"/>
      <c r="D3801" s="104" t="s">
        <v>16066</v>
      </c>
      <c r="E3801" s="104" t="s">
        <v>16069</v>
      </c>
      <c r="F3801" s="103" t="s">
        <v>4678</v>
      </c>
      <c r="G3801" s="103" t="s">
        <v>4679</v>
      </c>
      <c r="H3801" s="103" t="s">
        <v>16067</v>
      </c>
      <c r="I3801" s="103">
        <v>3.013717485E9</v>
      </c>
      <c r="J3801" s="104" t="s">
        <v>16068</v>
      </c>
      <c r="K3801" s="105"/>
      <c r="L3801" s="105"/>
    </row>
    <row r="3802">
      <c r="A3802" s="103" t="s">
        <v>4676</v>
      </c>
      <c r="B3802" s="103">
        <v>1.100139556E9</v>
      </c>
      <c r="C3802" s="105"/>
      <c r="D3802" s="104" t="s">
        <v>16070</v>
      </c>
      <c r="E3802" s="106"/>
      <c r="F3802" s="103" t="s">
        <v>4678</v>
      </c>
      <c r="G3802" s="103" t="s">
        <v>4679</v>
      </c>
      <c r="H3802" s="103" t="s">
        <v>16071</v>
      </c>
      <c r="I3802" s="103">
        <v>3.123126714E9</v>
      </c>
      <c r="J3802" s="104" t="s">
        <v>16072</v>
      </c>
      <c r="K3802" s="105"/>
      <c r="L3802" s="105"/>
    </row>
    <row r="3803">
      <c r="A3803" s="103" t="s">
        <v>4676</v>
      </c>
      <c r="B3803" s="103">
        <v>1.10013955601E11</v>
      </c>
      <c r="C3803" s="105"/>
      <c r="D3803" s="104" t="s">
        <v>16073</v>
      </c>
      <c r="E3803" s="104" t="s">
        <v>16074</v>
      </c>
      <c r="F3803" s="103" t="s">
        <v>4678</v>
      </c>
      <c r="G3803" s="103" t="s">
        <v>4679</v>
      </c>
      <c r="H3803" s="103" t="s">
        <v>16075</v>
      </c>
      <c r="I3803" s="103">
        <v>6.013900772E9</v>
      </c>
      <c r="J3803" s="104" t="s">
        <v>16076</v>
      </c>
      <c r="K3803" s="105"/>
      <c r="L3803" s="105"/>
    </row>
    <row r="3804">
      <c r="A3804" s="103" t="s">
        <v>4676</v>
      </c>
      <c r="B3804" s="103">
        <v>1.10013955602E11</v>
      </c>
      <c r="C3804" s="105"/>
      <c r="D3804" s="104" t="s">
        <v>16077</v>
      </c>
      <c r="E3804" s="104" t="s">
        <v>16078</v>
      </c>
      <c r="F3804" s="103" t="s">
        <v>4678</v>
      </c>
      <c r="G3804" s="103" t="s">
        <v>4679</v>
      </c>
      <c r="H3804" s="103" t="s">
        <v>16079</v>
      </c>
      <c r="I3804" s="103">
        <v>3.219068341E9</v>
      </c>
      <c r="J3804" s="104" t="s">
        <v>16076</v>
      </c>
      <c r="K3804" s="105"/>
      <c r="L3804" s="105"/>
    </row>
    <row r="3805">
      <c r="A3805" s="103" t="s">
        <v>4676</v>
      </c>
      <c r="B3805" s="103">
        <v>1.10013955604E11</v>
      </c>
      <c r="C3805" s="105"/>
      <c r="D3805" s="104" t="s">
        <v>16080</v>
      </c>
      <c r="E3805" s="104" t="s">
        <v>16078</v>
      </c>
      <c r="F3805" s="103" t="s">
        <v>4678</v>
      </c>
      <c r="G3805" s="103" t="s">
        <v>4679</v>
      </c>
      <c r="H3805" s="103" t="s">
        <v>16081</v>
      </c>
      <c r="I3805" s="103">
        <v>3.123126714E9</v>
      </c>
      <c r="J3805" s="104" t="s">
        <v>16072</v>
      </c>
      <c r="K3805" s="105"/>
      <c r="L3805" s="105"/>
    </row>
    <row r="3806">
      <c r="A3806" s="103" t="s">
        <v>4676</v>
      </c>
      <c r="B3806" s="103">
        <v>1.100139573E9</v>
      </c>
      <c r="C3806" s="105"/>
      <c r="D3806" s="104" t="s">
        <v>16082</v>
      </c>
      <c r="E3806" s="106"/>
      <c r="F3806" s="103" t="s">
        <v>4678</v>
      </c>
      <c r="G3806" s="103" t="s">
        <v>4679</v>
      </c>
      <c r="H3806" s="103" t="s">
        <v>16083</v>
      </c>
      <c r="I3806" s="103">
        <v>3.103437182E9</v>
      </c>
      <c r="J3806" s="104" t="s">
        <v>16084</v>
      </c>
      <c r="K3806" s="105"/>
      <c r="L3806" s="105"/>
    </row>
    <row r="3807">
      <c r="A3807" s="103" t="s">
        <v>4676</v>
      </c>
      <c r="B3807" s="103">
        <v>1.10013957301E11</v>
      </c>
      <c r="C3807" s="105"/>
      <c r="D3807" s="104" t="s">
        <v>16082</v>
      </c>
      <c r="E3807" s="104" t="s">
        <v>16085</v>
      </c>
      <c r="F3807" s="103" t="s">
        <v>4678</v>
      </c>
      <c r="G3807" s="103" t="s">
        <v>4679</v>
      </c>
      <c r="H3807" s="103" t="s">
        <v>16083</v>
      </c>
      <c r="I3807" s="103">
        <v>3.103437182E9</v>
      </c>
      <c r="J3807" s="104" t="s">
        <v>16084</v>
      </c>
      <c r="K3807" s="105"/>
      <c r="L3807" s="105"/>
    </row>
    <row r="3808">
      <c r="A3808" s="103" t="s">
        <v>4676</v>
      </c>
      <c r="B3808" s="103">
        <v>1.100139615E9</v>
      </c>
      <c r="C3808" s="105"/>
      <c r="D3808" s="104" t="s">
        <v>16086</v>
      </c>
      <c r="E3808" s="106"/>
      <c r="F3808" s="103" t="s">
        <v>4678</v>
      </c>
      <c r="G3808" s="103" t="s">
        <v>4679</v>
      </c>
      <c r="H3808" s="103" t="s">
        <v>16087</v>
      </c>
      <c r="I3808" s="103">
        <v>3.001959807E9</v>
      </c>
      <c r="J3808" s="104" t="s">
        <v>16088</v>
      </c>
      <c r="K3808" s="107" t="s">
        <v>16089</v>
      </c>
      <c r="L3808" s="105"/>
    </row>
    <row r="3809">
      <c r="A3809" s="103" t="s">
        <v>4676</v>
      </c>
      <c r="B3809" s="103">
        <v>1.10013961501E11</v>
      </c>
      <c r="C3809" s="105"/>
      <c r="D3809" s="104" t="s">
        <v>16090</v>
      </c>
      <c r="E3809" s="104" t="s">
        <v>16091</v>
      </c>
      <c r="F3809" s="103" t="s">
        <v>4678</v>
      </c>
      <c r="G3809" s="103" t="s">
        <v>4679</v>
      </c>
      <c r="H3809" s="103" t="s">
        <v>16092</v>
      </c>
      <c r="I3809" s="103">
        <v>3.001959807E9</v>
      </c>
      <c r="J3809" s="104" t="s">
        <v>16088</v>
      </c>
      <c r="K3809" s="105"/>
      <c r="L3809" s="105"/>
    </row>
    <row r="3810">
      <c r="A3810" s="103" t="s">
        <v>4676</v>
      </c>
      <c r="B3810" s="103">
        <v>1.10013965E9</v>
      </c>
      <c r="C3810" s="105"/>
      <c r="D3810" s="104" t="s">
        <v>16093</v>
      </c>
      <c r="E3810" s="106"/>
      <c r="F3810" s="103" t="s">
        <v>4678</v>
      </c>
      <c r="G3810" s="103" t="s">
        <v>4679</v>
      </c>
      <c r="H3810" s="103" t="s">
        <v>16094</v>
      </c>
      <c r="I3810" s="103">
        <v>3.209535256E9</v>
      </c>
      <c r="J3810" s="104" t="s">
        <v>16095</v>
      </c>
      <c r="K3810" s="107" t="s">
        <v>16096</v>
      </c>
      <c r="L3810" s="105"/>
    </row>
    <row r="3811">
      <c r="A3811" s="103" t="s">
        <v>4676</v>
      </c>
      <c r="B3811" s="103">
        <v>1.10013965001E11</v>
      </c>
      <c r="C3811" s="105"/>
      <c r="D3811" s="104" t="s">
        <v>16093</v>
      </c>
      <c r="E3811" s="104" t="s">
        <v>16097</v>
      </c>
      <c r="F3811" s="103" t="s">
        <v>4678</v>
      </c>
      <c r="G3811" s="103" t="s">
        <v>4679</v>
      </c>
      <c r="H3811" s="103" t="s">
        <v>16098</v>
      </c>
      <c r="I3811" s="103">
        <v>3.209535256E9</v>
      </c>
      <c r="J3811" s="104" t="s">
        <v>16095</v>
      </c>
      <c r="K3811" s="105"/>
      <c r="L3811" s="105"/>
    </row>
    <row r="3812">
      <c r="A3812" s="103" t="s">
        <v>4676</v>
      </c>
      <c r="B3812" s="103">
        <v>1.10013965002E11</v>
      </c>
      <c r="C3812" s="105"/>
      <c r="D3812" s="104" t="s">
        <v>16099</v>
      </c>
      <c r="E3812" s="104" t="s">
        <v>16100</v>
      </c>
      <c r="F3812" s="103" t="s">
        <v>4678</v>
      </c>
      <c r="G3812" s="103" t="s">
        <v>4679</v>
      </c>
      <c r="H3812" s="103" t="s">
        <v>16101</v>
      </c>
      <c r="I3812" s="103">
        <v>3.244484848E9</v>
      </c>
      <c r="J3812" s="104" t="s">
        <v>16102</v>
      </c>
      <c r="K3812" s="105"/>
      <c r="L3812" s="105"/>
    </row>
    <row r="3813">
      <c r="A3813" s="103" t="s">
        <v>4676</v>
      </c>
      <c r="B3813" s="103">
        <v>1.10013965003E11</v>
      </c>
      <c r="C3813" s="105"/>
      <c r="D3813" s="104" t="s">
        <v>16103</v>
      </c>
      <c r="E3813" s="104" t="s">
        <v>16104</v>
      </c>
      <c r="F3813" s="103" t="s">
        <v>4678</v>
      </c>
      <c r="G3813" s="103" t="s">
        <v>4679</v>
      </c>
      <c r="H3813" s="103" t="s">
        <v>16105</v>
      </c>
      <c r="I3813" s="103">
        <v>3.188686761E9</v>
      </c>
      <c r="J3813" s="104" t="s">
        <v>16095</v>
      </c>
      <c r="K3813" s="105"/>
      <c r="L3813" s="105"/>
    </row>
    <row r="3814">
      <c r="A3814" s="103" t="s">
        <v>4676</v>
      </c>
      <c r="B3814" s="103">
        <v>1.100139662E9</v>
      </c>
      <c r="C3814" s="105"/>
      <c r="D3814" s="104" t="s">
        <v>16106</v>
      </c>
      <c r="E3814" s="106"/>
      <c r="F3814" s="103" t="s">
        <v>4678</v>
      </c>
      <c r="G3814" s="103" t="s">
        <v>4679</v>
      </c>
      <c r="H3814" s="103" t="s">
        <v>16107</v>
      </c>
      <c r="I3814" s="103">
        <v>3.183490164E9</v>
      </c>
      <c r="J3814" s="104" t="s">
        <v>16108</v>
      </c>
      <c r="K3814" s="105"/>
      <c r="L3814" s="105"/>
    </row>
    <row r="3815">
      <c r="A3815" s="103" t="s">
        <v>4676</v>
      </c>
      <c r="B3815" s="103">
        <v>1.10013966201E11</v>
      </c>
      <c r="C3815" s="105"/>
      <c r="D3815" s="104" t="s">
        <v>16106</v>
      </c>
      <c r="E3815" s="104" t="s">
        <v>16109</v>
      </c>
      <c r="F3815" s="103" t="s">
        <v>4678</v>
      </c>
      <c r="G3815" s="103" t="s">
        <v>4679</v>
      </c>
      <c r="H3815" s="103" t="s">
        <v>16110</v>
      </c>
      <c r="I3815" s="103">
        <v>3.15916679E9</v>
      </c>
      <c r="J3815" s="104" t="s">
        <v>16111</v>
      </c>
      <c r="K3815" s="105"/>
      <c r="L3815" s="105"/>
    </row>
    <row r="3816">
      <c r="A3816" s="103" t="s">
        <v>4676</v>
      </c>
      <c r="B3816" s="103">
        <v>1.100139679E9</v>
      </c>
      <c r="C3816" s="105"/>
      <c r="D3816" s="104" t="s">
        <v>16112</v>
      </c>
      <c r="E3816" s="106"/>
      <c r="F3816" s="103" t="s">
        <v>4678</v>
      </c>
      <c r="G3816" s="103" t="s">
        <v>4679</v>
      </c>
      <c r="H3816" s="103" t="s">
        <v>16113</v>
      </c>
      <c r="I3816" s="103">
        <v>3.152366261E9</v>
      </c>
      <c r="J3816" s="104" t="s">
        <v>16114</v>
      </c>
      <c r="K3816" s="105"/>
      <c r="L3816" s="105"/>
    </row>
    <row r="3817">
      <c r="A3817" s="103" t="s">
        <v>4676</v>
      </c>
      <c r="B3817" s="103">
        <v>1.10013967901E11</v>
      </c>
      <c r="C3817" s="105"/>
      <c r="D3817" s="104" t="s">
        <v>16112</v>
      </c>
      <c r="E3817" s="104" t="s">
        <v>16115</v>
      </c>
      <c r="F3817" s="103" t="s">
        <v>4678</v>
      </c>
      <c r="G3817" s="103" t="s">
        <v>4679</v>
      </c>
      <c r="H3817" s="103" t="s">
        <v>16116</v>
      </c>
      <c r="I3817" s="103">
        <v>3.152366261E9</v>
      </c>
      <c r="J3817" s="104" t="s">
        <v>16114</v>
      </c>
      <c r="K3817" s="105"/>
      <c r="L3817" s="105"/>
    </row>
    <row r="3818">
      <c r="A3818" s="103" t="s">
        <v>4676</v>
      </c>
      <c r="B3818" s="103">
        <v>1.100139699E9</v>
      </c>
      <c r="C3818" s="105"/>
      <c r="D3818" s="104" t="s">
        <v>16117</v>
      </c>
      <c r="E3818" s="106"/>
      <c r="F3818" s="103" t="s">
        <v>4678</v>
      </c>
      <c r="G3818" s="103" t="s">
        <v>4679</v>
      </c>
      <c r="H3818" s="103" t="s">
        <v>16118</v>
      </c>
      <c r="I3818" s="103">
        <v>3.183540416E9</v>
      </c>
      <c r="J3818" s="104" t="s">
        <v>16119</v>
      </c>
      <c r="K3818" s="105"/>
      <c r="L3818" s="105"/>
    </row>
    <row r="3819">
      <c r="A3819" s="103" t="s">
        <v>4676</v>
      </c>
      <c r="B3819" s="103">
        <v>1.10013969901E11</v>
      </c>
      <c r="C3819" s="105"/>
      <c r="D3819" s="104" t="s">
        <v>16120</v>
      </c>
      <c r="E3819" s="104" t="s">
        <v>16121</v>
      </c>
      <c r="F3819" s="103" t="s">
        <v>4678</v>
      </c>
      <c r="G3819" s="103" t="s">
        <v>4679</v>
      </c>
      <c r="H3819" s="103" t="s">
        <v>16122</v>
      </c>
      <c r="I3819" s="103">
        <v>3.183540416E9</v>
      </c>
      <c r="J3819" s="104" t="s">
        <v>16119</v>
      </c>
      <c r="K3819" s="105"/>
      <c r="L3819" s="105"/>
    </row>
    <row r="3820">
      <c r="A3820" s="103" t="s">
        <v>4676</v>
      </c>
      <c r="B3820" s="103">
        <v>1.10013969903E11</v>
      </c>
      <c r="C3820" s="105"/>
      <c r="D3820" s="104" t="s">
        <v>16123</v>
      </c>
      <c r="E3820" s="104" t="s">
        <v>16124</v>
      </c>
      <c r="F3820" s="103" t="s">
        <v>4678</v>
      </c>
      <c r="G3820" s="103" t="s">
        <v>4679</v>
      </c>
      <c r="H3820" s="103" t="s">
        <v>16125</v>
      </c>
      <c r="I3820" s="103">
        <v>3.183540416E9</v>
      </c>
      <c r="J3820" s="104" t="s">
        <v>16119</v>
      </c>
      <c r="K3820" s="105"/>
      <c r="L3820" s="105"/>
    </row>
    <row r="3821">
      <c r="A3821" s="103" t="s">
        <v>4676</v>
      </c>
      <c r="B3821" s="103">
        <v>1.100139704E9</v>
      </c>
      <c r="C3821" s="105"/>
      <c r="D3821" s="104" t="s">
        <v>16126</v>
      </c>
      <c r="E3821" s="106"/>
      <c r="F3821" s="103" t="s">
        <v>4678</v>
      </c>
      <c r="G3821" s="103" t="s">
        <v>4679</v>
      </c>
      <c r="H3821" s="103" t="s">
        <v>16127</v>
      </c>
      <c r="I3821" s="103">
        <v>3.125215573E9</v>
      </c>
      <c r="J3821" s="104" t="s">
        <v>15848</v>
      </c>
      <c r="K3821" s="107" t="s">
        <v>16128</v>
      </c>
      <c r="L3821" s="105"/>
    </row>
    <row r="3822">
      <c r="A3822" s="103" t="s">
        <v>4676</v>
      </c>
      <c r="B3822" s="103">
        <v>1.10013970401E11</v>
      </c>
      <c r="C3822" s="105"/>
      <c r="D3822" s="104" t="s">
        <v>16129</v>
      </c>
      <c r="E3822" s="104" t="s">
        <v>16130</v>
      </c>
      <c r="F3822" s="103" t="s">
        <v>4678</v>
      </c>
      <c r="G3822" s="103" t="s">
        <v>4679</v>
      </c>
      <c r="H3822" s="103" t="s">
        <v>16131</v>
      </c>
      <c r="I3822" s="103">
        <v>3.125215573E9</v>
      </c>
      <c r="J3822" s="104" t="s">
        <v>15848</v>
      </c>
      <c r="K3822" s="105"/>
      <c r="L3822" s="105"/>
    </row>
    <row r="3823">
      <c r="A3823" s="103" t="s">
        <v>4676</v>
      </c>
      <c r="B3823" s="103">
        <v>1.100139705E9</v>
      </c>
      <c r="C3823" s="105"/>
      <c r="D3823" s="104" t="s">
        <v>16132</v>
      </c>
      <c r="E3823" s="106"/>
      <c r="F3823" s="103" t="s">
        <v>4678</v>
      </c>
      <c r="G3823" s="103" t="s">
        <v>4679</v>
      </c>
      <c r="H3823" s="103" t="s">
        <v>16133</v>
      </c>
      <c r="I3823" s="103">
        <v>3.054343148E9</v>
      </c>
      <c r="J3823" s="104" t="s">
        <v>16134</v>
      </c>
      <c r="K3823" s="107" t="s">
        <v>16135</v>
      </c>
      <c r="L3823" s="105"/>
    </row>
    <row r="3824">
      <c r="A3824" s="103" t="s">
        <v>4676</v>
      </c>
      <c r="B3824" s="103">
        <v>1.10013970501E11</v>
      </c>
      <c r="C3824" s="105"/>
      <c r="D3824" s="104" t="s">
        <v>16132</v>
      </c>
      <c r="E3824" s="104" t="s">
        <v>16136</v>
      </c>
      <c r="F3824" s="103" t="s">
        <v>4678</v>
      </c>
      <c r="G3824" s="103" t="s">
        <v>4679</v>
      </c>
      <c r="H3824" s="103" t="s">
        <v>16133</v>
      </c>
      <c r="I3824" s="103">
        <v>3.054343148E9</v>
      </c>
      <c r="J3824" s="104" t="s">
        <v>16134</v>
      </c>
      <c r="K3824" s="105"/>
      <c r="L3824" s="105"/>
    </row>
    <row r="3825">
      <c r="A3825" s="103" t="s">
        <v>4676</v>
      </c>
      <c r="B3825" s="103">
        <v>1.100139742E9</v>
      </c>
      <c r="C3825" s="105"/>
      <c r="D3825" s="104" t="s">
        <v>16137</v>
      </c>
      <c r="E3825" s="106"/>
      <c r="F3825" s="103" t="s">
        <v>4678</v>
      </c>
      <c r="G3825" s="103" t="s">
        <v>4679</v>
      </c>
      <c r="H3825" s="103" t="s">
        <v>16138</v>
      </c>
      <c r="I3825" s="103">
        <v>3.168753674E9</v>
      </c>
      <c r="J3825" s="104" t="s">
        <v>16139</v>
      </c>
      <c r="K3825" s="107" t="s">
        <v>16140</v>
      </c>
      <c r="L3825" s="105"/>
    </row>
    <row r="3826">
      <c r="A3826" s="103" t="s">
        <v>4676</v>
      </c>
      <c r="B3826" s="103">
        <v>1.10013974201E11</v>
      </c>
      <c r="C3826" s="105"/>
      <c r="D3826" s="104" t="s">
        <v>16141</v>
      </c>
      <c r="E3826" s="104" t="s">
        <v>16142</v>
      </c>
      <c r="F3826" s="103" t="s">
        <v>4678</v>
      </c>
      <c r="G3826" s="103" t="s">
        <v>4679</v>
      </c>
      <c r="H3826" s="103" t="s">
        <v>16138</v>
      </c>
      <c r="I3826" s="103">
        <v>3.168753674E9</v>
      </c>
      <c r="J3826" s="104" t="s">
        <v>16139</v>
      </c>
      <c r="K3826" s="105"/>
      <c r="L3826" s="105"/>
    </row>
    <row r="3827">
      <c r="A3827" s="103" t="s">
        <v>4676</v>
      </c>
      <c r="B3827" s="103">
        <v>1.100139765E9</v>
      </c>
      <c r="C3827" s="105"/>
      <c r="D3827" s="104" t="s">
        <v>16143</v>
      </c>
      <c r="E3827" s="106"/>
      <c r="F3827" s="103" t="s">
        <v>4678</v>
      </c>
      <c r="G3827" s="103" t="s">
        <v>4679</v>
      </c>
      <c r="H3827" s="103" t="s">
        <v>16144</v>
      </c>
      <c r="I3827" s="103">
        <v>3.196796327E9</v>
      </c>
      <c r="J3827" s="104" t="s">
        <v>16145</v>
      </c>
      <c r="K3827" s="103" t="s">
        <v>16146</v>
      </c>
      <c r="L3827" s="105"/>
    </row>
    <row r="3828">
      <c r="A3828" s="103" t="s">
        <v>4676</v>
      </c>
      <c r="B3828" s="103">
        <v>1.10013976501E11</v>
      </c>
      <c r="C3828" s="105"/>
      <c r="D3828" s="104" t="s">
        <v>16147</v>
      </c>
      <c r="E3828" s="104" t="s">
        <v>16148</v>
      </c>
      <c r="F3828" s="103" t="s">
        <v>4678</v>
      </c>
      <c r="G3828" s="103" t="s">
        <v>4679</v>
      </c>
      <c r="H3828" s="103" t="s">
        <v>16149</v>
      </c>
      <c r="I3828" s="103">
        <v>3.196796327E9</v>
      </c>
      <c r="J3828" s="104" t="s">
        <v>16145</v>
      </c>
      <c r="K3828" s="105"/>
      <c r="L3828" s="105"/>
    </row>
    <row r="3829">
      <c r="A3829" s="103" t="s">
        <v>4676</v>
      </c>
      <c r="B3829" s="103">
        <v>1.100139782E9</v>
      </c>
      <c r="C3829" s="105"/>
      <c r="D3829" s="104" t="s">
        <v>16150</v>
      </c>
      <c r="E3829" s="106"/>
      <c r="F3829" s="103" t="s">
        <v>4678</v>
      </c>
      <c r="G3829" s="103" t="s">
        <v>4679</v>
      </c>
      <c r="H3829" s="103" t="s">
        <v>16151</v>
      </c>
      <c r="I3829" s="103">
        <v>3.246657371E9</v>
      </c>
      <c r="J3829" s="104" t="s">
        <v>16152</v>
      </c>
      <c r="K3829" s="107" t="s">
        <v>16153</v>
      </c>
      <c r="L3829" s="105"/>
    </row>
    <row r="3830">
      <c r="A3830" s="103" t="s">
        <v>4676</v>
      </c>
      <c r="B3830" s="103">
        <v>1.10013978201E11</v>
      </c>
      <c r="C3830" s="105"/>
      <c r="D3830" s="104" t="s">
        <v>16150</v>
      </c>
      <c r="E3830" s="104" t="s">
        <v>16154</v>
      </c>
      <c r="F3830" s="103" t="s">
        <v>4678</v>
      </c>
      <c r="G3830" s="103" t="s">
        <v>4679</v>
      </c>
      <c r="H3830" s="103" t="s">
        <v>16155</v>
      </c>
      <c r="I3830" s="103">
        <v>3.246657371E9</v>
      </c>
      <c r="J3830" s="104" t="s">
        <v>16152</v>
      </c>
      <c r="K3830" s="105"/>
      <c r="L3830" s="105"/>
    </row>
    <row r="3831">
      <c r="A3831" s="103" t="s">
        <v>4676</v>
      </c>
      <c r="B3831" s="103">
        <v>1.100139792E9</v>
      </c>
      <c r="C3831" s="105"/>
      <c r="D3831" s="104" t="s">
        <v>16156</v>
      </c>
      <c r="E3831" s="106"/>
      <c r="F3831" s="103" t="s">
        <v>4678</v>
      </c>
      <c r="G3831" s="103" t="s">
        <v>4679</v>
      </c>
      <c r="H3831" s="103" t="s">
        <v>16157</v>
      </c>
      <c r="I3831" s="103">
        <v>3.022780781E9</v>
      </c>
      <c r="J3831" s="104" t="s">
        <v>16158</v>
      </c>
      <c r="K3831" s="107" t="s">
        <v>16159</v>
      </c>
      <c r="L3831" s="105"/>
    </row>
    <row r="3832">
      <c r="A3832" s="103" t="s">
        <v>4676</v>
      </c>
      <c r="B3832" s="103">
        <v>1.10013979201E11</v>
      </c>
      <c r="C3832" s="105"/>
      <c r="D3832" s="104" t="s">
        <v>16156</v>
      </c>
      <c r="E3832" s="104" t="s">
        <v>16160</v>
      </c>
      <c r="F3832" s="103" t="s">
        <v>4678</v>
      </c>
      <c r="G3832" s="103" t="s">
        <v>4679</v>
      </c>
      <c r="H3832" s="103" t="s">
        <v>16157</v>
      </c>
      <c r="I3832" s="103">
        <v>3.022780781E9</v>
      </c>
      <c r="J3832" s="104" t="s">
        <v>16158</v>
      </c>
      <c r="K3832" s="105"/>
      <c r="L3832" s="105"/>
    </row>
    <row r="3833">
      <c r="A3833" s="103" t="s">
        <v>4676</v>
      </c>
      <c r="B3833" s="103">
        <v>1.100139793E9</v>
      </c>
      <c r="C3833" s="105"/>
      <c r="D3833" s="104" t="s">
        <v>16161</v>
      </c>
      <c r="E3833" s="106"/>
      <c r="F3833" s="103" t="s">
        <v>4678</v>
      </c>
      <c r="G3833" s="103" t="s">
        <v>4679</v>
      </c>
      <c r="H3833" s="103" t="s">
        <v>16162</v>
      </c>
      <c r="I3833" s="103">
        <v>3.202619526E9</v>
      </c>
      <c r="J3833" s="104" t="s">
        <v>16163</v>
      </c>
      <c r="K3833" s="103" t="s">
        <v>16164</v>
      </c>
      <c r="L3833" s="105"/>
    </row>
    <row r="3834">
      <c r="A3834" s="103" t="s">
        <v>4676</v>
      </c>
      <c r="B3834" s="103">
        <v>1.10013979301E11</v>
      </c>
      <c r="C3834" s="105"/>
      <c r="D3834" s="104" t="s">
        <v>16165</v>
      </c>
      <c r="E3834" s="104" t="s">
        <v>16166</v>
      </c>
      <c r="F3834" s="103" t="s">
        <v>4678</v>
      </c>
      <c r="G3834" s="103" t="s">
        <v>4679</v>
      </c>
      <c r="H3834" s="103" t="s">
        <v>16167</v>
      </c>
      <c r="I3834" s="103">
        <v>3.202619526E9</v>
      </c>
      <c r="J3834" s="104" t="s">
        <v>16163</v>
      </c>
      <c r="K3834" s="105"/>
      <c r="L3834" s="105"/>
    </row>
    <row r="3835">
      <c r="A3835" s="103" t="s">
        <v>4676</v>
      </c>
      <c r="B3835" s="103">
        <v>1.10013981E9</v>
      </c>
      <c r="C3835" s="105"/>
      <c r="D3835" s="104" t="s">
        <v>16168</v>
      </c>
      <c r="E3835" s="106"/>
      <c r="F3835" s="103" t="s">
        <v>4678</v>
      </c>
      <c r="G3835" s="103" t="s">
        <v>4679</v>
      </c>
      <c r="H3835" s="103" t="s">
        <v>16169</v>
      </c>
      <c r="I3835" s="103">
        <v>3.125853948E9</v>
      </c>
      <c r="J3835" s="104" t="s">
        <v>16170</v>
      </c>
      <c r="K3835" s="107" t="s">
        <v>16171</v>
      </c>
      <c r="L3835" s="105"/>
    </row>
    <row r="3836">
      <c r="A3836" s="103" t="s">
        <v>4676</v>
      </c>
      <c r="B3836" s="103">
        <v>1.10013981001E11</v>
      </c>
      <c r="C3836" s="105"/>
      <c r="D3836" s="104" t="s">
        <v>16172</v>
      </c>
      <c r="E3836" s="104" t="s">
        <v>16173</v>
      </c>
      <c r="F3836" s="103" t="s">
        <v>4678</v>
      </c>
      <c r="G3836" s="103" t="s">
        <v>4679</v>
      </c>
      <c r="H3836" s="103" t="s">
        <v>16169</v>
      </c>
      <c r="I3836" s="103">
        <v>3.125853948E9</v>
      </c>
      <c r="J3836" s="104" t="s">
        <v>16170</v>
      </c>
      <c r="K3836" s="105"/>
      <c r="L3836" s="105"/>
    </row>
    <row r="3837">
      <c r="A3837" s="103" t="s">
        <v>4676</v>
      </c>
      <c r="B3837" s="103">
        <v>1.100139869E9</v>
      </c>
      <c r="C3837" s="105"/>
      <c r="D3837" s="104" t="s">
        <v>16174</v>
      </c>
      <c r="E3837" s="106"/>
      <c r="F3837" s="103" t="s">
        <v>4678</v>
      </c>
      <c r="G3837" s="103" t="s">
        <v>4679</v>
      </c>
      <c r="H3837" s="103" t="s">
        <v>16175</v>
      </c>
      <c r="I3837" s="103">
        <v>3.502816472E9</v>
      </c>
      <c r="J3837" s="104" t="s">
        <v>16176</v>
      </c>
      <c r="K3837" s="103" t="s">
        <v>16026</v>
      </c>
      <c r="L3837" s="105"/>
    </row>
    <row r="3838">
      <c r="A3838" s="103" t="s">
        <v>4676</v>
      </c>
      <c r="B3838" s="103">
        <v>1.10013986901E11</v>
      </c>
      <c r="C3838" s="105"/>
      <c r="D3838" s="104" t="s">
        <v>16177</v>
      </c>
      <c r="E3838" s="104" t="s">
        <v>16178</v>
      </c>
      <c r="F3838" s="103" t="s">
        <v>4678</v>
      </c>
      <c r="G3838" s="103" t="s">
        <v>4679</v>
      </c>
      <c r="H3838" s="103" t="s">
        <v>16175</v>
      </c>
      <c r="I3838" s="103">
        <v>3.502816472E9</v>
      </c>
      <c r="J3838" s="104" t="s">
        <v>16176</v>
      </c>
      <c r="K3838" s="105"/>
      <c r="L3838" s="105"/>
    </row>
    <row r="3839">
      <c r="A3839" s="103" t="s">
        <v>4676</v>
      </c>
      <c r="B3839" s="103">
        <v>1.100139887E9</v>
      </c>
      <c r="C3839" s="105"/>
      <c r="D3839" s="104" t="s">
        <v>16179</v>
      </c>
      <c r="E3839" s="106"/>
      <c r="F3839" s="103" t="s">
        <v>4678</v>
      </c>
      <c r="G3839" s="103" t="s">
        <v>4679</v>
      </c>
      <c r="H3839" s="103" t="s">
        <v>16180</v>
      </c>
      <c r="I3839" s="103">
        <v>3.057228657E9</v>
      </c>
      <c r="J3839" s="104" t="s">
        <v>16181</v>
      </c>
      <c r="K3839" s="103" t="s">
        <v>16182</v>
      </c>
      <c r="L3839" s="105"/>
    </row>
    <row r="3840">
      <c r="A3840" s="103" t="s">
        <v>4676</v>
      </c>
      <c r="B3840" s="103">
        <v>1.10013988701E11</v>
      </c>
      <c r="C3840" s="105"/>
      <c r="D3840" s="104" t="s">
        <v>16179</v>
      </c>
      <c r="E3840" s="104" t="s">
        <v>16183</v>
      </c>
      <c r="F3840" s="103" t="s">
        <v>4678</v>
      </c>
      <c r="G3840" s="103" t="s">
        <v>4679</v>
      </c>
      <c r="H3840" s="103" t="s">
        <v>16180</v>
      </c>
      <c r="I3840" s="103">
        <v>3.057228657E9</v>
      </c>
      <c r="J3840" s="104" t="s">
        <v>16181</v>
      </c>
      <c r="K3840" s="105"/>
      <c r="L3840" s="105"/>
    </row>
    <row r="3841">
      <c r="A3841" s="103" t="s">
        <v>4676</v>
      </c>
      <c r="B3841" s="103">
        <v>1.100139931E9</v>
      </c>
      <c r="C3841" s="105"/>
      <c r="D3841" s="104" t="s">
        <v>16184</v>
      </c>
      <c r="E3841" s="106"/>
      <c r="F3841" s="103" t="s">
        <v>4678</v>
      </c>
      <c r="G3841" s="103" t="s">
        <v>4679</v>
      </c>
      <c r="H3841" s="103" t="s">
        <v>16185</v>
      </c>
      <c r="I3841" s="103">
        <v>3.107531088E9</v>
      </c>
      <c r="J3841" s="104" t="s">
        <v>16186</v>
      </c>
      <c r="K3841" s="107" t="s">
        <v>15130</v>
      </c>
      <c r="L3841" s="105"/>
    </row>
    <row r="3842">
      <c r="A3842" s="103" t="s">
        <v>4676</v>
      </c>
      <c r="B3842" s="103">
        <v>1.10013993101E11</v>
      </c>
      <c r="C3842" s="105"/>
      <c r="D3842" s="104" t="s">
        <v>16184</v>
      </c>
      <c r="E3842" s="104" t="s">
        <v>16187</v>
      </c>
      <c r="F3842" s="103" t="s">
        <v>4678</v>
      </c>
      <c r="G3842" s="103" t="s">
        <v>4679</v>
      </c>
      <c r="H3842" s="103" t="s">
        <v>16185</v>
      </c>
      <c r="I3842" s="103">
        <v>3.107531088E9</v>
      </c>
      <c r="J3842" s="104" t="s">
        <v>16186</v>
      </c>
      <c r="K3842" s="105"/>
      <c r="L3842" s="105"/>
    </row>
    <row r="3843">
      <c r="A3843" s="103" t="s">
        <v>4676</v>
      </c>
      <c r="B3843" s="103">
        <v>1.100139946E9</v>
      </c>
      <c r="C3843" s="105"/>
      <c r="D3843" s="104" t="s">
        <v>16188</v>
      </c>
      <c r="E3843" s="106"/>
      <c r="F3843" s="103" t="s">
        <v>4678</v>
      </c>
      <c r="G3843" s="103" t="s">
        <v>4679</v>
      </c>
      <c r="H3843" s="103" t="s">
        <v>16189</v>
      </c>
      <c r="I3843" s="103">
        <v>3.123771835E9</v>
      </c>
      <c r="J3843" s="104" t="s">
        <v>16190</v>
      </c>
      <c r="K3843" s="107" t="s">
        <v>16191</v>
      </c>
      <c r="L3843" s="105"/>
    </row>
    <row r="3844">
      <c r="A3844" s="103" t="s">
        <v>4676</v>
      </c>
      <c r="B3844" s="103">
        <v>1.10013994601E11</v>
      </c>
      <c r="C3844" s="105"/>
      <c r="D3844" s="104" t="s">
        <v>16192</v>
      </c>
      <c r="E3844" s="104" t="s">
        <v>16193</v>
      </c>
      <c r="F3844" s="103" t="s">
        <v>4678</v>
      </c>
      <c r="G3844" s="103" t="s">
        <v>4679</v>
      </c>
      <c r="H3844" s="103" t="s">
        <v>16194</v>
      </c>
      <c r="I3844" s="103">
        <v>3.123771835E9</v>
      </c>
      <c r="J3844" s="104" t="s">
        <v>16190</v>
      </c>
      <c r="K3844" s="105"/>
      <c r="L3844" s="105"/>
    </row>
    <row r="3845">
      <c r="A3845" s="103" t="s">
        <v>4676</v>
      </c>
      <c r="B3845" s="103">
        <v>1.100139947E9</v>
      </c>
      <c r="C3845" s="105"/>
      <c r="D3845" s="104" t="s">
        <v>16195</v>
      </c>
      <c r="E3845" s="106"/>
      <c r="F3845" s="103" t="s">
        <v>4678</v>
      </c>
      <c r="G3845" s="103" t="s">
        <v>4679</v>
      </c>
      <c r="H3845" s="103" t="s">
        <v>16196</v>
      </c>
      <c r="I3845" s="103">
        <v>3.174231516E9</v>
      </c>
      <c r="J3845" s="104" t="s">
        <v>16197</v>
      </c>
      <c r="K3845" s="107" t="s">
        <v>16198</v>
      </c>
      <c r="L3845" s="105"/>
    </row>
    <row r="3846">
      <c r="A3846" s="103" t="s">
        <v>4676</v>
      </c>
      <c r="B3846" s="103">
        <v>1.10013994701E11</v>
      </c>
      <c r="C3846" s="105"/>
      <c r="D3846" s="104" t="s">
        <v>16195</v>
      </c>
      <c r="E3846" s="104" t="s">
        <v>16199</v>
      </c>
      <c r="F3846" s="103" t="s">
        <v>4678</v>
      </c>
      <c r="G3846" s="103" t="s">
        <v>4679</v>
      </c>
      <c r="H3846" s="103" t="s">
        <v>16196</v>
      </c>
      <c r="I3846" s="103">
        <v>3.174231516E9</v>
      </c>
      <c r="J3846" s="104" t="s">
        <v>16197</v>
      </c>
      <c r="K3846" s="105"/>
      <c r="L3846" s="105"/>
    </row>
    <row r="3847">
      <c r="A3847" s="103" t="s">
        <v>4676</v>
      </c>
      <c r="B3847" s="103">
        <v>1.100139949E9</v>
      </c>
      <c r="C3847" s="105"/>
      <c r="D3847" s="104" t="s">
        <v>16200</v>
      </c>
      <c r="E3847" s="106"/>
      <c r="F3847" s="103" t="s">
        <v>4678</v>
      </c>
      <c r="G3847" s="103" t="s">
        <v>4679</v>
      </c>
      <c r="H3847" s="103" t="s">
        <v>16201</v>
      </c>
      <c r="I3847" s="103">
        <v>3.043821546E9</v>
      </c>
      <c r="J3847" s="104" t="s">
        <v>16202</v>
      </c>
      <c r="K3847" s="107" t="s">
        <v>16203</v>
      </c>
      <c r="L3847" s="105"/>
    </row>
    <row r="3848">
      <c r="A3848" s="103" t="s">
        <v>4676</v>
      </c>
      <c r="B3848" s="103">
        <v>1.10013994901E11</v>
      </c>
      <c r="C3848" s="105"/>
      <c r="D3848" s="104" t="s">
        <v>16200</v>
      </c>
      <c r="E3848" s="104" t="s">
        <v>16204</v>
      </c>
      <c r="F3848" s="103" t="s">
        <v>4678</v>
      </c>
      <c r="G3848" s="103" t="s">
        <v>4679</v>
      </c>
      <c r="H3848" s="103" t="s">
        <v>16205</v>
      </c>
      <c r="I3848" s="103">
        <v>3.043821546E9</v>
      </c>
      <c r="J3848" s="104" t="s">
        <v>16202</v>
      </c>
      <c r="K3848" s="105"/>
      <c r="L3848" s="105"/>
    </row>
    <row r="3849">
      <c r="A3849" s="103" t="s">
        <v>4676</v>
      </c>
      <c r="B3849" s="103">
        <v>1.100139969E9</v>
      </c>
      <c r="C3849" s="105"/>
      <c r="D3849" s="104" t="s">
        <v>16206</v>
      </c>
      <c r="E3849" s="106"/>
      <c r="F3849" s="103" t="s">
        <v>4678</v>
      </c>
      <c r="G3849" s="103" t="s">
        <v>4679</v>
      </c>
      <c r="H3849" s="103" t="s">
        <v>16207</v>
      </c>
      <c r="I3849" s="103">
        <v>3.028151997E9</v>
      </c>
      <c r="J3849" s="104" t="s">
        <v>16208</v>
      </c>
      <c r="K3849" s="107" t="s">
        <v>16209</v>
      </c>
      <c r="L3849" s="105"/>
    </row>
    <row r="3850">
      <c r="A3850" s="103" t="s">
        <v>4676</v>
      </c>
      <c r="B3850" s="103">
        <v>1.10013996901E11</v>
      </c>
      <c r="C3850" s="105"/>
      <c r="D3850" s="104" t="s">
        <v>16210</v>
      </c>
      <c r="E3850" s="104" t="s">
        <v>16211</v>
      </c>
      <c r="F3850" s="103" t="s">
        <v>4678</v>
      </c>
      <c r="G3850" s="103" t="s">
        <v>4679</v>
      </c>
      <c r="H3850" s="103" t="s">
        <v>16212</v>
      </c>
      <c r="I3850" s="103">
        <v>3.028151997E9</v>
      </c>
      <c r="J3850" s="104" t="s">
        <v>16208</v>
      </c>
      <c r="K3850" s="105"/>
      <c r="L3850" s="105"/>
    </row>
    <row r="3851">
      <c r="A3851" s="103" t="s">
        <v>4676</v>
      </c>
      <c r="B3851" s="103">
        <v>1.100139984E9</v>
      </c>
      <c r="C3851" s="105"/>
      <c r="D3851" s="104" t="s">
        <v>16213</v>
      </c>
      <c r="E3851" s="106"/>
      <c r="F3851" s="103" t="s">
        <v>4678</v>
      </c>
      <c r="G3851" s="103" t="s">
        <v>4679</v>
      </c>
      <c r="H3851" s="103" t="s">
        <v>16214</v>
      </c>
      <c r="I3851" s="103">
        <v>3.058899812E9</v>
      </c>
      <c r="J3851" s="104" t="s">
        <v>16215</v>
      </c>
      <c r="K3851" s="105"/>
      <c r="L3851" s="105"/>
    </row>
    <row r="3852">
      <c r="A3852" s="103" t="s">
        <v>4676</v>
      </c>
      <c r="B3852" s="103">
        <v>1.10013998401E11</v>
      </c>
      <c r="C3852" s="105"/>
      <c r="D3852" s="104" t="s">
        <v>16216</v>
      </c>
      <c r="E3852" s="104" t="s">
        <v>16217</v>
      </c>
      <c r="F3852" s="103" t="s">
        <v>4678</v>
      </c>
      <c r="G3852" s="103" t="s">
        <v>4679</v>
      </c>
      <c r="H3852" s="103" t="s">
        <v>16214</v>
      </c>
      <c r="I3852" s="103" t="s">
        <v>16218</v>
      </c>
      <c r="J3852" s="104" t="s">
        <v>16215</v>
      </c>
      <c r="K3852" s="105"/>
      <c r="L3852" s="105"/>
    </row>
    <row r="3853">
      <c r="A3853" s="103" t="s">
        <v>4676</v>
      </c>
      <c r="B3853" s="103">
        <v>1.100139995E9</v>
      </c>
      <c r="C3853" s="105"/>
      <c r="D3853" s="104" t="s">
        <v>16219</v>
      </c>
      <c r="E3853" s="106"/>
      <c r="F3853" s="103" t="s">
        <v>4678</v>
      </c>
      <c r="G3853" s="103" t="s">
        <v>4679</v>
      </c>
      <c r="H3853" s="103" t="s">
        <v>16220</v>
      </c>
      <c r="I3853" s="103">
        <v>3.102830124E9</v>
      </c>
      <c r="J3853" s="104" t="s">
        <v>16221</v>
      </c>
      <c r="K3853" s="107" t="s">
        <v>16222</v>
      </c>
      <c r="L3853" s="105"/>
    </row>
    <row r="3854">
      <c r="A3854" s="103" t="s">
        <v>4676</v>
      </c>
      <c r="B3854" s="103">
        <v>1.10013999501E11</v>
      </c>
      <c r="C3854" s="105"/>
      <c r="D3854" s="104" t="s">
        <v>16219</v>
      </c>
      <c r="E3854" s="104" t="s">
        <v>16223</v>
      </c>
      <c r="F3854" s="103" t="s">
        <v>4678</v>
      </c>
      <c r="G3854" s="103" t="s">
        <v>4679</v>
      </c>
      <c r="H3854" s="103" t="s">
        <v>16224</v>
      </c>
      <c r="I3854" s="103">
        <v>3.102830124E9</v>
      </c>
      <c r="J3854" s="104" t="s">
        <v>16221</v>
      </c>
      <c r="K3854" s="105"/>
      <c r="L3854" s="105"/>
    </row>
    <row r="3855">
      <c r="A3855" s="103" t="s">
        <v>4676</v>
      </c>
      <c r="B3855" s="103">
        <v>1.100140001E9</v>
      </c>
      <c r="C3855" s="105"/>
      <c r="D3855" s="104" t="s">
        <v>16225</v>
      </c>
      <c r="E3855" s="106"/>
      <c r="F3855" s="103" t="s">
        <v>4678</v>
      </c>
      <c r="G3855" s="103" t="s">
        <v>4679</v>
      </c>
      <c r="H3855" s="103" t="s">
        <v>16226</v>
      </c>
      <c r="I3855" s="103">
        <v>3.104980495E9</v>
      </c>
      <c r="J3855" s="104" t="s">
        <v>16227</v>
      </c>
      <c r="K3855" s="107" t="s">
        <v>16228</v>
      </c>
      <c r="L3855" s="105"/>
    </row>
    <row r="3856">
      <c r="A3856" s="103" t="s">
        <v>4676</v>
      </c>
      <c r="B3856" s="103">
        <v>1.10014000101E11</v>
      </c>
      <c r="C3856" s="105"/>
      <c r="D3856" s="104" t="s">
        <v>16229</v>
      </c>
      <c r="E3856" s="104" t="s">
        <v>16230</v>
      </c>
      <c r="F3856" s="103" t="s">
        <v>4678</v>
      </c>
      <c r="G3856" s="103" t="s">
        <v>4679</v>
      </c>
      <c r="H3856" s="103" t="s">
        <v>16231</v>
      </c>
      <c r="I3856" s="103">
        <v>3.123529707E9</v>
      </c>
      <c r="J3856" s="104" t="s">
        <v>16227</v>
      </c>
      <c r="K3856" s="105"/>
      <c r="L3856" s="105"/>
    </row>
    <row r="3857">
      <c r="A3857" s="103" t="s">
        <v>4676</v>
      </c>
      <c r="B3857" s="103">
        <v>1.10014000102E11</v>
      </c>
      <c r="C3857" s="105"/>
      <c r="D3857" s="104" t="s">
        <v>16232</v>
      </c>
      <c r="E3857" s="104" t="s">
        <v>16230</v>
      </c>
      <c r="F3857" s="103" t="s">
        <v>4678</v>
      </c>
      <c r="G3857" s="103" t="s">
        <v>4679</v>
      </c>
      <c r="H3857" s="103" t="s">
        <v>16233</v>
      </c>
      <c r="I3857" s="103">
        <v>3.123529707E9</v>
      </c>
      <c r="J3857" s="104" t="s">
        <v>16227</v>
      </c>
      <c r="K3857" s="105"/>
      <c r="L3857" s="105"/>
    </row>
    <row r="3858">
      <c r="A3858" s="103" t="s">
        <v>4676</v>
      </c>
      <c r="B3858" s="103">
        <v>1.100140009E9</v>
      </c>
      <c r="C3858" s="105"/>
      <c r="D3858" s="104" t="s">
        <v>16234</v>
      </c>
      <c r="E3858" s="106"/>
      <c r="F3858" s="103" t="s">
        <v>4678</v>
      </c>
      <c r="G3858" s="103" t="s">
        <v>4679</v>
      </c>
      <c r="H3858" s="103" t="s">
        <v>16235</v>
      </c>
      <c r="I3858" s="103">
        <v>6.013000958E9</v>
      </c>
      <c r="J3858" s="104" t="s">
        <v>16236</v>
      </c>
      <c r="K3858" s="107" t="s">
        <v>16237</v>
      </c>
      <c r="L3858" s="105"/>
    </row>
    <row r="3859">
      <c r="A3859" s="103" t="s">
        <v>4676</v>
      </c>
      <c r="B3859" s="103">
        <v>1.10014000901E11</v>
      </c>
      <c r="C3859" s="105"/>
      <c r="D3859" s="104" t="s">
        <v>16234</v>
      </c>
      <c r="E3859" s="104" t="s">
        <v>16238</v>
      </c>
      <c r="F3859" s="103" t="s">
        <v>4678</v>
      </c>
      <c r="G3859" s="103" t="s">
        <v>4679</v>
      </c>
      <c r="H3859" s="103" t="s">
        <v>16239</v>
      </c>
      <c r="I3859" s="103">
        <v>6.013000958E9</v>
      </c>
      <c r="J3859" s="104" t="s">
        <v>16236</v>
      </c>
      <c r="K3859" s="105"/>
      <c r="L3859" s="105"/>
    </row>
    <row r="3860">
      <c r="A3860" s="103" t="s">
        <v>4676</v>
      </c>
      <c r="B3860" s="103">
        <v>1.100140026E9</v>
      </c>
      <c r="C3860" s="105"/>
      <c r="D3860" s="104" t="s">
        <v>16240</v>
      </c>
      <c r="E3860" s="106"/>
      <c r="F3860" s="103" t="s">
        <v>4678</v>
      </c>
      <c r="G3860" s="103" t="s">
        <v>4679</v>
      </c>
      <c r="H3860" s="103" t="s">
        <v>16241</v>
      </c>
      <c r="I3860" s="103">
        <v>3.176441138E9</v>
      </c>
      <c r="J3860" s="104" t="s">
        <v>16242</v>
      </c>
      <c r="K3860" s="107" t="s">
        <v>16243</v>
      </c>
      <c r="L3860" s="105"/>
    </row>
    <row r="3861">
      <c r="A3861" s="103" t="s">
        <v>4676</v>
      </c>
      <c r="B3861" s="103">
        <v>1.10014002601E11</v>
      </c>
      <c r="C3861" s="105"/>
      <c r="D3861" s="104" t="s">
        <v>16240</v>
      </c>
      <c r="E3861" s="104" t="s">
        <v>16244</v>
      </c>
      <c r="F3861" s="103" t="s">
        <v>4678</v>
      </c>
      <c r="G3861" s="103" t="s">
        <v>4679</v>
      </c>
      <c r="H3861" s="103" t="s">
        <v>16241</v>
      </c>
      <c r="I3861" s="103">
        <v>3.176441138E9</v>
      </c>
      <c r="J3861" s="104" t="s">
        <v>16242</v>
      </c>
      <c r="K3861" s="105"/>
      <c r="L3861" s="105"/>
    </row>
    <row r="3862">
      <c r="A3862" s="103" t="s">
        <v>4676</v>
      </c>
      <c r="B3862" s="103">
        <v>1.100140028E9</v>
      </c>
      <c r="C3862" s="105"/>
      <c r="D3862" s="104" t="s">
        <v>16245</v>
      </c>
      <c r="E3862" s="106"/>
      <c r="F3862" s="103" t="s">
        <v>4678</v>
      </c>
      <c r="G3862" s="103" t="s">
        <v>4679</v>
      </c>
      <c r="H3862" s="103" t="s">
        <v>16246</v>
      </c>
      <c r="I3862" s="103">
        <v>3.202742703E9</v>
      </c>
      <c r="J3862" s="104" t="s">
        <v>16247</v>
      </c>
      <c r="K3862" s="107" t="s">
        <v>15130</v>
      </c>
      <c r="L3862" s="105"/>
    </row>
    <row r="3863">
      <c r="A3863" s="103" t="s">
        <v>4676</v>
      </c>
      <c r="B3863" s="103">
        <v>1.10014002801E11</v>
      </c>
      <c r="C3863" s="105"/>
      <c r="D3863" s="104" t="s">
        <v>16248</v>
      </c>
      <c r="E3863" s="104" t="s">
        <v>16249</v>
      </c>
      <c r="F3863" s="103" t="s">
        <v>4678</v>
      </c>
      <c r="G3863" s="103" t="s">
        <v>4679</v>
      </c>
      <c r="H3863" s="103" t="s">
        <v>16250</v>
      </c>
      <c r="I3863" s="103">
        <v>3.202742703E9</v>
      </c>
      <c r="J3863" s="104" t="s">
        <v>16247</v>
      </c>
      <c r="K3863" s="105"/>
      <c r="L3863" s="105"/>
    </row>
    <row r="3864">
      <c r="A3864" s="103" t="s">
        <v>4676</v>
      </c>
      <c r="B3864" s="103">
        <v>1.100140072E9</v>
      </c>
      <c r="C3864" s="105"/>
      <c r="D3864" s="104" t="s">
        <v>16251</v>
      </c>
      <c r="E3864" s="106"/>
      <c r="F3864" s="103" t="s">
        <v>4678</v>
      </c>
      <c r="G3864" s="103" t="s">
        <v>4679</v>
      </c>
      <c r="H3864" s="103" t="s">
        <v>16252</v>
      </c>
      <c r="I3864" s="103">
        <v>7425961.0</v>
      </c>
      <c r="J3864" s="104" t="s">
        <v>16253</v>
      </c>
      <c r="K3864" s="107" t="s">
        <v>16254</v>
      </c>
      <c r="L3864" s="105"/>
    </row>
    <row r="3865">
      <c r="A3865" s="103" t="s">
        <v>4676</v>
      </c>
      <c r="B3865" s="103">
        <v>1.10014007201E11</v>
      </c>
      <c r="C3865" s="105"/>
      <c r="D3865" s="104" t="s">
        <v>16255</v>
      </c>
      <c r="E3865" s="104" t="s">
        <v>16256</v>
      </c>
      <c r="F3865" s="103" t="s">
        <v>4678</v>
      </c>
      <c r="G3865" s="103" t="s">
        <v>4679</v>
      </c>
      <c r="H3865" s="103" t="s">
        <v>16252</v>
      </c>
      <c r="I3865" s="103">
        <v>7425961.0</v>
      </c>
      <c r="J3865" s="104" t="s">
        <v>16253</v>
      </c>
      <c r="K3865" s="105"/>
      <c r="L3865" s="105"/>
    </row>
    <row r="3866">
      <c r="A3866" s="103" t="s">
        <v>4676</v>
      </c>
      <c r="B3866" s="103">
        <v>1.100140073E9</v>
      </c>
      <c r="C3866" s="105"/>
      <c r="D3866" s="104" t="s">
        <v>16257</v>
      </c>
      <c r="E3866" s="106"/>
      <c r="F3866" s="103" t="s">
        <v>4678</v>
      </c>
      <c r="G3866" s="103" t="s">
        <v>4679</v>
      </c>
      <c r="H3866" s="103" t="s">
        <v>16258</v>
      </c>
      <c r="I3866" s="103">
        <v>3.153160551E9</v>
      </c>
      <c r="J3866" s="104" t="s">
        <v>16259</v>
      </c>
      <c r="K3866" s="105"/>
      <c r="L3866" s="105"/>
    </row>
    <row r="3867">
      <c r="A3867" s="103" t="s">
        <v>4676</v>
      </c>
      <c r="B3867" s="103">
        <v>1.10014007301E11</v>
      </c>
      <c r="C3867" s="105"/>
      <c r="D3867" s="104" t="s">
        <v>16260</v>
      </c>
      <c r="E3867" s="104" t="s">
        <v>16261</v>
      </c>
      <c r="F3867" s="103" t="s">
        <v>4678</v>
      </c>
      <c r="G3867" s="103" t="s">
        <v>4679</v>
      </c>
      <c r="H3867" s="103" t="s">
        <v>16258</v>
      </c>
      <c r="I3867" s="103">
        <v>3.153160551E9</v>
      </c>
      <c r="J3867" s="104" t="s">
        <v>16259</v>
      </c>
      <c r="K3867" s="105"/>
      <c r="L3867" s="105"/>
    </row>
    <row r="3868">
      <c r="A3868" s="103" t="s">
        <v>4676</v>
      </c>
      <c r="B3868" s="103">
        <v>1.100140075E9</v>
      </c>
      <c r="C3868" s="105"/>
      <c r="D3868" s="104" t="s">
        <v>16262</v>
      </c>
      <c r="E3868" s="106"/>
      <c r="F3868" s="103" t="s">
        <v>4678</v>
      </c>
      <c r="G3868" s="103" t="s">
        <v>4679</v>
      </c>
      <c r="H3868" s="103" t="s">
        <v>16263</v>
      </c>
      <c r="I3868" s="103">
        <v>3.16628329E9</v>
      </c>
      <c r="J3868" s="104" t="s">
        <v>16264</v>
      </c>
      <c r="K3868" s="105"/>
      <c r="L3868" s="105"/>
    </row>
    <row r="3869">
      <c r="A3869" s="103" t="s">
        <v>4676</v>
      </c>
      <c r="B3869" s="103">
        <v>1.10014007501E11</v>
      </c>
      <c r="C3869" s="105"/>
      <c r="D3869" s="104" t="s">
        <v>16265</v>
      </c>
      <c r="E3869" s="104" t="s">
        <v>16266</v>
      </c>
      <c r="F3869" s="103" t="s">
        <v>4678</v>
      </c>
      <c r="G3869" s="103" t="s">
        <v>4679</v>
      </c>
      <c r="H3869" s="103" t="s">
        <v>16267</v>
      </c>
      <c r="I3869" s="103">
        <v>3.16628329E9</v>
      </c>
      <c r="J3869" s="104" t="s">
        <v>16264</v>
      </c>
      <c r="K3869" s="105"/>
      <c r="L3869" s="105"/>
    </row>
    <row r="3870">
      <c r="A3870" s="103" t="s">
        <v>4676</v>
      </c>
      <c r="B3870" s="103">
        <v>1.10014009E9</v>
      </c>
      <c r="C3870" s="105"/>
      <c r="D3870" s="104" t="s">
        <v>16268</v>
      </c>
      <c r="E3870" s="106"/>
      <c r="F3870" s="103" t="s">
        <v>4678</v>
      </c>
      <c r="G3870" s="103" t="s">
        <v>4679</v>
      </c>
      <c r="H3870" s="103" t="s">
        <v>16269</v>
      </c>
      <c r="I3870" s="103">
        <v>6.013002834E9</v>
      </c>
      <c r="J3870" s="104" t="s">
        <v>16270</v>
      </c>
      <c r="K3870" s="107" t="s">
        <v>16271</v>
      </c>
      <c r="L3870" s="105"/>
    </row>
    <row r="3871">
      <c r="A3871" s="103" t="s">
        <v>4676</v>
      </c>
      <c r="B3871" s="103">
        <v>1.10014009001E11</v>
      </c>
      <c r="C3871" s="105"/>
      <c r="D3871" s="104" t="s">
        <v>16272</v>
      </c>
      <c r="E3871" s="104" t="s">
        <v>16273</v>
      </c>
      <c r="F3871" s="103" t="s">
        <v>4678</v>
      </c>
      <c r="G3871" s="103" t="s">
        <v>4679</v>
      </c>
      <c r="H3871" s="103" t="s">
        <v>16269</v>
      </c>
      <c r="I3871" s="103">
        <v>6.013002834E9</v>
      </c>
      <c r="J3871" s="104" t="s">
        <v>16270</v>
      </c>
      <c r="K3871" s="105"/>
      <c r="L3871" s="105"/>
    </row>
    <row r="3872">
      <c r="A3872" s="103" t="s">
        <v>4676</v>
      </c>
      <c r="B3872" s="103">
        <v>1.10014009002E11</v>
      </c>
      <c r="C3872" s="105"/>
      <c r="D3872" s="104" t="s">
        <v>16274</v>
      </c>
      <c r="E3872" s="104" t="s">
        <v>16273</v>
      </c>
      <c r="F3872" s="103" t="s">
        <v>4678</v>
      </c>
      <c r="G3872" s="103" t="s">
        <v>4679</v>
      </c>
      <c r="H3872" s="103" t="s">
        <v>16275</v>
      </c>
      <c r="I3872" s="103">
        <v>3.045913697E9</v>
      </c>
      <c r="J3872" s="104" t="s">
        <v>16270</v>
      </c>
      <c r="K3872" s="105"/>
      <c r="L3872" s="105"/>
    </row>
    <row r="3873">
      <c r="A3873" s="103" t="s">
        <v>4676</v>
      </c>
      <c r="B3873" s="103">
        <v>1.10014009003E11</v>
      </c>
      <c r="C3873" s="105"/>
      <c r="D3873" s="104" t="s">
        <v>16276</v>
      </c>
      <c r="E3873" s="104" t="s">
        <v>16273</v>
      </c>
      <c r="F3873" s="103" t="s">
        <v>4678</v>
      </c>
      <c r="G3873" s="103" t="s">
        <v>4679</v>
      </c>
      <c r="H3873" s="103" t="s">
        <v>16277</v>
      </c>
      <c r="I3873" s="103">
        <v>3.045913697E9</v>
      </c>
      <c r="J3873" s="104" t="s">
        <v>16270</v>
      </c>
      <c r="K3873" s="105"/>
      <c r="L3873" s="105"/>
    </row>
    <row r="3874">
      <c r="A3874" s="103" t="s">
        <v>4676</v>
      </c>
      <c r="B3874" s="103">
        <v>1.10014009004E11</v>
      </c>
      <c r="C3874" s="105"/>
      <c r="D3874" s="104" t="s">
        <v>16278</v>
      </c>
      <c r="E3874" s="104" t="s">
        <v>16279</v>
      </c>
      <c r="F3874" s="103" t="s">
        <v>4678</v>
      </c>
      <c r="G3874" s="103" t="s">
        <v>4679</v>
      </c>
      <c r="H3874" s="103" t="s">
        <v>16280</v>
      </c>
      <c r="I3874" s="103" t="s">
        <v>16281</v>
      </c>
      <c r="J3874" s="104" t="s">
        <v>16270</v>
      </c>
      <c r="K3874" s="105"/>
      <c r="L3874" s="105"/>
    </row>
    <row r="3875">
      <c r="A3875" s="103" t="s">
        <v>4676</v>
      </c>
      <c r="B3875" s="103">
        <v>1.10014009005E11</v>
      </c>
      <c r="C3875" s="105"/>
      <c r="D3875" s="104" t="s">
        <v>16282</v>
      </c>
      <c r="E3875" s="104" t="s">
        <v>16283</v>
      </c>
      <c r="F3875" s="103" t="s">
        <v>4678</v>
      </c>
      <c r="G3875" s="103" t="s">
        <v>4679</v>
      </c>
      <c r="H3875" s="103" t="s">
        <v>16284</v>
      </c>
      <c r="I3875" s="103">
        <v>3.045913697E9</v>
      </c>
      <c r="J3875" s="104" t="s">
        <v>16270</v>
      </c>
      <c r="K3875" s="105"/>
      <c r="L3875" s="105"/>
    </row>
    <row r="3876">
      <c r="A3876" s="103" t="s">
        <v>4676</v>
      </c>
      <c r="B3876" s="103">
        <v>1.100140101E9</v>
      </c>
      <c r="C3876" s="105"/>
      <c r="D3876" s="104" t="s">
        <v>16285</v>
      </c>
      <c r="E3876" s="106"/>
      <c r="F3876" s="103" t="s">
        <v>4678</v>
      </c>
      <c r="G3876" s="103" t="s">
        <v>4679</v>
      </c>
      <c r="H3876" s="103" t="s">
        <v>16286</v>
      </c>
      <c r="I3876" s="103">
        <v>3785995.0</v>
      </c>
      <c r="J3876" s="104" t="s">
        <v>16287</v>
      </c>
      <c r="K3876" s="107" t="s">
        <v>16288</v>
      </c>
      <c r="L3876" s="105"/>
    </row>
    <row r="3877">
      <c r="A3877" s="103" t="s">
        <v>4676</v>
      </c>
      <c r="B3877" s="103">
        <v>1.10014010101E11</v>
      </c>
      <c r="C3877" s="105"/>
      <c r="D3877" s="104" t="s">
        <v>16289</v>
      </c>
      <c r="E3877" s="104" t="s">
        <v>16290</v>
      </c>
      <c r="F3877" s="103" t="s">
        <v>4678</v>
      </c>
      <c r="G3877" s="103" t="s">
        <v>4679</v>
      </c>
      <c r="H3877" s="103" t="s">
        <v>16291</v>
      </c>
      <c r="I3877" s="103">
        <v>3.183732687E9</v>
      </c>
      <c r="J3877" s="104" t="s">
        <v>16287</v>
      </c>
      <c r="K3877" s="105"/>
      <c r="L3877" s="105"/>
    </row>
    <row r="3878">
      <c r="A3878" s="103" t="s">
        <v>4676</v>
      </c>
      <c r="B3878" s="103">
        <v>1.10014010102E11</v>
      </c>
      <c r="C3878" s="105"/>
      <c r="D3878" s="104" t="s">
        <v>16292</v>
      </c>
      <c r="E3878" s="104" t="s">
        <v>16290</v>
      </c>
      <c r="F3878" s="103" t="s">
        <v>4678</v>
      </c>
      <c r="G3878" s="103" t="s">
        <v>4679</v>
      </c>
      <c r="H3878" s="103" t="s">
        <v>16293</v>
      </c>
      <c r="I3878" s="103">
        <v>6.013785995E9</v>
      </c>
      <c r="J3878" s="104" t="s">
        <v>16294</v>
      </c>
      <c r="K3878" s="105"/>
      <c r="L3878" s="105"/>
    </row>
    <row r="3879">
      <c r="A3879" s="103" t="s">
        <v>4676</v>
      </c>
      <c r="B3879" s="103">
        <v>1.100140106E9</v>
      </c>
      <c r="C3879" s="105"/>
      <c r="D3879" s="104" t="s">
        <v>16295</v>
      </c>
      <c r="E3879" s="106"/>
      <c r="F3879" s="103" t="s">
        <v>4678</v>
      </c>
      <c r="G3879" s="103" t="s">
        <v>4679</v>
      </c>
      <c r="H3879" s="103" t="s">
        <v>16296</v>
      </c>
      <c r="I3879" s="103">
        <v>3.017284668E9</v>
      </c>
      <c r="J3879" s="104" t="s">
        <v>16297</v>
      </c>
      <c r="K3879" s="105"/>
      <c r="L3879" s="105"/>
    </row>
    <row r="3880">
      <c r="A3880" s="103" t="s">
        <v>4676</v>
      </c>
      <c r="B3880" s="103">
        <v>1.10014010601E11</v>
      </c>
      <c r="C3880" s="105"/>
      <c r="D3880" s="104" t="s">
        <v>16298</v>
      </c>
      <c r="E3880" s="104" t="s">
        <v>16299</v>
      </c>
      <c r="F3880" s="103" t="s">
        <v>4678</v>
      </c>
      <c r="G3880" s="103" t="s">
        <v>4679</v>
      </c>
      <c r="H3880" s="103" t="s">
        <v>16296</v>
      </c>
      <c r="I3880" s="103">
        <v>3.017284668E9</v>
      </c>
      <c r="J3880" s="104" t="s">
        <v>16297</v>
      </c>
      <c r="K3880" s="105"/>
      <c r="L3880" s="105"/>
    </row>
    <row r="3881">
      <c r="A3881" s="103" t="s">
        <v>4676</v>
      </c>
      <c r="B3881" s="103">
        <v>1.100140107E9</v>
      </c>
      <c r="C3881" s="105"/>
      <c r="D3881" s="104" t="s">
        <v>16300</v>
      </c>
      <c r="E3881" s="106"/>
      <c r="F3881" s="103" t="s">
        <v>4678</v>
      </c>
      <c r="G3881" s="103" t="s">
        <v>4679</v>
      </c>
      <c r="H3881" s="103" t="s">
        <v>16301</v>
      </c>
      <c r="I3881" s="103">
        <v>3.158895505E9</v>
      </c>
      <c r="J3881" s="104" t="s">
        <v>16302</v>
      </c>
      <c r="K3881" s="107" t="s">
        <v>16303</v>
      </c>
      <c r="L3881" s="105"/>
    </row>
    <row r="3882">
      <c r="A3882" s="103" t="s">
        <v>4676</v>
      </c>
      <c r="B3882" s="103">
        <v>1.10014010701E11</v>
      </c>
      <c r="C3882" s="105"/>
      <c r="D3882" s="104" t="s">
        <v>16304</v>
      </c>
      <c r="E3882" s="104" t="s">
        <v>16305</v>
      </c>
      <c r="F3882" s="103" t="s">
        <v>4678</v>
      </c>
      <c r="G3882" s="103" t="s">
        <v>4679</v>
      </c>
      <c r="H3882" s="103" t="s">
        <v>16306</v>
      </c>
      <c r="I3882" s="103">
        <v>3.158895505E9</v>
      </c>
      <c r="J3882" s="104" t="s">
        <v>16302</v>
      </c>
      <c r="K3882" s="105"/>
      <c r="L3882" s="105"/>
    </row>
    <row r="3883">
      <c r="A3883" s="103" t="s">
        <v>4676</v>
      </c>
      <c r="B3883" s="103">
        <v>1.100140192E9</v>
      </c>
      <c r="C3883" s="105"/>
      <c r="D3883" s="104" t="s">
        <v>16307</v>
      </c>
      <c r="E3883" s="106"/>
      <c r="F3883" s="103" t="s">
        <v>4678</v>
      </c>
      <c r="G3883" s="103" t="s">
        <v>4679</v>
      </c>
      <c r="H3883" s="103" t="s">
        <v>16308</v>
      </c>
      <c r="I3883" s="103">
        <v>3.043800648E9</v>
      </c>
      <c r="J3883" s="104" t="s">
        <v>16309</v>
      </c>
      <c r="K3883" s="105"/>
      <c r="L3883" s="105"/>
    </row>
    <row r="3884">
      <c r="A3884" s="103" t="s">
        <v>4676</v>
      </c>
      <c r="B3884" s="103">
        <v>1.10014019201E11</v>
      </c>
      <c r="C3884" s="105"/>
      <c r="D3884" s="104" t="s">
        <v>16307</v>
      </c>
      <c r="E3884" s="104" t="s">
        <v>16310</v>
      </c>
      <c r="F3884" s="103" t="s">
        <v>4678</v>
      </c>
      <c r="G3884" s="103" t="s">
        <v>4679</v>
      </c>
      <c r="H3884" s="103" t="s">
        <v>16308</v>
      </c>
      <c r="I3884" s="103">
        <v>3.043800648E9</v>
      </c>
      <c r="J3884" s="104" t="s">
        <v>16309</v>
      </c>
      <c r="K3884" s="105"/>
      <c r="L3884" s="105"/>
    </row>
    <row r="3885">
      <c r="A3885" s="103" t="s">
        <v>4676</v>
      </c>
      <c r="B3885" s="103">
        <v>1.100140197E9</v>
      </c>
      <c r="C3885" s="105"/>
      <c r="D3885" s="104" t="s">
        <v>16311</v>
      </c>
      <c r="E3885" s="106"/>
      <c r="F3885" s="103" t="s">
        <v>4678</v>
      </c>
      <c r="G3885" s="103" t="s">
        <v>4679</v>
      </c>
      <c r="H3885" s="103" t="s">
        <v>16312</v>
      </c>
      <c r="I3885" s="103">
        <v>3.013749171E9</v>
      </c>
      <c r="J3885" s="104" t="s">
        <v>16313</v>
      </c>
      <c r="K3885" s="105"/>
      <c r="L3885" s="105"/>
    </row>
    <row r="3886">
      <c r="A3886" s="103" t="s">
        <v>4676</v>
      </c>
      <c r="B3886" s="103">
        <v>1.10014019701E11</v>
      </c>
      <c r="C3886" s="105"/>
      <c r="D3886" s="104" t="s">
        <v>16314</v>
      </c>
      <c r="E3886" s="104" t="s">
        <v>16315</v>
      </c>
      <c r="F3886" s="103" t="s">
        <v>4678</v>
      </c>
      <c r="G3886" s="103" t="s">
        <v>4679</v>
      </c>
      <c r="H3886" s="103" t="s">
        <v>16312</v>
      </c>
      <c r="I3886" s="103">
        <v>3.013749171E9</v>
      </c>
      <c r="J3886" s="104" t="s">
        <v>16313</v>
      </c>
      <c r="K3886" s="105"/>
      <c r="L3886" s="105"/>
    </row>
    <row r="3887">
      <c r="A3887" s="103" t="s">
        <v>4676</v>
      </c>
      <c r="B3887" s="103">
        <v>1.10014022E9</v>
      </c>
      <c r="C3887" s="105"/>
      <c r="D3887" s="104" t="s">
        <v>16316</v>
      </c>
      <c r="E3887" s="106"/>
      <c r="F3887" s="103" t="s">
        <v>4678</v>
      </c>
      <c r="G3887" s="103" t="s">
        <v>4679</v>
      </c>
      <c r="H3887" s="103" t="s">
        <v>16317</v>
      </c>
      <c r="I3887" s="103">
        <v>3.176396805E9</v>
      </c>
      <c r="J3887" s="104" t="s">
        <v>16318</v>
      </c>
      <c r="K3887" s="103" t="s">
        <v>16319</v>
      </c>
      <c r="L3887" s="105"/>
    </row>
    <row r="3888">
      <c r="A3888" s="103" t="s">
        <v>4676</v>
      </c>
      <c r="B3888" s="103">
        <v>1.10014022001E11</v>
      </c>
      <c r="C3888" s="105"/>
      <c r="D3888" s="104" t="s">
        <v>16316</v>
      </c>
      <c r="E3888" s="104" t="s">
        <v>16320</v>
      </c>
      <c r="F3888" s="103" t="s">
        <v>4678</v>
      </c>
      <c r="G3888" s="103" t="s">
        <v>4679</v>
      </c>
      <c r="H3888" s="103" t="s">
        <v>16317</v>
      </c>
      <c r="I3888" s="103">
        <v>3.176396805E9</v>
      </c>
      <c r="J3888" s="104" t="s">
        <v>16318</v>
      </c>
      <c r="K3888" s="105"/>
      <c r="L3888" s="105"/>
    </row>
    <row r="3889">
      <c r="A3889" s="103" t="s">
        <v>4676</v>
      </c>
      <c r="B3889" s="103">
        <v>1.100140226E9</v>
      </c>
      <c r="C3889" s="105"/>
      <c r="D3889" s="104" t="s">
        <v>16321</v>
      </c>
      <c r="E3889" s="106"/>
      <c r="F3889" s="103" t="s">
        <v>4678</v>
      </c>
      <c r="G3889" s="103" t="s">
        <v>4679</v>
      </c>
      <c r="H3889" s="103" t="s">
        <v>16322</v>
      </c>
      <c r="I3889" s="103">
        <v>3.1542159E9</v>
      </c>
      <c r="J3889" s="104" t="s">
        <v>16323</v>
      </c>
      <c r="K3889" s="105"/>
      <c r="L3889" s="105"/>
    </row>
    <row r="3890">
      <c r="A3890" s="103" t="s">
        <v>4676</v>
      </c>
      <c r="B3890" s="103">
        <v>1.10014022601E11</v>
      </c>
      <c r="C3890" s="105"/>
      <c r="D3890" s="104" t="s">
        <v>16321</v>
      </c>
      <c r="E3890" s="104" t="s">
        <v>16324</v>
      </c>
      <c r="F3890" s="103" t="s">
        <v>4678</v>
      </c>
      <c r="G3890" s="103" t="s">
        <v>4679</v>
      </c>
      <c r="H3890" s="103" t="s">
        <v>16325</v>
      </c>
      <c r="I3890" s="103">
        <v>3.1542159E9</v>
      </c>
      <c r="J3890" s="104" t="s">
        <v>16323</v>
      </c>
      <c r="K3890" s="105"/>
      <c r="L3890" s="105"/>
    </row>
    <row r="3891">
      <c r="A3891" s="103" t="s">
        <v>4676</v>
      </c>
      <c r="B3891" s="103">
        <v>1.100140249E9</v>
      </c>
      <c r="C3891" s="105"/>
      <c r="D3891" s="104" t="s">
        <v>16326</v>
      </c>
      <c r="E3891" s="106"/>
      <c r="F3891" s="103" t="s">
        <v>4678</v>
      </c>
      <c r="G3891" s="103" t="s">
        <v>4679</v>
      </c>
      <c r="H3891" s="103" t="s">
        <v>16327</v>
      </c>
      <c r="I3891" s="103" t="s">
        <v>16328</v>
      </c>
      <c r="J3891" s="104" t="s">
        <v>16329</v>
      </c>
      <c r="K3891" s="107" t="s">
        <v>16330</v>
      </c>
      <c r="L3891" s="105"/>
    </row>
    <row r="3892">
      <c r="A3892" s="103" t="s">
        <v>4676</v>
      </c>
      <c r="B3892" s="103">
        <v>1.10014024901E11</v>
      </c>
      <c r="C3892" s="105"/>
      <c r="D3892" s="104" t="s">
        <v>16331</v>
      </c>
      <c r="E3892" s="104" t="s">
        <v>16332</v>
      </c>
      <c r="F3892" s="103" t="s">
        <v>4678</v>
      </c>
      <c r="G3892" s="103" t="s">
        <v>4679</v>
      </c>
      <c r="H3892" s="103" t="s">
        <v>16327</v>
      </c>
      <c r="I3892" s="103" t="s">
        <v>16333</v>
      </c>
      <c r="J3892" s="104" t="s">
        <v>16329</v>
      </c>
      <c r="K3892" s="105"/>
      <c r="L3892" s="105"/>
    </row>
    <row r="3893">
      <c r="A3893" s="103" t="s">
        <v>4676</v>
      </c>
      <c r="B3893" s="103">
        <v>1.10014024902E11</v>
      </c>
      <c r="C3893" s="105"/>
      <c r="D3893" s="104" t="s">
        <v>16334</v>
      </c>
      <c r="E3893" s="104" t="s">
        <v>16332</v>
      </c>
      <c r="F3893" s="103" t="s">
        <v>4678</v>
      </c>
      <c r="G3893" s="103" t="s">
        <v>4679</v>
      </c>
      <c r="H3893" s="103" t="s">
        <v>16335</v>
      </c>
      <c r="I3893" s="103">
        <v>3.005939285E9</v>
      </c>
      <c r="J3893" s="104" t="s">
        <v>16329</v>
      </c>
      <c r="K3893" s="105"/>
      <c r="L3893" s="105"/>
    </row>
    <row r="3894">
      <c r="A3894" s="103" t="s">
        <v>4676</v>
      </c>
      <c r="B3894" s="103">
        <v>1.10014024903E11</v>
      </c>
      <c r="C3894" s="105"/>
      <c r="D3894" s="104" t="s">
        <v>16336</v>
      </c>
      <c r="E3894" s="104" t="s">
        <v>16337</v>
      </c>
      <c r="F3894" s="103" t="s">
        <v>4678</v>
      </c>
      <c r="G3894" s="103" t="s">
        <v>4679</v>
      </c>
      <c r="H3894" s="103" t="s">
        <v>16338</v>
      </c>
      <c r="I3894" s="103">
        <v>3.005939286E9</v>
      </c>
      <c r="J3894" s="104" t="s">
        <v>16329</v>
      </c>
      <c r="K3894" s="105"/>
      <c r="L3894" s="105"/>
    </row>
    <row r="3895">
      <c r="A3895" s="103" t="s">
        <v>4676</v>
      </c>
      <c r="B3895" s="103">
        <v>1.100140297E9</v>
      </c>
      <c r="C3895" s="105"/>
      <c r="D3895" s="104" t="s">
        <v>16339</v>
      </c>
      <c r="E3895" s="106"/>
      <c r="F3895" s="103" t="s">
        <v>4678</v>
      </c>
      <c r="G3895" s="103" t="s">
        <v>4679</v>
      </c>
      <c r="H3895" s="103" t="s">
        <v>16340</v>
      </c>
      <c r="I3895" s="103">
        <v>3.017439708E9</v>
      </c>
      <c r="J3895" s="104" t="s">
        <v>16341</v>
      </c>
      <c r="K3895" s="107" t="s">
        <v>16342</v>
      </c>
      <c r="L3895" s="105"/>
    </row>
    <row r="3896">
      <c r="A3896" s="103" t="s">
        <v>4676</v>
      </c>
      <c r="B3896" s="103">
        <v>1.10014029701E11</v>
      </c>
      <c r="C3896" s="105"/>
      <c r="D3896" s="104" t="s">
        <v>16343</v>
      </c>
      <c r="E3896" s="104" t="s">
        <v>16344</v>
      </c>
      <c r="F3896" s="103" t="s">
        <v>4678</v>
      </c>
      <c r="G3896" s="103" t="s">
        <v>4679</v>
      </c>
      <c r="H3896" s="103" t="s">
        <v>16345</v>
      </c>
      <c r="I3896" s="103">
        <v>3.017439708E9</v>
      </c>
      <c r="J3896" s="104" t="s">
        <v>16341</v>
      </c>
      <c r="K3896" s="105"/>
      <c r="L3896" s="105"/>
    </row>
    <row r="3897">
      <c r="A3897" s="103" t="s">
        <v>4676</v>
      </c>
      <c r="B3897" s="103">
        <v>1.100140304E9</v>
      </c>
      <c r="C3897" s="105"/>
      <c r="D3897" s="104" t="s">
        <v>16346</v>
      </c>
      <c r="E3897" s="106"/>
      <c r="F3897" s="103" t="s">
        <v>4678</v>
      </c>
      <c r="G3897" s="103" t="s">
        <v>4679</v>
      </c>
      <c r="H3897" s="103" t="s">
        <v>16347</v>
      </c>
      <c r="I3897" s="103">
        <v>3.165492695E9</v>
      </c>
      <c r="J3897" s="104" t="s">
        <v>16348</v>
      </c>
      <c r="K3897" s="107" t="s">
        <v>16349</v>
      </c>
      <c r="L3897" s="105"/>
    </row>
    <row r="3898">
      <c r="A3898" s="103" t="s">
        <v>4676</v>
      </c>
      <c r="B3898" s="103">
        <v>1.10014030401E11</v>
      </c>
      <c r="C3898" s="105"/>
      <c r="D3898" s="104" t="s">
        <v>16346</v>
      </c>
      <c r="E3898" s="104" t="s">
        <v>16350</v>
      </c>
      <c r="F3898" s="103" t="s">
        <v>4678</v>
      </c>
      <c r="G3898" s="103" t="s">
        <v>4679</v>
      </c>
      <c r="H3898" s="103" t="s">
        <v>16347</v>
      </c>
      <c r="I3898" s="103">
        <v>3.165492695E9</v>
      </c>
      <c r="J3898" s="104" t="s">
        <v>16348</v>
      </c>
      <c r="K3898" s="105"/>
      <c r="L3898" s="105"/>
    </row>
    <row r="3899">
      <c r="A3899" s="103" t="s">
        <v>4676</v>
      </c>
      <c r="B3899" s="103">
        <v>1.100140373E9</v>
      </c>
      <c r="C3899" s="105"/>
      <c r="D3899" s="104" t="s">
        <v>16351</v>
      </c>
      <c r="E3899" s="106"/>
      <c r="F3899" s="103" t="s">
        <v>4678</v>
      </c>
      <c r="G3899" s="103" t="s">
        <v>4679</v>
      </c>
      <c r="H3899" s="103" t="s">
        <v>16352</v>
      </c>
      <c r="I3899" s="103">
        <v>3.017002018E9</v>
      </c>
      <c r="J3899" s="104" t="s">
        <v>16353</v>
      </c>
      <c r="K3899" s="103" t="s">
        <v>16354</v>
      </c>
      <c r="L3899" s="105"/>
    </row>
    <row r="3900">
      <c r="A3900" s="103" t="s">
        <v>4676</v>
      </c>
      <c r="B3900" s="103">
        <v>1.10014037301E11</v>
      </c>
      <c r="C3900" s="105"/>
      <c r="D3900" s="104" t="s">
        <v>16355</v>
      </c>
      <c r="E3900" s="104" t="s">
        <v>16356</v>
      </c>
      <c r="F3900" s="103" t="s">
        <v>4678</v>
      </c>
      <c r="G3900" s="103" t="s">
        <v>4679</v>
      </c>
      <c r="H3900" s="103" t="s">
        <v>16357</v>
      </c>
      <c r="I3900" s="103">
        <v>3.017002018E9</v>
      </c>
      <c r="J3900" s="104" t="s">
        <v>16353</v>
      </c>
      <c r="K3900" s="105"/>
      <c r="L3900" s="105"/>
    </row>
    <row r="3901">
      <c r="A3901" s="103" t="s">
        <v>4676</v>
      </c>
      <c r="B3901" s="103">
        <v>1.10014037302E11</v>
      </c>
      <c r="C3901" s="105"/>
      <c r="D3901" s="104" t="s">
        <v>16358</v>
      </c>
      <c r="E3901" s="104" t="s">
        <v>16356</v>
      </c>
      <c r="F3901" s="103" t="s">
        <v>4678</v>
      </c>
      <c r="G3901" s="103" t="s">
        <v>4679</v>
      </c>
      <c r="H3901" s="103" t="s">
        <v>16359</v>
      </c>
      <c r="I3901" s="103">
        <v>3.017002018E9</v>
      </c>
      <c r="J3901" s="104" t="s">
        <v>16360</v>
      </c>
      <c r="K3901" s="105"/>
      <c r="L3901" s="105"/>
    </row>
    <row r="3902">
      <c r="A3902" s="103" t="s">
        <v>4676</v>
      </c>
      <c r="B3902" s="103">
        <v>1.100140383E9</v>
      </c>
      <c r="C3902" s="105"/>
      <c r="D3902" s="104" t="s">
        <v>16361</v>
      </c>
      <c r="E3902" s="106"/>
      <c r="F3902" s="103" t="s">
        <v>4678</v>
      </c>
      <c r="G3902" s="103" t="s">
        <v>4679</v>
      </c>
      <c r="H3902" s="103" t="s">
        <v>16362</v>
      </c>
      <c r="I3902" s="103">
        <v>3.115507375E9</v>
      </c>
      <c r="J3902" s="104" t="s">
        <v>16363</v>
      </c>
      <c r="K3902" s="107" t="s">
        <v>16364</v>
      </c>
      <c r="L3902" s="105"/>
    </row>
    <row r="3903">
      <c r="A3903" s="103" t="s">
        <v>4676</v>
      </c>
      <c r="B3903" s="103">
        <v>1.10014038301E11</v>
      </c>
      <c r="C3903" s="105"/>
      <c r="D3903" s="104" t="s">
        <v>16361</v>
      </c>
      <c r="E3903" s="104" t="s">
        <v>16365</v>
      </c>
      <c r="F3903" s="103" t="s">
        <v>4678</v>
      </c>
      <c r="G3903" s="103" t="s">
        <v>4679</v>
      </c>
      <c r="H3903" s="103" t="s">
        <v>16366</v>
      </c>
      <c r="I3903" s="103">
        <v>3.115507375E9</v>
      </c>
      <c r="J3903" s="104" t="s">
        <v>16363</v>
      </c>
      <c r="K3903" s="105"/>
      <c r="L3903" s="105"/>
    </row>
    <row r="3904">
      <c r="A3904" s="103" t="s">
        <v>4676</v>
      </c>
      <c r="B3904" s="103">
        <v>1.10014039E9</v>
      </c>
      <c r="C3904" s="105"/>
      <c r="D3904" s="104" t="s">
        <v>16367</v>
      </c>
      <c r="E3904" s="106"/>
      <c r="F3904" s="103" t="s">
        <v>4678</v>
      </c>
      <c r="G3904" s="103" t="s">
        <v>4679</v>
      </c>
      <c r="H3904" s="103" t="s">
        <v>16368</v>
      </c>
      <c r="I3904" s="103">
        <v>3.204990983E9</v>
      </c>
      <c r="J3904" s="104" t="s">
        <v>16369</v>
      </c>
      <c r="K3904" s="105"/>
      <c r="L3904" s="105"/>
    </row>
    <row r="3905">
      <c r="A3905" s="103" t="s">
        <v>4676</v>
      </c>
      <c r="B3905" s="103">
        <v>1.10014039001E11</v>
      </c>
      <c r="C3905" s="105"/>
      <c r="D3905" s="104" t="s">
        <v>16367</v>
      </c>
      <c r="E3905" s="104" t="s">
        <v>16370</v>
      </c>
      <c r="F3905" s="103" t="s">
        <v>4678</v>
      </c>
      <c r="G3905" s="103" t="s">
        <v>4679</v>
      </c>
      <c r="H3905" s="103" t="s">
        <v>16368</v>
      </c>
      <c r="I3905" s="103">
        <v>3.204990983E9</v>
      </c>
      <c r="J3905" s="104" t="s">
        <v>16369</v>
      </c>
      <c r="K3905" s="105"/>
      <c r="L3905" s="105"/>
    </row>
    <row r="3906">
      <c r="A3906" s="103" t="s">
        <v>4676</v>
      </c>
      <c r="B3906" s="103">
        <v>1.100140393E9</v>
      </c>
      <c r="C3906" s="105"/>
      <c r="D3906" s="104" t="s">
        <v>16371</v>
      </c>
      <c r="E3906" s="106"/>
      <c r="F3906" s="103" t="s">
        <v>4678</v>
      </c>
      <c r="G3906" s="103" t="s">
        <v>4679</v>
      </c>
      <c r="H3906" s="103" t="s">
        <v>16372</v>
      </c>
      <c r="I3906" s="103">
        <v>3.176409454E9</v>
      </c>
      <c r="J3906" s="104" t="s">
        <v>16373</v>
      </c>
      <c r="K3906" s="103" t="s">
        <v>16374</v>
      </c>
      <c r="L3906" s="105"/>
    </row>
    <row r="3907">
      <c r="A3907" s="103" t="s">
        <v>4676</v>
      </c>
      <c r="B3907" s="103">
        <v>1.10014039301E11</v>
      </c>
      <c r="C3907" s="105"/>
      <c r="D3907" s="104" t="s">
        <v>16371</v>
      </c>
      <c r="E3907" s="104" t="s">
        <v>16375</v>
      </c>
      <c r="F3907" s="103" t="s">
        <v>4678</v>
      </c>
      <c r="G3907" s="103" t="s">
        <v>4679</v>
      </c>
      <c r="H3907" s="103" t="s">
        <v>16372</v>
      </c>
      <c r="I3907" s="103">
        <v>3.176409454E9</v>
      </c>
      <c r="J3907" s="104" t="s">
        <v>16373</v>
      </c>
      <c r="K3907" s="105"/>
      <c r="L3907" s="105"/>
    </row>
    <row r="3908">
      <c r="A3908" s="103" t="s">
        <v>4676</v>
      </c>
      <c r="B3908" s="103">
        <v>1.100140399E9</v>
      </c>
      <c r="C3908" s="105"/>
      <c r="D3908" s="104" t="s">
        <v>16376</v>
      </c>
      <c r="E3908" s="106"/>
      <c r="F3908" s="103" t="s">
        <v>4678</v>
      </c>
      <c r="G3908" s="103" t="s">
        <v>4679</v>
      </c>
      <c r="H3908" s="103" t="s">
        <v>16377</v>
      </c>
      <c r="I3908" s="103">
        <v>3.143702801E9</v>
      </c>
      <c r="J3908" s="104" t="s">
        <v>16378</v>
      </c>
      <c r="K3908" s="105"/>
      <c r="L3908" s="105"/>
    </row>
    <row r="3909">
      <c r="A3909" s="103" t="s">
        <v>4676</v>
      </c>
      <c r="B3909" s="103">
        <v>1.10014039901E11</v>
      </c>
      <c r="C3909" s="105"/>
      <c r="D3909" s="104" t="s">
        <v>16376</v>
      </c>
      <c r="E3909" s="104" t="s">
        <v>16379</v>
      </c>
      <c r="F3909" s="103" t="s">
        <v>4678</v>
      </c>
      <c r="G3909" s="103" t="s">
        <v>4679</v>
      </c>
      <c r="H3909" s="103" t="s">
        <v>16377</v>
      </c>
      <c r="I3909" s="103">
        <v>3.143702801E9</v>
      </c>
      <c r="J3909" s="104" t="s">
        <v>16378</v>
      </c>
      <c r="K3909" s="105"/>
      <c r="L3909" s="105"/>
    </row>
    <row r="3910">
      <c r="A3910" s="103" t="s">
        <v>4676</v>
      </c>
      <c r="B3910" s="103">
        <v>1.1001404E9</v>
      </c>
      <c r="C3910" s="105"/>
      <c r="D3910" s="104" t="s">
        <v>16380</v>
      </c>
      <c r="E3910" s="106"/>
      <c r="F3910" s="103" t="s">
        <v>4678</v>
      </c>
      <c r="G3910" s="103" t="s">
        <v>4679</v>
      </c>
      <c r="H3910" s="103" t="s">
        <v>16381</v>
      </c>
      <c r="I3910" s="103">
        <v>3.126603565E9</v>
      </c>
      <c r="J3910" s="104" t="s">
        <v>16382</v>
      </c>
      <c r="K3910" s="103" t="s">
        <v>16383</v>
      </c>
      <c r="L3910" s="105"/>
    </row>
    <row r="3911">
      <c r="A3911" s="103" t="s">
        <v>4676</v>
      </c>
      <c r="B3911" s="103">
        <v>1.10014040001E11</v>
      </c>
      <c r="C3911" s="105"/>
      <c r="D3911" s="104" t="s">
        <v>16380</v>
      </c>
      <c r="E3911" s="104" t="s">
        <v>16384</v>
      </c>
      <c r="F3911" s="103" t="s">
        <v>4678</v>
      </c>
      <c r="G3911" s="103" t="s">
        <v>4679</v>
      </c>
      <c r="H3911" s="103" t="s">
        <v>16385</v>
      </c>
      <c r="I3911" s="103">
        <v>3.126603565E9</v>
      </c>
      <c r="J3911" s="104" t="s">
        <v>16382</v>
      </c>
      <c r="K3911" s="105"/>
      <c r="L3911" s="105"/>
    </row>
    <row r="3912">
      <c r="A3912" s="103" t="s">
        <v>4676</v>
      </c>
      <c r="B3912" s="103">
        <v>1.100140421E9</v>
      </c>
      <c r="C3912" s="105"/>
      <c r="D3912" s="104" t="s">
        <v>16386</v>
      </c>
      <c r="E3912" s="106"/>
      <c r="F3912" s="103" t="s">
        <v>4678</v>
      </c>
      <c r="G3912" s="103" t="s">
        <v>4679</v>
      </c>
      <c r="H3912" s="103" t="s">
        <v>16387</v>
      </c>
      <c r="I3912" s="103">
        <v>3.163860409E9</v>
      </c>
      <c r="J3912" s="104" t="s">
        <v>16388</v>
      </c>
      <c r="K3912" s="105"/>
      <c r="L3912" s="105"/>
    </row>
    <row r="3913">
      <c r="A3913" s="103" t="s">
        <v>4676</v>
      </c>
      <c r="B3913" s="103">
        <v>1.10014042101E11</v>
      </c>
      <c r="C3913" s="105"/>
      <c r="D3913" s="104" t="s">
        <v>16389</v>
      </c>
      <c r="E3913" s="104" t="s">
        <v>16390</v>
      </c>
      <c r="F3913" s="103" t="s">
        <v>4678</v>
      </c>
      <c r="G3913" s="103" t="s">
        <v>4679</v>
      </c>
      <c r="H3913" s="103" t="s">
        <v>16387</v>
      </c>
      <c r="I3913" s="103">
        <v>3.163860409E9</v>
      </c>
      <c r="J3913" s="104" t="s">
        <v>16388</v>
      </c>
      <c r="K3913" s="105"/>
      <c r="L3913" s="105"/>
    </row>
    <row r="3914">
      <c r="A3914" s="103" t="s">
        <v>4676</v>
      </c>
      <c r="B3914" s="103">
        <v>1.100140427E9</v>
      </c>
      <c r="C3914" s="105"/>
      <c r="D3914" s="104" t="s">
        <v>16391</v>
      </c>
      <c r="E3914" s="106"/>
      <c r="F3914" s="103" t="s">
        <v>4678</v>
      </c>
      <c r="G3914" s="103" t="s">
        <v>4679</v>
      </c>
      <c r="H3914" s="103" t="s">
        <v>16392</v>
      </c>
      <c r="I3914" s="103">
        <v>3.160567986E9</v>
      </c>
      <c r="J3914" s="104" t="s">
        <v>16393</v>
      </c>
      <c r="K3914" s="107" t="s">
        <v>16394</v>
      </c>
      <c r="L3914" s="105"/>
    </row>
    <row r="3915">
      <c r="A3915" s="103" t="s">
        <v>4676</v>
      </c>
      <c r="B3915" s="103">
        <v>1.10014042701E11</v>
      </c>
      <c r="C3915" s="105"/>
      <c r="D3915" s="104" t="s">
        <v>16391</v>
      </c>
      <c r="E3915" s="104" t="s">
        <v>16395</v>
      </c>
      <c r="F3915" s="103" t="s">
        <v>4678</v>
      </c>
      <c r="G3915" s="103" t="s">
        <v>4679</v>
      </c>
      <c r="H3915" s="103" t="s">
        <v>16392</v>
      </c>
      <c r="I3915" s="103">
        <v>3.160567986E9</v>
      </c>
      <c r="J3915" s="104" t="s">
        <v>16393</v>
      </c>
      <c r="K3915" s="105"/>
      <c r="L3915" s="105"/>
    </row>
    <row r="3916">
      <c r="A3916" s="103" t="s">
        <v>4676</v>
      </c>
      <c r="B3916" s="103">
        <v>1.100140452E9</v>
      </c>
      <c r="C3916" s="105"/>
      <c r="D3916" s="104" t="s">
        <v>16396</v>
      </c>
      <c r="E3916" s="106"/>
      <c r="F3916" s="103" t="s">
        <v>4678</v>
      </c>
      <c r="G3916" s="103" t="s">
        <v>4679</v>
      </c>
      <c r="H3916" s="103" t="s">
        <v>16397</v>
      </c>
      <c r="I3916" s="103">
        <v>6482476.0</v>
      </c>
      <c r="J3916" s="104" t="s">
        <v>16398</v>
      </c>
      <c r="K3916" s="107" t="s">
        <v>16399</v>
      </c>
      <c r="L3916" s="105"/>
    </row>
    <row r="3917">
      <c r="A3917" s="103" t="s">
        <v>4676</v>
      </c>
      <c r="B3917" s="103">
        <v>1.10014045201E11</v>
      </c>
      <c r="C3917" s="105"/>
      <c r="D3917" s="104" t="s">
        <v>16396</v>
      </c>
      <c r="E3917" s="104" t="s">
        <v>16400</v>
      </c>
      <c r="F3917" s="103" t="s">
        <v>4678</v>
      </c>
      <c r="G3917" s="103" t="s">
        <v>4679</v>
      </c>
      <c r="H3917" s="103" t="s">
        <v>16397</v>
      </c>
      <c r="I3917" s="103">
        <v>6482476.0</v>
      </c>
      <c r="J3917" s="104" t="s">
        <v>16398</v>
      </c>
      <c r="K3917" s="105"/>
      <c r="L3917" s="105"/>
    </row>
    <row r="3918">
      <c r="A3918" s="103" t="s">
        <v>4676</v>
      </c>
      <c r="B3918" s="103">
        <v>1.100140463E9</v>
      </c>
      <c r="C3918" s="105"/>
      <c r="D3918" s="104" t="s">
        <v>16401</v>
      </c>
      <c r="E3918" s="106"/>
      <c r="F3918" s="103" t="s">
        <v>4678</v>
      </c>
      <c r="G3918" s="103" t="s">
        <v>4679</v>
      </c>
      <c r="H3918" s="103" t="s">
        <v>16402</v>
      </c>
      <c r="I3918" s="103">
        <v>3.112778036E9</v>
      </c>
      <c r="J3918" s="104" t="s">
        <v>16403</v>
      </c>
      <c r="K3918" s="105"/>
      <c r="L3918" s="105"/>
    </row>
    <row r="3919">
      <c r="A3919" s="103" t="s">
        <v>4676</v>
      </c>
      <c r="B3919" s="103">
        <v>1.10014046301E11</v>
      </c>
      <c r="C3919" s="105"/>
      <c r="D3919" s="104" t="s">
        <v>16404</v>
      </c>
      <c r="E3919" s="104" t="s">
        <v>16405</v>
      </c>
      <c r="F3919" s="103" t="s">
        <v>4678</v>
      </c>
      <c r="G3919" s="103" t="s">
        <v>4679</v>
      </c>
      <c r="H3919" s="103" t="s">
        <v>16402</v>
      </c>
      <c r="I3919" s="103">
        <v>3.112778036E9</v>
      </c>
      <c r="J3919" s="104" t="s">
        <v>16403</v>
      </c>
      <c r="K3919" s="105"/>
      <c r="L3919" s="105"/>
    </row>
    <row r="3920">
      <c r="A3920" s="103" t="s">
        <v>4676</v>
      </c>
      <c r="B3920" s="103">
        <v>1.100140468E9</v>
      </c>
      <c r="C3920" s="105"/>
      <c r="D3920" s="104" t="s">
        <v>16406</v>
      </c>
      <c r="E3920" s="106"/>
      <c r="F3920" s="103" t="s">
        <v>4678</v>
      </c>
      <c r="G3920" s="103" t="s">
        <v>4679</v>
      </c>
      <c r="H3920" s="103" t="s">
        <v>16407</v>
      </c>
      <c r="I3920" s="103">
        <v>3.046635843E9</v>
      </c>
      <c r="J3920" s="104" t="s">
        <v>16408</v>
      </c>
      <c r="K3920" s="105"/>
      <c r="L3920" s="105"/>
    </row>
    <row r="3921">
      <c r="A3921" s="103" t="s">
        <v>4676</v>
      </c>
      <c r="B3921" s="103">
        <v>1.10014046801E11</v>
      </c>
      <c r="C3921" s="105"/>
      <c r="D3921" s="104" t="s">
        <v>16409</v>
      </c>
      <c r="E3921" s="104" t="s">
        <v>16410</v>
      </c>
      <c r="F3921" s="103" t="s">
        <v>4678</v>
      </c>
      <c r="G3921" s="103" t="s">
        <v>4679</v>
      </c>
      <c r="H3921" s="103" t="s">
        <v>16407</v>
      </c>
      <c r="I3921" s="103">
        <v>3.046635843E9</v>
      </c>
      <c r="J3921" s="104" t="s">
        <v>16408</v>
      </c>
      <c r="K3921" s="105"/>
      <c r="L3921" s="105"/>
    </row>
    <row r="3922">
      <c r="A3922" s="103" t="s">
        <v>4676</v>
      </c>
      <c r="B3922" s="103">
        <v>1.100140482E9</v>
      </c>
      <c r="C3922" s="105"/>
      <c r="D3922" s="104" t="s">
        <v>16411</v>
      </c>
      <c r="E3922" s="106"/>
      <c r="F3922" s="103" t="s">
        <v>4678</v>
      </c>
      <c r="G3922" s="103" t="s">
        <v>4679</v>
      </c>
      <c r="H3922" s="103" t="s">
        <v>16412</v>
      </c>
      <c r="I3922" s="103">
        <v>3.123954053E9</v>
      </c>
      <c r="J3922" s="104" t="s">
        <v>16413</v>
      </c>
      <c r="K3922" s="105"/>
      <c r="L3922" s="105"/>
    </row>
    <row r="3923">
      <c r="A3923" s="103" t="s">
        <v>4676</v>
      </c>
      <c r="B3923" s="103">
        <v>1.10014048201E11</v>
      </c>
      <c r="C3923" s="105"/>
      <c r="D3923" s="104" t="s">
        <v>16414</v>
      </c>
      <c r="E3923" s="104" t="s">
        <v>16415</v>
      </c>
      <c r="F3923" s="103" t="s">
        <v>4678</v>
      </c>
      <c r="G3923" s="103" t="s">
        <v>4679</v>
      </c>
      <c r="H3923" s="103" t="s">
        <v>16412</v>
      </c>
      <c r="I3923" s="103">
        <v>3.123954053E9</v>
      </c>
      <c r="J3923" s="104" t="s">
        <v>16413</v>
      </c>
      <c r="K3923" s="105"/>
      <c r="L3923" s="105"/>
    </row>
    <row r="3924">
      <c r="A3924" s="103" t="s">
        <v>4676</v>
      </c>
      <c r="B3924" s="103">
        <v>1.100140515E9</v>
      </c>
      <c r="C3924" s="105"/>
      <c r="D3924" s="104" t="s">
        <v>16416</v>
      </c>
      <c r="E3924" s="106"/>
      <c r="F3924" s="103" t="s">
        <v>4678</v>
      </c>
      <c r="G3924" s="103" t="s">
        <v>4679</v>
      </c>
      <c r="H3924" s="103" t="s">
        <v>16417</v>
      </c>
      <c r="I3924" s="103">
        <v>3.125215573E9</v>
      </c>
      <c r="J3924" s="104" t="s">
        <v>15848</v>
      </c>
      <c r="K3924" s="103" t="s">
        <v>16418</v>
      </c>
      <c r="L3924" s="105"/>
    </row>
    <row r="3925">
      <c r="A3925" s="103" t="s">
        <v>4676</v>
      </c>
      <c r="B3925" s="103">
        <v>1.10014051501E11</v>
      </c>
      <c r="C3925" s="105"/>
      <c r="D3925" s="104" t="s">
        <v>16416</v>
      </c>
      <c r="E3925" s="104" t="s">
        <v>16130</v>
      </c>
      <c r="F3925" s="103" t="s">
        <v>4678</v>
      </c>
      <c r="G3925" s="103" t="s">
        <v>4679</v>
      </c>
      <c r="H3925" s="103" t="s">
        <v>16417</v>
      </c>
      <c r="I3925" s="103">
        <v>3.125215573E9</v>
      </c>
      <c r="J3925" s="104" t="s">
        <v>15848</v>
      </c>
      <c r="K3925" s="105"/>
      <c r="L3925" s="105"/>
    </row>
    <row r="3926">
      <c r="A3926" s="103" t="s">
        <v>4676</v>
      </c>
      <c r="B3926" s="103">
        <v>1.10014053E9</v>
      </c>
      <c r="C3926" s="105"/>
      <c r="D3926" s="104" t="s">
        <v>16419</v>
      </c>
      <c r="E3926" s="106"/>
      <c r="F3926" s="103" t="s">
        <v>4678</v>
      </c>
      <c r="G3926" s="103" t="s">
        <v>4679</v>
      </c>
      <c r="H3926" s="103" t="s">
        <v>16420</v>
      </c>
      <c r="I3926" s="103">
        <v>3.502616965E9</v>
      </c>
      <c r="J3926" s="104" t="s">
        <v>16421</v>
      </c>
      <c r="K3926" s="105"/>
      <c r="L3926" s="105"/>
    </row>
    <row r="3927">
      <c r="A3927" s="103" t="s">
        <v>4676</v>
      </c>
      <c r="B3927" s="103">
        <v>1.10014053001E11</v>
      </c>
      <c r="C3927" s="105"/>
      <c r="D3927" s="104" t="s">
        <v>16419</v>
      </c>
      <c r="E3927" s="104" t="s">
        <v>16422</v>
      </c>
      <c r="F3927" s="103" t="s">
        <v>4678</v>
      </c>
      <c r="G3927" s="103" t="s">
        <v>4679</v>
      </c>
      <c r="H3927" s="103" t="s">
        <v>16423</v>
      </c>
      <c r="I3927" s="103">
        <v>3.502616965E9</v>
      </c>
      <c r="J3927" s="104" t="s">
        <v>16421</v>
      </c>
      <c r="K3927" s="105"/>
      <c r="L3927" s="105"/>
    </row>
    <row r="3928">
      <c r="A3928" s="103" t="s">
        <v>4676</v>
      </c>
      <c r="B3928" s="103">
        <v>1.100140538E9</v>
      </c>
      <c r="C3928" s="105"/>
      <c r="D3928" s="104" t="s">
        <v>16424</v>
      </c>
      <c r="E3928" s="106"/>
      <c r="F3928" s="103" t="s">
        <v>4678</v>
      </c>
      <c r="G3928" s="103" t="s">
        <v>4679</v>
      </c>
      <c r="H3928" s="103" t="s">
        <v>16425</v>
      </c>
      <c r="I3928" s="103">
        <v>3.014371303E9</v>
      </c>
      <c r="J3928" s="104" t="s">
        <v>16426</v>
      </c>
      <c r="K3928" s="107" t="s">
        <v>16427</v>
      </c>
      <c r="L3928" s="105"/>
    </row>
    <row r="3929">
      <c r="A3929" s="103" t="s">
        <v>4676</v>
      </c>
      <c r="B3929" s="103">
        <v>1.10014053801E11</v>
      </c>
      <c r="C3929" s="105"/>
      <c r="D3929" s="104" t="s">
        <v>16428</v>
      </c>
      <c r="E3929" s="104" t="s">
        <v>16429</v>
      </c>
      <c r="F3929" s="103" t="s">
        <v>4678</v>
      </c>
      <c r="G3929" s="103" t="s">
        <v>4679</v>
      </c>
      <c r="H3929" s="103" t="s">
        <v>16425</v>
      </c>
      <c r="I3929" s="103">
        <v>3.014371303E9</v>
      </c>
      <c r="J3929" s="104" t="s">
        <v>16426</v>
      </c>
      <c r="K3929" s="105"/>
      <c r="L3929" s="105"/>
    </row>
    <row r="3930">
      <c r="A3930" s="103" t="s">
        <v>4676</v>
      </c>
      <c r="B3930" s="103">
        <v>1.100140543E9</v>
      </c>
      <c r="C3930" s="105"/>
      <c r="D3930" s="104" t="s">
        <v>16430</v>
      </c>
      <c r="E3930" s="106"/>
      <c r="F3930" s="103" t="s">
        <v>4678</v>
      </c>
      <c r="G3930" s="103" t="s">
        <v>4679</v>
      </c>
      <c r="H3930" s="103" t="s">
        <v>16431</v>
      </c>
      <c r="I3930" s="103">
        <v>3.134965171E9</v>
      </c>
      <c r="J3930" s="104" t="s">
        <v>16432</v>
      </c>
      <c r="K3930" s="105"/>
      <c r="L3930" s="105"/>
    </row>
    <row r="3931">
      <c r="A3931" s="103" t="s">
        <v>4676</v>
      </c>
      <c r="B3931" s="103">
        <v>1.10014054301E11</v>
      </c>
      <c r="C3931" s="105"/>
      <c r="D3931" s="104" t="s">
        <v>16433</v>
      </c>
      <c r="E3931" s="104" t="s">
        <v>16434</v>
      </c>
      <c r="F3931" s="103" t="s">
        <v>4678</v>
      </c>
      <c r="G3931" s="103" t="s">
        <v>4679</v>
      </c>
      <c r="H3931" s="103" t="s">
        <v>16431</v>
      </c>
      <c r="I3931" s="103">
        <v>3.134965171E9</v>
      </c>
      <c r="J3931" s="104" t="s">
        <v>16432</v>
      </c>
      <c r="K3931" s="105"/>
      <c r="L3931" s="105"/>
    </row>
    <row r="3932">
      <c r="A3932" s="103" t="s">
        <v>4676</v>
      </c>
      <c r="B3932" s="103">
        <v>1.100140608E9</v>
      </c>
      <c r="C3932" s="105"/>
      <c r="D3932" s="104" t="s">
        <v>16435</v>
      </c>
      <c r="E3932" s="106"/>
      <c r="F3932" s="103" t="s">
        <v>4678</v>
      </c>
      <c r="G3932" s="103" t="s">
        <v>4679</v>
      </c>
      <c r="H3932" s="103" t="s">
        <v>16436</v>
      </c>
      <c r="I3932" s="103">
        <v>3.186517922E9</v>
      </c>
      <c r="J3932" s="104" t="s">
        <v>16437</v>
      </c>
      <c r="K3932" s="103" t="s">
        <v>15712</v>
      </c>
      <c r="L3932" s="105"/>
    </row>
    <row r="3933">
      <c r="A3933" s="103" t="s">
        <v>4676</v>
      </c>
      <c r="B3933" s="103">
        <v>1.10014060801E11</v>
      </c>
      <c r="C3933" s="105"/>
      <c r="D3933" s="104" t="s">
        <v>16435</v>
      </c>
      <c r="E3933" s="104" t="s">
        <v>16438</v>
      </c>
      <c r="F3933" s="103" t="s">
        <v>4678</v>
      </c>
      <c r="G3933" s="103" t="s">
        <v>4679</v>
      </c>
      <c r="H3933" s="103" t="s">
        <v>16436</v>
      </c>
      <c r="I3933" s="103">
        <v>3.186517922E9</v>
      </c>
      <c r="J3933" s="104" t="s">
        <v>16439</v>
      </c>
      <c r="K3933" s="105"/>
      <c r="L3933" s="105"/>
    </row>
    <row r="3934">
      <c r="A3934" s="103" t="s">
        <v>4676</v>
      </c>
      <c r="B3934" s="103">
        <v>1.10014061E9</v>
      </c>
      <c r="C3934" s="105"/>
      <c r="D3934" s="104" t="s">
        <v>16440</v>
      </c>
      <c r="E3934" s="106"/>
      <c r="F3934" s="103" t="s">
        <v>4678</v>
      </c>
      <c r="G3934" s="103" t="s">
        <v>4679</v>
      </c>
      <c r="H3934" s="103" t="s">
        <v>16441</v>
      </c>
      <c r="I3934" s="103">
        <v>3.002227188E9</v>
      </c>
      <c r="J3934" s="104" t="s">
        <v>16442</v>
      </c>
      <c r="K3934" s="105"/>
      <c r="L3934" s="105"/>
    </row>
    <row r="3935">
      <c r="A3935" s="103" t="s">
        <v>4676</v>
      </c>
      <c r="B3935" s="103">
        <v>1.10014061001E11</v>
      </c>
      <c r="C3935" s="105"/>
      <c r="D3935" s="104" t="s">
        <v>16443</v>
      </c>
      <c r="E3935" s="104" t="s">
        <v>16444</v>
      </c>
      <c r="F3935" s="103" t="s">
        <v>4678</v>
      </c>
      <c r="G3935" s="103" t="s">
        <v>4679</v>
      </c>
      <c r="H3935" s="103" t="s">
        <v>16441</v>
      </c>
      <c r="I3935" s="103">
        <v>3.002227188E9</v>
      </c>
      <c r="J3935" s="104" t="s">
        <v>16442</v>
      </c>
      <c r="K3935" s="105"/>
      <c r="L3935" s="105"/>
    </row>
    <row r="3936">
      <c r="A3936" s="103" t="s">
        <v>4676</v>
      </c>
      <c r="B3936" s="103">
        <v>1.100140617E9</v>
      </c>
      <c r="C3936" s="105"/>
      <c r="D3936" s="104" t="s">
        <v>16445</v>
      </c>
      <c r="E3936" s="106"/>
      <c r="F3936" s="103" t="s">
        <v>4678</v>
      </c>
      <c r="G3936" s="103" t="s">
        <v>4679</v>
      </c>
      <c r="H3936" s="103" t="s">
        <v>16446</v>
      </c>
      <c r="I3936" s="103">
        <v>3.163436672E9</v>
      </c>
      <c r="J3936" s="104" t="s">
        <v>16447</v>
      </c>
      <c r="K3936" s="103" t="s">
        <v>16448</v>
      </c>
      <c r="L3936" s="105"/>
    </row>
    <row r="3937">
      <c r="A3937" s="103" t="s">
        <v>4676</v>
      </c>
      <c r="B3937" s="103">
        <v>1.10014061701E11</v>
      </c>
      <c r="C3937" s="105"/>
      <c r="D3937" s="104" t="s">
        <v>16449</v>
      </c>
      <c r="E3937" s="104" t="s">
        <v>16450</v>
      </c>
      <c r="F3937" s="103" t="s">
        <v>4678</v>
      </c>
      <c r="G3937" s="103" t="s">
        <v>4679</v>
      </c>
      <c r="H3937" s="103" t="s">
        <v>16451</v>
      </c>
      <c r="I3937" s="103">
        <v>3.163436672E9</v>
      </c>
      <c r="J3937" s="104" t="s">
        <v>16447</v>
      </c>
      <c r="K3937" s="105"/>
      <c r="L3937" s="105"/>
    </row>
    <row r="3938">
      <c r="A3938" s="103" t="s">
        <v>4676</v>
      </c>
      <c r="B3938" s="103">
        <v>1.10014061703E11</v>
      </c>
      <c r="C3938" s="105"/>
      <c r="D3938" s="104" t="s">
        <v>16452</v>
      </c>
      <c r="E3938" s="104" t="s">
        <v>16453</v>
      </c>
      <c r="F3938" s="103" t="s">
        <v>4678</v>
      </c>
      <c r="G3938" s="103" t="s">
        <v>4679</v>
      </c>
      <c r="H3938" s="103" t="s">
        <v>16454</v>
      </c>
      <c r="I3938" s="103">
        <v>3.138174029E9</v>
      </c>
      <c r="J3938" s="104" t="s">
        <v>16455</v>
      </c>
      <c r="K3938" s="105"/>
      <c r="L3938" s="105"/>
    </row>
    <row r="3939">
      <c r="A3939" s="103" t="s">
        <v>4676</v>
      </c>
      <c r="B3939" s="103">
        <v>1.10014061704E11</v>
      </c>
      <c r="C3939" s="105"/>
      <c r="D3939" s="104" t="s">
        <v>16456</v>
      </c>
      <c r="E3939" s="104" t="s">
        <v>16453</v>
      </c>
      <c r="F3939" s="103" t="s">
        <v>4678</v>
      </c>
      <c r="G3939" s="103" t="s">
        <v>4679</v>
      </c>
      <c r="H3939" s="103" t="s">
        <v>16457</v>
      </c>
      <c r="I3939" s="103">
        <v>3.166505088E9</v>
      </c>
      <c r="J3939" s="104" t="s">
        <v>16455</v>
      </c>
      <c r="K3939" s="105"/>
      <c r="L3939" s="105"/>
    </row>
    <row r="3940">
      <c r="A3940" s="103" t="s">
        <v>4676</v>
      </c>
      <c r="B3940" s="103">
        <v>1.100140671E9</v>
      </c>
      <c r="C3940" s="105"/>
      <c r="D3940" s="104" t="s">
        <v>16458</v>
      </c>
      <c r="E3940" s="106"/>
      <c r="F3940" s="103" t="s">
        <v>4678</v>
      </c>
      <c r="G3940" s="103" t="s">
        <v>4679</v>
      </c>
      <c r="H3940" s="103" t="s">
        <v>16459</v>
      </c>
      <c r="I3940" s="103">
        <v>3.002601698E9</v>
      </c>
      <c r="J3940" s="104" t="s">
        <v>16460</v>
      </c>
      <c r="K3940" s="103" t="s">
        <v>16461</v>
      </c>
      <c r="L3940" s="105"/>
    </row>
    <row r="3941">
      <c r="A3941" s="103" t="s">
        <v>4676</v>
      </c>
      <c r="B3941" s="103">
        <v>1.10014067101E11</v>
      </c>
      <c r="C3941" s="105"/>
      <c r="D3941" s="104" t="s">
        <v>16458</v>
      </c>
      <c r="E3941" s="104" t="s">
        <v>16462</v>
      </c>
      <c r="F3941" s="103" t="s">
        <v>4678</v>
      </c>
      <c r="G3941" s="103" t="s">
        <v>4679</v>
      </c>
      <c r="H3941" s="103" t="s">
        <v>16463</v>
      </c>
      <c r="I3941" s="103">
        <v>3.002601698E9</v>
      </c>
      <c r="J3941" s="104" t="s">
        <v>16460</v>
      </c>
      <c r="K3941" s="105"/>
      <c r="L3941" s="105"/>
    </row>
    <row r="3942">
      <c r="A3942" s="103" t="s">
        <v>4676</v>
      </c>
      <c r="B3942" s="103">
        <v>1.100140673E9</v>
      </c>
      <c r="C3942" s="105"/>
      <c r="D3942" s="104" t="s">
        <v>16464</v>
      </c>
      <c r="E3942" s="106"/>
      <c r="F3942" s="103" t="s">
        <v>4678</v>
      </c>
      <c r="G3942" s="103" t="s">
        <v>4679</v>
      </c>
      <c r="H3942" s="103" t="s">
        <v>16465</v>
      </c>
      <c r="I3942" s="103">
        <v>3.234366233E9</v>
      </c>
      <c r="J3942" s="104" t="s">
        <v>16466</v>
      </c>
      <c r="K3942" s="105"/>
      <c r="L3942" s="105"/>
    </row>
    <row r="3943">
      <c r="A3943" s="103" t="s">
        <v>4676</v>
      </c>
      <c r="B3943" s="103">
        <v>1.10014067301E11</v>
      </c>
      <c r="C3943" s="105"/>
      <c r="D3943" s="104" t="s">
        <v>16464</v>
      </c>
      <c r="E3943" s="104" t="s">
        <v>16467</v>
      </c>
      <c r="F3943" s="103" t="s">
        <v>4678</v>
      </c>
      <c r="G3943" s="103" t="s">
        <v>4679</v>
      </c>
      <c r="H3943" s="103" t="s">
        <v>16465</v>
      </c>
      <c r="I3943" s="103">
        <v>3.234366233E9</v>
      </c>
      <c r="J3943" s="104" t="s">
        <v>16466</v>
      </c>
      <c r="K3943" s="105"/>
      <c r="L3943" s="105"/>
    </row>
    <row r="3944">
      <c r="A3944" s="103" t="s">
        <v>4676</v>
      </c>
      <c r="B3944" s="103">
        <v>1.100140677E9</v>
      </c>
      <c r="C3944" s="105"/>
      <c r="D3944" s="104" t="s">
        <v>16468</v>
      </c>
      <c r="E3944" s="106"/>
      <c r="F3944" s="103" t="s">
        <v>4678</v>
      </c>
      <c r="G3944" s="103" t="s">
        <v>4679</v>
      </c>
      <c r="H3944" s="103" t="s">
        <v>16469</v>
      </c>
      <c r="I3944" s="103">
        <v>3.188737173E9</v>
      </c>
      <c r="J3944" s="104" t="s">
        <v>16470</v>
      </c>
      <c r="K3944" s="105"/>
      <c r="L3944" s="105"/>
    </row>
    <row r="3945">
      <c r="A3945" s="103" t="s">
        <v>4676</v>
      </c>
      <c r="B3945" s="103">
        <v>1.10014067701E11</v>
      </c>
      <c r="C3945" s="105"/>
      <c r="D3945" s="104" t="s">
        <v>16468</v>
      </c>
      <c r="E3945" s="104" t="s">
        <v>16471</v>
      </c>
      <c r="F3945" s="103" t="s">
        <v>4678</v>
      </c>
      <c r="G3945" s="103" t="s">
        <v>4679</v>
      </c>
      <c r="H3945" s="103" t="s">
        <v>16469</v>
      </c>
      <c r="I3945" s="103">
        <v>3.188737173E9</v>
      </c>
      <c r="J3945" s="104" t="s">
        <v>16470</v>
      </c>
      <c r="K3945" s="105"/>
      <c r="L3945" s="105"/>
    </row>
    <row r="3946">
      <c r="A3946" s="103" t="s">
        <v>4676</v>
      </c>
      <c r="B3946" s="103">
        <v>1.100140689E9</v>
      </c>
      <c r="C3946" s="105"/>
      <c r="D3946" s="104" t="s">
        <v>16472</v>
      </c>
      <c r="E3946" s="106"/>
      <c r="F3946" s="103" t="s">
        <v>4678</v>
      </c>
      <c r="G3946" s="103" t="s">
        <v>4679</v>
      </c>
      <c r="H3946" s="103" t="s">
        <v>16473</v>
      </c>
      <c r="I3946" s="103">
        <v>3.186619358E9</v>
      </c>
      <c r="J3946" s="104" t="s">
        <v>16474</v>
      </c>
      <c r="K3946" s="103" t="s">
        <v>16475</v>
      </c>
      <c r="L3946" s="105"/>
    </row>
    <row r="3947">
      <c r="A3947" s="103" t="s">
        <v>4676</v>
      </c>
      <c r="B3947" s="103">
        <v>1.10014068901E11</v>
      </c>
      <c r="C3947" s="105"/>
      <c r="D3947" s="104" t="s">
        <v>16472</v>
      </c>
      <c r="E3947" s="104" t="s">
        <v>16476</v>
      </c>
      <c r="F3947" s="103" t="s">
        <v>4678</v>
      </c>
      <c r="G3947" s="103" t="s">
        <v>4679</v>
      </c>
      <c r="H3947" s="103" t="s">
        <v>16473</v>
      </c>
      <c r="I3947" s="103">
        <v>3.186619358E9</v>
      </c>
      <c r="J3947" s="104" t="s">
        <v>16474</v>
      </c>
      <c r="K3947" s="105"/>
      <c r="L3947" s="105"/>
    </row>
    <row r="3948">
      <c r="A3948" s="103" t="s">
        <v>4676</v>
      </c>
      <c r="B3948" s="103">
        <v>1.100140703E9</v>
      </c>
      <c r="C3948" s="105"/>
      <c r="D3948" s="104" t="s">
        <v>16477</v>
      </c>
      <c r="E3948" s="106"/>
      <c r="F3948" s="103" t="s">
        <v>4678</v>
      </c>
      <c r="G3948" s="103" t="s">
        <v>4679</v>
      </c>
      <c r="H3948" s="103" t="s">
        <v>16478</v>
      </c>
      <c r="I3948" s="103">
        <v>3.186082963E9</v>
      </c>
      <c r="J3948" s="104" t="s">
        <v>16479</v>
      </c>
      <c r="K3948" s="103" t="s">
        <v>16480</v>
      </c>
      <c r="L3948" s="105"/>
    </row>
    <row r="3949">
      <c r="A3949" s="103" t="s">
        <v>4676</v>
      </c>
      <c r="B3949" s="103">
        <v>1.10014070301E11</v>
      </c>
      <c r="C3949" s="105"/>
      <c r="D3949" s="104" t="s">
        <v>16481</v>
      </c>
      <c r="E3949" s="104" t="s">
        <v>16482</v>
      </c>
      <c r="F3949" s="103" t="s">
        <v>4678</v>
      </c>
      <c r="G3949" s="103" t="s">
        <v>4679</v>
      </c>
      <c r="H3949" s="103" t="s">
        <v>16478</v>
      </c>
      <c r="I3949" s="103">
        <v>3.186082963E9</v>
      </c>
      <c r="J3949" s="104" t="s">
        <v>16479</v>
      </c>
      <c r="K3949" s="105"/>
      <c r="L3949" s="105"/>
    </row>
    <row r="3950">
      <c r="A3950" s="103" t="s">
        <v>4676</v>
      </c>
      <c r="B3950" s="103">
        <v>1.100140738E9</v>
      </c>
      <c r="C3950" s="105"/>
      <c r="D3950" s="104" t="s">
        <v>16483</v>
      </c>
      <c r="E3950" s="106"/>
      <c r="F3950" s="103" t="s">
        <v>4678</v>
      </c>
      <c r="G3950" s="103" t="s">
        <v>4679</v>
      </c>
      <c r="H3950" s="103" t="s">
        <v>16484</v>
      </c>
      <c r="I3950" s="103">
        <v>3.108734949E9</v>
      </c>
      <c r="J3950" s="104" t="s">
        <v>16485</v>
      </c>
      <c r="K3950" s="107" t="s">
        <v>16486</v>
      </c>
      <c r="L3950" s="105"/>
    </row>
    <row r="3951">
      <c r="A3951" s="103" t="s">
        <v>4676</v>
      </c>
      <c r="B3951" s="103">
        <v>1.10014073801E11</v>
      </c>
      <c r="C3951" s="105"/>
      <c r="D3951" s="104" t="s">
        <v>16483</v>
      </c>
      <c r="E3951" s="104" t="s">
        <v>16487</v>
      </c>
      <c r="F3951" s="103" t="s">
        <v>4678</v>
      </c>
      <c r="G3951" s="103" t="s">
        <v>4679</v>
      </c>
      <c r="H3951" s="103" t="s">
        <v>16484</v>
      </c>
      <c r="I3951" s="103">
        <v>3.108734949E9</v>
      </c>
      <c r="J3951" s="104" t="s">
        <v>16485</v>
      </c>
      <c r="K3951" s="105"/>
      <c r="L3951" s="105"/>
    </row>
    <row r="3952">
      <c r="A3952" s="103" t="s">
        <v>4676</v>
      </c>
      <c r="B3952" s="103">
        <v>1.100140742E9</v>
      </c>
      <c r="C3952" s="105"/>
      <c r="D3952" s="104" t="s">
        <v>16488</v>
      </c>
      <c r="E3952" s="106"/>
      <c r="F3952" s="103" t="s">
        <v>4678</v>
      </c>
      <c r="G3952" s="103" t="s">
        <v>4679</v>
      </c>
      <c r="H3952" s="103" t="s">
        <v>16489</v>
      </c>
      <c r="I3952" s="103">
        <v>3.112716223E9</v>
      </c>
      <c r="J3952" s="104" t="s">
        <v>16490</v>
      </c>
      <c r="K3952" s="105"/>
      <c r="L3952" s="105"/>
    </row>
    <row r="3953">
      <c r="A3953" s="103" t="s">
        <v>4676</v>
      </c>
      <c r="B3953" s="103">
        <v>1.10014074201E11</v>
      </c>
      <c r="C3953" s="105"/>
      <c r="D3953" s="104" t="s">
        <v>16488</v>
      </c>
      <c r="E3953" s="104" t="s">
        <v>16491</v>
      </c>
      <c r="F3953" s="103" t="s">
        <v>4678</v>
      </c>
      <c r="G3953" s="103" t="s">
        <v>4679</v>
      </c>
      <c r="H3953" s="103" t="s">
        <v>16489</v>
      </c>
      <c r="I3953" s="103">
        <v>3.112716223E9</v>
      </c>
      <c r="J3953" s="104" t="s">
        <v>16492</v>
      </c>
      <c r="K3953" s="105"/>
      <c r="L3953" s="105"/>
    </row>
    <row r="3954">
      <c r="A3954" s="103" t="s">
        <v>4676</v>
      </c>
      <c r="B3954" s="103">
        <v>1.100140746E9</v>
      </c>
      <c r="C3954" s="105"/>
      <c r="D3954" s="104" t="s">
        <v>16493</v>
      </c>
      <c r="E3954" s="106"/>
      <c r="F3954" s="103" t="s">
        <v>4678</v>
      </c>
      <c r="G3954" s="103" t="s">
        <v>4679</v>
      </c>
      <c r="H3954" s="103" t="s">
        <v>16494</v>
      </c>
      <c r="I3954" s="103">
        <v>3.102723425E9</v>
      </c>
      <c r="J3954" s="104" t="s">
        <v>16495</v>
      </c>
      <c r="K3954" s="103" t="s">
        <v>16496</v>
      </c>
      <c r="L3954" s="105"/>
    </row>
    <row r="3955">
      <c r="A3955" s="103" t="s">
        <v>4676</v>
      </c>
      <c r="B3955" s="103">
        <v>1.10014074601E11</v>
      </c>
      <c r="C3955" s="105"/>
      <c r="D3955" s="104" t="s">
        <v>16493</v>
      </c>
      <c r="E3955" s="104" t="s">
        <v>16497</v>
      </c>
      <c r="F3955" s="103" t="s">
        <v>4678</v>
      </c>
      <c r="G3955" s="103" t="s">
        <v>4679</v>
      </c>
      <c r="H3955" s="103" t="s">
        <v>16494</v>
      </c>
      <c r="I3955" s="103">
        <v>3.102723425E9</v>
      </c>
      <c r="J3955" s="104" t="s">
        <v>16495</v>
      </c>
      <c r="K3955" s="105"/>
      <c r="L3955" s="105"/>
    </row>
    <row r="3956">
      <c r="A3956" s="103" t="s">
        <v>4676</v>
      </c>
      <c r="B3956" s="103">
        <v>1.100140819E9</v>
      </c>
      <c r="C3956" s="105"/>
      <c r="D3956" s="104" t="s">
        <v>16498</v>
      </c>
      <c r="E3956" s="106"/>
      <c r="F3956" s="103" t="s">
        <v>4678</v>
      </c>
      <c r="G3956" s="103" t="s">
        <v>4679</v>
      </c>
      <c r="H3956" s="103" t="s">
        <v>16499</v>
      </c>
      <c r="I3956" s="103">
        <v>6.019260701E9</v>
      </c>
      <c r="J3956" s="104" t="s">
        <v>16500</v>
      </c>
      <c r="K3956" s="105"/>
      <c r="L3956" s="105"/>
    </row>
    <row r="3957">
      <c r="A3957" s="103" t="s">
        <v>4676</v>
      </c>
      <c r="B3957" s="103">
        <v>1.10014081901E11</v>
      </c>
      <c r="C3957" s="105"/>
      <c r="D3957" s="104" t="s">
        <v>16498</v>
      </c>
      <c r="E3957" s="104" t="s">
        <v>16501</v>
      </c>
      <c r="F3957" s="103" t="s">
        <v>4678</v>
      </c>
      <c r="G3957" s="103" t="s">
        <v>4679</v>
      </c>
      <c r="H3957" s="103" t="s">
        <v>16499</v>
      </c>
      <c r="I3957" s="103">
        <v>6.019260701E9</v>
      </c>
      <c r="J3957" s="104" t="s">
        <v>16500</v>
      </c>
      <c r="K3957" s="105"/>
      <c r="L3957" s="105"/>
    </row>
    <row r="3958">
      <c r="A3958" s="103" t="s">
        <v>4676</v>
      </c>
      <c r="B3958" s="103">
        <v>1.100140821E9</v>
      </c>
      <c r="C3958" s="105"/>
      <c r="D3958" s="104" t="s">
        <v>16502</v>
      </c>
      <c r="E3958" s="106"/>
      <c r="F3958" s="103" t="s">
        <v>4678</v>
      </c>
      <c r="G3958" s="103" t="s">
        <v>4679</v>
      </c>
      <c r="H3958" s="103" t="s">
        <v>16503</v>
      </c>
      <c r="I3958" s="103">
        <v>3.123786641E9</v>
      </c>
      <c r="J3958" s="104" t="s">
        <v>16504</v>
      </c>
      <c r="K3958" s="105"/>
      <c r="L3958" s="105"/>
    </row>
    <row r="3959">
      <c r="A3959" s="103" t="s">
        <v>4676</v>
      </c>
      <c r="B3959" s="103">
        <v>1.10014082101E11</v>
      </c>
      <c r="C3959" s="105"/>
      <c r="D3959" s="104" t="s">
        <v>16502</v>
      </c>
      <c r="E3959" s="104" t="s">
        <v>16505</v>
      </c>
      <c r="F3959" s="103" t="s">
        <v>4678</v>
      </c>
      <c r="G3959" s="103" t="s">
        <v>4679</v>
      </c>
      <c r="H3959" s="103" t="s">
        <v>16503</v>
      </c>
      <c r="I3959" s="103">
        <v>3.123786641E9</v>
      </c>
      <c r="J3959" s="104" t="s">
        <v>16504</v>
      </c>
      <c r="K3959" s="105"/>
      <c r="L3959" s="105"/>
    </row>
    <row r="3960">
      <c r="A3960" s="103" t="s">
        <v>4676</v>
      </c>
      <c r="B3960" s="103">
        <v>1.10014082102E11</v>
      </c>
      <c r="C3960" s="105"/>
      <c r="D3960" s="104" t="s">
        <v>16506</v>
      </c>
      <c r="E3960" s="104" t="s">
        <v>16507</v>
      </c>
      <c r="F3960" s="103" t="s">
        <v>4678</v>
      </c>
      <c r="G3960" s="103" t="s">
        <v>4679</v>
      </c>
      <c r="H3960" s="103" t="s">
        <v>16508</v>
      </c>
      <c r="I3960" s="103" t="s">
        <v>16509</v>
      </c>
      <c r="J3960" s="104" t="s">
        <v>16510</v>
      </c>
      <c r="K3960" s="105"/>
      <c r="L3960" s="105"/>
    </row>
    <row r="3961">
      <c r="A3961" s="103" t="s">
        <v>4676</v>
      </c>
      <c r="B3961" s="103">
        <v>1.100140824E9</v>
      </c>
      <c r="C3961" s="105"/>
      <c r="D3961" s="104" t="s">
        <v>16511</v>
      </c>
      <c r="E3961" s="106"/>
      <c r="F3961" s="103" t="s">
        <v>4678</v>
      </c>
      <c r="G3961" s="103" t="s">
        <v>4679</v>
      </c>
      <c r="H3961" s="103" t="s">
        <v>16512</v>
      </c>
      <c r="I3961" s="103">
        <v>3.012503079E9</v>
      </c>
      <c r="J3961" s="104" t="s">
        <v>16513</v>
      </c>
      <c r="K3961" s="105"/>
      <c r="L3961" s="105"/>
    </row>
    <row r="3962">
      <c r="A3962" s="103" t="s">
        <v>4676</v>
      </c>
      <c r="B3962" s="103">
        <v>1.10014082401E11</v>
      </c>
      <c r="C3962" s="105"/>
      <c r="D3962" s="104" t="s">
        <v>16511</v>
      </c>
      <c r="E3962" s="104" t="s">
        <v>16514</v>
      </c>
      <c r="F3962" s="103" t="s">
        <v>4678</v>
      </c>
      <c r="G3962" s="103" t="s">
        <v>4679</v>
      </c>
      <c r="H3962" s="103" t="s">
        <v>16512</v>
      </c>
      <c r="I3962" s="103">
        <v>3.012503079E9</v>
      </c>
      <c r="J3962" s="104" t="s">
        <v>16513</v>
      </c>
      <c r="K3962" s="105"/>
      <c r="L3962" s="105"/>
    </row>
    <row r="3963">
      <c r="A3963" s="103" t="s">
        <v>4676</v>
      </c>
      <c r="B3963" s="103">
        <v>1.100140842E9</v>
      </c>
      <c r="C3963" s="105"/>
      <c r="D3963" s="104" t="s">
        <v>16515</v>
      </c>
      <c r="E3963" s="106"/>
      <c r="F3963" s="103" t="s">
        <v>4678</v>
      </c>
      <c r="G3963" s="103" t="s">
        <v>4679</v>
      </c>
      <c r="H3963" s="103" t="s">
        <v>16516</v>
      </c>
      <c r="I3963" s="103">
        <v>3.10228587E9</v>
      </c>
      <c r="J3963" s="104" t="s">
        <v>16517</v>
      </c>
      <c r="K3963" s="105"/>
      <c r="L3963" s="105"/>
    </row>
    <row r="3964">
      <c r="A3964" s="103" t="s">
        <v>4676</v>
      </c>
      <c r="B3964" s="103">
        <v>1.10014084201E11</v>
      </c>
      <c r="C3964" s="105"/>
      <c r="D3964" s="104" t="s">
        <v>16515</v>
      </c>
      <c r="E3964" s="104" t="s">
        <v>16518</v>
      </c>
      <c r="F3964" s="103" t="s">
        <v>4678</v>
      </c>
      <c r="G3964" s="103" t="s">
        <v>4679</v>
      </c>
      <c r="H3964" s="103" t="s">
        <v>16516</v>
      </c>
      <c r="I3964" s="103">
        <v>3.10228587E9</v>
      </c>
      <c r="J3964" s="104" t="s">
        <v>16517</v>
      </c>
      <c r="K3964" s="105"/>
      <c r="L3964" s="105"/>
    </row>
    <row r="3965">
      <c r="A3965" s="103" t="s">
        <v>4676</v>
      </c>
      <c r="B3965" s="103">
        <v>1.100140852E9</v>
      </c>
      <c r="C3965" s="105"/>
      <c r="D3965" s="104" t="s">
        <v>16519</v>
      </c>
      <c r="E3965" s="106"/>
      <c r="F3965" s="103" t="s">
        <v>4678</v>
      </c>
      <c r="G3965" s="103" t="s">
        <v>4679</v>
      </c>
      <c r="H3965" s="103" t="s">
        <v>16520</v>
      </c>
      <c r="I3965" s="103">
        <v>3.186779774E9</v>
      </c>
      <c r="J3965" s="104" t="s">
        <v>16521</v>
      </c>
      <c r="K3965" s="107" t="s">
        <v>16522</v>
      </c>
      <c r="L3965" s="105"/>
    </row>
    <row r="3966">
      <c r="A3966" s="103" t="s">
        <v>4676</v>
      </c>
      <c r="B3966" s="103">
        <v>1.10014085201E11</v>
      </c>
      <c r="C3966" s="105"/>
      <c r="D3966" s="104" t="s">
        <v>16523</v>
      </c>
      <c r="E3966" s="104" t="s">
        <v>16524</v>
      </c>
      <c r="F3966" s="103" t="s">
        <v>4678</v>
      </c>
      <c r="G3966" s="103" t="s">
        <v>4679</v>
      </c>
      <c r="H3966" s="103" t="s">
        <v>16525</v>
      </c>
      <c r="I3966" s="103">
        <v>3.186779774E9</v>
      </c>
      <c r="J3966" s="104" t="s">
        <v>16521</v>
      </c>
      <c r="K3966" s="105"/>
      <c r="L3966" s="105"/>
    </row>
    <row r="3967">
      <c r="A3967" s="103" t="s">
        <v>4676</v>
      </c>
      <c r="B3967" s="103">
        <v>1.100140894E9</v>
      </c>
      <c r="C3967" s="105"/>
      <c r="D3967" s="104" t="s">
        <v>16526</v>
      </c>
      <c r="E3967" s="106"/>
      <c r="F3967" s="103" t="s">
        <v>4678</v>
      </c>
      <c r="G3967" s="103" t="s">
        <v>4679</v>
      </c>
      <c r="H3967" s="103" t="s">
        <v>16527</v>
      </c>
      <c r="I3967" s="103">
        <v>3.015899661E9</v>
      </c>
      <c r="J3967" s="104" t="s">
        <v>16528</v>
      </c>
      <c r="K3967" s="105"/>
      <c r="L3967" s="105"/>
    </row>
    <row r="3968">
      <c r="A3968" s="103" t="s">
        <v>4676</v>
      </c>
      <c r="B3968" s="103">
        <v>1.10014089401E11</v>
      </c>
      <c r="C3968" s="105"/>
      <c r="D3968" s="104" t="s">
        <v>16526</v>
      </c>
      <c r="E3968" s="104" t="s">
        <v>16529</v>
      </c>
      <c r="F3968" s="103" t="s">
        <v>4678</v>
      </c>
      <c r="G3968" s="103" t="s">
        <v>4679</v>
      </c>
      <c r="H3968" s="103" t="s">
        <v>16527</v>
      </c>
      <c r="I3968" s="103">
        <v>3.015899661E9</v>
      </c>
      <c r="J3968" s="104" t="s">
        <v>16528</v>
      </c>
      <c r="K3968" s="105"/>
      <c r="L3968" s="105"/>
    </row>
    <row r="3969">
      <c r="A3969" s="103" t="s">
        <v>4676</v>
      </c>
      <c r="B3969" s="103">
        <v>1.100140928E9</v>
      </c>
      <c r="C3969" s="105"/>
      <c r="D3969" s="104" t="s">
        <v>16530</v>
      </c>
      <c r="E3969" s="106"/>
      <c r="F3969" s="103" t="s">
        <v>4678</v>
      </c>
      <c r="G3969" s="103" t="s">
        <v>4679</v>
      </c>
      <c r="H3969" s="103" t="s">
        <v>16531</v>
      </c>
      <c r="I3969" s="103">
        <v>3.164728204E9</v>
      </c>
      <c r="J3969" s="104" t="s">
        <v>16532</v>
      </c>
      <c r="K3969" s="103" t="s">
        <v>16533</v>
      </c>
      <c r="L3969" s="105"/>
    </row>
    <row r="3970">
      <c r="A3970" s="103" t="s">
        <v>4676</v>
      </c>
      <c r="B3970" s="103">
        <v>1.10014092801E11</v>
      </c>
      <c r="C3970" s="105"/>
      <c r="D3970" s="104" t="s">
        <v>16530</v>
      </c>
      <c r="E3970" s="104" t="s">
        <v>16534</v>
      </c>
      <c r="F3970" s="103" t="s">
        <v>4678</v>
      </c>
      <c r="G3970" s="103" t="s">
        <v>4679</v>
      </c>
      <c r="H3970" s="103" t="s">
        <v>16535</v>
      </c>
      <c r="I3970" s="103">
        <v>3.142997288E9</v>
      </c>
      <c r="J3970" s="104" t="s">
        <v>16532</v>
      </c>
      <c r="K3970" s="105"/>
      <c r="L3970" s="105"/>
    </row>
    <row r="3971">
      <c r="A3971" s="103" t="s">
        <v>4676</v>
      </c>
      <c r="B3971" s="103">
        <v>1.100140931E9</v>
      </c>
      <c r="C3971" s="105"/>
      <c r="D3971" s="104" t="s">
        <v>16536</v>
      </c>
      <c r="E3971" s="106"/>
      <c r="F3971" s="103" t="s">
        <v>4678</v>
      </c>
      <c r="G3971" s="103" t="s">
        <v>4679</v>
      </c>
      <c r="H3971" s="103" t="s">
        <v>16537</v>
      </c>
      <c r="I3971" s="103">
        <v>3.006940201E9</v>
      </c>
      <c r="J3971" s="104" t="s">
        <v>16538</v>
      </c>
      <c r="K3971" s="103" t="s">
        <v>16539</v>
      </c>
      <c r="L3971" s="105"/>
    </row>
    <row r="3972">
      <c r="A3972" s="103" t="s">
        <v>4676</v>
      </c>
      <c r="B3972" s="103">
        <v>1.10014093101E11</v>
      </c>
      <c r="C3972" s="105"/>
      <c r="D3972" s="104" t="s">
        <v>16540</v>
      </c>
      <c r="E3972" s="104" t="s">
        <v>16541</v>
      </c>
      <c r="F3972" s="103" t="s">
        <v>4678</v>
      </c>
      <c r="G3972" s="103" t="s">
        <v>4679</v>
      </c>
      <c r="H3972" s="103" t="s">
        <v>16537</v>
      </c>
      <c r="I3972" s="103">
        <v>3.006940201E9</v>
      </c>
      <c r="J3972" s="104" t="s">
        <v>16538</v>
      </c>
      <c r="K3972" s="105"/>
      <c r="L3972" s="105"/>
    </row>
    <row r="3973">
      <c r="A3973" s="103" t="s">
        <v>4676</v>
      </c>
      <c r="B3973" s="103">
        <v>1.100140934E9</v>
      </c>
      <c r="C3973" s="105"/>
      <c r="D3973" s="104" t="s">
        <v>16542</v>
      </c>
      <c r="E3973" s="106"/>
      <c r="F3973" s="103" t="s">
        <v>4678</v>
      </c>
      <c r="G3973" s="103" t="s">
        <v>4679</v>
      </c>
      <c r="H3973" s="103" t="s">
        <v>16543</v>
      </c>
      <c r="I3973" s="103">
        <v>3.183546095E9</v>
      </c>
      <c r="J3973" s="104" t="s">
        <v>16544</v>
      </c>
      <c r="K3973" s="105"/>
      <c r="L3973" s="105"/>
    </row>
    <row r="3974">
      <c r="A3974" s="103" t="s">
        <v>4676</v>
      </c>
      <c r="B3974" s="103">
        <v>1.10014093401E11</v>
      </c>
      <c r="C3974" s="105"/>
      <c r="D3974" s="104" t="s">
        <v>16542</v>
      </c>
      <c r="E3974" s="104" t="s">
        <v>16545</v>
      </c>
      <c r="F3974" s="103" t="s">
        <v>4678</v>
      </c>
      <c r="G3974" s="103" t="s">
        <v>4679</v>
      </c>
      <c r="H3974" s="103" t="s">
        <v>16543</v>
      </c>
      <c r="I3974" s="103">
        <v>3.183546095E9</v>
      </c>
      <c r="J3974" s="104" t="s">
        <v>16544</v>
      </c>
      <c r="K3974" s="105"/>
      <c r="L3974" s="105"/>
    </row>
    <row r="3975">
      <c r="A3975" s="103" t="s">
        <v>4676</v>
      </c>
      <c r="B3975" s="103">
        <v>1.100140964E9</v>
      </c>
      <c r="C3975" s="105"/>
      <c r="D3975" s="104" t="s">
        <v>16546</v>
      </c>
      <c r="E3975" s="106"/>
      <c r="F3975" s="103" t="s">
        <v>4678</v>
      </c>
      <c r="G3975" s="103" t="s">
        <v>4679</v>
      </c>
      <c r="H3975" s="103" t="s">
        <v>16547</v>
      </c>
      <c r="I3975" s="103">
        <v>3.204985772E9</v>
      </c>
      <c r="J3975" s="104" t="s">
        <v>16548</v>
      </c>
      <c r="K3975" s="103" t="s">
        <v>16549</v>
      </c>
      <c r="L3975" s="105"/>
    </row>
    <row r="3976">
      <c r="A3976" s="103" t="s">
        <v>4676</v>
      </c>
      <c r="B3976" s="103">
        <v>1.10014096401E11</v>
      </c>
      <c r="C3976" s="105"/>
      <c r="D3976" s="104" t="s">
        <v>16550</v>
      </c>
      <c r="E3976" s="104" t="s">
        <v>16551</v>
      </c>
      <c r="F3976" s="103" t="s">
        <v>4678</v>
      </c>
      <c r="G3976" s="103" t="s">
        <v>4679</v>
      </c>
      <c r="H3976" s="103" t="s">
        <v>16552</v>
      </c>
      <c r="I3976" s="103">
        <v>3.204985772E9</v>
      </c>
      <c r="J3976" s="104" t="s">
        <v>16548</v>
      </c>
      <c r="K3976" s="105"/>
      <c r="L3976" s="105"/>
    </row>
    <row r="3977">
      <c r="A3977" s="103" t="s">
        <v>4676</v>
      </c>
      <c r="B3977" s="103">
        <v>1.10014096402E11</v>
      </c>
      <c r="C3977" s="105"/>
      <c r="D3977" s="104" t="s">
        <v>16553</v>
      </c>
      <c r="E3977" s="104" t="s">
        <v>16554</v>
      </c>
      <c r="F3977" s="103" t="s">
        <v>4678</v>
      </c>
      <c r="G3977" s="103" t="s">
        <v>4679</v>
      </c>
      <c r="H3977" s="103" t="s">
        <v>16555</v>
      </c>
      <c r="I3977" s="103">
        <v>3.204985772E9</v>
      </c>
      <c r="J3977" s="104" t="s">
        <v>16548</v>
      </c>
      <c r="K3977" s="105"/>
      <c r="L3977" s="105"/>
    </row>
    <row r="3978">
      <c r="A3978" s="103" t="s">
        <v>4676</v>
      </c>
      <c r="B3978" s="103">
        <v>1.100140966E9</v>
      </c>
      <c r="C3978" s="105"/>
      <c r="D3978" s="104" t="s">
        <v>16556</v>
      </c>
      <c r="E3978" s="106"/>
      <c r="F3978" s="103" t="s">
        <v>4678</v>
      </c>
      <c r="G3978" s="103" t="s">
        <v>4679</v>
      </c>
      <c r="H3978" s="103" t="s">
        <v>16557</v>
      </c>
      <c r="I3978" s="103">
        <v>3.142901194E9</v>
      </c>
      <c r="J3978" s="104" t="s">
        <v>16558</v>
      </c>
      <c r="K3978" s="107" t="s">
        <v>16559</v>
      </c>
      <c r="L3978" s="105"/>
    </row>
    <row r="3979">
      <c r="A3979" s="103" t="s">
        <v>4676</v>
      </c>
      <c r="B3979" s="103">
        <v>1.10014096601E11</v>
      </c>
      <c r="C3979" s="105"/>
      <c r="D3979" s="104" t="s">
        <v>16560</v>
      </c>
      <c r="E3979" s="104" t="s">
        <v>16561</v>
      </c>
      <c r="F3979" s="103" t="s">
        <v>4678</v>
      </c>
      <c r="G3979" s="103" t="s">
        <v>4679</v>
      </c>
      <c r="H3979" s="103" t="s">
        <v>16557</v>
      </c>
      <c r="I3979" s="103">
        <v>3.11440516E9</v>
      </c>
      <c r="J3979" s="104" t="s">
        <v>16558</v>
      </c>
      <c r="K3979" s="105"/>
      <c r="L3979" s="105"/>
    </row>
    <row r="3980">
      <c r="A3980" s="103" t="s">
        <v>4676</v>
      </c>
      <c r="B3980" s="103">
        <v>1.100140987E9</v>
      </c>
      <c r="C3980" s="105"/>
      <c r="D3980" s="104" t="s">
        <v>16562</v>
      </c>
      <c r="E3980" s="106"/>
      <c r="F3980" s="103" t="s">
        <v>4678</v>
      </c>
      <c r="G3980" s="103" t="s">
        <v>4679</v>
      </c>
      <c r="H3980" s="103" t="s">
        <v>16563</v>
      </c>
      <c r="I3980" s="103">
        <v>6.013747893E9</v>
      </c>
      <c r="J3980" s="104" t="s">
        <v>16564</v>
      </c>
      <c r="K3980" s="105"/>
      <c r="L3980" s="105"/>
    </row>
    <row r="3981">
      <c r="A3981" s="103" t="s">
        <v>4676</v>
      </c>
      <c r="B3981" s="103">
        <v>1.10014098701E11</v>
      </c>
      <c r="C3981" s="105"/>
      <c r="D3981" s="104" t="s">
        <v>16565</v>
      </c>
      <c r="E3981" s="104" t="s">
        <v>16566</v>
      </c>
      <c r="F3981" s="103" t="s">
        <v>4678</v>
      </c>
      <c r="G3981" s="103" t="s">
        <v>4679</v>
      </c>
      <c r="H3981" s="103" t="s">
        <v>16563</v>
      </c>
      <c r="I3981" s="103">
        <v>6.013747893E9</v>
      </c>
      <c r="J3981" s="104" t="s">
        <v>16564</v>
      </c>
      <c r="K3981" s="105"/>
      <c r="L3981" s="105"/>
    </row>
    <row r="3982">
      <c r="A3982" s="103" t="s">
        <v>4676</v>
      </c>
      <c r="B3982" s="103">
        <v>1.100141042E9</v>
      </c>
      <c r="C3982" s="105"/>
      <c r="D3982" s="104" t="s">
        <v>16567</v>
      </c>
      <c r="E3982" s="106"/>
      <c r="F3982" s="103" t="s">
        <v>4678</v>
      </c>
      <c r="G3982" s="103" t="s">
        <v>4679</v>
      </c>
      <c r="H3982" s="103" t="s">
        <v>16568</v>
      </c>
      <c r="I3982" s="103">
        <v>3.102279796E9</v>
      </c>
      <c r="J3982" s="104" t="s">
        <v>16569</v>
      </c>
      <c r="K3982" s="107" t="s">
        <v>16570</v>
      </c>
      <c r="L3982" s="105"/>
    </row>
    <row r="3983">
      <c r="A3983" s="103" t="s">
        <v>4676</v>
      </c>
      <c r="B3983" s="103">
        <v>1.10014104201E11</v>
      </c>
      <c r="C3983" s="105"/>
      <c r="D3983" s="104" t="s">
        <v>16571</v>
      </c>
      <c r="E3983" s="104" t="s">
        <v>16572</v>
      </c>
      <c r="F3983" s="103" t="s">
        <v>4678</v>
      </c>
      <c r="G3983" s="103" t="s">
        <v>4679</v>
      </c>
      <c r="H3983" s="103" t="s">
        <v>16573</v>
      </c>
      <c r="I3983" s="103">
        <v>3.112259796E9</v>
      </c>
      <c r="J3983" s="104" t="s">
        <v>16569</v>
      </c>
      <c r="K3983" s="105"/>
      <c r="L3983" s="105"/>
    </row>
    <row r="3984">
      <c r="A3984" s="103" t="s">
        <v>4676</v>
      </c>
      <c r="B3984" s="103">
        <v>1.100141044E9</v>
      </c>
      <c r="C3984" s="105"/>
      <c r="D3984" s="104" t="s">
        <v>16574</v>
      </c>
      <c r="E3984" s="106"/>
      <c r="F3984" s="103" t="s">
        <v>4678</v>
      </c>
      <c r="G3984" s="103" t="s">
        <v>4679</v>
      </c>
      <c r="H3984" s="103" t="s">
        <v>16575</v>
      </c>
      <c r="I3984" s="103">
        <v>3.2180023E9</v>
      </c>
      <c r="J3984" s="104" t="s">
        <v>16576</v>
      </c>
      <c r="K3984" s="105"/>
      <c r="L3984" s="105"/>
    </row>
    <row r="3985">
      <c r="A3985" s="103" t="s">
        <v>4676</v>
      </c>
      <c r="B3985" s="103">
        <v>1.10014104401E11</v>
      </c>
      <c r="C3985" s="105"/>
      <c r="D3985" s="104" t="s">
        <v>16574</v>
      </c>
      <c r="E3985" s="104" t="s">
        <v>16577</v>
      </c>
      <c r="F3985" s="103" t="s">
        <v>4678</v>
      </c>
      <c r="G3985" s="103" t="s">
        <v>4679</v>
      </c>
      <c r="H3985" s="103" t="s">
        <v>16578</v>
      </c>
      <c r="I3985" s="103">
        <v>3.2180023E9</v>
      </c>
      <c r="J3985" s="104" t="s">
        <v>16576</v>
      </c>
      <c r="K3985" s="105"/>
      <c r="L3985" s="105"/>
    </row>
    <row r="3986">
      <c r="A3986" s="103" t="s">
        <v>4676</v>
      </c>
      <c r="B3986" s="103">
        <v>1.100141045E9</v>
      </c>
      <c r="C3986" s="105"/>
      <c r="D3986" s="104" t="s">
        <v>16579</v>
      </c>
      <c r="E3986" s="106"/>
      <c r="F3986" s="103" t="s">
        <v>4678</v>
      </c>
      <c r="G3986" s="103" t="s">
        <v>4679</v>
      </c>
      <c r="H3986" s="103" t="s">
        <v>16580</v>
      </c>
      <c r="I3986" s="103">
        <v>3.214830862E9</v>
      </c>
      <c r="J3986" s="104" t="s">
        <v>16581</v>
      </c>
      <c r="K3986" s="105"/>
      <c r="L3986" s="105"/>
    </row>
    <row r="3987">
      <c r="A3987" s="103" t="s">
        <v>4676</v>
      </c>
      <c r="B3987" s="103">
        <v>1.10014104501E11</v>
      </c>
      <c r="C3987" s="105"/>
      <c r="D3987" s="104" t="s">
        <v>16579</v>
      </c>
      <c r="E3987" s="104" t="s">
        <v>16582</v>
      </c>
      <c r="F3987" s="103" t="s">
        <v>4678</v>
      </c>
      <c r="G3987" s="103" t="s">
        <v>4679</v>
      </c>
      <c r="H3987" s="103" t="s">
        <v>16583</v>
      </c>
      <c r="I3987" s="103">
        <v>3.214830862E9</v>
      </c>
      <c r="J3987" s="104" t="s">
        <v>16581</v>
      </c>
      <c r="K3987" s="105"/>
      <c r="L3987" s="105"/>
    </row>
    <row r="3988">
      <c r="A3988" s="103" t="s">
        <v>4676</v>
      </c>
      <c r="B3988" s="103">
        <v>1.10014112E9</v>
      </c>
      <c r="C3988" s="105"/>
      <c r="D3988" s="104" t="s">
        <v>16584</v>
      </c>
      <c r="E3988" s="106"/>
      <c r="F3988" s="103" t="s">
        <v>4678</v>
      </c>
      <c r="G3988" s="103" t="s">
        <v>4679</v>
      </c>
      <c r="H3988" s="103" t="s">
        <v>16585</v>
      </c>
      <c r="I3988" s="103">
        <v>3.204299712E9</v>
      </c>
      <c r="J3988" s="104" t="s">
        <v>16586</v>
      </c>
      <c r="K3988" s="107" t="s">
        <v>16587</v>
      </c>
      <c r="L3988" s="105"/>
    </row>
    <row r="3989">
      <c r="A3989" s="103" t="s">
        <v>4676</v>
      </c>
      <c r="B3989" s="103">
        <v>1.10014112001E11</v>
      </c>
      <c r="C3989" s="105"/>
      <c r="D3989" s="104" t="s">
        <v>16588</v>
      </c>
      <c r="E3989" s="104" t="s">
        <v>16589</v>
      </c>
      <c r="F3989" s="103" t="s">
        <v>4678</v>
      </c>
      <c r="G3989" s="103" t="s">
        <v>4679</v>
      </c>
      <c r="H3989" s="103" t="s">
        <v>16590</v>
      </c>
      <c r="I3989" s="103">
        <v>3.204299712E9</v>
      </c>
      <c r="J3989" s="104" t="s">
        <v>16586</v>
      </c>
      <c r="K3989" s="105"/>
      <c r="L3989" s="105"/>
    </row>
    <row r="3990">
      <c r="A3990" s="103" t="s">
        <v>4676</v>
      </c>
      <c r="B3990" s="103">
        <v>1.100141121E9</v>
      </c>
      <c r="C3990" s="105"/>
      <c r="D3990" s="104" t="s">
        <v>16591</v>
      </c>
      <c r="E3990" s="106"/>
      <c r="F3990" s="103" t="s">
        <v>4678</v>
      </c>
      <c r="G3990" s="103" t="s">
        <v>4679</v>
      </c>
      <c r="H3990" s="103" t="s">
        <v>16592</v>
      </c>
      <c r="I3990" s="103">
        <v>3.12704491E9</v>
      </c>
      <c r="J3990" s="104" t="s">
        <v>16593</v>
      </c>
      <c r="K3990" s="107" t="s">
        <v>16594</v>
      </c>
      <c r="L3990" s="105"/>
    </row>
    <row r="3991">
      <c r="A3991" s="103" t="s">
        <v>4676</v>
      </c>
      <c r="B3991" s="103">
        <v>1.10014112101E11</v>
      </c>
      <c r="C3991" s="105"/>
      <c r="D3991" s="104" t="s">
        <v>16595</v>
      </c>
      <c r="E3991" s="104" t="s">
        <v>16596</v>
      </c>
      <c r="F3991" s="103" t="s">
        <v>4678</v>
      </c>
      <c r="G3991" s="103" t="s">
        <v>4679</v>
      </c>
      <c r="H3991" s="103" t="s">
        <v>16597</v>
      </c>
      <c r="I3991" s="103">
        <v>3.12704491E9</v>
      </c>
      <c r="J3991" s="104" t="s">
        <v>16593</v>
      </c>
      <c r="K3991" s="105"/>
      <c r="L3991" s="105"/>
    </row>
    <row r="3992">
      <c r="A3992" s="103" t="s">
        <v>4676</v>
      </c>
      <c r="B3992" s="103">
        <v>1.100141123E9</v>
      </c>
      <c r="C3992" s="105"/>
      <c r="D3992" s="104" t="s">
        <v>16598</v>
      </c>
      <c r="E3992" s="106"/>
      <c r="F3992" s="103" t="s">
        <v>4678</v>
      </c>
      <c r="G3992" s="103" t="s">
        <v>4679</v>
      </c>
      <c r="H3992" s="103" t="s">
        <v>16599</v>
      </c>
      <c r="I3992" s="103">
        <v>3.194403413E9</v>
      </c>
      <c r="J3992" s="104" t="s">
        <v>16600</v>
      </c>
      <c r="K3992" s="107" t="s">
        <v>16601</v>
      </c>
      <c r="L3992" s="105"/>
    </row>
    <row r="3993">
      <c r="A3993" s="103" t="s">
        <v>4676</v>
      </c>
      <c r="B3993" s="103">
        <v>1.10014112301E11</v>
      </c>
      <c r="C3993" s="105"/>
      <c r="D3993" s="104" t="s">
        <v>16602</v>
      </c>
      <c r="E3993" s="104" t="s">
        <v>16603</v>
      </c>
      <c r="F3993" s="103" t="s">
        <v>4678</v>
      </c>
      <c r="G3993" s="103" t="s">
        <v>4679</v>
      </c>
      <c r="H3993" s="103" t="s">
        <v>16604</v>
      </c>
      <c r="I3993" s="103">
        <v>3.194403413E9</v>
      </c>
      <c r="J3993" s="104" t="s">
        <v>16600</v>
      </c>
      <c r="K3993" s="105"/>
      <c r="L3993" s="105"/>
    </row>
    <row r="3994">
      <c r="A3994" s="103" t="s">
        <v>4676</v>
      </c>
      <c r="B3994" s="103">
        <v>1.100141126E9</v>
      </c>
      <c r="C3994" s="105"/>
      <c r="D3994" s="104" t="s">
        <v>16605</v>
      </c>
      <c r="E3994" s="106"/>
      <c r="F3994" s="103" t="s">
        <v>4678</v>
      </c>
      <c r="G3994" s="103" t="s">
        <v>4679</v>
      </c>
      <c r="H3994" s="103" t="s">
        <v>16606</v>
      </c>
      <c r="I3994" s="103">
        <v>3.102312257E9</v>
      </c>
      <c r="J3994" s="104" t="s">
        <v>16607</v>
      </c>
      <c r="K3994" s="107" t="s">
        <v>16608</v>
      </c>
      <c r="L3994" s="105"/>
    </row>
    <row r="3995">
      <c r="A3995" s="103" t="s">
        <v>4676</v>
      </c>
      <c r="B3995" s="103">
        <v>1.10014112601E11</v>
      </c>
      <c r="C3995" s="105"/>
      <c r="D3995" s="104" t="s">
        <v>16609</v>
      </c>
      <c r="E3995" s="104" t="s">
        <v>16610</v>
      </c>
      <c r="F3995" s="103" t="s">
        <v>4678</v>
      </c>
      <c r="G3995" s="103" t="s">
        <v>4679</v>
      </c>
      <c r="H3995" s="103" t="s">
        <v>16606</v>
      </c>
      <c r="I3995" s="103">
        <v>3.102312257E9</v>
      </c>
      <c r="J3995" s="104" t="s">
        <v>16607</v>
      </c>
      <c r="K3995" s="105"/>
      <c r="L3995" s="105"/>
    </row>
    <row r="3996">
      <c r="A3996" s="103" t="s">
        <v>4676</v>
      </c>
      <c r="B3996" s="103">
        <v>1.10014113E9</v>
      </c>
      <c r="C3996" s="105"/>
      <c r="D3996" s="104" t="s">
        <v>16611</v>
      </c>
      <c r="E3996" s="106"/>
      <c r="F3996" s="103" t="s">
        <v>4678</v>
      </c>
      <c r="G3996" s="103" t="s">
        <v>4679</v>
      </c>
      <c r="H3996" s="103" t="s">
        <v>16612</v>
      </c>
      <c r="I3996" s="103">
        <v>3.113476542E9</v>
      </c>
      <c r="J3996" s="104" t="s">
        <v>16613</v>
      </c>
      <c r="K3996" s="105"/>
      <c r="L3996" s="105"/>
    </row>
    <row r="3997">
      <c r="A3997" s="103" t="s">
        <v>4676</v>
      </c>
      <c r="B3997" s="103">
        <v>1.10014113001E11</v>
      </c>
      <c r="C3997" s="105"/>
      <c r="D3997" s="104" t="s">
        <v>16611</v>
      </c>
      <c r="E3997" s="104" t="s">
        <v>16614</v>
      </c>
      <c r="F3997" s="103" t="s">
        <v>4678</v>
      </c>
      <c r="G3997" s="103" t="s">
        <v>4679</v>
      </c>
      <c r="H3997" s="103" t="s">
        <v>16615</v>
      </c>
      <c r="I3997" s="103">
        <v>3.113476542E9</v>
      </c>
      <c r="J3997" s="104" t="s">
        <v>16613</v>
      </c>
      <c r="K3997" s="105"/>
      <c r="L3997" s="105"/>
    </row>
    <row r="3998">
      <c r="A3998" s="103" t="s">
        <v>4676</v>
      </c>
      <c r="B3998" s="103">
        <v>1.100141149E9</v>
      </c>
      <c r="C3998" s="105"/>
      <c r="D3998" s="104" t="s">
        <v>16616</v>
      </c>
      <c r="E3998" s="106"/>
      <c r="F3998" s="103" t="s">
        <v>4678</v>
      </c>
      <c r="G3998" s="103" t="s">
        <v>4679</v>
      </c>
      <c r="H3998" s="103" t="s">
        <v>16617</v>
      </c>
      <c r="I3998" s="103">
        <v>3.006414199E9</v>
      </c>
      <c r="J3998" s="104" t="s">
        <v>16618</v>
      </c>
      <c r="K3998" s="105"/>
      <c r="L3998" s="105"/>
    </row>
    <row r="3999">
      <c r="A3999" s="103" t="s">
        <v>4676</v>
      </c>
      <c r="B3999" s="103">
        <v>1.10014114901E11</v>
      </c>
      <c r="C3999" s="105"/>
      <c r="D3999" s="104" t="s">
        <v>16619</v>
      </c>
      <c r="E3999" s="104" t="s">
        <v>16620</v>
      </c>
      <c r="F3999" s="103" t="s">
        <v>4678</v>
      </c>
      <c r="G3999" s="103" t="s">
        <v>4679</v>
      </c>
      <c r="H3999" s="103" t="s">
        <v>16621</v>
      </c>
      <c r="I3999" s="103">
        <v>3.006414199E9</v>
      </c>
      <c r="J3999" s="104" t="s">
        <v>16618</v>
      </c>
      <c r="K3999" s="105"/>
      <c r="L3999" s="105"/>
    </row>
    <row r="4000">
      <c r="A4000" s="103" t="s">
        <v>4676</v>
      </c>
      <c r="B4000" s="103">
        <v>1.10014114902E11</v>
      </c>
      <c r="C4000" s="105"/>
      <c r="D4000" s="104" t="s">
        <v>16622</v>
      </c>
      <c r="E4000" s="104" t="s">
        <v>16620</v>
      </c>
      <c r="F4000" s="103" t="s">
        <v>4678</v>
      </c>
      <c r="G4000" s="103" t="s">
        <v>4679</v>
      </c>
      <c r="H4000" s="103" t="s">
        <v>16623</v>
      </c>
      <c r="I4000" s="103">
        <v>3.133360085E9</v>
      </c>
      <c r="J4000" s="104" t="s">
        <v>16624</v>
      </c>
      <c r="K4000" s="105"/>
      <c r="L4000" s="105"/>
    </row>
    <row r="4001">
      <c r="A4001" s="103" t="s">
        <v>4676</v>
      </c>
      <c r="B4001" s="103">
        <v>1.10014114903E11</v>
      </c>
      <c r="C4001" s="105"/>
      <c r="D4001" s="104" t="s">
        <v>16625</v>
      </c>
      <c r="E4001" s="104" t="s">
        <v>16620</v>
      </c>
      <c r="F4001" s="103" t="s">
        <v>4678</v>
      </c>
      <c r="G4001" s="103" t="s">
        <v>4679</v>
      </c>
      <c r="H4001" s="103" t="s">
        <v>16626</v>
      </c>
      <c r="I4001" s="103">
        <v>3.046430754E9</v>
      </c>
      <c r="J4001" s="104" t="s">
        <v>16627</v>
      </c>
      <c r="K4001" s="105"/>
      <c r="L4001" s="105"/>
    </row>
    <row r="4002">
      <c r="A4002" s="103" t="s">
        <v>4676</v>
      </c>
      <c r="B4002" s="103">
        <v>1.10014114904E11</v>
      </c>
      <c r="C4002" s="105"/>
      <c r="D4002" s="104" t="s">
        <v>16628</v>
      </c>
      <c r="E4002" s="104" t="s">
        <v>16620</v>
      </c>
      <c r="F4002" s="103" t="s">
        <v>4678</v>
      </c>
      <c r="G4002" s="103" t="s">
        <v>4679</v>
      </c>
      <c r="H4002" s="103" t="s">
        <v>16629</v>
      </c>
      <c r="I4002" s="103">
        <v>3.046429804E9</v>
      </c>
      <c r="J4002" s="104" t="s">
        <v>16630</v>
      </c>
      <c r="K4002" s="105"/>
      <c r="L4002" s="105"/>
    </row>
    <row r="4003">
      <c r="A4003" s="103" t="s">
        <v>4676</v>
      </c>
      <c r="B4003" s="103">
        <v>1.100141152E9</v>
      </c>
      <c r="C4003" s="105"/>
      <c r="D4003" s="104" t="s">
        <v>16631</v>
      </c>
      <c r="E4003" s="106"/>
      <c r="F4003" s="103" t="s">
        <v>4678</v>
      </c>
      <c r="G4003" s="103" t="s">
        <v>4679</v>
      </c>
      <c r="H4003" s="103" t="s">
        <v>16632</v>
      </c>
      <c r="I4003" s="103">
        <v>6.053855052E9</v>
      </c>
      <c r="J4003" s="104" t="s">
        <v>16633</v>
      </c>
      <c r="K4003" s="107" t="s">
        <v>16634</v>
      </c>
      <c r="L4003" s="105"/>
    </row>
    <row r="4004">
      <c r="A4004" s="103" t="s">
        <v>4676</v>
      </c>
      <c r="B4004" s="103">
        <v>1.10014115201E11</v>
      </c>
      <c r="C4004" s="105"/>
      <c r="D4004" s="104" t="s">
        <v>16635</v>
      </c>
      <c r="E4004" s="104" t="s">
        <v>16636</v>
      </c>
      <c r="F4004" s="103" t="s">
        <v>4678</v>
      </c>
      <c r="G4004" s="103" t="s">
        <v>4679</v>
      </c>
      <c r="H4004" s="103" t="s">
        <v>16637</v>
      </c>
      <c r="I4004" s="103">
        <v>6.053855052E9</v>
      </c>
      <c r="J4004" s="104" t="s">
        <v>16633</v>
      </c>
      <c r="K4004" s="105"/>
      <c r="L4004" s="105"/>
    </row>
    <row r="4005">
      <c r="A4005" s="103" t="s">
        <v>4676</v>
      </c>
      <c r="B4005" s="103">
        <v>1.100141154E9</v>
      </c>
      <c r="C4005" s="105"/>
      <c r="D4005" s="104" t="s">
        <v>16638</v>
      </c>
      <c r="E4005" s="106"/>
      <c r="F4005" s="103" t="s">
        <v>4678</v>
      </c>
      <c r="G4005" s="103" t="s">
        <v>4679</v>
      </c>
      <c r="H4005" s="103" t="s">
        <v>16639</v>
      </c>
      <c r="I4005" s="103">
        <v>3.116382845E9</v>
      </c>
      <c r="J4005" s="104" t="s">
        <v>16640</v>
      </c>
      <c r="K4005" s="105"/>
      <c r="L4005" s="105"/>
    </row>
    <row r="4006">
      <c r="A4006" s="103" t="s">
        <v>4676</v>
      </c>
      <c r="B4006" s="103">
        <v>1.10014115401E11</v>
      </c>
      <c r="C4006" s="105"/>
      <c r="D4006" s="104" t="s">
        <v>16638</v>
      </c>
      <c r="E4006" s="104" t="s">
        <v>16641</v>
      </c>
      <c r="F4006" s="103" t="s">
        <v>4678</v>
      </c>
      <c r="G4006" s="103" t="s">
        <v>4679</v>
      </c>
      <c r="H4006" s="103" t="s">
        <v>16639</v>
      </c>
      <c r="I4006" s="103">
        <v>3.116382845E9</v>
      </c>
      <c r="J4006" s="104" t="s">
        <v>16640</v>
      </c>
      <c r="K4006" s="105"/>
      <c r="L4006" s="105"/>
    </row>
    <row r="4007">
      <c r="A4007" s="103" t="s">
        <v>4676</v>
      </c>
      <c r="B4007" s="103">
        <v>1.100141165E9</v>
      </c>
      <c r="C4007" s="105"/>
      <c r="D4007" s="104" t="s">
        <v>16642</v>
      </c>
      <c r="E4007" s="106"/>
      <c r="F4007" s="103" t="s">
        <v>4678</v>
      </c>
      <c r="G4007" s="103" t="s">
        <v>4679</v>
      </c>
      <c r="H4007" s="103" t="s">
        <v>16643</v>
      </c>
      <c r="I4007" s="103">
        <v>3.232938987E9</v>
      </c>
      <c r="J4007" s="104" t="s">
        <v>16644</v>
      </c>
      <c r="K4007" s="105"/>
      <c r="L4007" s="105"/>
    </row>
    <row r="4008">
      <c r="A4008" s="103" t="s">
        <v>4676</v>
      </c>
      <c r="B4008" s="103">
        <v>1.10014116501E11</v>
      </c>
      <c r="C4008" s="105"/>
      <c r="D4008" s="104" t="s">
        <v>16645</v>
      </c>
      <c r="E4008" s="104" t="s">
        <v>16646</v>
      </c>
      <c r="F4008" s="103" t="s">
        <v>4678</v>
      </c>
      <c r="G4008" s="103" t="s">
        <v>4679</v>
      </c>
      <c r="H4008" s="103" t="s">
        <v>16643</v>
      </c>
      <c r="I4008" s="103">
        <v>3.232938987E9</v>
      </c>
      <c r="J4008" s="104" t="s">
        <v>16644</v>
      </c>
      <c r="K4008" s="105"/>
      <c r="L4008" s="105"/>
    </row>
    <row r="4009">
      <c r="A4009" s="103" t="s">
        <v>4676</v>
      </c>
      <c r="B4009" s="103">
        <v>1.100141204E9</v>
      </c>
      <c r="C4009" s="105"/>
      <c r="D4009" s="104" t="s">
        <v>16647</v>
      </c>
      <c r="E4009" s="106"/>
      <c r="F4009" s="103" t="s">
        <v>4678</v>
      </c>
      <c r="G4009" s="103" t="s">
        <v>4679</v>
      </c>
      <c r="H4009" s="103" t="s">
        <v>16648</v>
      </c>
      <c r="I4009" s="103">
        <v>3.226545629E9</v>
      </c>
      <c r="J4009" s="104" t="s">
        <v>16649</v>
      </c>
      <c r="K4009" s="107" t="s">
        <v>16650</v>
      </c>
      <c r="L4009" s="105"/>
    </row>
    <row r="4010">
      <c r="A4010" s="103" t="s">
        <v>4676</v>
      </c>
      <c r="B4010" s="103">
        <v>1.10014120401E11</v>
      </c>
      <c r="C4010" s="105"/>
      <c r="D4010" s="104" t="s">
        <v>16651</v>
      </c>
      <c r="E4010" s="104" t="s">
        <v>16652</v>
      </c>
      <c r="F4010" s="103" t="s">
        <v>4678</v>
      </c>
      <c r="G4010" s="103" t="s">
        <v>4679</v>
      </c>
      <c r="H4010" s="103" t="s">
        <v>16653</v>
      </c>
      <c r="I4010" s="103">
        <v>3.226545629E9</v>
      </c>
      <c r="J4010" s="104" t="s">
        <v>16649</v>
      </c>
      <c r="K4010" s="105"/>
      <c r="L4010" s="105"/>
    </row>
    <row r="4011">
      <c r="A4011" s="103" t="s">
        <v>4676</v>
      </c>
      <c r="B4011" s="103">
        <v>1.100141219E9</v>
      </c>
      <c r="C4011" s="105"/>
      <c r="D4011" s="104" t="s">
        <v>16654</v>
      </c>
      <c r="E4011" s="106"/>
      <c r="F4011" s="103" t="s">
        <v>4678</v>
      </c>
      <c r="G4011" s="103" t="s">
        <v>4679</v>
      </c>
      <c r="H4011" s="103" t="s">
        <v>16655</v>
      </c>
      <c r="I4011" s="103">
        <v>3.213457465E9</v>
      </c>
      <c r="J4011" s="104" t="s">
        <v>16656</v>
      </c>
      <c r="K4011" s="105"/>
      <c r="L4011" s="105"/>
    </row>
    <row r="4012">
      <c r="A4012" s="103" t="s">
        <v>4676</v>
      </c>
      <c r="B4012" s="103">
        <v>1.10014121901E11</v>
      </c>
      <c r="C4012" s="105"/>
      <c r="D4012" s="104" t="s">
        <v>16657</v>
      </c>
      <c r="E4012" s="104" t="s">
        <v>16658</v>
      </c>
      <c r="F4012" s="103" t="s">
        <v>4678</v>
      </c>
      <c r="G4012" s="103" t="s">
        <v>4679</v>
      </c>
      <c r="H4012" s="103" t="s">
        <v>16655</v>
      </c>
      <c r="I4012" s="103">
        <v>3.213457465E9</v>
      </c>
      <c r="J4012" s="104" t="s">
        <v>16656</v>
      </c>
      <c r="K4012" s="105"/>
      <c r="L4012" s="105"/>
    </row>
    <row r="4013">
      <c r="A4013" s="103" t="s">
        <v>4676</v>
      </c>
      <c r="B4013" s="103">
        <v>1.100141225E9</v>
      </c>
      <c r="C4013" s="105"/>
      <c r="D4013" s="104" t="s">
        <v>16659</v>
      </c>
      <c r="E4013" s="106"/>
      <c r="F4013" s="103" t="s">
        <v>4678</v>
      </c>
      <c r="G4013" s="103" t="s">
        <v>4679</v>
      </c>
      <c r="H4013" s="103" t="s">
        <v>16660</v>
      </c>
      <c r="I4013" s="103">
        <v>3.022942325E9</v>
      </c>
      <c r="J4013" s="104" t="s">
        <v>16661</v>
      </c>
      <c r="K4013" s="105"/>
      <c r="L4013" s="105"/>
    </row>
    <row r="4014">
      <c r="A4014" s="103" t="s">
        <v>4676</v>
      </c>
      <c r="B4014" s="103">
        <v>1.10014122501E11</v>
      </c>
      <c r="C4014" s="105"/>
      <c r="D4014" s="104" t="s">
        <v>16659</v>
      </c>
      <c r="E4014" s="104" t="s">
        <v>16662</v>
      </c>
      <c r="F4014" s="103" t="s">
        <v>4678</v>
      </c>
      <c r="G4014" s="103" t="s">
        <v>4679</v>
      </c>
      <c r="H4014" s="103" t="s">
        <v>16663</v>
      </c>
      <c r="I4014" s="103">
        <v>3.022942325E9</v>
      </c>
      <c r="J4014" s="104" t="s">
        <v>16661</v>
      </c>
      <c r="K4014" s="105"/>
      <c r="L4014" s="105"/>
    </row>
    <row r="4015">
      <c r="A4015" s="103" t="s">
        <v>4676</v>
      </c>
      <c r="B4015" s="103">
        <v>1.100141228E9</v>
      </c>
      <c r="C4015" s="105"/>
      <c r="D4015" s="104" t="s">
        <v>16664</v>
      </c>
      <c r="E4015" s="106"/>
      <c r="F4015" s="103" t="s">
        <v>4678</v>
      </c>
      <c r="G4015" s="103" t="s">
        <v>4679</v>
      </c>
      <c r="H4015" s="103" t="s">
        <v>16665</v>
      </c>
      <c r="I4015" s="103">
        <v>3.015680239E9</v>
      </c>
      <c r="J4015" s="104" t="s">
        <v>16666</v>
      </c>
      <c r="K4015" s="105"/>
      <c r="L4015" s="105"/>
    </row>
    <row r="4016">
      <c r="A4016" s="103" t="s">
        <v>4676</v>
      </c>
      <c r="B4016" s="103">
        <v>1.10014122801E11</v>
      </c>
      <c r="C4016" s="105"/>
      <c r="D4016" s="104" t="s">
        <v>16664</v>
      </c>
      <c r="E4016" s="104" t="s">
        <v>16667</v>
      </c>
      <c r="F4016" s="103" t="s">
        <v>4678</v>
      </c>
      <c r="G4016" s="103" t="s">
        <v>4679</v>
      </c>
      <c r="H4016" s="103" t="s">
        <v>16665</v>
      </c>
      <c r="I4016" s="103">
        <v>3.015680239E9</v>
      </c>
      <c r="J4016" s="104" t="s">
        <v>16666</v>
      </c>
      <c r="K4016" s="105"/>
      <c r="L4016" s="105"/>
    </row>
    <row r="4017">
      <c r="A4017" s="103" t="s">
        <v>4676</v>
      </c>
      <c r="B4017" s="103">
        <v>1.100141281E9</v>
      </c>
      <c r="C4017" s="105"/>
      <c r="D4017" s="104" t="s">
        <v>16668</v>
      </c>
      <c r="E4017" s="106"/>
      <c r="F4017" s="103" t="s">
        <v>4678</v>
      </c>
      <c r="G4017" s="103" t="s">
        <v>4679</v>
      </c>
      <c r="H4017" s="103" t="s">
        <v>16669</v>
      </c>
      <c r="I4017" s="103">
        <v>3.144438802E9</v>
      </c>
      <c r="J4017" s="104" t="s">
        <v>16670</v>
      </c>
      <c r="K4017" s="107" t="s">
        <v>15130</v>
      </c>
      <c r="L4017" s="105"/>
    </row>
    <row r="4018">
      <c r="A4018" s="103" t="s">
        <v>4676</v>
      </c>
      <c r="B4018" s="103">
        <v>1.10014128101E11</v>
      </c>
      <c r="C4018" s="105"/>
      <c r="D4018" s="104" t="s">
        <v>16671</v>
      </c>
      <c r="E4018" s="104" t="s">
        <v>16672</v>
      </c>
      <c r="F4018" s="103" t="s">
        <v>4678</v>
      </c>
      <c r="G4018" s="103" t="s">
        <v>4679</v>
      </c>
      <c r="H4018" s="103" t="s">
        <v>16673</v>
      </c>
      <c r="I4018" s="103">
        <v>3.144438802E9</v>
      </c>
      <c r="J4018" s="104" t="s">
        <v>16670</v>
      </c>
      <c r="K4018" s="105"/>
      <c r="L4018" s="105"/>
    </row>
    <row r="4019">
      <c r="A4019" s="103" t="s">
        <v>4676</v>
      </c>
      <c r="B4019" s="103">
        <v>1.10014128102E11</v>
      </c>
      <c r="C4019" s="105"/>
      <c r="D4019" s="104" t="s">
        <v>16674</v>
      </c>
      <c r="E4019" s="104" t="s">
        <v>16675</v>
      </c>
      <c r="F4019" s="103" t="s">
        <v>4678</v>
      </c>
      <c r="G4019" s="103" t="s">
        <v>4679</v>
      </c>
      <c r="H4019" s="103" t="s">
        <v>16676</v>
      </c>
      <c r="I4019" s="103">
        <v>3.144438802E9</v>
      </c>
      <c r="J4019" s="104" t="s">
        <v>16670</v>
      </c>
      <c r="K4019" s="105"/>
      <c r="L4019" s="105"/>
    </row>
    <row r="4020">
      <c r="A4020" s="103" t="s">
        <v>4676</v>
      </c>
      <c r="B4020" s="103">
        <v>1.100141288E9</v>
      </c>
      <c r="C4020" s="105"/>
      <c r="D4020" s="104" t="s">
        <v>16677</v>
      </c>
      <c r="E4020" s="106"/>
      <c r="F4020" s="103" t="s">
        <v>4678</v>
      </c>
      <c r="G4020" s="103" t="s">
        <v>4679</v>
      </c>
      <c r="H4020" s="103" t="s">
        <v>16678</v>
      </c>
      <c r="I4020" s="103">
        <v>3.163764414E9</v>
      </c>
      <c r="J4020" s="104" t="s">
        <v>16679</v>
      </c>
      <c r="K4020" s="105"/>
      <c r="L4020" s="105"/>
    </row>
    <row r="4021">
      <c r="A4021" s="103" t="s">
        <v>4676</v>
      </c>
      <c r="B4021" s="103">
        <v>1.10014128801E11</v>
      </c>
      <c r="C4021" s="105"/>
      <c r="D4021" s="104" t="s">
        <v>16680</v>
      </c>
      <c r="E4021" s="104" t="s">
        <v>16681</v>
      </c>
      <c r="F4021" s="103" t="s">
        <v>4678</v>
      </c>
      <c r="G4021" s="103" t="s">
        <v>4679</v>
      </c>
      <c r="H4021" s="103" t="s">
        <v>16678</v>
      </c>
      <c r="I4021" s="103">
        <v>3.163764414E9</v>
      </c>
      <c r="J4021" s="104" t="s">
        <v>16679</v>
      </c>
      <c r="K4021" s="105"/>
      <c r="L4021" s="105"/>
    </row>
    <row r="4022">
      <c r="A4022" s="103" t="s">
        <v>4676</v>
      </c>
      <c r="B4022" s="103">
        <v>1.100141289E9</v>
      </c>
      <c r="C4022" s="105"/>
      <c r="D4022" s="104" t="s">
        <v>16682</v>
      </c>
      <c r="E4022" s="106"/>
      <c r="F4022" s="103" t="s">
        <v>4678</v>
      </c>
      <c r="G4022" s="103" t="s">
        <v>4679</v>
      </c>
      <c r="H4022" s="103" t="s">
        <v>16683</v>
      </c>
      <c r="I4022" s="103" t="s">
        <v>16684</v>
      </c>
      <c r="J4022" s="104" t="s">
        <v>16685</v>
      </c>
      <c r="K4022" s="107" t="s">
        <v>15591</v>
      </c>
      <c r="L4022" s="105"/>
    </row>
    <row r="4023">
      <c r="A4023" s="103" t="s">
        <v>4676</v>
      </c>
      <c r="B4023" s="103">
        <v>1.10014128901E11</v>
      </c>
      <c r="C4023" s="105"/>
      <c r="D4023" s="104" t="s">
        <v>16686</v>
      </c>
      <c r="E4023" s="104" t="s">
        <v>16687</v>
      </c>
      <c r="F4023" s="103" t="s">
        <v>4678</v>
      </c>
      <c r="G4023" s="103" t="s">
        <v>4679</v>
      </c>
      <c r="H4023" s="103" t="s">
        <v>16683</v>
      </c>
      <c r="I4023" s="103" t="s">
        <v>16684</v>
      </c>
      <c r="J4023" s="104" t="s">
        <v>16685</v>
      </c>
      <c r="K4023" s="105"/>
      <c r="L4023" s="105"/>
    </row>
    <row r="4024">
      <c r="A4024" s="103" t="s">
        <v>4676</v>
      </c>
      <c r="B4024" s="103">
        <v>1.100141314E9</v>
      </c>
      <c r="C4024" s="105"/>
      <c r="D4024" s="104" t="s">
        <v>16688</v>
      </c>
      <c r="E4024" s="106"/>
      <c r="F4024" s="103" t="s">
        <v>4678</v>
      </c>
      <c r="G4024" s="103" t="s">
        <v>4679</v>
      </c>
      <c r="H4024" s="103" t="s">
        <v>16689</v>
      </c>
      <c r="I4024" s="103">
        <v>6.017680337E9</v>
      </c>
      <c r="J4024" s="104" t="s">
        <v>16690</v>
      </c>
      <c r="K4024" s="105"/>
      <c r="L4024" s="105"/>
    </row>
    <row r="4025">
      <c r="A4025" s="103" t="s">
        <v>4676</v>
      </c>
      <c r="B4025" s="103">
        <v>1.10014131401E11</v>
      </c>
      <c r="C4025" s="105"/>
      <c r="D4025" s="104" t="s">
        <v>16688</v>
      </c>
      <c r="E4025" s="104" t="s">
        <v>16691</v>
      </c>
      <c r="F4025" s="103" t="s">
        <v>4678</v>
      </c>
      <c r="G4025" s="103" t="s">
        <v>4679</v>
      </c>
      <c r="H4025" s="103" t="s">
        <v>16689</v>
      </c>
      <c r="I4025" s="103">
        <v>6.017680337E9</v>
      </c>
      <c r="J4025" s="104" t="s">
        <v>16690</v>
      </c>
      <c r="K4025" s="105"/>
      <c r="L4025" s="105"/>
    </row>
    <row r="4026">
      <c r="A4026" s="103" t="s">
        <v>4676</v>
      </c>
      <c r="B4026" s="103">
        <v>1.100141316E9</v>
      </c>
      <c r="C4026" s="105"/>
      <c r="D4026" s="104" t="s">
        <v>16692</v>
      </c>
      <c r="E4026" s="106"/>
      <c r="F4026" s="103" t="s">
        <v>4678</v>
      </c>
      <c r="G4026" s="103" t="s">
        <v>4679</v>
      </c>
      <c r="H4026" s="103" t="s">
        <v>16693</v>
      </c>
      <c r="I4026" s="103">
        <v>3.008536456E9</v>
      </c>
      <c r="J4026" s="104" t="s">
        <v>16694</v>
      </c>
      <c r="K4026" s="107" t="s">
        <v>16695</v>
      </c>
      <c r="L4026" s="105"/>
    </row>
    <row r="4027">
      <c r="A4027" s="103" t="s">
        <v>4676</v>
      </c>
      <c r="B4027" s="103">
        <v>1.10014131601E11</v>
      </c>
      <c r="C4027" s="105"/>
      <c r="D4027" s="104" t="s">
        <v>16692</v>
      </c>
      <c r="E4027" s="104" t="s">
        <v>16696</v>
      </c>
      <c r="F4027" s="103" t="s">
        <v>4678</v>
      </c>
      <c r="G4027" s="103" t="s">
        <v>4679</v>
      </c>
      <c r="H4027" s="103" t="s">
        <v>16693</v>
      </c>
      <c r="I4027" s="103">
        <v>3.008536456E9</v>
      </c>
      <c r="J4027" s="104" t="s">
        <v>16694</v>
      </c>
      <c r="K4027" s="105"/>
      <c r="L4027" s="105"/>
    </row>
    <row r="4028">
      <c r="A4028" s="103" t="s">
        <v>4676</v>
      </c>
      <c r="B4028" s="103">
        <v>1.100141317E9</v>
      </c>
      <c r="C4028" s="105"/>
      <c r="D4028" s="104" t="s">
        <v>16697</v>
      </c>
      <c r="E4028" s="106"/>
      <c r="F4028" s="103" t="s">
        <v>4678</v>
      </c>
      <c r="G4028" s="103" t="s">
        <v>4679</v>
      </c>
      <c r="H4028" s="103" t="s">
        <v>16698</v>
      </c>
      <c r="I4028" s="103">
        <v>3.102442882E9</v>
      </c>
      <c r="J4028" s="104" t="s">
        <v>16699</v>
      </c>
      <c r="K4028" s="105"/>
      <c r="L4028" s="105"/>
    </row>
    <row r="4029">
      <c r="A4029" s="103" t="s">
        <v>4676</v>
      </c>
      <c r="B4029" s="103">
        <v>1.10014131701E11</v>
      </c>
      <c r="C4029" s="105"/>
      <c r="D4029" s="104" t="s">
        <v>16700</v>
      </c>
      <c r="E4029" s="104" t="s">
        <v>16701</v>
      </c>
      <c r="F4029" s="103" t="s">
        <v>4678</v>
      </c>
      <c r="G4029" s="103" t="s">
        <v>4679</v>
      </c>
      <c r="H4029" s="103" t="s">
        <v>16702</v>
      </c>
      <c r="I4029" s="103">
        <v>3.102442882E9</v>
      </c>
      <c r="J4029" s="104" t="s">
        <v>16699</v>
      </c>
      <c r="K4029" s="105"/>
      <c r="L4029" s="105"/>
    </row>
    <row r="4030">
      <c r="A4030" s="103" t="s">
        <v>4676</v>
      </c>
      <c r="B4030" s="103">
        <v>1.100141379E9</v>
      </c>
      <c r="C4030" s="105"/>
      <c r="D4030" s="104" t="s">
        <v>16703</v>
      </c>
      <c r="E4030" s="106"/>
      <c r="F4030" s="103" t="s">
        <v>4678</v>
      </c>
      <c r="G4030" s="103" t="s">
        <v>4679</v>
      </c>
      <c r="H4030" s="103" t="s">
        <v>16704</v>
      </c>
      <c r="I4030" s="103">
        <v>3.214412606E9</v>
      </c>
      <c r="J4030" s="104" t="s">
        <v>16705</v>
      </c>
      <c r="K4030" s="103" t="s">
        <v>16706</v>
      </c>
      <c r="L4030" s="105"/>
    </row>
    <row r="4031">
      <c r="A4031" s="103" t="s">
        <v>4676</v>
      </c>
      <c r="B4031" s="103">
        <v>1.10014137901E11</v>
      </c>
      <c r="C4031" s="105"/>
      <c r="D4031" s="104" t="s">
        <v>16707</v>
      </c>
      <c r="E4031" s="104" t="s">
        <v>16708</v>
      </c>
      <c r="F4031" s="103" t="s">
        <v>4678</v>
      </c>
      <c r="G4031" s="103" t="s">
        <v>4679</v>
      </c>
      <c r="H4031" s="103" t="s">
        <v>16709</v>
      </c>
      <c r="I4031" s="103">
        <v>3.214412606E9</v>
      </c>
      <c r="J4031" s="104" t="s">
        <v>16705</v>
      </c>
      <c r="K4031" s="105"/>
      <c r="L4031" s="105"/>
    </row>
    <row r="4032">
      <c r="A4032" s="103" t="s">
        <v>4676</v>
      </c>
      <c r="B4032" s="103">
        <v>1.100141401E9</v>
      </c>
      <c r="C4032" s="105"/>
      <c r="D4032" s="104" t="s">
        <v>16710</v>
      </c>
      <c r="E4032" s="106"/>
      <c r="F4032" s="103" t="s">
        <v>4678</v>
      </c>
      <c r="G4032" s="103" t="s">
        <v>4679</v>
      </c>
      <c r="H4032" s="103" t="s">
        <v>16711</v>
      </c>
      <c r="I4032" s="103">
        <v>3.00640191E9</v>
      </c>
      <c r="J4032" s="104" t="s">
        <v>16712</v>
      </c>
      <c r="K4032" s="107" t="s">
        <v>16713</v>
      </c>
      <c r="L4032" s="105"/>
    </row>
    <row r="4033">
      <c r="A4033" s="103" t="s">
        <v>4676</v>
      </c>
      <c r="B4033" s="103">
        <v>1.10014140101E11</v>
      </c>
      <c r="C4033" s="105"/>
      <c r="D4033" s="104" t="s">
        <v>16710</v>
      </c>
      <c r="E4033" s="104" t="s">
        <v>16714</v>
      </c>
      <c r="F4033" s="103" t="s">
        <v>4678</v>
      </c>
      <c r="G4033" s="103" t="s">
        <v>4679</v>
      </c>
      <c r="H4033" s="103" t="s">
        <v>16711</v>
      </c>
      <c r="I4033" s="103">
        <v>3.00640191E9</v>
      </c>
      <c r="J4033" s="104" t="s">
        <v>16712</v>
      </c>
      <c r="K4033" s="105"/>
      <c r="L4033" s="105"/>
    </row>
    <row r="4034">
      <c r="A4034" s="103" t="s">
        <v>4676</v>
      </c>
      <c r="B4034" s="103">
        <v>1.100141423E9</v>
      </c>
      <c r="C4034" s="105"/>
      <c r="D4034" s="104" t="s">
        <v>16715</v>
      </c>
      <c r="E4034" s="106"/>
      <c r="F4034" s="103" t="s">
        <v>4678</v>
      </c>
      <c r="G4034" s="103" t="s">
        <v>4679</v>
      </c>
      <c r="H4034" s="103" t="s">
        <v>16716</v>
      </c>
      <c r="I4034" s="103">
        <v>3.024509408E9</v>
      </c>
      <c r="J4034" s="104" t="s">
        <v>16717</v>
      </c>
      <c r="K4034" s="105"/>
      <c r="L4034" s="105"/>
    </row>
    <row r="4035">
      <c r="A4035" s="103" t="s">
        <v>4676</v>
      </c>
      <c r="B4035" s="103">
        <v>1.10014142301E11</v>
      </c>
      <c r="C4035" s="105"/>
      <c r="D4035" s="104" t="s">
        <v>16715</v>
      </c>
      <c r="E4035" s="104" t="s">
        <v>16718</v>
      </c>
      <c r="F4035" s="103" t="s">
        <v>4678</v>
      </c>
      <c r="G4035" s="103" t="s">
        <v>4679</v>
      </c>
      <c r="H4035" s="103" t="s">
        <v>16716</v>
      </c>
      <c r="I4035" s="103">
        <v>3.024509408E9</v>
      </c>
      <c r="J4035" s="104" t="s">
        <v>16717</v>
      </c>
      <c r="K4035" s="105"/>
      <c r="L4035" s="105"/>
    </row>
    <row r="4036">
      <c r="A4036" s="103" t="s">
        <v>4676</v>
      </c>
      <c r="B4036" s="103">
        <v>1.100141448E9</v>
      </c>
      <c r="C4036" s="105"/>
      <c r="D4036" s="104" t="s">
        <v>16719</v>
      </c>
      <c r="E4036" s="106"/>
      <c r="F4036" s="103" t="s">
        <v>4678</v>
      </c>
      <c r="G4036" s="103" t="s">
        <v>4679</v>
      </c>
      <c r="H4036" s="103" t="s">
        <v>16720</v>
      </c>
      <c r="I4036" s="103">
        <v>3.16493265E9</v>
      </c>
      <c r="J4036" s="104" t="s">
        <v>16721</v>
      </c>
      <c r="K4036" s="103" t="s">
        <v>16722</v>
      </c>
      <c r="L4036" s="105"/>
    </row>
    <row r="4037">
      <c r="A4037" s="103" t="s">
        <v>4676</v>
      </c>
      <c r="B4037" s="103">
        <v>1.10014144801E11</v>
      </c>
      <c r="C4037" s="105"/>
      <c r="D4037" s="104" t="s">
        <v>16723</v>
      </c>
      <c r="E4037" s="104" t="s">
        <v>16724</v>
      </c>
      <c r="F4037" s="103" t="s">
        <v>4678</v>
      </c>
      <c r="G4037" s="103" t="s">
        <v>4679</v>
      </c>
      <c r="H4037" s="103" t="s">
        <v>16720</v>
      </c>
      <c r="I4037" s="103">
        <v>3.16493265E9</v>
      </c>
      <c r="J4037" s="104" t="s">
        <v>16721</v>
      </c>
      <c r="K4037" s="105"/>
      <c r="L4037" s="105"/>
    </row>
    <row r="4038">
      <c r="A4038" s="103" t="s">
        <v>4676</v>
      </c>
      <c r="B4038" s="103">
        <v>1.100141456E9</v>
      </c>
      <c r="C4038" s="105"/>
      <c r="D4038" s="104" t="s">
        <v>16725</v>
      </c>
      <c r="E4038" s="106"/>
      <c r="F4038" s="103" t="s">
        <v>4678</v>
      </c>
      <c r="G4038" s="103" t="s">
        <v>4679</v>
      </c>
      <c r="H4038" s="103" t="s">
        <v>16726</v>
      </c>
      <c r="I4038" s="103">
        <v>3.103628244E9</v>
      </c>
      <c r="J4038" s="104" t="s">
        <v>16727</v>
      </c>
      <c r="K4038" s="105"/>
      <c r="L4038" s="105"/>
    </row>
    <row r="4039">
      <c r="A4039" s="103" t="s">
        <v>4676</v>
      </c>
      <c r="B4039" s="103">
        <v>1.10014145601E11</v>
      </c>
      <c r="C4039" s="105"/>
      <c r="D4039" s="104" t="s">
        <v>16725</v>
      </c>
      <c r="E4039" s="104" t="s">
        <v>6338</v>
      </c>
      <c r="F4039" s="103" t="s">
        <v>4678</v>
      </c>
      <c r="G4039" s="103" t="s">
        <v>4679</v>
      </c>
      <c r="H4039" s="103" t="s">
        <v>16728</v>
      </c>
      <c r="I4039" s="103">
        <v>3.103628244E9</v>
      </c>
      <c r="J4039" s="104" t="s">
        <v>16727</v>
      </c>
      <c r="K4039" s="105"/>
      <c r="L4039" s="105"/>
    </row>
    <row r="4040">
      <c r="A4040" s="103" t="s">
        <v>4676</v>
      </c>
      <c r="B4040" s="103">
        <v>1.10014146E9</v>
      </c>
      <c r="C4040" s="105"/>
      <c r="D4040" s="104" t="s">
        <v>16729</v>
      </c>
      <c r="E4040" s="106"/>
      <c r="F4040" s="103" t="s">
        <v>4678</v>
      </c>
      <c r="G4040" s="103" t="s">
        <v>4679</v>
      </c>
      <c r="H4040" s="103" t="s">
        <v>16730</v>
      </c>
      <c r="I4040" s="103">
        <v>3.16277128E9</v>
      </c>
      <c r="J4040" s="104" t="s">
        <v>16731</v>
      </c>
      <c r="K4040" s="105"/>
      <c r="L4040" s="105"/>
    </row>
    <row r="4041">
      <c r="A4041" s="103" t="s">
        <v>4676</v>
      </c>
      <c r="B4041" s="103">
        <v>1.10014146001E11</v>
      </c>
      <c r="C4041" s="105"/>
      <c r="D4041" s="104" t="s">
        <v>16729</v>
      </c>
      <c r="E4041" s="104" t="s">
        <v>16732</v>
      </c>
      <c r="F4041" s="103" t="s">
        <v>4678</v>
      </c>
      <c r="G4041" s="103" t="s">
        <v>4679</v>
      </c>
      <c r="H4041" s="103" t="s">
        <v>16733</v>
      </c>
      <c r="I4041" s="103">
        <v>3.16277128E9</v>
      </c>
      <c r="J4041" s="104" t="s">
        <v>16731</v>
      </c>
      <c r="K4041" s="105"/>
      <c r="L4041" s="105"/>
    </row>
    <row r="4042">
      <c r="A4042" s="103" t="s">
        <v>4676</v>
      </c>
      <c r="B4042" s="103">
        <v>1.100141463E9</v>
      </c>
      <c r="C4042" s="105"/>
      <c r="D4042" s="104" t="s">
        <v>16734</v>
      </c>
      <c r="E4042" s="106"/>
      <c r="F4042" s="103" t="s">
        <v>4678</v>
      </c>
      <c r="G4042" s="103" t="s">
        <v>4679</v>
      </c>
      <c r="H4042" s="103" t="s">
        <v>16735</v>
      </c>
      <c r="I4042" s="103">
        <v>3.105546905E9</v>
      </c>
      <c r="J4042" s="104" t="s">
        <v>16736</v>
      </c>
      <c r="K4042" s="107" t="s">
        <v>16737</v>
      </c>
      <c r="L4042" s="105"/>
    </row>
    <row r="4043">
      <c r="A4043" s="103" t="s">
        <v>4676</v>
      </c>
      <c r="B4043" s="103">
        <v>1.10014146301E11</v>
      </c>
      <c r="C4043" s="105"/>
      <c r="D4043" s="104" t="s">
        <v>16738</v>
      </c>
      <c r="E4043" s="104" t="s">
        <v>16739</v>
      </c>
      <c r="F4043" s="103" t="s">
        <v>4678</v>
      </c>
      <c r="G4043" s="103" t="s">
        <v>4679</v>
      </c>
      <c r="H4043" s="103" t="s">
        <v>16735</v>
      </c>
      <c r="I4043" s="103">
        <v>3.1055446905E10</v>
      </c>
      <c r="J4043" s="104" t="s">
        <v>16736</v>
      </c>
      <c r="K4043" s="105"/>
      <c r="L4043" s="105"/>
    </row>
    <row r="4044">
      <c r="A4044" s="103" t="s">
        <v>4676</v>
      </c>
      <c r="B4044" s="103">
        <v>1.100141464E9</v>
      </c>
      <c r="C4044" s="105"/>
      <c r="D4044" s="104" t="s">
        <v>16740</v>
      </c>
      <c r="E4044" s="106"/>
      <c r="F4044" s="103" t="s">
        <v>4678</v>
      </c>
      <c r="G4044" s="103" t="s">
        <v>4679</v>
      </c>
      <c r="H4044" s="103" t="s">
        <v>16741</v>
      </c>
      <c r="I4044" s="103">
        <v>3.006233875E9</v>
      </c>
      <c r="J4044" s="104" t="s">
        <v>16742</v>
      </c>
      <c r="K4044" s="105"/>
      <c r="L4044" s="105"/>
    </row>
    <row r="4045">
      <c r="A4045" s="103" t="s">
        <v>4676</v>
      </c>
      <c r="B4045" s="103">
        <v>1.10014146401E11</v>
      </c>
      <c r="C4045" s="105"/>
      <c r="D4045" s="104" t="s">
        <v>16740</v>
      </c>
      <c r="E4045" s="104" t="s">
        <v>16743</v>
      </c>
      <c r="F4045" s="103" t="s">
        <v>4678</v>
      </c>
      <c r="G4045" s="103" t="s">
        <v>4679</v>
      </c>
      <c r="H4045" s="103" t="s">
        <v>16744</v>
      </c>
      <c r="I4045" s="103">
        <v>3.006233875E9</v>
      </c>
      <c r="J4045" s="104" t="s">
        <v>16742</v>
      </c>
      <c r="K4045" s="105"/>
      <c r="L4045" s="105"/>
    </row>
    <row r="4046">
      <c r="A4046" s="103" t="s">
        <v>4676</v>
      </c>
      <c r="B4046" s="103">
        <v>1.100141468E9</v>
      </c>
      <c r="C4046" s="105"/>
      <c r="D4046" s="104" t="s">
        <v>16745</v>
      </c>
      <c r="E4046" s="106"/>
      <c r="F4046" s="103" t="s">
        <v>4678</v>
      </c>
      <c r="G4046" s="103" t="s">
        <v>4679</v>
      </c>
      <c r="H4046" s="103" t="s">
        <v>16746</v>
      </c>
      <c r="I4046" s="103">
        <v>3.174046055E9</v>
      </c>
      <c r="J4046" s="104" t="s">
        <v>16747</v>
      </c>
      <c r="K4046" s="107" t="s">
        <v>16748</v>
      </c>
      <c r="L4046" s="105"/>
    </row>
    <row r="4047">
      <c r="A4047" s="103" t="s">
        <v>4676</v>
      </c>
      <c r="B4047" s="103">
        <v>1.10014146801E11</v>
      </c>
      <c r="C4047" s="105"/>
      <c r="D4047" s="104" t="s">
        <v>16749</v>
      </c>
      <c r="E4047" s="104" t="s">
        <v>16750</v>
      </c>
      <c r="F4047" s="103" t="s">
        <v>4678</v>
      </c>
      <c r="G4047" s="103" t="s">
        <v>4679</v>
      </c>
      <c r="H4047" s="103" t="s">
        <v>16746</v>
      </c>
      <c r="I4047" s="103">
        <v>3.174046055E9</v>
      </c>
      <c r="J4047" s="104" t="s">
        <v>16747</v>
      </c>
      <c r="K4047" s="105"/>
      <c r="L4047" s="105"/>
    </row>
    <row r="4048">
      <c r="A4048" s="103" t="s">
        <v>4676</v>
      </c>
      <c r="B4048" s="103">
        <v>1.100141469E9</v>
      </c>
      <c r="C4048" s="105"/>
      <c r="D4048" s="104" t="s">
        <v>16751</v>
      </c>
      <c r="E4048" s="106"/>
      <c r="F4048" s="103" t="s">
        <v>4678</v>
      </c>
      <c r="G4048" s="103" t="s">
        <v>4679</v>
      </c>
      <c r="H4048" s="103" t="s">
        <v>16752</v>
      </c>
      <c r="I4048" s="103">
        <v>3.022460195E9</v>
      </c>
      <c r="J4048" s="104" t="s">
        <v>16753</v>
      </c>
      <c r="K4048" s="105"/>
      <c r="L4048" s="105"/>
    </row>
    <row r="4049">
      <c r="A4049" s="103" t="s">
        <v>4676</v>
      </c>
      <c r="B4049" s="103">
        <v>1.10014146901E11</v>
      </c>
      <c r="C4049" s="105"/>
      <c r="D4049" s="104" t="s">
        <v>16754</v>
      </c>
      <c r="E4049" s="104" t="s">
        <v>16755</v>
      </c>
      <c r="F4049" s="103" t="s">
        <v>4678</v>
      </c>
      <c r="G4049" s="103" t="s">
        <v>4679</v>
      </c>
      <c r="H4049" s="103" t="s">
        <v>16752</v>
      </c>
      <c r="I4049" s="103">
        <v>3.022460195E9</v>
      </c>
      <c r="J4049" s="104" t="s">
        <v>16753</v>
      </c>
      <c r="K4049" s="105"/>
      <c r="L4049" s="105"/>
    </row>
    <row r="4050">
      <c r="A4050" s="103" t="s">
        <v>4676</v>
      </c>
      <c r="B4050" s="103">
        <v>1.100141472E9</v>
      </c>
      <c r="C4050" s="105"/>
      <c r="D4050" s="104" t="s">
        <v>16756</v>
      </c>
      <c r="E4050" s="106"/>
      <c r="F4050" s="103" t="s">
        <v>4678</v>
      </c>
      <c r="G4050" s="103" t="s">
        <v>4679</v>
      </c>
      <c r="H4050" s="103" t="s">
        <v>16757</v>
      </c>
      <c r="I4050" s="103">
        <v>6.019373777E9</v>
      </c>
      <c r="J4050" s="104" t="s">
        <v>16758</v>
      </c>
      <c r="K4050" s="107" t="s">
        <v>16759</v>
      </c>
      <c r="L4050" s="105"/>
    </row>
    <row r="4051">
      <c r="A4051" s="103" t="s">
        <v>4676</v>
      </c>
      <c r="B4051" s="103">
        <v>1.10014147201E11</v>
      </c>
      <c r="C4051" s="105"/>
      <c r="D4051" s="104" t="s">
        <v>16756</v>
      </c>
      <c r="E4051" s="104" t="s">
        <v>16760</v>
      </c>
      <c r="F4051" s="103" t="s">
        <v>4678</v>
      </c>
      <c r="G4051" s="103" t="s">
        <v>4679</v>
      </c>
      <c r="H4051" s="103" t="s">
        <v>16761</v>
      </c>
      <c r="I4051" s="103">
        <v>6.019373777E9</v>
      </c>
      <c r="J4051" s="104" t="s">
        <v>16758</v>
      </c>
      <c r="K4051" s="105"/>
      <c r="L4051" s="105"/>
    </row>
    <row r="4052">
      <c r="A4052" s="103" t="s">
        <v>4676</v>
      </c>
      <c r="B4052" s="103">
        <v>1.100141519E9</v>
      </c>
      <c r="C4052" s="105"/>
      <c r="D4052" s="104" t="s">
        <v>16762</v>
      </c>
      <c r="E4052" s="106"/>
      <c r="F4052" s="103" t="s">
        <v>4678</v>
      </c>
      <c r="G4052" s="103" t="s">
        <v>4679</v>
      </c>
      <c r="H4052" s="103" t="s">
        <v>16763</v>
      </c>
      <c r="I4052" s="103">
        <v>3290100.0</v>
      </c>
      <c r="J4052" s="104" t="s">
        <v>16764</v>
      </c>
      <c r="K4052" s="105"/>
      <c r="L4052" s="105"/>
    </row>
    <row r="4053">
      <c r="A4053" s="103" t="s">
        <v>4676</v>
      </c>
      <c r="B4053" s="103">
        <v>1.10014151901E11</v>
      </c>
      <c r="C4053" s="105"/>
      <c r="D4053" s="104" t="s">
        <v>16762</v>
      </c>
      <c r="E4053" s="104" t="s">
        <v>16765</v>
      </c>
      <c r="F4053" s="103" t="s">
        <v>4678</v>
      </c>
      <c r="G4053" s="103" t="s">
        <v>4679</v>
      </c>
      <c r="H4053" s="103" t="s">
        <v>16763</v>
      </c>
      <c r="I4053" s="103">
        <v>3290100.0</v>
      </c>
      <c r="J4053" s="104" t="s">
        <v>16764</v>
      </c>
      <c r="K4053" s="105"/>
      <c r="L4053" s="105"/>
    </row>
    <row r="4054">
      <c r="A4054" s="103" t="s">
        <v>4676</v>
      </c>
      <c r="B4054" s="103">
        <v>1.100141539E9</v>
      </c>
      <c r="C4054" s="105"/>
      <c r="D4054" s="104" t="s">
        <v>16766</v>
      </c>
      <c r="E4054" s="106"/>
      <c r="F4054" s="103" t="s">
        <v>4678</v>
      </c>
      <c r="G4054" s="103" t="s">
        <v>4679</v>
      </c>
      <c r="H4054" s="103" t="s">
        <v>16767</v>
      </c>
      <c r="I4054" s="103">
        <v>3.132811978E9</v>
      </c>
      <c r="J4054" s="104" t="s">
        <v>16768</v>
      </c>
      <c r="K4054" s="107" t="s">
        <v>16769</v>
      </c>
      <c r="L4054" s="105"/>
    </row>
    <row r="4055">
      <c r="A4055" s="103" t="s">
        <v>4676</v>
      </c>
      <c r="B4055" s="103">
        <v>1.10014153901E11</v>
      </c>
      <c r="C4055" s="105"/>
      <c r="D4055" s="104" t="s">
        <v>16770</v>
      </c>
      <c r="E4055" s="104" t="s">
        <v>16771</v>
      </c>
      <c r="F4055" s="103" t="s">
        <v>4678</v>
      </c>
      <c r="G4055" s="103" t="s">
        <v>4679</v>
      </c>
      <c r="H4055" s="103" t="s">
        <v>16767</v>
      </c>
      <c r="I4055" s="103">
        <v>3.132811978E9</v>
      </c>
      <c r="J4055" s="104" t="s">
        <v>16768</v>
      </c>
      <c r="K4055" s="105"/>
      <c r="L4055" s="105"/>
    </row>
    <row r="4056">
      <c r="A4056" s="103" t="s">
        <v>4676</v>
      </c>
      <c r="B4056" s="103">
        <v>1.10014154E9</v>
      </c>
      <c r="C4056" s="105"/>
      <c r="D4056" s="104" t="s">
        <v>16772</v>
      </c>
      <c r="E4056" s="106"/>
      <c r="F4056" s="103" t="s">
        <v>4678</v>
      </c>
      <c r="G4056" s="103" t="s">
        <v>4679</v>
      </c>
      <c r="H4056" s="103" t="s">
        <v>16773</v>
      </c>
      <c r="I4056" s="103">
        <v>6.016161545E9</v>
      </c>
      <c r="J4056" s="104" t="s">
        <v>16774</v>
      </c>
      <c r="K4056" s="105"/>
      <c r="L4056" s="105"/>
    </row>
    <row r="4057">
      <c r="A4057" s="103" t="s">
        <v>4676</v>
      </c>
      <c r="B4057" s="103">
        <v>1.10014154001E11</v>
      </c>
      <c r="C4057" s="105"/>
      <c r="D4057" s="104" t="s">
        <v>16772</v>
      </c>
      <c r="E4057" s="104" t="s">
        <v>16775</v>
      </c>
      <c r="F4057" s="103" t="s">
        <v>4678</v>
      </c>
      <c r="G4057" s="103" t="s">
        <v>4679</v>
      </c>
      <c r="H4057" s="103" t="s">
        <v>16773</v>
      </c>
      <c r="I4057" s="103">
        <v>6.016161545E9</v>
      </c>
      <c r="J4057" s="104" t="s">
        <v>16774</v>
      </c>
      <c r="K4057" s="105"/>
      <c r="L4057" s="105"/>
    </row>
    <row r="4058">
      <c r="A4058" s="103" t="s">
        <v>4676</v>
      </c>
      <c r="B4058" s="103">
        <v>1.100141543E9</v>
      </c>
      <c r="C4058" s="105"/>
      <c r="D4058" s="104" t="s">
        <v>16776</v>
      </c>
      <c r="E4058" s="106"/>
      <c r="F4058" s="103" t="s">
        <v>4678</v>
      </c>
      <c r="G4058" s="103" t="s">
        <v>4679</v>
      </c>
      <c r="H4058" s="103" t="s">
        <v>16777</v>
      </c>
      <c r="I4058" s="103">
        <v>3.218789111E9</v>
      </c>
      <c r="J4058" s="104" t="s">
        <v>16778</v>
      </c>
      <c r="K4058" s="103" t="s">
        <v>16779</v>
      </c>
      <c r="L4058" s="105"/>
    </row>
    <row r="4059">
      <c r="A4059" s="103" t="s">
        <v>4676</v>
      </c>
      <c r="B4059" s="103">
        <v>1.10014154301E11</v>
      </c>
      <c r="C4059" s="105"/>
      <c r="D4059" s="104" t="s">
        <v>16780</v>
      </c>
      <c r="E4059" s="104" t="s">
        <v>16781</v>
      </c>
      <c r="F4059" s="103" t="s">
        <v>4678</v>
      </c>
      <c r="G4059" s="103" t="s">
        <v>4679</v>
      </c>
      <c r="H4059" s="103" t="s">
        <v>16777</v>
      </c>
      <c r="I4059" s="103">
        <v>3.218789111E9</v>
      </c>
      <c r="J4059" s="104" t="s">
        <v>16778</v>
      </c>
      <c r="K4059" s="105"/>
      <c r="L4059" s="105"/>
    </row>
    <row r="4060">
      <c r="A4060" s="103" t="s">
        <v>4676</v>
      </c>
      <c r="B4060" s="103">
        <v>1.10014154302E11</v>
      </c>
      <c r="C4060" s="105"/>
      <c r="D4060" s="104" t="s">
        <v>16782</v>
      </c>
      <c r="E4060" s="104" t="s">
        <v>16781</v>
      </c>
      <c r="F4060" s="103" t="s">
        <v>4678</v>
      </c>
      <c r="G4060" s="103" t="s">
        <v>4679</v>
      </c>
      <c r="H4060" s="103" t="s">
        <v>16783</v>
      </c>
      <c r="I4060" s="103">
        <v>3.147907019E9</v>
      </c>
      <c r="J4060" s="104" t="s">
        <v>16784</v>
      </c>
      <c r="K4060" s="105"/>
      <c r="L4060" s="105"/>
    </row>
    <row r="4061">
      <c r="A4061" s="103" t="s">
        <v>4676</v>
      </c>
      <c r="B4061" s="103">
        <v>1.100141573E9</v>
      </c>
      <c r="C4061" s="105"/>
      <c r="D4061" s="104" t="s">
        <v>16785</v>
      </c>
      <c r="E4061" s="106"/>
      <c r="F4061" s="103" t="s">
        <v>4678</v>
      </c>
      <c r="G4061" s="103" t="s">
        <v>4679</v>
      </c>
      <c r="H4061" s="103" t="s">
        <v>16786</v>
      </c>
      <c r="I4061" s="103" t="s">
        <v>16787</v>
      </c>
      <c r="J4061" s="104" t="s">
        <v>16788</v>
      </c>
      <c r="K4061" s="107" t="s">
        <v>16789</v>
      </c>
      <c r="L4061" s="105"/>
    </row>
    <row r="4062">
      <c r="A4062" s="103" t="s">
        <v>4676</v>
      </c>
      <c r="B4062" s="103">
        <v>1.10014157301E11</v>
      </c>
      <c r="C4062" s="105"/>
      <c r="D4062" s="104" t="s">
        <v>16785</v>
      </c>
      <c r="E4062" s="104" t="s">
        <v>16790</v>
      </c>
      <c r="F4062" s="103" t="s">
        <v>4678</v>
      </c>
      <c r="G4062" s="103" t="s">
        <v>4679</v>
      </c>
      <c r="H4062" s="103" t="s">
        <v>16791</v>
      </c>
      <c r="I4062" s="103" t="s">
        <v>16787</v>
      </c>
      <c r="J4062" s="104" t="s">
        <v>16788</v>
      </c>
      <c r="K4062" s="105"/>
      <c r="L4062" s="105"/>
    </row>
    <row r="4063">
      <c r="A4063" s="103" t="s">
        <v>4676</v>
      </c>
      <c r="B4063" s="103">
        <v>1.100141574E9</v>
      </c>
      <c r="C4063" s="105"/>
      <c r="D4063" s="104" t="s">
        <v>16792</v>
      </c>
      <c r="E4063" s="106"/>
      <c r="F4063" s="103" t="s">
        <v>4678</v>
      </c>
      <c r="G4063" s="103" t="s">
        <v>4679</v>
      </c>
      <c r="H4063" s="103" t="s">
        <v>16793</v>
      </c>
      <c r="I4063" s="103">
        <v>3.125467752E9</v>
      </c>
      <c r="J4063" s="104" t="s">
        <v>16794</v>
      </c>
      <c r="K4063" s="105"/>
      <c r="L4063" s="105"/>
    </row>
    <row r="4064">
      <c r="A4064" s="103" t="s">
        <v>4676</v>
      </c>
      <c r="B4064" s="103">
        <v>1.10014157401E11</v>
      </c>
      <c r="C4064" s="105"/>
      <c r="D4064" s="104" t="s">
        <v>16792</v>
      </c>
      <c r="E4064" s="104" t="s">
        <v>16795</v>
      </c>
      <c r="F4064" s="103" t="s">
        <v>4678</v>
      </c>
      <c r="G4064" s="103" t="s">
        <v>4679</v>
      </c>
      <c r="H4064" s="103" t="s">
        <v>16793</v>
      </c>
      <c r="I4064" s="103">
        <v>3.125467752E9</v>
      </c>
      <c r="J4064" s="104" t="s">
        <v>16794</v>
      </c>
      <c r="K4064" s="105"/>
      <c r="L4064" s="105"/>
    </row>
    <row r="4065">
      <c r="A4065" s="103" t="s">
        <v>4676</v>
      </c>
      <c r="B4065" s="103">
        <v>1.100141597E9</v>
      </c>
      <c r="C4065" s="105"/>
      <c r="D4065" s="104" t="s">
        <v>16796</v>
      </c>
      <c r="E4065" s="106"/>
      <c r="F4065" s="103" t="s">
        <v>4678</v>
      </c>
      <c r="G4065" s="103" t="s">
        <v>4679</v>
      </c>
      <c r="H4065" s="103" t="s">
        <v>16797</v>
      </c>
      <c r="I4065" s="103">
        <v>3.505935237E9</v>
      </c>
      <c r="J4065" s="104" t="s">
        <v>16798</v>
      </c>
      <c r="K4065" s="103" t="s">
        <v>16799</v>
      </c>
      <c r="L4065" s="105"/>
    </row>
    <row r="4066">
      <c r="A4066" s="103" t="s">
        <v>4676</v>
      </c>
      <c r="B4066" s="103">
        <v>1.10014159701E11</v>
      </c>
      <c r="C4066" s="105"/>
      <c r="D4066" s="104" t="s">
        <v>16800</v>
      </c>
      <c r="E4066" s="104" t="s">
        <v>16801</v>
      </c>
      <c r="F4066" s="103" t="s">
        <v>4678</v>
      </c>
      <c r="G4066" s="103" t="s">
        <v>4679</v>
      </c>
      <c r="H4066" s="103" t="s">
        <v>16797</v>
      </c>
      <c r="I4066" s="103">
        <v>3.505935237E9</v>
      </c>
      <c r="J4066" s="104" t="s">
        <v>16798</v>
      </c>
      <c r="K4066" s="105"/>
      <c r="L4066" s="105"/>
    </row>
    <row r="4067">
      <c r="A4067" s="103" t="s">
        <v>4676</v>
      </c>
      <c r="B4067" s="103">
        <v>1.100141632E9</v>
      </c>
      <c r="C4067" s="105"/>
      <c r="D4067" s="104" t="s">
        <v>16802</v>
      </c>
      <c r="E4067" s="106"/>
      <c r="F4067" s="103" t="s">
        <v>4678</v>
      </c>
      <c r="G4067" s="103" t="s">
        <v>4679</v>
      </c>
      <c r="H4067" s="103" t="s">
        <v>16803</v>
      </c>
      <c r="I4067" s="103">
        <v>6.017037969E9</v>
      </c>
      <c r="J4067" s="104" t="s">
        <v>16804</v>
      </c>
      <c r="K4067" s="105"/>
      <c r="L4067" s="105"/>
    </row>
    <row r="4068">
      <c r="A4068" s="103" t="s">
        <v>4676</v>
      </c>
      <c r="B4068" s="103">
        <v>1.10014163201E11</v>
      </c>
      <c r="C4068" s="105"/>
      <c r="D4068" s="104" t="s">
        <v>16802</v>
      </c>
      <c r="E4068" s="104" t="s">
        <v>16805</v>
      </c>
      <c r="F4068" s="103" t="s">
        <v>4678</v>
      </c>
      <c r="G4068" s="103" t="s">
        <v>4679</v>
      </c>
      <c r="H4068" s="103" t="s">
        <v>16803</v>
      </c>
      <c r="I4068" s="103">
        <v>6.017037969E9</v>
      </c>
      <c r="J4068" s="104" t="s">
        <v>16804</v>
      </c>
      <c r="K4068" s="105"/>
      <c r="L4068" s="105"/>
    </row>
    <row r="4069">
      <c r="A4069" s="103" t="s">
        <v>4676</v>
      </c>
      <c r="B4069" s="103">
        <v>1.100141639E9</v>
      </c>
      <c r="C4069" s="105"/>
      <c r="D4069" s="104" t="s">
        <v>16806</v>
      </c>
      <c r="E4069" s="106"/>
      <c r="F4069" s="103" t="s">
        <v>4678</v>
      </c>
      <c r="G4069" s="103" t="s">
        <v>4679</v>
      </c>
      <c r="H4069" s="103" t="s">
        <v>16807</v>
      </c>
      <c r="I4069" s="103">
        <v>3.187353385E9</v>
      </c>
      <c r="J4069" s="104" t="s">
        <v>16808</v>
      </c>
      <c r="K4069" s="105"/>
      <c r="L4069" s="105"/>
    </row>
    <row r="4070">
      <c r="A4070" s="103" t="s">
        <v>4676</v>
      </c>
      <c r="B4070" s="103">
        <v>1.10014163901E11</v>
      </c>
      <c r="C4070" s="105"/>
      <c r="D4070" s="104" t="s">
        <v>16806</v>
      </c>
      <c r="E4070" s="104" t="s">
        <v>16809</v>
      </c>
      <c r="F4070" s="103" t="s">
        <v>4678</v>
      </c>
      <c r="G4070" s="103" t="s">
        <v>4679</v>
      </c>
      <c r="H4070" s="103" t="s">
        <v>16807</v>
      </c>
      <c r="I4070" s="103">
        <v>3.187353385E9</v>
      </c>
      <c r="J4070" s="104" t="s">
        <v>16808</v>
      </c>
      <c r="K4070" s="105"/>
      <c r="L4070" s="105"/>
    </row>
    <row r="4071">
      <c r="A4071" s="103" t="s">
        <v>4676</v>
      </c>
      <c r="B4071" s="103">
        <v>1.100141652E9</v>
      </c>
      <c r="C4071" s="105"/>
      <c r="D4071" s="104" t="s">
        <v>16810</v>
      </c>
      <c r="E4071" s="106"/>
      <c r="F4071" s="103" t="s">
        <v>4678</v>
      </c>
      <c r="G4071" s="103" t="s">
        <v>4679</v>
      </c>
      <c r="H4071" s="103" t="s">
        <v>16811</v>
      </c>
      <c r="I4071" s="103">
        <v>3.174306984E9</v>
      </c>
      <c r="J4071" s="104" t="s">
        <v>16812</v>
      </c>
      <c r="K4071" s="107" t="s">
        <v>16813</v>
      </c>
      <c r="L4071" s="105"/>
    </row>
    <row r="4072">
      <c r="A4072" s="103" t="s">
        <v>4676</v>
      </c>
      <c r="B4072" s="103">
        <v>1.10014165201E11</v>
      </c>
      <c r="C4072" s="105"/>
      <c r="D4072" s="104" t="s">
        <v>16810</v>
      </c>
      <c r="E4072" s="104" t="s">
        <v>16814</v>
      </c>
      <c r="F4072" s="103" t="s">
        <v>4678</v>
      </c>
      <c r="G4072" s="103" t="s">
        <v>4679</v>
      </c>
      <c r="H4072" s="103" t="s">
        <v>16811</v>
      </c>
      <c r="I4072" s="103">
        <v>3.174306984E9</v>
      </c>
      <c r="J4072" s="104" t="s">
        <v>16812</v>
      </c>
      <c r="K4072" s="105"/>
      <c r="L4072" s="105"/>
    </row>
    <row r="4073">
      <c r="A4073" s="103" t="s">
        <v>4676</v>
      </c>
      <c r="B4073" s="103">
        <v>1.100141653E9</v>
      </c>
      <c r="C4073" s="105"/>
      <c r="D4073" s="104" t="s">
        <v>16815</v>
      </c>
      <c r="E4073" s="106"/>
      <c r="F4073" s="103" t="s">
        <v>4678</v>
      </c>
      <c r="G4073" s="103" t="s">
        <v>4679</v>
      </c>
      <c r="H4073" s="103" t="s">
        <v>16816</v>
      </c>
      <c r="I4073" s="103">
        <v>3.195230419E9</v>
      </c>
      <c r="J4073" s="104" t="s">
        <v>16817</v>
      </c>
      <c r="K4073" s="107" t="s">
        <v>16818</v>
      </c>
      <c r="L4073" s="105"/>
    </row>
    <row r="4074">
      <c r="A4074" s="103" t="s">
        <v>4676</v>
      </c>
      <c r="B4074" s="103">
        <v>1.10014165301E11</v>
      </c>
      <c r="C4074" s="105"/>
      <c r="D4074" s="104" t="s">
        <v>16819</v>
      </c>
      <c r="E4074" s="104" t="s">
        <v>16820</v>
      </c>
      <c r="F4074" s="103" t="s">
        <v>4678</v>
      </c>
      <c r="G4074" s="103" t="s">
        <v>4679</v>
      </c>
      <c r="H4074" s="103" t="s">
        <v>16821</v>
      </c>
      <c r="I4074" s="103">
        <v>3.195230419E9</v>
      </c>
      <c r="J4074" s="104" t="s">
        <v>16817</v>
      </c>
      <c r="K4074" s="105"/>
      <c r="L4074" s="105"/>
    </row>
    <row r="4075">
      <c r="A4075" s="103" t="s">
        <v>4676</v>
      </c>
      <c r="B4075" s="103">
        <v>1.100141729E9</v>
      </c>
      <c r="C4075" s="105"/>
      <c r="D4075" s="104" t="s">
        <v>16822</v>
      </c>
      <c r="E4075" s="106"/>
      <c r="F4075" s="103" t="s">
        <v>4678</v>
      </c>
      <c r="G4075" s="103" t="s">
        <v>4679</v>
      </c>
      <c r="H4075" s="103" t="s">
        <v>16823</v>
      </c>
      <c r="I4075" s="103">
        <v>3.176670869E9</v>
      </c>
      <c r="J4075" s="104" t="s">
        <v>16824</v>
      </c>
      <c r="K4075" s="105"/>
      <c r="L4075" s="105"/>
    </row>
    <row r="4076">
      <c r="A4076" s="103" t="s">
        <v>4676</v>
      </c>
      <c r="B4076" s="103">
        <v>1.10014172901E11</v>
      </c>
      <c r="C4076" s="105"/>
      <c r="D4076" s="104" t="s">
        <v>16822</v>
      </c>
      <c r="E4076" s="104" t="s">
        <v>16825</v>
      </c>
      <c r="F4076" s="103" t="s">
        <v>4678</v>
      </c>
      <c r="G4076" s="103" t="s">
        <v>4679</v>
      </c>
      <c r="H4076" s="103" t="s">
        <v>16823</v>
      </c>
      <c r="I4076" s="103">
        <v>3.176670869E9</v>
      </c>
      <c r="J4076" s="104" t="s">
        <v>16824</v>
      </c>
      <c r="K4076" s="105"/>
      <c r="L4076" s="105"/>
    </row>
    <row r="4077">
      <c r="A4077" s="103" t="s">
        <v>4676</v>
      </c>
      <c r="B4077" s="103">
        <v>1.100141741E9</v>
      </c>
      <c r="C4077" s="105"/>
      <c r="D4077" s="104" t="s">
        <v>16826</v>
      </c>
      <c r="E4077" s="106"/>
      <c r="F4077" s="103" t="s">
        <v>4678</v>
      </c>
      <c r="G4077" s="103" t="s">
        <v>4679</v>
      </c>
      <c r="H4077" s="103" t="s">
        <v>16827</v>
      </c>
      <c r="I4077" s="103">
        <v>3.142815502E9</v>
      </c>
      <c r="J4077" s="104" t="s">
        <v>16828</v>
      </c>
      <c r="K4077" s="105"/>
      <c r="L4077" s="105"/>
    </row>
    <row r="4078">
      <c r="A4078" s="103" t="s">
        <v>4676</v>
      </c>
      <c r="B4078" s="103">
        <v>1.10014174101E11</v>
      </c>
      <c r="C4078" s="105"/>
      <c r="D4078" s="104" t="s">
        <v>16826</v>
      </c>
      <c r="E4078" s="104" t="s">
        <v>16829</v>
      </c>
      <c r="F4078" s="103" t="s">
        <v>4678</v>
      </c>
      <c r="G4078" s="103" t="s">
        <v>4679</v>
      </c>
      <c r="H4078" s="103" t="s">
        <v>16830</v>
      </c>
      <c r="I4078" s="103">
        <v>3.142815502E9</v>
      </c>
      <c r="J4078" s="104" t="s">
        <v>16828</v>
      </c>
      <c r="K4078" s="105"/>
      <c r="L4078" s="105"/>
    </row>
    <row r="4079">
      <c r="A4079" s="103" t="s">
        <v>4676</v>
      </c>
      <c r="B4079" s="103">
        <v>1.100141763E9</v>
      </c>
      <c r="C4079" s="105"/>
      <c r="D4079" s="104" t="s">
        <v>16831</v>
      </c>
      <c r="E4079" s="106"/>
      <c r="F4079" s="103" t="s">
        <v>4678</v>
      </c>
      <c r="G4079" s="103" t="s">
        <v>4679</v>
      </c>
      <c r="H4079" s="103" t="s">
        <v>16832</v>
      </c>
      <c r="I4079" s="103">
        <v>3.104414961E9</v>
      </c>
      <c r="J4079" s="104" t="s">
        <v>16833</v>
      </c>
      <c r="K4079" s="105"/>
      <c r="L4079" s="105"/>
    </row>
    <row r="4080">
      <c r="A4080" s="103" t="s">
        <v>4676</v>
      </c>
      <c r="B4080" s="103">
        <v>1.10014176301E11</v>
      </c>
      <c r="C4080" s="105"/>
      <c r="D4080" s="104" t="s">
        <v>16831</v>
      </c>
      <c r="E4080" s="104" t="s">
        <v>16834</v>
      </c>
      <c r="F4080" s="103" t="s">
        <v>4678</v>
      </c>
      <c r="G4080" s="103" t="s">
        <v>4679</v>
      </c>
      <c r="H4080" s="103" t="s">
        <v>16832</v>
      </c>
      <c r="I4080" s="103">
        <v>3.104414961E9</v>
      </c>
      <c r="J4080" s="104" t="s">
        <v>16833</v>
      </c>
      <c r="K4080" s="105"/>
      <c r="L4080" s="105"/>
    </row>
    <row r="4081">
      <c r="A4081" s="103" t="s">
        <v>4676</v>
      </c>
      <c r="B4081" s="103">
        <v>1.100141802E9</v>
      </c>
      <c r="C4081" s="105"/>
      <c r="D4081" s="104" t="s">
        <v>16835</v>
      </c>
      <c r="E4081" s="106"/>
      <c r="F4081" s="103" t="s">
        <v>4678</v>
      </c>
      <c r="G4081" s="103" t="s">
        <v>4679</v>
      </c>
      <c r="H4081" s="103" t="s">
        <v>16836</v>
      </c>
      <c r="I4081" s="103">
        <v>3.168782175E9</v>
      </c>
      <c r="J4081" s="104" t="s">
        <v>16837</v>
      </c>
      <c r="K4081" s="107" t="s">
        <v>16838</v>
      </c>
      <c r="L4081" s="105"/>
    </row>
    <row r="4082">
      <c r="A4082" s="103" t="s">
        <v>4676</v>
      </c>
      <c r="B4082" s="103">
        <v>1.10014180201E11</v>
      </c>
      <c r="C4082" s="105"/>
      <c r="D4082" s="104" t="s">
        <v>16839</v>
      </c>
      <c r="E4082" s="104" t="s">
        <v>16840</v>
      </c>
      <c r="F4082" s="103" t="s">
        <v>4678</v>
      </c>
      <c r="G4082" s="103" t="s">
        <v>4679</v>
      </c>
      <c r="H4082" s="103" t="s">
        <v>16841</v>
      </c>
      <c r="I4082" s="103">
        <v>3.008650114E9</v>
      </c>
      <c r="J4082" s="104" t="s">
        <v>16837</v>
      </c>
      <c r="K4082" s="105"/>
      <c r="L4082" s="105"/>
    </row>
    <row r="4083">
      <c r="A4083" s="103" t="s">
        <v>4676</v>
      </c>
      <c r="B4083" s="103">
        <v>1.100141819E9</v>
      </c>
      <c r="C4083" s="105"/>
      <c r="D4083" s="104" t="s">
        <v>16842</v>
      </c>
      <c r="E4083" s="106"/>
      <c r="F4083" s="103" t="s">
        <v>4678</v>
      </c>
      <c r="G4083" s="103" t="s">
        <v>4679</v>
      </c>
      <c r="H4083" s="103" t="s">
        <v>16843</v>
      </c>
      <c r="I4083" s="103">
        <v>3.112121385E9</v>
      </c>
      <c r="J4083" s="104" t="s">
        <v>16844</v>
      </c>
      <c r="K4083" s="105"/>
      <c r="L4083" s="105"/>
    </row>
    <row r="4084">
      <c r="A4084" s="103" t="s">
        <v>4676</v>
      </c>
      <c r="B4084" s="103">
        <v>1.10014181901E11</v>
      </c>
      <c r="C4084" s="105"/>
      <c r="D4084" s="104" t="s">
        <v>16842</v>
      </c>
      <c r="E4084" s="104" t="s">
        <v>16845</v>
      </c>
      <c r="F4084" s="103" t="s">
        <v>4678</v>
      </c>
      <c r="G4084" s="103" t="s">
        <v>4679</v>
      </c>
      <c r="H4084" s="103" t="s">
        <v>16843</v>
      </c>
      <c r="I4084" s="103">
        <v>3.112121385E9</v>
      </c>
      <c r="J4084" s="104" t="s">
        <v>16844</v>
      </c>
      <c r="K4084" s="105"/>
      <c r="L4084" s="105"/>
    </row>
    <row r="4085">
      <c r="A4085" s="103" t="s">
        <v>4676</v>
      </c>
      <c r="B4085" s="103">
        <v>1.10014181902E11</v>
      </c>
      <c r="C4085" s="105"/>
      <c r="D4085" s="104" t="s">
        <v>16846</v>
      </c>
      <c r="E4085" s="104" t="s">
        <v>16845</v>
      </c>
      <c r="F4085" s="103" t="s">
        <v>4678</v>
      </c>
      <c r="G4085" s="103" t="s">
        <v>4679</v>
      </c>
      <c r="H4085" s="103" t="s">
        <v>16847</v>
      </c>
      <c r="I4085" s="103">
        <v>3.112121385E9</v>
      </c>
      <c r="J4085" s="104" t="s">
        <v>16848</v>
      </c>
      <c r="K4085" s="105"/>
      <c r="L4085" s="105"/>
    </row>
    <row r="4086">
      <c r="A4086" s="103" t="s">
        <v>4676</v>
      </c>
      <c r="B4086" s="103">
        <v>1.10014182E9</v>
      </c>
      <c r="C4086" s="105"/>
      <c r="D4086" s="104" t="s">
        <v>16849</v>
      </c>
      <c r="E4086" s="106"/>
      <c r="F4086" s="103" t="s">
        <v>4678</v>
      </c>
      <c r="G4086" s="103" t="s">
        <v>4679</v>
      </c>
      <c r="H4086" s="103" t="s">
        <v>16850</v>
      </c>
      <c r="I4086" s="103">
        <v>3.2080009E9</v>
      </c>
      <c r="J4086" s="104" t="s">
        <v>16851</v>
      </c>
      <c r="K4086" s="105"/>
      <c r="L4086" s="105"/>
    </row>
    <row r="4087">
      <c r="A4087" s="103" t="s">
        <v>4676</v>
      </c>
      <c r="B4087" s="103">
        <v>1.10014182001E11</v>
      </c>
      <c r="C4087" s="105"/>
      <c r="D4087" s="104" t="s">
        <v>16849</v>
      </c>
      <c r="E4087" s="104" t="s">
        <v>16852</v>
      </c>
      <c r="F4087" s="103" t="s">
        <v>4678</v>
      </c>
      <c r="G4087" s="103" t="s">
        <v>4679</v>
      </c>
      <c r="H4087" s="103" t="s">
        <v>16850</v>
      </c>
      <c r="I4087" s="103">
        <v>3.2080009E9</v>
      </c>
      <c r="J4087" s="104" t="s">
        <v>16851</v>
      </c>
      <c r="K4087" s="105"/>
      <c r="L4087" s="105"/>
    </row>
    <row r="4088">
      <c r="A4088" s="103" t="s">
        <v>4676</v>
      </c>
      <c r="B4088" s="103">
        <v>1.100141826E9</v>
      </c>
      <c r="C4088" s="105"/>
      <c r="D4088" s="104" t="s">
        <v>16853</v>
      </c>
      <c r="E4088" s="106"/>
      <c r="F4088" s="103" t="s">
        <v>4678</v>
      </c>
      <c r="G4088" s="103" t="s">
        <v>4679</v>
      </c>
      <c r="H4088" s="103" t="s">
        <v>16854</v>
      </c>
      <c r="I4088" s="103">
        <v>3.22928005E9</v>
      </c>
      <c r="J4088" s="104" t="s">
        <v>16855</v>
      </c>
      <c r="K4088" s="103" t="s">
        <v>16856</v>
      </c>
      <c r="L4088" s="105"/>
    </row>
    <row r="4089">
      <c r="A4089" s="103" t="s">
        <v>4676</v>
      </c>
      <c r="B4089" s="103">
        <v>1.10014182601E11</v>
      </c>
      <c r="C4089" s="105"/>
      <c r="D4089" s="104" t="s">
        <v>16853</v>
      </c>
      <c r="E4089" s="104" t="s">
        <v>16857</v>
      </c>
      <c r="F4089" s="103" t="s">
        <v>4678</v>
      </c>
      <c r="G4089" s="103" t="s">
        <v>4679</v>
      </c>
      <c r="H4089" s="103" t="s">
        <v>16854</v>
      </c>
      <c r="I4089" s="103">
        <v>3.22928005E9</v>
      </c>
      <c r="J4089" s="104" t="s">
        <v>16855</v>
      </c>
      <c r="K4089" s="105"/>
      <c r="L4089" s="105"/>
    </row>
    <row r="4090">
      <c r="A4090" s="103" t="s">
        <v>4676</v>
      </c>
      <c r="B4090" s="103">
        <v>1.100141864E9</v>
      </c>
      <c r="C4090" s="105"/>
      <c r="D4090" s="104" t="s">
        <v>16858</v>
      </c>
      <c r="E4090" s="106"/>
      <c r="F4090" s="103" t="s">
        <v>4678</v>
      </c>
      <c r="G4090" s="103" t="s">
        <v>4679</v>
      </c>
      <c r="H4090" s="103" t="s">
        <v>16859</v>
      </c>
      <c r="I4090" s="103">
        <v>3.246325317E9</v>
      </c>
      <c r="J4090" s="104" t="s">
        <v>16860</v>
      </c>
      <c r="K4090" s="107" t="s">
        <v>16861</v>
      </c>
      <c r="L4090" s="105"/>
    </row>
    <row r="4091">
      <c r="A4091" s="103" t="s">
        <v>4676</v>
      </c>
      <c r="B4091" s="103">
        <v>1.10014186401E11</v>
      </c>
      <c r="C4091" s="105"/>
      <c r="D4091" s="104" t="s">
        <v>16862</v>
      </c>
      <c r="E4091" s="104" t="s">
        <v>16863</v>
      </c>
      <c r="F4091" s="103" t="s">
        <v>4678</v>
      </c>
      <c r="G4091" s="103" t="s">
        <v>4679</v>
      </c>
      <c r="H4091" s="103" t="s">
        <v>16859</v>
      </c>
      <c r="I4091" s="103">
        <v>3.246325317E9</v>
      </c>
      <c r="J4091" s="104" t="s">
        <v>16860</v>
      </c>
      <c r="K4091" s="105"/>
      <c r="L4091" s="105"/>
    </row>
    <row r="4092">
      <c r="A4092" s="103" t="s">
        <v>4676</v>
      </c>
      <c r="B4092" s="103">
        <v>1.100141896E9</v>
      </c>
      <c r="C4092" s="105"/>
      <c r="D4092" s="104" t="s">
        <v>16864</v>
      </c>
      <c r="E4092" s="106"/>
      <c r="F4092" s="103" t="s">
        <v>4678</v>
      </c>
      <c r="G4092" s="103" t="s">
        <v>4679</v>
      </c>
      <c r="H4092" s="103" t="s">
        <v>16865</v>
      </c>
      <c r="I4092" s="103">
        <v>3.125437134E9</v>
      </c>
      <c r="J4092" s="104" t="s">
        <v>16866</v>
      </c>
      <c r="K4092" s="103" t="s">
        <v>15712</v>
      </c>
      <c r="L4092" s="105"/>
    </row>
    <row r="4093">
      <c r="A4093" s="103" t="s">
        <v>4676</v>
      </c>
      <c r="B4093" s="103">
        <v>1.10014189601E11</v>
      </c>
      <c r="C4093" s="105"/>
      <c r="D4093" s="104" t="s">
        <v>16867</v>
      </c>
      <c r="E4093" s="104" t="s">
        <v>16868</v>
      </c>
      <c r="F4093" s="103" t="s">
        <v>4678</v>
      </c>
      <c r="G4093" s="103" t="s">
        <v>4679</v>
      </c>
      <c r="H4093" s="103" t="s">
        <v>16869</v>
      </c>
      <c r="I4093" s="103">
        <v>3.123602102E9</v>
      </c>
      <c r="J4093" s="104" t="s">
        <v>16866</v>
      </c>
      <c r="K4093" s="105"/>
      <c r="L4093" s="105"/>
    </row>
    <row r="4094">
      <c r="A4094" s="103" t="s">
        <v>4676</v>
      </c>
      <c r="B4094" s="103">
        <v>1.10014189602E11</v>
      </c>
      <c r="C4094" s="105"/>
      <c r="D4094" s="104" t="s">
        <v>16870</v>
      </c>
      <c r="E4094" s="104" t="s">
        <v>16871</v>
      </c>
      <c r="F4094" s="103" t="s">
        <v>4678</v>
      </c>
      <c r="G4094" s="103" t="s">
        <v>4679</v>
      </c>
      <c r="H4094" s="103" t="s">
        <v>16872</v>
      </c>
      <c r="I4094" s="103">
        <v>3.102716395E9</v>
      </c>
      <c r="J4094" s="104" t="s">
        <v>16866</v>
      </c>
      <c r="K4094" s="105"/>
      <c r="L4094" s="105"/>
    </row>
    <row r="4095">
      <c r="A4095" s="103" t="s">
        <v>4676</v>
      </c>
      <c r="B4095" s="103">
        <v>1.10014189603E11</v>
      </c>
      <c r="C4095" s="105"/>
      <c r="D4095" s="104" t="s">
        <v>16873</v>
      </c>
      <c r="E4095" s="104" t="s">
        <v>16874</v>
      </c>
      <c r="F4095" s="103" t="s">
        <v>4678</v>
      </c>
      <c r="G4095" s="103" t="s">
        <v>4679</v>
      </c>
      <c r="H4095" s="103" t="s">
        <v>16875</v>
      </c>
      <c r="I4095" s="103">
        <v>3.125437134E9</v>
      </c>
      <c r="J4095" s="104" t="s">
        <v>16866</v>
      </c>
      <c r="K4095" s="105"/>
      <c r="L4095" s="105"/>
    </row>
    <row r="4096">
      <c r="A4096" s="103" t="s">
        <v>4676</v>
      </c>
      <c r="B4096" s="103">
        <v>1.100141944E9</v>
      </c>
      <c r="C4096" s="105"/>
      <c r="D4096" s="104" t="s">
        <v>16876</v>
      </c>
      <c r="E4096" s="106"/>
      <c r="F4096" s="103" t="s">
        <v>4678</v>
      </c>
      <c r="G4096" s="103" t="s">
        <v>4679</v>
      </c>
      <c r="H4096" s="103" t="s">
        <v>16877</v>
      </c>
      <c r="I4096" s="103">
        <v>3.005124459E9</v>
      </c>
      <c r="J4096" s="104" t="s">
        <v>16878</v>
      </c>
      <c r="K4096" s="105"/>
      <c r="L4096" s="105"/>
    </row>
    <row r="4097">
      <c r="A4097" s="103" t="s">
        <v>4676</v>
      </c>
      <c r="B4097" s="103">
        <v>1.10014194401E11</v>
      </c>
      <c r="C4097" s="105"/>
      <c r="D4097" s="104" t="s">
        <v>16876</v>
      </c>
      <c r="E4097" s="104" t="s">
        <v>16879</v>
      </c>
      <c r="F4097" s="103" t="s">
        <v>4678</v>
      </c>
      <c r="G4097" s="103" t="s">
        <v>4679</v>
      </c>
      <c r="H4097" s="103" t="s">
        <v>16877</v>
      </c>
      <c r="I4097" s="103">
        <v>3.005124459E9</v>
      </c>
      <c r="J4097" s="104" t="s">
        <v>16878</v>
      </c>
      <c r="K4097" s="105"/>
      <c r="L4097" s="105"/>
    </row>
    <row r="4098">
      <c r="A4098" s="103" t="s">
        <v>4676</v>
      </c>
      <c r="B4098" s="103">
        <v>1.100141959E9</v>
      </c>
      <c r="C4098" s="105"/>
      <c r="D4098" s="104" t="s">
        <v>16880</v>
      </c>
      <c r="E4098" s="106"/>
      <c r="F4098" s="103" t="s">
        <v>4678</v>
      </c>
      <c r="G4098" s="103" t="s">
        <v>4679</v>
      </c>
      <c r="H4098" s="103" t="s">
        <v>16881</v>
      </c>
      <c r="I4098" s="103">
        <v>3.207465823E9</v>
      </c>
      <c r="J4098" s="104" t="s">
        <v>16882</v>
      </c>
      <c r="K4098" s="107" t="s">
        <v>16883</v>
      </c>
      <c r="L4098" s="105"/>
    </row>
    <row r="4099">
      <c r="A4099" s="103" t="s">
        <v>4676</v>
      </c>
      <c r="B4099" s="103">
        <v>1.10014195901E11</v>
      </c>
      <c r="C4099" s="105"/>
      <c r="D4099" s="104" t="s">
        <v>16884</v>
      </c>
      <c r="E4099" s="104" t="s">
        <v>16885</v>
      </c>
      <c r="F4099" s="103" t="s">
        <v>4678</v>
      </c>
      <c r="G4099" s="103" t="s">
        <v>4679</v>
      </c>
      <c r="H4099" s="103" t="s">
        <v>16886</v>
      </c>
      <c r="I4099" s="103">
        <v>3.158284866E9</v>
      </c>
      <c r="J4099" s="104" t="s">
        <v>16882</v>
      </c>
      <c r="K4099" s="105"/>
      <c r="L4099" s="105"/>
    </row>
    <row r="4100">
      <c r="A4100" s="103" t="s">
        <v>4676</v>
      </c>
      <c r="B4100" s="103">
        <v>1.100141973E9</v>
      </c>
      <c r="C4100" s="105"/>
      <c r="D4100" s="104" t="s">
        <v>16887</v>
      </c>
      <c r="E4100" s="106"/>
      <c r="F4100" s="103" t="s">
        <v>4678</v>
      </c>
      <c r="G4100" s="103" t="s">
        <v>4679</v>
      </c>
      <c r="H4100" s="103" t="s">
        <v>16888</v>
      </c>
      <c r="I4100" s="103">
        <v>3.016977921E9</v>
      </c>
      <c r="J4100" s="104" t="s">
        <v>16889</v>
      </c>
      <c r="K4100" s="105"/>
      <c r="L4100" s="105"/>
    </row>
    <row r="4101">
      <c r="A4101" s="103" t="s">
        <v>4676</v>
      </c>
      <c r="B4101" s="103">
        <v>1.10014197301E11</v>
      </c>
      <c r="C4101" s="105"/>
      <c r="D4101" s="104" t="s">
        <v>16887</v>
      </c>
      <c r="E4101" s="104" t="s">
        <v>16890</v>
      </c>
      <c r="F4101" s="103" t="s">
        <v>4678</v>
      </c>
      <c r="G4101" s="103" t="s">
        <v>4679</v>
      </c>
      <c r="H4101" s="103" t="s">
        <v>16888</v>
      </c>
      <c r="I4101" s="103">
        <v>3.016977921E9</v>
      </c>
      <c r="J4101" s="104" t="s">
        <v>16889</v>
      </c>
      <c r="K4101" s="105"/>
      <c r="L4101" s="105"/>
    </row>
    <row r="4102">
      <c r="A4102" s="103" t="s">
        <v>4676</v>
      </c>
      <c r="B4102" s="103">
        <v>1.10014199E9</v>
      </c>
      <c r="C4102" s="105"/>
      <c r="D4102" s="104" t="s">
        <v>16891</v>
      </c>
      <c r="E4102" s="106"/>
      <c r="F4102" s="103" t="s">
        <v>4678</v>
      </c>
      <c r="G4102" s="103" t="s">
        <v>4679</v>
      </c>
      <c r="H4102" s="103" t="s">
        <v>16892</v>
      </c>
      <c r="I4102" s="103">
        <v>3.193448924E9</v>
      </c>
      <c r="J4102" s="104" t="s">
        <v>16893</v>
      </c>
      <c r="K4102" s="107" t="s">
        <v>16894</v>
      </c>
      <c r="L4102" s="105"/>
    </row>
    <row r="4103">
      <c r="A4103" s="103" t="s">
        <v>4676</v>
      </c>
      <c r="B4103" s="103">
        <v>1.10014199001E11</v>
      </c>
      <c r="C4103" s="105"/>
      <c r="D4103" s="104" t="s">
        <v>16891</v>
      </c>
      <c r="E4103" s="104" t="s">
        <v>16895</v>
      </c>
      <c r="F4103" s="103" t="s">
        <v>4678</v>
      </c>
      <c r="G4103" s="103" t="s">
        <v>4679</v>
      </c>
      <c r="H4103" s="103" t="s">
        <v>16892</v>
      </c>
      <c r="I4103" s="103">
        <v>3.193448924E9</v>
      </c>
      <c r="J4103" s="104" t="s">
        <v>16893</v>
      </c>
      <c r="K4103" s="105"/>
      <c r="L4103" s="105"/>
    </row>
    <row r="4104">
      <c r="A4104" s="103" t="s">
        <v>4676</v>
      </c>
      <c r="B4104" s="103">
        <v>1.100141998E9</v>
      </c>
      <c r="C4104" s="105"/>
      <c r="D4104" s="104" t="s">
        <v>16896</v>
      </c>
      <c r="E4104" s="106"/>
      <c r="F4104" s="103" t="s">
        <v>4678</v>
      </c>
      <c r="G4104" s="103" t="s">
        <v>4679</v>
      </c>
      <c r="H4104" s="103" t="s">
        <v>16897</v>
      </c>
      <c r="I4104" s="103">
        <v>3.182358028E9</v>
      </c>
      <c r="J4104" s="104" t="s">
        <v>16898</v>
      </c>
      <c r="K4104" s="107" t="s">
        <v>16899</v>
      </c>
      <c r="L4104" s="105"/>
    </row>
    <row r="4105">
      <c r="A4105" s="103" t="s">
        <v>4676</v>
      </c>
      <c r="B4105" s="103">
        <v>1.10014199801E11</v>
      </c>
      <c r="C4105" s="105"/>
      <c r="D4105" s="104" t="s">
        <v>16896</v>
      </c>
      <c r="E4105" s="104" t="s">
        <v>16900</v>
      </c>
      <c r="F4105" s="103" t="s">
        <v>4678</v>
      </c>
      <c r="G4105" s="103" t="s">
        <v>4679</v>
      </c>
      <c r="H4105" s="103" t="s">
        <v>16897</v>
      </c>
      <c r="I4105" s="103">
        <v>3.182358028E9</v>
      </c>
      <c r="J4105" s="104" t="s">
        <v>16898</v>
      </c>
      <c r="K4105" s="105"/>
      <c r="L4105" s="105"/>
    </row>
    <row r="4106">
      <c r="A4106" s="103" t="s">
        <v>4676</v>
      </c>
      <c r="B4106" s="103">
        <v>1.100142015E9</v>
      </c>
      <c r="C4106" s="105"/>
      <c r="D4106" s="104" t="s">
        <v>16901</v>
      </c>
      <c r="E4106" s="106"/>
      <c r="F4106" s="103" t="s">
        <v>4678</v>
      </c>
      <c r="G4106" s="103" t="s">
        <v>4679</v>
      </c>
      <c r="H4106" s="103" t="s">
        <v>16902</v>
      </c>
      <c r="I4106" s="103">
        <v>3.125231311E9</v>
      </c>
      <c r="J4106" s="104" t="s">
        <v>16903</v>
      </c>
      <c r="K4106" s="107" t="s">
        <v>16904</v>
      </c>
      <c r="L4106" s="105"/>
    </row>
    <row r="4107">
      <c r="A4107" s="103" t="s">
        <v>4676</v>
      </c>
      <c r="B4107" s="103">
        <v>1.10014201501E11</v>
      </c>
      <c r="C4107" s="105"/>
      <c r="D4107" s="104" t="s">
        <v>16905</v>
      </c>
      <c r="E4107" s="104" t="s">
        <v>16906</v>
      </c>
      <c r="F4107" s="103" t="s">
        <v>4678</v>
      </c>
      <c r="G4107" s="103" t="s">
        <v>4679</v>
      </c>
      <c r="H4107" s="103" t="s">
        <v>16907</v>
      </c>
      <c r="I4107" s="103">
        <v>3.125231311E9</v>
      </c>
      <c r="J4107" s="104" t="s">
        <v>16903</v>
      </c>
      <c r="K4107" s="105"/>
      <c r="L4107" s="105"/>
    </row>
    <row r="4108">
      <c r="A4108" s="103" t="s">
        <v>4676</v>
      </c>
      <c r="B4108" s="103">
        <v>1.100142016E9</v>
      </c>
      <c r="C4108" s="105"/>
      <c r="D4108" s="104" t="s">
        <v>16908</v>
      </c>
      <c r="E4108" s="106"/>
      <c r="F4108" s="103" t="s">
        <v>4678</v>
      </c>
      <c r="G4108" s="103" t="s">
        <v>4679</v>
      </c>
      <c r="H4108" s="103" t="s">
        <v>16909</v>
      </c>
      <c r="I4108" s="103">
        <v>3.505147207E9</v>
      </c>
      <c r="J4108" s="104" t="s">
        <v>16910</v>
      </c>
      <c r="K4108" s="107" t="s">
        <v>16911</v>
      </c>
      <c r="L4108" s="105"/>
    </row>
    <row r="4109">
      <c r="A4109" s="103" t="s">
        <v>4676</v>
      </c>
      <c r="B4109" s="103">
        <v>1.10014201601E11</v>
      </c>
      <c r="C4109" s="105"/>
      <c r="D4109" s="104" t="s">
        <v>16908</v>
      </c>
      <c r="E4109" s="104" t="s">
        <v>16912</v>
      </c>
      <c r="F4109" s="103" t="s">
        <v>4678</v>
      </c>
      <c r="G4109" s="103" t="s">
        <v>4679</v>
      </c>
      <c r="H4109" s="103" t="s">
        <v>16909</v>
      </c>
      <c r="I4109" s="103">
        <v>3.505147207E9</v>
      </c>
      <c r="J4109" s="104" t="s">
        <v>16910</v>
      </c>
      <c r="K4109" s="105"/>
      <c r="L4109" s="105"/>
    </row>
    <row r="4110">
      <c r="A4110" s="103" t="s">
        <v>4676</v>
      </c>
      <c r="B4110" s="103">
        <v>1.100142017E9</v>
      </c>
      <c r="C4110" s="105"/>
      <c r="D4110" s="104" t="s">
        <v>16913</v>
      </c>
      <c r="E4110" s="106"/>
      <c r="F4110" s="103" t="s">
        <v>4678</v>
      </c>
      <c r="G4110" s="103" t="s">
        <v>4679</v>
      </c>
      <c r="H4110" s="103" t="s">
        <v>16914</v>
      </c>
      <c r="I4110" s="103">
        <v>3.125856715E9</v>
      </c>
      <c r="J4110" s="104" t="s">
        <v>16915</v>
      </c>
      <c r="K4110" s="105"/>
      <c r="L4110" s="105"/>
    </row>
    <row r="4111">
      <c r="A4111" s="103" t="s">
        <v>4676</v>
      </c>
      <c r="B4111" s="103">
        <v>1.10014201701E11</v>
      </c>
      <c r="C4111" s="105"/>
      <c r="D4111" s="104" t="s">
        <v>16913</v>
      </c>
      <c r="E4111" s="104" t="s">
        <v>16916</v>
      </c>
      <c r="F4111" s="103" t="s">
        <v>4678</v>
      </c>
      <c r="G4111" s="103" t="s">
        <v>4679</v>
      </c>
      <c r="H4111" s="103" t="s">
        <v>16914</v>
      </c>
      <c r="I4111" s="103">
        <v>3.125856715E9</v>
      </c>
      <c r="J4111" s="104" t="s">
        <v>16915</v>
      </c>
      <c r="K4111" s="105"/>
      <c r="L4111" s="105"/>
    </row>
    <row r="4112">
      <c r="A4112" s="103" t="s">
        <v>4676</v>
      </c>
      <c r="B4112" s="103">
        <v>1.100142018E9</v>
      </c>
      <c r="C4112" s="105"/>
      <c r="D4112" s="104" t="s">
        <v>16917</v>
      </c>
      <c r="E4112" s="106"/>
      <c r="F4112" s="103" t="s">
        <v>4678</v>
      </c>
      <c r="G4112" s="103" t="s">
        <v>4679</v>
      </c>
      <c r="H4112" s="103" t="s">
        <v>16918</v>
      </c>
      <c r="I4112" s="103">
        <v>3.175166336E9</v>
      </c>
      <c r="J4112" s="104" t="s">
        <v>16919</v>
      </c>
      <c r="K4112" s="105"/>
      <c r="L4112" s="105"/>
    </row>
    <row r="4113">
      <c r="A4113" s="103" t="s">
        <v>4676</v>
      </c>
      <c r="B4113" s="103">
        <v>1.10014201801E11</v>
      </c>
      <c r="C4113" s="105"/>
      <c r="D4113" s="104" t="s">
        <v>16917</v>
      </c>
      <c r="E4113" s="104" t="s">
        <v>16920</v>
      </c>
      <c r="F4113" s="103" t="s">
        <v>4678</v>
      </c>
      <c r="G4113" s="103" t="s">
        <v>4679</v>
      </c>
      <c r="H4113" s="103" t="s">
        <v>16918</v>
      </c>
      <c r="I4113" s="103">
        <v>3.175166336E9</v>
      </c>
      <c r="J4113" s="104" t="s">
        <v>16919</v>
      </c>
      <c r="K4113" s="105"/>
      <c r="L4113" s="105"/>
    </row>
    <row r="4114">
      <c r="A4114" s="103" t="s">
        <v>4676</v>
      </c>
      <c r="B4114" s="103">
        <v>1.100142019E9</v>
      </c>
      <c r="C4114" s="105"/>
      <c r="D4114" s="104" t="s">
        <v>16921</v>
      </c>
      <c r="E4114" s="106"/>
      <c r="F4114" s="103" t="s">
        <v>4678</v>
      </c>
      <c r="G4114" s="103" t="s">
        <v>4679</v>
      </c>
      <c r="H4114" s="103" t="s">
        <v>16922</v>
      </c>
      <c r="I4114" s="103">
        <v>3.132931231E9</v>
      </c>
      <c r="J4114" s="104" t="s">
        <v>16923</v>
      </c>
      <c r="K4114" s="107" t="s">
        <v>16924</v>
      </c>
      <c r="L4114" s="105"/>
    </row>
    <row r="4115">
      <c r="A4115" s="103" t="s">
        <v>4676</v>
      </c>
      <c r="B4115" s="103">
        <v>1.10014201901E11</v>
      </c>
      <c r="C4115" s="105"/>
      <c r="D4115" s="104" t="s">
        <v>16921</v>
      </c>
      <c r="E4115" s="104" t="s">
        <v>16925</v>
      </c>
      <c r="F4115" s="103" t="s">
        <v>4678</v>
      </c>
      <c r="G4115" s="103" t="s">
        <v>4679</v>
      </c>
      <c r="H4115" s="103" t="s">
        <v>16926</v>
      </c>
      <c r="I4115" s="103">
        <v>3.132931231E9</v>
      </c>
      <c r="J4115" s="104" t="s">
        <v>16927</v>
      </c>
      <c r="K4115" s="105"/>
      <c r="L4115" s="105"/>
    </row>
    <row r="4116">
      <c r="A4116" s="103" t="s">
        <v>4676</v>
      </c>
      <c r="B4116" s="103">
        <v>1.100142027E9</v>
      </c>
      <c r="C4116" s="105"/>
      <c r="D4116" s="104" t="s">
        <v>16928</v>
      </c>
      <c r="E4116" s="106"/>
      <c r="F4116" s="103" t="s">
        <v>4678</v>
      </c>
      <c r="G4116" s="103" t="s">
        <v>4679</v>
      </c>
      <c r="H4116" s="103" t="s">
        <v>16929</v>
      </c>
      <c r="I4116" s="103">
        <v>3.114989889E9</v>
      </c>
      <c r="J4116" s="104" t="s">
        <v>16930</v>
      </c>
      <c r="K4116" s="107" t="s">
        <v>16931</v>
      </c>
      <c r="L4116" s="105"/>
    </row>
    <row r="4117">
      <c r="A4117" s="103" t="s">
        <v>4676</v>
      </c>
      <c r="B4117" s="103">
        <v>1.10014202701E11</v>
      </c>
      <c r="C4117" s="105"/>
      <c r="D4117" s="104" t="s">
        <v>16928</v>
      </c>
      <c r="E4117" s="104" t="s">
        <v>16932</v>
      </c>
      <c r="F4117" s="103" t="s">
        <v>4678</v>
      </c>
      <c r="G4117" s="103" t="s">
        <v>4679</v>
      </c>
      <c r="H4117" s="103" t="s">
        <v>16929</v>
      </c>
      <c r="I4117" s="103">
        <v>3.114989889E9</v>
      </c>
      <c r="J4117" s="104" t="s">
        <v>16930</v>
      </c>
      <c r="K4117" s="105"/>
      <c r="L4117" s="105"/>
    </row>
    <row r="4118">
      <c r="A4118" s="103" t="s">
        <v>4676</v>
      </c>
      <c r="B4118" s="103">
        <v>1.100142028E9</v>
      </c>
      <c r="C4118" s="105"/>
      <c r="D4118" s="104" t="s">
        <v>16933</v>
      </c>
      <c r="E4118" s="106"/>
      <c r="F4118" s="103" t="s">
        <v>4678</v>
      </c>
      <c r="G4118" s="103" t="s">
        <v>4679</v>
      </c>
      <c r="H4118" s="103" t="s">
        <v>16934</v>
      </c>
      <c r="I4118" s="103">
        <v>3.202781303E9</v>
      </c>
      <c r="J4118" s="104" t="s">
        <v>16935</v>
      </c>
      <c r="K4118" s="107" t="s">
        <v>16936</v>
      </c>
      <c r="L4118" s="105"/>
    </row>
    <row r="4119">
      <c r="A4119" s="103" t="s">
        <v>4676</v>
      </c>
      <c r="B4119" s="103">
        <v>1.10014202801E11</v>
      </c>
      <c r="C4119" s="105"/>
      <c r="D4119" s="104" t="s">
        <v>16933</v>
      </c>
      <c r="E4119" s="104" t="s">
        <v>16937</v>
      </c>
      <c r="F4119" s="103" t="s">
        <v>4678</v>
      </c>
      <c r="G4119" s="103" t="s">
        <v>4679</v>
      </c>
      <c r="H4119" s="103" t="s">
        <v>16934</v>
      </c>
      <c r="I4119" s="103">
        <v>3.138894984E9</v>
      </c>
      <c r="J4119" s="104" t="s">
        <v>16935</v>
      </c>
      <c r="K4119" s="105"/>
      <c r="L4119" s="105"/>
    </row>
    <row r="4120">
      <c r="A4120" s="103" t="s">
        <v>4676</v>
      </c>
      <c r="B4120" s="103">
        <v>1.10014203E9</v>
      </c>
      <c r="C4120" s="105"/>
      <c r="D4120" s="104" t="s">
        <v>16938</v>
      </c>
      <c r="E4120" s="106"/>
      <c r="F4120" s="103" t="s">
        <v>4678</v>
      </c>
      <c r="G4120" s="103" t="s">
        <v>4679</v>
      </c>
      <c r="H4120" s="103" t="s">
        <v>16939</v>
      </c>
      <c r="I4120" s="103">
        <v>3.225096161E9</v>
      </c>
      <c r="J4120" s="104" t="s">
        <v>16940</v>
      </c>
      <c r="K4120" s="105"/>
      <c r="L4120" s="105"/>
    </row>
    <row r="4121">
      <c r="A4121" s="103" t="s">
        <v>4676</v>
      </c>
      <c r="B4121" s="103">
        <v>1.10014203001E11</v>
      </c>
      <c r="C4121" s="105"/>
      <c r="D4121" s="104" t="s">
        <v>16941</v>
      </c>
      <c r="E4121" s="104" t="s">
        <v>16942</v>
      </c>
      <c r="F4121" s="103" t="s">
        <v>4678</v>
      </c>
      <c r="G4121" s="103" t="s">
        <v>4679</v>
      </c>
      <c r="H4121" s="103" t="s">
        <v>16943</v>
      </c>
      <c r="I4121" s="103">
        <v>3.225096161E9</v>
      </c>
      <c r="J4121" s="104" t="s">
        <v>16940</v>
      </c>
      <c r="K4121" s="105"/>
      <c r="L4121" s="105"/>
    </row>
    <row r="4122">
      <c r="A4122" s="103" t="s">
        <v>4676</v>
      </c>
      <c r="B4122" s="103">
        <v>1.100142091E9</v>
      </c>
      <c r="C4122" s="105"/>
      <c r="D4122" s="104" t="s">
        <v>16944</v>
      </c>
      <c r="E4122" s="106"/>
      <c r="F4122" s="103" t="s">
        <v>4678</v>
      </c>
      <c r="G4122" s="103" t="s">
        <v>4679</v>
      </c>
      <c r="H4122" s="103" t="s">
        <v>16945</v>
      </c>
      <c r="I4122" s="103">
        <v>3.173003821E9</v>
      </c>
      <c r="J4122" s="104" t="s">
        <v>16946</v>
      </c>
      <c r="K4122" s="107" t="s">
        <v>15591</v>
      </c>
      <c r="L4122" s="105"/>
    </row>
    <row r="4123">
      <c r="A4123" s="103" t="s">
        <v>4676</v>
      </c>
      <c r="B4123" s="103">
        <v>1.10014209101E11</v>
      </c>
      <c r="C4123" s="105"/>
      <c r="D4123" s="104" t="s">
        <v>16947</v>
      </c>
      <c r="E4123" s="104" t="s">
        <v>16948</v>
      </c>
      <c r="F4123" s="103" t="s">
        <v>4678</v>
      </c>
      <c r="G4123" s="103" t="s">
        <v>4679</v>
      </c>
      <c r="H4123" s="103" t="s">
        <v>16945</v>
      </c>
      <c r="I4123" s="103">
        <v>3.137737612E9</v>
      </c>
      <c r="J4123" s="104" t="s">
        <v>16946</v>
      </c>
      <c r="K4123" s="105"/>
      <c r="L4123" s="105"/>
    </row>
    <row r="4124">
      <c r="A4124" s="103" t="s">
        <v>4676</v>
      </c>
      <c r="B4124" s="103">
        <v>1.100142103E9</v>
      </c>
      <c r="C4124" s="105"/>
      <c r="D4124" s="104" t="s">
        <v>16949</v>
      </c>
      <c r="E4124" s="106"/>
      <c r="F4124" s="103" t="s">
        <v>4678</v>
      </c>
      <c r="G4124" s="103" t="s">
        <v>4679</v>
      </c>
      <c r="H4124" s="103" t="s">
        <v>16950</v>
      </c>
      <c r="I4124" s="103">
        <v>3.154473105E9</v>
      </c>
      <c r="J4124" s="104" t="s">
        <v>16951</v>
      </c>
      <c r="K4124" s="107" t="s">
        <v>16952</v>
      </c>
      <c r="L4124" s="105"/>
    </row>
    <row r="4125">
      <c r="A4125" s="103" t="s">
        <v>4676</v>
      </c>
      <c r="B4125" s="103">
        <v>1.10014210301E11</v>
      </c>
      <c r="C4125" s="105"/>
      <c r="D4125" s="104" t="s">
        <v>16953</v>
      </c>
      <c r="E4125" s="104" t="s">
        <v>16954</v>
      </c>
      <c r="F4125" s="103" t="s">
        <v>4678</v>
      </c>
      <c r="G4125" s="103" t="s">
        <v>4679</v>
      </c>
      <c r="H4125" s="103" t="s">
        <v>16955</v>
      </c>
      <c r="I4125" s="103">
        <v>3.154473105E9</v>
      </c>
      <c r="J4125" s="104" t="s">
        <v>16951</v>
      </c>
      <c r="K4125" s="105"/>
      <c r="L4125" s="105"/>
    </row>
    <row r="4126">
      <c r="A4126" s="103" t="s">
        <v>4676</v>
      </c>
      <c r="B4126" s="103">
        <v>1.100142104E9</v>
      </c>
      <c r="C4126" s="105"/>
      <c r="D4126" s="104" t="s">
        <v>16956</v>
      </c>
      <c r="E4126" s="106"/>
      <c r="F4126" s="103" t="s">
        <v>4678</v>
      </c>
      <c r="G4126" s="103" t="s">
        <v>4679</v>
      </c>
      <c r="H4126" s="103" t="s">
        <v>16957</v>
      </c>
      <c r="I4126" s="103">
        <v>3.002645682E9</v>
      </c>
      <c r="J4126" s="104" t="s">
        <v>16958</v>
      </c>
      <c r="K4126" s="105"/>
      <c r="L4126" s="105"/>
    </row>
    <row r="4127">
      <c r="A4127" s="103" t="s">
        <v>4676</v>
      </c>
      <c r="B4127" s="103">
        <v>1.10014210401E11</v>
      </c>
      <c r="C4127" s="105"/>
      <c r="D4127" s="104" t="s">
        <v>16956</v>
      </c>
      <c r="E4127" s="104" t="s">
        <v>16959</v>
      </c>
      <c r="F4127" s="103" t="s">
        <v>4678</v>
      </c>
      <c r="G4127" s="103" t="s">
        <v>4679</v>
      </c>
      <c r="H4127" s="103" t="s">
        <v>16960</v>
      </c>
      <c r="I4127" s="103">
        <v>3.002645682E9</v>
      </c>
      <c r="J4127" s="104" t="s">
        <v>16958</v>
      </c>
      <c r="K4127" s="105"/>
      <c r="L4127" s="105"/>
    </row>
    <row r="4128">
      <c r="A4128" s="103" t="s">
        <v>4676</v>
      </c>
      <c r="B4128" s="103">
        <v>1.100142105E9</v>
      </c>
      <c r="C4128" s="105"/>
      <c r="D4128" s="104" t="s">
        <v>16961</v>
      </c>
      <c r="E4128" s="106"/>
      <c r="F4128" s="103" t="s">
        <v>4678</v>
      </c>
      <c r="G4128" s="103" t="s">
        <v>4679</v>
      </c>
      <c r="H4128" s="103" t="s">
        <v>16962</v>
      </c>
      <c r="I4128" s="103">
        <v>3.10418817E9</v>
      </c>
      <c r="J4128" s="104" t="s">
        <v>12103</v>
      </c>
      <c r="K4128" s="107" t="s">
        <v>16963</v>
      </c>
      <c r="L4128" s="105"/>
    </row>
    <row r="4129">
      <c r="A4129" s="103" t="s">
        <v>4676</v>
      </c>
      <c r="B4129" s="103">
        <v>1.10014210501E11</v>
      </c>
      <c r="C4129" s="105"/>
      <c r="D4129" s="104" t="s">
        <v>16964</v>
      </c>
      <c r="E4129" s="104" t="s">
        <v>16965</v>
      </c>
      <c r="F4129" s="103" t="s">
        <v>4678</v>
      </c>
      <c r="G4129" s="103" t="s">
        <v>4679</v>
      </c>
      <c r="H4129" s="103" t="s">
        <v>16966</v>
      </c>
      <c r="I4129" s="103">
        <v>3.10418817E9</v>
      </c>
      <c r="J4129" s="104" t="s">
        <v>12103</v>
      </c>
      <c r="K4129" s="105"/>
      <c r="L4129" s="105"/>
    </row>
    <row r="4130">
      <c r="A4130" s="103" t="s">
        <v>4676</v>
      </c>
      <c r="B4130" s="103">
        <v>1.10014210502E11</v>
      </c>
      <c r="C4130" s="105"/>
      <c r="D4130" s="104" t="s">
        <v>16967</v>
      </c>
      <c r="E4130" s="104" t="s">
        <v>16965</v>
      </c>
      <c r="F4130" s="103" t="s">
        <v>4678</v>
      </c>
      <c r="G4130" s="103" t="s">
        <v>4679</v>
      </c>
      <c r="H4130" s="103" t="s">
        <v>16968</v>
      </c>
      <c r="I4130" s="103">
        <v>3.177640045E9</v>
      </c>
      <c r="J4130" s="104" t="s">
        <v>12103</v>
      </c>
      <c r="K4130" s="105"/>
      <c r="L4130" s="105"/>
    </row>
    <row r="4131">
      <c r="A4131" s="103" t="s">
        <v>4676</v>
      </c>
      <c r="B4131" s="103">
        <v>1.10014210503E11</v>
      </c>
      <c r="C4131" s="105"/>
      <c r="D4131" s="104" t="s">
        <v>16969</v>
      </c>
      <c r="E4131" s="104" t="s">
        <v>16965</v>
      </c>
      <c r="F4131" s="103" t="s">
        <v>4678</v>
      </c>
      <c r="G4131" s="103" t="s">
        <v>4679</v>
      </c>
      <c r="H4131" s="103" t="s">
        <v>16970</v>
      </c>
      <c r="I4131" s="103">
        <v>3.206949872E9</v>
      </c>
      <c r="J4131" s="104" t="s">
        <v>12103</v>
      </c>
      <c r="K4131" s="105"/>
      <c r="L4131" s="105"/>
    </row>
    <row r="4132">
      <c r="A4132" s="103" t="s">
        <v>4676</v>
      </c>
      <c r="B4132" s="103">
        <v>1.10014210504E11</v>
      </c>
      <c r="C4132" s="105"/>
      <c r="D4132" s="104" t="s">
        <v>16971</v>
      </c>
      <c r="E4132" s="104" t="s">
        <v>12103</v>
      </c>
      <c r="F4132" s="103" t="s">
        <v>4678</v>
      </c>
      <c r="G4132" s="103" t="s">
        <v>4679</v>
      </c>
      <c r="H4132" s="103" t="s">
        <v>12110</v>
      </c>
      <c r="I4132" s="103" t="s">
        <v>12102</v>
      </c>
      <c r="J4132" s="104" t="s">
        <v>12103</v>
      </c>
      <c r="K4132" s="105"/>
      <c r="L4132" s="105"/>
    </row>
    <row r="4133">
      <c r="A4133" s="103" t="s">
        <v>4676</v>
      </c>
      <c r="B4133" s="103">
        <v>1.10014210505E11</v>
      </c>
      <c r="C4133" s="105"/>
      <c r="D4133" s="104" t="s">
        <v>16972</v>
      </c>
      <c r="E4133" s="104" t="s">
        <v>16965</v>
      </c>
      <c r="F4133" s="103" t="s">
        <v>4678</v>
      </c>
      <c r="G4133" s="103" t="s">
        <v>4679</v>
      </c>
      <c r="H4133" s="103" t="s">
        <v>16973</v>
      </c>
      <c r="I4133" s="103">
        <v>3.206949872E9</v>
      </c>
      <c r="J4133" s="104" t="s">
        <v>12103</v>
      </c>
      <c r="K4133" s="105"/>
      <c r="L4133" s="105"/>
    </row>
    <row r="4134">
      <c r="A4134" s="103" t="s">
        <v>4676</v>
      </c>
      <c r="B4134" s="103">
        <v>1.100142106E9</v>
      </c>
      <c r="C4134" s="105"/>
      <c r="D4134" s="104" t="s">
        <v>16974</v>
      </c>
      <c r="E4134" s="106"/>
      <c r="F4134" s="103" t="s">
        <v>4678</v>
      </c>
      <c r="G4134" s="103" t="s">
        <v>4679</v>
      </c>
      <c r="H4134" s="103" t="s">
        <v>16975</v>
      </c>
      <c r="I4134" s="103">
        <v>3.204449827E9</v>
      </c>
      <c r="J4134" s="104" t="s">
        <v>16976</v>
      </c>
      <c r="K4134" s="107" t="s">
        <v>16977</v>
      </c>
      <c r="L4134" s="105"/>
    </row>
    <row r="4135">
      <c r="A4135" s="103" t="s">
        <v>4676</v>
      </c>
      <c r="B4135" s="103">
        <v>1.10014210601E11</v>
      </c>
      <c r="C4135" s="105"/>
      <c r="D4135" s="104" t="s">
        <v>16974</v>
      </c>
      <c r="E4135" s="104" t="s">
        <v>16978</v>
      </c>
      <c r="F4135" s="103" t="s">
        <v>4678</v>
      </c>
      <c r="G4135" s="103" t="s">
        <v>4679</v>
      </c>
      <c r="H4135" s="103" t="s">
        <v>16975</v>
      </c>
      <c r="I4135" s="103">
        <v>3.204449827E9</v>
      </c>
      <c r="J4135" s="104" t="s">
        <v>16976</v>
      </c>
      <c r="K4135" s="105"/>
      <c r="L4135" s="105"/>
    </row>
    <row r="4136">
      <c r="A4136" s="103" t="s">
        <v>4676</v>
      </c>
      <c r="B4136" s="103">
        <v>1.100142107E9</v>
      </c>
      <c r="C4136" s="105"/>
      <c r="D4136" s="104" t="s">
        <v>16979</v>
      </c>
      <c r="E4136" s="106"/>
      <c r="F4136" s="103" t="s">
        <v>4678</v>
      </c>
      <c r="G4136" s="103" t="s">
        <v>4679</v>
      </c>
      <c r="H4136" s="103" t="s">
        <v>16980</v>
      </c>
      <c r="I4136" s="103">
        <v>6.017482822E9</v>
      </c>
      <c r="J4136" s="104" t="s">
        <v>16981</v>
      </c>
      <c r="K4136" s="107" t="s">
        <v>16982</v>
      </c>
      <c r="L4136" s="105"/>
    </row>
    <row r="4137">
      <c r="A4137" s="103" t="s">
        <v>4676</v>
      </c>
      <c r="B4137" s="103">
        <v>1.10014210701E11</v>
      </c>
      <c r="C4137" s="105"/>
      <c r="D4137" s="104" t="s">
        <v>16983</v>
      </c>
      <c r="E4137" s="104" t="s">
        <v>16984</v>
      </c>
      <c r="F4137" s="103" t="s">
        <v>4678</v>
      </c>
      <c r="G4137" s="103" t="s">
        <v>4679</v>
      </c>
      <c r="H4137" s="103" t="s">
        <v>16985</v>
      </c>
      <c r="I4137" s="103">
        <v>3.152800775E9</v>
      </c>
      <c r="J4137" s="104" t="s">
        <v>16986</v>
      </c>
      <c r="K4137" s="105"/>
      <c r="L4137" s="105"/>
    </row>
    <row r="4138">
      <c r="A4138" s="103" t="s">
        <v>4676</v>
      </c>
      <c r="B4138" s="103">
        <v>1.10014210702E11</v>
      </c>
      <c r="C4138" s="105"/>
      <c r="D4138" s="104" t="s">
        <v>16987</v>
      </c>
      <c r="E4138" s="104" t="s">
        <v>16984</v>
      </c>
      <c r="F4138" s="103" t="s">
        <v>4678</v>
      </c>
      <c r="G4138" s="103" t="s">
        <v>4679</v>
      </c>
      <c r="H4138" s="103" t="s">
        <v>16988</v>
      </c>
      <c r="I4138" s="103">
        <v>3.152800775E9</v>
      </c>
      <c r="J4138" s="104" t="s">
        <v>16989</v>
      </c>
      <c r="K4138" s="105"/>
      <c r="L4138" s="105"/>
    </row>
    <row r="4139">
      <c r="A4139" s="103" t="s">
        <v>4676</v>
      </c>
      <c r="B4139" s="103">
        <v>1.10014210703E11</v>
      </c>
      <c r="C4139" s="105"/>
      <c r="D4139" s="104" t="s">
        <v>16990</v>
      </c>
      <c r="E4139" s="104" t="s">
        <v>16984</v>
      </c>
      <c r="F4139" s="103" t="s">
        <v>4678</v>
      </c>
      <c r="G4139" s="103" t="s">
        <v>4679</v>
      </c>
      <c r="H4139" s="103" t="s">
        <v>16991</v>
      </c>
      <c r="I4139" s="103">
        <v>3.152800775E9</v>
      </c>
      <c r="J4139" s="104" t="s">
        <v>16992</v>
      </c>
      <c r="K4139" s="105"/>
      <c r="L4139" s="105"/>
    </row>
    <row r="4140">
      <c r="A4140" s="103" t="s">
        <v>4676</v>
      </c>
      <c r="B4140" s="103">
        <v>1.10014210704E11</v>
      </c>
      <c r="C4140" s="105"/>
      <c r="D4140" s="104" t="s">
        <v>16993</v>
      </c>
      <c r="E4140" s="104" t="s">
        <v>16984</v>
      </c>
      <c r="F4140" s="103" t="s">
        <v>4678</v>
      </c>
      <c r="G4140" s="103" t="s">
        <v>4679</v>
      </c>
      <c r="H4140" s="103" t="s">
        <v>16994</v>
      </c>
      <c r="I4140" s="103">
        <v>3.152800775E9</v>
      </c>
      <c r="J4140" s="104" t="s">
        <v>16995</v>
      </c>
      <c r="K4140" s="105"/>
      <c r="L4140" s="105"/>
    </row>
    <row r="4141">
      <c r="A4141" s="103" t="s">
        <v>4676</v>
      </c>
      <c r="B4141" s="103">
        <v>1.10014210705E11</v>
      </c>
      <c r="C4141" s="105"/>
      <c r="D4141" s="104" t="s">
        <v>16996</v>
      </c>
      <c r="E4141" s="104" t="s">
        <v>16984</v>
      </c>
      <c r="F4141" s="103" t="s">
        <v>4678</v>
      </c>
      <c r="G4141" s="103" t="s">
        <v>4679</v>
      </c>
      <c r="H4141" s="103" t="s">
        <v>16997</v>
      </c>
      <c r="I4141" s="103">
        <v>3.152800775E9</v>
      </c>
      <c r="J4141" s="104" t="s">
        <v>16998</v>
      </c>
      <c r="K4141" s="105"/>
      <c r="L4141" s="105"/>
    </row>
    <row r="4142">
      <c r="A4142" s="103" t="s">
        <v>4676</v>
      </c>
      <c r="B4142" s="103">
        <v>1.10014210706E11</v>
      </c>
      <c r="C4142" s="105"/>
      <c r="D4142" s="104" t="s">
        <v>16999</v>
      </c>
      <c r="E4142" s="104" t="s">
        <v>16984</v>
      </c>
      <c r="F4142" s="103" t="s">
        <v>4678</v>
      </c>
      <c r="G4142" s="103" t="s">
        <v>4679</v>
      </c>
      <c r="H4142" s="103" t="s">
        <v>17000</v>
      </c>
      <c r="I4142" s="103">
        <v>3.152800775E9</v>
      </c>
      <c r="J4142" s="104" t="s">
        <v>17001</v>
      </c>
      <c r="K4142" s="105"/>
      <c r="L4142" s="105"/>
    </row>
    <row r="4143">
      <c r="A4143" s="103" t="s">
        <v>4676</v>
      </c>
      <c r="B4143" s="103">
        <v>1.10014210707E11</v>
      </c>
      <c r="C4143" s="105"/>
      <c r="D4143" s="104" t="s">
        <v>17002</v>
      </c>
      <c r="E4143" s="104" t="s">
        <v>17003</v>
      </c>
      <c r="F4143" s="103" t="s">
        <v>4678</v>
      </c>
      <c r="G4143" s="103" t="s">
        <v>4679</v>
      </c>
      <c r="H4143" s="103" t="s">
        <v>17004</v>
      </c>
      <c r="I4143" s="103">
        <v>3.195236904E9</v>
      </c>
      <c r="J4143" s="104" t="s">
        <v>17005</v>
      </c>
      <c r="K4143" s="105"/>
      <c r="L4143" s="105"/>
    </row>
    <row r="4144">
      <c r="A4144" s="103" t="s">
        <v>4676</v>
      </c>
      <c r="B4144" s="103">
        <v>1.100142108E9</v>
      </c>
      <c r="C4144" s="105"/>
      <c r="D4144" s="104" t="s">
        <v>17006</v>
      </c>
      <c r="E4144" s="106"/>
      <c r="F4144" s="103" t="s">
        <v>4678</v>
      </c>
      <c r="G4144" s="103" t="s">
        <v>4679</v>
      </c>
      <c r="H4144" s="103" t="s">
        <v>17007</v>
      </c>
      <c r="I4144" s="103">
        <v>3.188686761E9</v>
      </c>
      <c r="J4144" s="104" t="s">
        <v>17008</v>
      </c>
      <c r="K4144" s="107" t="s">
        <v>17009</v>
      </c>
      <c r="L4144" s="105"/>
    </row>
    <row r="4145">
      <c r="A4145" s="103" t="s">
        <v>4676</v>
      </c>
      <c r="B4145" s="103">
        <v>1.10014210801E11</v>
      </c>
      <c r="C4145" s="105"/>
      <c r="D4145" s="104" t="s">
        <v>17006</v>
      </c>
      <c r="E4145" s="104" t="s">
        <v>17010</v>
      </c>
      <c r="F4145" s="103" t="s">
        <v>4678</v>
      </c>
      <c r="G4145" s="103" t="s">
        <v>4679</v>
      </c>
      <c r="H4145" s="103" t="s">
        <v>17007</v>
      </c>
      <c r="I4145" s="103">
        <v>3.188686761E9</v>
      </c>
      <c r="J4145" s="104" t="s">
        <v>17008</v>
      </c>
      <c r="K4145" s="105"/>
      <c r="L4145" s="105"/>
    </row>
    <row r="4146">
      <c r="A4146" s="103" t="s">
        <v>4676</v>
      </c>
      <c r="B4146" s="103">
        <v>1.10014211E9</v>
      </c>
      <c r="C4146" s="105"/>
      <c r="D4146" s="104" t="s">
        <v>17011</v>
      </c>
      <c r="E4146" s="106"/>
      <c r="F4146" s="103" t="s">
        <v>4678</v>
      </c>
      <c r="G4146" s="103" t="s">
        <v>4679</v>
      </c>
      <c r="H4146" s="103" t="s">
        <v>17012</v>
      </c>
      <c r="I4146" s="103">
        <v>3.106282752E9</v>
      </c>
      <c r="J4146" s="104" t="s">
        <v>17013</v>
      </c>
      <c r="K4146" s="105"/>
      <c r="L4146" s="105"/>
    </row>
    <row r="4147">
      <c r="A4147" s="103" t="s">
        <v>4676</v>
      </c>
      <c r="B4147" s="103">
        <v>1.10014211001E11</v>
      </c>
      <c r="C4147" s="105"/>
      <c r="D4147" s="104" t="s">
        <v>17011</v>
      </c>
      <c r="E4147" s="104" t="s">
        <v>17014</v>
      </c>
      <c r="F4147" s="103" t="s">
        <v>4678</v>
      </c>
      <c r="G4147" s="103" t="s">
        <v>4679</v>
      </c>
      <c r="H4147" s="103" t="s">
        <v>17012</v>
      </c>
      <c r="I4147" s="103">
        <v>3.106282752E9</v>
      </c>
      <c r="J4147" s="104" t="s">
        <v>17013</v>
      </c>
      <c r="K4147" s="105"/>
      <c r="L4147" s="105"/>
    </row>
    <row r="4148">
      <c r="A4148" s="103" t="s">
        <v>4676</v>
      </c>
      <c r="B4148" s="103">
        <v>1.100142166E9</v>
      </c>
      <c r="C4148" s="105"/>
      <c r="D4148" s="104" t="s">
        <v>17015</v>
      </c>
      <c r="E4148" s="106"/>
      <c r="F4148" s="103" t="s">
        <v>4678</v>
      </c>
      <c r="G4148" s="103" t="s">
        <v>4679</v>
      </c>
      <c r="H4148" s="103" t="s">
        <v>17016</v>
      </c>
      <c r="I4148" s="103">
        <v>3.13807818E9</v>
      </c>
      <c r="J4148" s="104" t="s">
        <v>17017</v>
      </c>
      <c r="K4148" s="107" t="s">
        <v>16001</v>
      </c>
      <c r="L4148" s="105"/>
    </row>
    <row r="4149">
      <c r="A4149" s="103" t="s">
        <v>4676</v>
      </c>
      <c r="B4149" s="103">
        <v>1.10014216601E11</v>
      </c>
      <c r="C4149" s="105"/>
      <c r="D4149" s="104" t="s">
        <v>17015</v>
      </c>
      <c r="E4149" s="104" t="s">
        <v>17018</v>
      </c>
      <c r="F4149" s="103" t="s">
        <v>4678</v>
      </c>
      <c r="G4149" s="103" t="s">
        <v>4679</v>
      </c>
      <c r="H4149" s="103" t="s">
        <v>17016</v>
      </c>
      <c r="I4149" s="103">
        <v>3.13807818E9</v>
      </c>
      <c r="J4149" s="104" t="s">
        <v>17017</v>
      </c>
      <c r="K4149" s="105"/>
      <c r="L4149" s="105"/>
    </row>
    <row r="4150">
      <c r="A4150" s="103" t="s">
        <v>4676</v>
      </c>
      <c r="B4150" s="103">
        <v>1.100142167E9</v>
      </c>
      <c r="C4150" s="105"/>
      <c r="D4150" s="104" t="s">
        <v>17019</v>
      </c>
      <c r="E4150" s="106"/>
      <c r="F4150" s="103" t="s">
        <v>4678</v>
      </c>
      <c r="G4150" s="103" t="s">
        <v>4679</v>
      </c>
      <c r="H4150" s="103" t="s">
        <v>17020</v>
      </c>
      <c r="I4150" s="103">
        <v>3.117069601E9</v>
      </c>
      <c r="J4150" s="104" t="s">
        <v>17021</v>
      </c>
      <c r="K4150" s="107" t="s">
        <v>17022</v>
      </c>
      <c r="L4150" s="105"/>
    </row>
    <row r="4151">
      <c r="A4151" s="103" t="s">
        <v>4676</v>
      </c>
      <c r="B4151" s="103">
        <v>1.10014216701E11</v>
      </c>
      <c r="C4151" s="105"/>
      <c r="D4151" s="104" t="s">
        <v>17023</v>
      </c>
      <c r="E4151" s="104" t="s">
        <v>17024</v>
      </c>
      <c r="F4151" s="103" t="s">
        <v>4678</v>
      </c>
      <c r="G4151" s="103" t="s">
        <v>4679</v>
      </c>
      <c r="H4151" s="103" t="s">
        <v>17020</v>
      </c>
      <c r="I4151" s="103">
        <v>3.117069601E9</v>
      </c>
      <c r="J4151" s="104" t="s">
        <v>17021</v>
      </c>
      <c r="K4151" s="105"/>
      <c r="L4151" s="105"/>
    </row>
    <row r="4152">
      <c r="A4152" s="103" t="s">
        <v>4676</v>
      </c>
      <c r="B4152" s="103">
        <v>1.100142173E9</v>
      </c>
      <c r="C4152" s="105"/>
      <c r="D4152" s="104" t="s">
        <v>17025</v>
      </c>
      <c r="E4152" s="106"/>
      <c r="F4152" s="103" t="s">
        <v>4678</v>
      </c>
      <c r="G4152" s="103" t="s">
        <v>4679</v>
      </c>
      <c r="H4152" s="103" t="s">
        <v>17026</v>
      </c>
      <c r="I4152" s="103" t="s">
        <v>17027</v>
      </c>
      <c r="J4152" s="104" t="s">
        <v>17028</v>
      </c>
      <c r="K4152" s="107" t="s">
        <v>17029</v>
      </c>
      <c r="L4152" s="105"/>
    </row>
    <row r="4153">
      <c r="A4153" s="103" t="s">
        <v>4676</v>
      </c>
      <c r="B4153" s="103">
        <v>1.10014217301E11</v>
      </c>
      <c r="C4153" s="105"/>
      <c r="D4153" s="104" t="s">
        <v>17030</v>
      </c>
      <c r="E4153" s="104" t="s">
        <v>17031</v>
      </c>
      <c r="F4153" s="103" t="s">
        <v>4678</v>
      </c>
      <c r="G4153" s="103" t="s">
        <v>4679</v>
      </c>
      <c r="H4153" s="103" t="s">
        <v>17026</v>
      </c>
      <c r="I4153" s="103">
        <v>3.213690373E9</v>
      </c>
      <c r="J4153" s="104" t="s">
        <v>17028</v>
      </c>
      <c r="K4153" s="105"/>
      <c r="L4153" s="105"/>
    </row>
    <row r="4154">
      <c r="A4154" s="103" t="s">
        <v>4676</v>
      </c>
      <c r="B4154" s="103">
        <v>1.100142221E9</v>
      </c>
      <c r="C4154" s="105"/>
      <c r="D4154" s="104" t="s">
        <v>17032</v>
      </c>
      <c r="E4154" s="106"/>
      <c r="F4154" s="103" t="s">
        <v>4678</v>
      </c>
      <c r="G4154" s="103" t="s">
        <v>4679</v>
      </c>
      <c r="H4154" s="103" t="s">
        <v>17033</v>
      </c>
      <c r="I4154" s="103">
        <v>3.103256627E9</v>
      </c>
      <c r="J4154" s="104" t="s">
        <v>17034</v>
      </c>
      <c r="K4154" s="103" t="s">
        <v>17035</v>
      </c>
      <c r="L4154" s="105"/>
    </row>
    <row r="4155">
      <c r="A4155" s="103" t="s">
        <v>4676</v>
      </c>
      <c r="B4155" s="103">
        <v>1.10014222101E11</v>
      </c>
      <c r="C4155" s="105"/>
      <c r="D4155" s="104" t="s">
        <v>17036</v>
      </c>
      <c r="E4155" s="104" t="s">
        <v>17037</v>
      </c>
      <c r="F4155" s="103" t="s">
        <v>4678</v>
      </c>
      <c r="G4155" s="103" t="s">
        <v>4679</v>
      </c>
      <c r="H4155" s="103" t="s">
        <v>17033</v>
      </c>
      <c r="I4155" s="103">
        <v>3.103256627E9</v>
      </c>
      <c r="J4155" s="104" t="s">
        <v>17034</v>
      </c>
      <c r="K4155" s="105"/>
      <c r="L4155" s="105"/>
    </row>
    <row r="4156">
      <c r="A4156" s="103" t="s">
        <v>4676</v>
      </c>
      <c r="B4156" s="103">
        <v>1.100142233E9</v>
      </c>
      <c r="C4156" s="105"/>
      <c r="D4156" s="104" t="s">
        <v>17038</v>
      </c>
      <c r="E4156" s="106"/>
      <c r="F4156" s="103" t="s">
        <v>4678</v>
      </c>
      <c r="G4156" s="103" t="s">
        <v>4679</v>
      </c>
      <c r="H4156" s="103" t="s">
        <v>17039</v>
      </c>
      <c r="I4156" s="103">
        <v>3.002034892E9</v>
      </c>
      <c r="J4156" s="104" t="s">
        <v>17040</v>
      </c>
      <c r="K4156" s="107" t="s">
        <v>15130</v>
      </c>
      <c r="L4156" s="105"/>
    </row>
    <row r="4157">
      <c r="A4157" s="103" t="s">
        <v>4676</v>
      </c>
      <c r="B4157" s="103">
        <v>1.10014223301E11</v>
      </c>
      <c r="C4157" s="105"/>
      <c r="D4157" s="104" t="s">
        <v>17038</v>
      </c>
      <c r="E4157" s="104" t="s">
        <v>17041</v>
      </c>
      <c r="F4157" s="103" t="s">
        <v>4678</v>
      </c>
      <c r="G4157" s="103" t="s">
        <v>4679</v>
      </c>
      <c r="H4157" s="103" t="s">
        <v>17042</v>
      </c>
      <c r="I4157" s="103">
        <v>3.002034892E9</v>
      </c>
      <c r="J4157" s="104" t="s">
        <v>17040</v>
      </c>
      <c r="K4157" s="105"/>
      <c r="L4157" s="105"/>
    </row>
    <row r="4158">
      <c r="A4158" s="103" t="s">
        <v>4676</v>
      </c>
      <c r="B4158" s="103">
        <v>1.100142235E9</v>
      </c>
      <c r="C4158" s="105"/>
      <c r="D4158" s="104" t="s">
        <v>17043</v>
      </c>
      <c r="E4158" s="106"/>
      <c r="F4158" s="103" t="s">
        <v>4678</v>
      </c>
      <c r="G4158" s="103" t="s">
        <v>4679</v>
      </c>
      <c r="H4158" s="103" t="s">
        <v>17044</v>
      </c>
      <c r="I4158" s="103">
        <v>3.154398052E9</v>
      </c>
      <c r="J4158" s="104" t="s">
        <v>17045</v>
      </c>
      <c r="K4158" s="107" t="s">
        <v>15130</v>
      </c>
      <c r="L4158" s="105"/>
    </row>
    <row r="4159">
      <c r="A4159" s="103" t="s">
        <v>4676</v>
      </c>
      <c r="B4159" s="103">
        <v>1.10014223501E11</v>
      </c>
      <c r="C4159" s="105"/>
      <c r="D4159" s="104" t="s">
        <v>17043</v>
      </c>
      <c r="E4159" s="104" t="s">
        <v>17046</v>
      </c>
      <c r="F4159" s="103" t="s">
        <v>4678</v>
      </c>
      <c r="G4159" s="103" t="s">
        <v>4679</v>
      </c>
      <c r="H4159" s="103" t="s">
        <v>17044</v>
      </c>
      <c r="I4159" s="103">
        <v>3.154398052E9</v>
      </c>
      <c r="J4159" s="104" t="s">
        <v>17045</v>
      </c>
      <c r="K4159" s="105"/>
      <c r="L4159" s="105"/>
    </row>
    <row r="4160">
      <c r="A4160" s="103" t="s">
        <v>4676</v>
      </c>
      <c r="B4160" s="103">
        <v>1.100142236E9</v>
      </c>
      <c r="C4160" s="105"/>
      <c r="D4160" s="104" t="s">
        <v>17047</v>
      </c>
      <c r="E4160" s="106"/>
      <c r="F4160" s="103" t="s">
        <v>4678</v>
      </c>
      <c r="G4160" s="103" t="s">
        <v>4679</v>
      </c>
      <c r="H4160" s="103" t="s">
        <v>17048</v>
      </c>
      <c r="I4160" s="103">
        <v>3.125381444E9</v>
      </c>
      <c r="J4160" s="104" t="s">
        <v>17049</v>
      </c>
      <c r="K4160" s="105"/>
      <c r="L4160" s="105"/>
    </row>
    <row r="4161">
      <c r="A4161" s="103" t="s">
        <v>4676</v>
      </c>
      <c r="B4161" s="103">
        <v>1.10014223601E11</v>
      </c>
      <c r="C4161" s="105"/>
      <c r="D4161" s="104" t="s">
        <v>17047</v>
      </c>
      <c r="E4161" s="104" t="s">
        <v>13379</v>
      </c>
      <c r="F4161" s="103" t="s">
        <v>4678</v>
      </c>
      <c r="G4161" s="103" t="s">
        <v>4679</v>
      </c>
      <c r="H4161" s="103" t="s">
        <v>17050</v>
      </c>
      <c r="I4161" s="103">
        <v>3.125381444E9</v>
      </c>
      <c r="J4161" s="104" t="s">
        <v>17049</v>
      </c>
      <c r="K4161" s="105"/>
      <c r="L4161" s="105"/>
    </row>
    <row r="4162">
      <c r="A4162" s="103" t="s">
        <v>4676</v>
      </c>
      <c r="B4162" s="103">
        <v>1.10014227E9</v>
      </c>
      <c r="C4162" s="105"/>
      <c r="D4162" s="104" t="s">
        <v>17051</v>
      </c>
      <c r="E4162" s="106"/>
      <c r="F4162" s="103" t="s">
        <v>4678</v>
      </c>
      <c r="G4162" s="103" t="s">
        <v>4679</v>
      </c>
      <c r="H4162" s="103" t="s">
        <v>17052</v>
      </c>
      <c r="I4162" s="103">
        <v>3.124359112E9</v>
      </c>
      <c r="J4162" s="104" t="s">
        <v>17053</v>
      </c>
      <c r="K4162" s="105"/>
      <c r="L4162" s="105"/>
    </row>
    <row r="4163">
      <c r="A4163" s="103" t="s">
        <v>4676</v>
      </c>
      <c r="B4163" s="103">
        <v>1.10014227001E11</v>
      </c>
      <c r="C4163" s="105"/>
      <c r="D4163" s="104" t="s">
        <v>17054</v>
      </c>
      <c r="E4163" s="104" t="s">
        <v>17055</v>
      </c>
      <c r="F4163" s="103" t="s">
        <v>4678</v>
      </c>
      <c r="G4163" s="103" t="s">
        <v>4679</v>
      </c>
      <c r="H4163" s="103" t="s">
        <v>17056</v>
      </c>
      <c r="I4163" s="103">
        <v>3.124359112E9</v>
      </c>
      <c r="J4163" s="104" t="s">
        <v>17053</v>
      </c>
      <c r="K4163" s="105"/>
      <c r="L4163" s="105"/>
    </row>
    <row r="4164">
      <c r="A4164" s="103" t="s">
        <v>4676</v>
      </c>
      <c r="B4164" s="103">
        <v>1.100142277E9</v>
      </c>
      <c r="C4164" s="105"/>
      <c r="D4164" s="104" t="s">
        <v>17057</v>
      </c>
      <c r="E4164" s="106"/>
      <c r="F4164" s="103" t="s">
        <v>4678</v>
      </c>
      <c r="G4164" s="103" t="s">
        <v>4679</v>
      </c>
      <c r="H4164" s="103" t="s">
        <v>17058</v>
      </c>
      <c r="I4164" s="103">
        <v>3.02454268E9</v>
      </c>
      <c r="J4164" s="104" t="s">
        <v>17059</v>
      </c>
      <c r="K4164" s="105"/>
      <c r="L4164" s="105"/>
    </row>
    <row r="4165">
      <c r="A4165" s="103" t="s">
        <v>4676</v>
      </c>
      <c r="B4165" s="103">
        <v>1.10014227701E11</v>
      </c>
      <c r="C4165" s="105"/>
      <c r="D4165" s="104" t="s">
        <v>17060</v>
      </c>
      <c r="E4165" s="104" t="s">
        <v>17061</v>
      </c>
      <c r="F4165" s="103" t="s">
        <v>4678</v>
      </c>
      <c r="G4165" s="103" t="s">
        <v>4679</v>
      </c>
      <c r="H4165" s="103" t="s">
        <v>17058</v>
      </c>
      <c r="I4165" s="103">
        <v>3.02454268E9</v>
      </c>
      <c r="J4165" s="104" t="s">
        <v>17059</v>
      </c>
      <c r="K4165" s="105"/>
      <c r="L4165" s="105"/>
    </row>
    <row r="4166">
      <c r="A4166" s="103" t="s">
        <v>4676</v>
      </c>
      <c r="B4166" s="103">
        <v>1.100142278E9</v>
      </c>
      <c r="C4166" s="105"/>
      <c r="D4166" s="104" t="s">
        <v>17062</v>
      </c>
      <c r="E4166" s="106"/>
      <c r="F4166" s="103" t="s">
        <v>4678</v>
      </c>
      <c r="G4166" s="103" t="s">
        <v>4679</v>
      </c>
      <c r="H4166" s="103" t="s">
        <v>17063</v>
      </c>
      <c r="I4166" s="103">
        <v>3.016184519E9</v>
      </c>
      <c r="J4166" s="104" t="s">
        <v>17064</v>
      </c>
      <c r="K4166" s="105"/>
      <c r="L4166" s="105"/>
    </row>
    <row r="4167">
      <c r="A4167" s="103" t="s">
        <v>4676</v>
      </c>
      <c r="B4167" s="103">
        <v>1.10014227801E11</v>
      </c>
      <c r="C4167" s="105"/>
      <c r="D4167" s="104" t="s">
        <v>17062</v>
      </c>
      <c r="E4167" s="104" t="s">
        <v>17065</v>
      </c>
      <c r="F4167" s="103" t="s">
        <v>4678</v>
      </c>
      <c r="G4167" s="103" t="s">
        <v>4679</v>
      </c>
      <c r="H4167" s="103" t="s">
        <v>17063</v>
      </c>
      <c r="I4167" s="103" t="s">
        <v>17066</v>
      </c>
      <c r="J4167" s="104" t="s">
        <v>17064</v>
      </c>
      <c r="K4167" s="105"/>
      <c r="L4167" s="105"/>
    </row>
    <row r="4168">
      <c r="A4168" s="103" t="s">
        <v>4676</v>
      </c>
      <c r="B4168" s="103">
        <v>1.100142289E9</v>
      </c>
      <c r="C4168" s="105"/>
      <c r="D4168" s="104" t="s">
        <v>17067</v>
      </c>
      <c r="E4168" s="106"/>
      <c r="F4168" s="103" t="s">
        <v>4678</v>
      </c>
      <c r="G4168" s="103" t="s">
        <v>4679</v>
      </c>
      <c r="H4168" s="103" t="s">
        <v>17068</v>
      </c>
      <c r="I4168" s="103">
        <v>3.2031828E9</v>
      </c>
      <c r="J4168" s="104" t="s">
        <v>17069</v>
      </c>
      <c r="K4168" s="105"/>
      <c r="L4168" s="105"/>
    </row>
    <row r="4169">
      <c r="A4169" s="103" t="s">
        <v>4676</v>
      </c>
      <c r="B4169" s="103">
        <v>1.10014228901E11</v>
      </c>
      <c r="C4169" s="105"/>
      <c r="D4169" s="104" t="s">
        <v>17067</v>
      </c>
      <c r="E4169" s="104" t="s">
        <v>15740</v>
      </c>
      <c r="F4169" s="103" t="s">
        <v>4678</v>
      </c>
      <c r="G4169" s="103" t="s">
        <v>4679</v>
      </c>
      <c r="H4169" s="103" t="s">
        <v>17068</v>
      </c>
      <c r="I4169" s="103">
        <v>3.2031828E9</v>
      </c>
      <c r="J4169" s="104" t="s">
        <v>17069</v>
      </c>
      <c r="K4169" s="105"/>
      <c r="L4169" s="105"/>
    </row>
    <row r="4170">
      <c r="A4170" s="103" t="s">
        <v>4676</v>
      </c>
      <c r="B4170" s="103">
        <v>1.10014229E9</v>
      </c>
      <c r="C4170" s="105"/>
      <c r="D4170" s="104" t="s">
        <v>17070</v>
      </c>
      <c r="E4170" s="106"/>
      <c r="F4170" s="103" t="s">
        <v>4678</v>
      </c>
      <c r="G4170" s="103" t="s">
        <v>4679</v>
      </c>
      <c r="H4170" s="103" t="s">
        <v>17071</v>
      </c>
      <c r="I4170" s="103">
        <v>3.015246189E9</v>
      </c>
      <c r="J4170" s="104" t="s">
        <v>17072</v>
      </c>
      <c r="K4170" s="105"/>
      <c r="L4170" s="105"/>
    </row>
    <row r="4171">
      <c r="A4171" s="103" t="s">
        <v>4676</v>
      </c>
      <c r="B4171" s="103">
        <v>1.10014229001E11</v>
      </c>
      <c r="C4171" s="105"/>
      <c r="D4171" s="104" t="s">
        <v>17073</v>
      </c>
      <c r="E4171" s="104" t="s">
        <v>17074</v>
      </c>
      <c r="F4171" s="103" t="s">
        <v>4678</v>
      </c>
      <c r="G4171" s="103" t="s">
        <v>4679</v>
      </c>
      <c r="H4171" s="103" t="s">
        <v>17075</v>
      </c>
      <c r="I4171" s="103">
        <v>3.015246189E9</v>
      </c>
      <c r="J4171" s="104" t="s">
        <v>17072</v>
      </c>
      <c r="K4171" s="105"/>
      <c r="L4171" s="105"/>
    </row>
    <row r="4172">
      <c r="A4172" s="103" t="s">
        <v>4676</v>
      </c>
      <c r="B4172" s="103">
        <v>1.100142352E9</v>
      </c>
      <c r="C4172" s="105"/>
      <c r="D4172" s="104" t="s">
        <v>17076</v>
      </c>
      <c r="E4172" s="106"/>
      <c r="F4172" s="103" t="s">
        <v>4678</v>
      </c>
      <c r="G4172" s="103" t="s">
        <v>4679</v>
      </c>
      <c r="H4172" s="103" t="s">
        <v>17077</v>
      </c>
      <c r="I4172" s="103">
        <v>3.007315528E9</v>
      </c>
      <c r="J4172" s="104" t="s">
        <v>17078</v>
      </c>
      <c r="K4172" s="103" t="s">
        <v>15712</v>
      </c>
      <c r="L4172" s="105"/>
    </row>
    <row r="4173">
      <c r="A4173" s="103" t="s">
        <v>4676</v>
      </c>
      <c r="B4173" s="103">
        <v>1.10014235201E11</v>
      </c>
      <c r="C4173" s="105"/>
      <c r="D4173" s="104" t="s">
        <v>17076</v>
      </c>
      <c r="E4173" s="104" t="s">
        <v>17079</v>
      </c>
      <c r="F4173" s="103" t="s">
        <v>4678</v>
      </c>
      <c r="G4173" s="103" t="s">
        <v>4679</v>
      </c>
      <c r="H4173" s="103" t="s">
        <v>17077</v>
      </c>
      <c r="I4173" s="103">
        <v>3.007315528E9</v>
      </c>
      <c r="J4173" s="104" t="s">
        <v>17078</v>
      </c>
      <c r="K4173" s="105"/>
      <c r="L4173" s="105"/>
    </row>
    <row r="4174">
      <c r="A4174" s="103" t="s">
        <v>4676</v>
      </c>
      <c r="B4174" s="103">
        <v>1.100142364E9</v>
      </c>
      <c r="C4174" s="105"/>
      <c r="D4174" s="104" t="s">
        <v>17080</v>
      </c>
      <c r="E4174" s="106"/>
      <c r="F4174" s="103" t="s">
        <v>4678</v>
      </c>
      <c r="G4174" s="103" t="s">
        <v>4679</v>
      </c>
      <c r="H4174" s="103" t="s">
        <v>17081</v>
      </c>
      <c r="I4174" s="103">
        <v>3.123109412E9</v>
      </c>
      <c r="J4174" s="104" t="s">
        <v>17082</v>
      </c>
      <c r="K4174" s="107" t="s">
        <v>17083</v>
      </c>
      <c r="L4174" s="105"/>
    </row>
    <row r="4175">
      <c r="A4175" s="103" t="s">
        <v>4676</v>
      </c>
      <c r="B4175" s="103">
        <v>1.10014236401E11</v>
      </c>
      <c r="C4175" s="105"/>
      <c r="D4175" s="104" t="s">
        <v>17080</v>
      </c>
      <c r="E4175" s="104" t="s">
        <v>17084</v>
      </c>
      <c r="F4175" s="103" t="s">
        <v>4678</v>
      </c>
      <c r="G4175" s="103" t="s">
        <v>4679</v>
      </c>
      <c r="H4175" s="103" t="s">
        <v>17081</v>
      </c>
      <c r="I4175" s="103">
        <v>3.123109412E9</v>
      </c>
      <c r="J4175" s="104" t="s">
        <v>17082</v>
      </c>
      <c r="K4175" s="105"/>
      <c r="L4175" s="105"/>
    </row>
    <row r="4176">
      <c r="A4176" s="103" t="s">
        <v>4676</v>
      </c>
      <c r="B4176" s="103">
        <v>1.100142365E9</v>
      </c>
      <c r="C4176" s="105"/>
      <c r="D4176" s="104" t="s">
        <v>17085</v>
      </c>
      <c r="E4176" s="106"/>
      <c r="F4176" s="103" t="s">
        <v>4678</v>
      </c>
      <c r="G4176" s="103" t="s">
        <v>4679</v>
      </c>
      <c r="H4176" s="103" t="s">
        <v>17086</v>
      </c>
      <c r="I4176" s="103">
        <v>3.203402643E9</v>
      </c>
      <c r="J4176" s="104" t="s">
        <v>17087</v>
      </c>
      <c r="K4176" s="107" t="s">
        <v>17088</v>
      </c>
      <c r="L4176" s="105"/>
    </row>
    <row r="4177">
      <c r="A4177" s="103" t="s">
        <v>4676</v>
      </c>
      <c r="B4177" s="103">
        <v>1.10014236501E11</v>
      </c>
      <c r="C4177" s="105"/>
      <c r="D4177" s="104" t="s">
        <v>17085</v>
      </c>
      <c r="E4177" s="104" t="s">
        <v>17089</v>
      </c>
      <c r="F4177" s="103" t="s">
        <v>4678</v>
      </c>
      <c r="G4177" s="103" t="s">
        <v>4679</v>
      </c>
      <c r="H4177" s="103" t="s">
        <v>17086</v>
      </c>
      <c r="I4177" s="103">
        <v>3.203402643E9</v>
      </c>
      <c r="J4177" s="104" t="s">
        <v>17087</v>
      </c>
      <c r="K4177" s="105"/>
      <c r="L4177" s="105"/>
    </row>
    <row r="4178">
      <c r="A4178" s="103" t="s">
        <v>4676</v>
      </c>
      <c r="B4178" s="103">
        <v>1.100142375E9</v>
      </c>
      <c r="C4178" s="105"/>
      <c r="D4178" s="104" t="s">
        <v>17090</v>
      </c>
      <c r="E4178" s="106"/>
      <c r="F4178" s="103" t="s">
        <v>4678</v>
      </c>
      <c r="G4178" s="103" t="s">
        <v>4679</v>
      </c>
      <c r="H4178" s="103" t="s">
        <v>17091</v>
      </c>
      <c r="I4178" s="103">
        <v>3.249047777E9</v>
      </c>
      <c r="J4178" s="104" t="s">
        <v>17092</v>
      </c>
      <c r="K4178" s="107" t="s">
        <v>15591</v>
      </c>
      <c r="L4178" s="105"/>
    </row>
    <row r="4179">
      <c r="A4179" s="103" t="s">
        <v>4676</v>
      </c>
      <c r="B4179" s="103">
        <v>1.10014237501E11</v>
      </c>
      <c r="C4179" s="105"/>
      <c r="D4179" s="104" t="s">
        <v>17090</v>
      </c>
      <c r="E4179" s="104" t="s">
        <v>17093</v>
      </c>
      <c r="F4179" s="103" t="s">
        <v>4678</v>
      </c>
      <c r="G4179" s="103" t="s">
        <v>4679</v>
      </c>
      <c r="H4179" s="103" t="s">
        <v>17094</v>
      </c>
      <c r="I4179" s="103">
        <v>3.249047777E9</v>
      </c>
      <c r="J4179" s="104" t="s">
        <v>17092</v>
      </c>
      <c r="K4179" s="105"/>
      <c r="L4179" s="105"/>
    </row>
    <row r="4180">
      <c r="A4180" s="103" t="s">
        <v>4676</v>
      </c>
      <c r="B4180" s="103">
        <v>1.10014245E9</v>
      </c>
      <c r="C4180" s="105"/>
      <c r="D4180" s="104" t="s">
        <v>17095</v>
      </c>
      <c r="E4180" s="106"/>
      <c r="F4180" s="103" t="s">
        <v>4678</v>
      </c>
      <c r="G4180" s="103" t="s">
        <v>4679</v>
      </c>
      <c r="H4180" s="103" t="s">
        <v>17096</v>
      </c>
      <c r="I4180" s="103">
        <v>3.161867046E9</v>
      </c>
      <c r="J4180" s="104" t="s">
        <v>17097</v>
      </c>
      <c r="K4180" s="105"/>
      <c r="L4180" s="105"/>
    </row>
    <row r="4181">
      <c r="A4181" s="103" t="s">
        <v>4676</v>
      </c>
      <c r="B4181" s="103">
        <v>1.10014245001E11</v>
      </c>
      <c r="C4181" s="105"/>
      <c r="D4181" s="104" t="s">
        <v>17095</v>
      </c>
      <c r="E4181" s="104" t="s">
        <v>17098</v>
      </c>
      <c r="F4181" s="103" t="s">
        <v>4678</v>
      </c>
      <c r="G4181" s="103" t="s">
        <v>4679</v>
      </c>
      <c r="H4181" s="103" t="s">
        <v>17099</v>
      </c>
      <c r="I4181" s="103">
        <v>3.161867046E9</v>
      </c>
      <c r="J4181" s="104" t="s">
        <v>17097</v>
      </c>
      <c r="K4181" s="105"/>
      <c r="L4181" s="105"/>
    </row>
    <row r="4182">
      <c r="A4182" s="103" t="s">
        <v>4676</v>
      </c>
      <c r="B4182" s="103">
        <v>1.10014247E9</v>
      </c>
      <c r="C4182" s="105"/>
      <c r="D4182" s="104" t="s">
        <v>17100</v>
      </c>
      <c r="E4182" s="106"/>
      <c r="F4182" s="103" t="s">
        <v>4678</v>
      </c>
      <c r="G4182" s="103" t="s">
        <v>4679</v>
      </c>
      <c r="H4182" s="103" t="s">
        <v>17101</v>
      </c>
      <c r="I4182" s="103">
        <v>3.105767857E9</v>
      </c>
      <c r="J4182" s="104" t="s">
        <v>17102</v>
      </c>
      <c r="K4182" s="103" t="s">
        <v>17103</v>
      </c>
      <c r="L4182" s="105"/>
    </row>
    <row r="4183">
      <c r="A4183" s="103" t="s">
        <v>4676</v>
      </c>
      <c r="B4183" s="103">
        <v>1.10014247001E11</v>
      </c>
      <c r="C4183" s="105"/>
      <c r="D4183" s="104" t="s">
        <v>17104</v>
      </c>
      <c r="E4183" s="104" t="s">
        <v>17105</v>
      </c>
      <c r="F4183" s="103" t="s">
        <v>4678</v>
      </c>
      <c r="G4183" s="103" t="s">
        <v>4679</v>
      </c>
      <c r="H4183" s="103" t="s">
        <v>17101</v>
      </c>
      <c r="I4183" s="103">
        <v>3.105767857E9</v>
      </c>
      <c r="J4183" s="104" t="s">
        <v>17102</v>
      </c>
      <c r="K4183" s="105"/>
      <c r="L4183" s="105"/>
    </row>
    <row r="4184">
      <c r="A4184" s="103" t="s">
        <v>4676</v>
      </c>
      <c r="B4184" s="103">
        <v>1.100142471E9</v>
      </c>
      <c r="C4184" s="105"/>
      <c r="D4184" s="104" t="s">
        <v>17106</v>
      </c>
      <c r="E4184" s="106"/>
      <c r="F4184" s="103" t="s">
        <v>4678</v>
      </c>
      <c r="G4184" s="103" t="s">
        <v>4679</v>
      </c>
      <c r="H4184" s="103" t="s">
        <v>17107</v>
      </c>
      <c r="I4184" s="103">
        <v>3.103359189E9</v>
      </c>
      <c r="J4184" s="104" t="s">
        <v>17108</v>
      </c>
      <c r="K4184" s="105"/>
      <c r="L4184" s="105"/>
    </row>
    <row r="4185">
      <c r="A4185" s="103" t="s">
        <v>4676</v>
      </c>
      <c r="B4185" s="103">
        <v>1.10014247101E11</v>
      </c>
      <c r="C4185" s="105"/>
      <c r="D4185" s="104" t="s">
        <v>17109</v>
      </c>
      <c r="E4185" s="104" t="s">
        <v>17110</v>
      </c>
      <c r="F4185" s="103" t="s">
        <v>4678</v>
      </c>
      <c r="G4185" s="103" t="s">
        <v>4679</v>
      </c>
      <c r="H4185" s="103" t="s">
        <v>17107</v>
      </c>
      <c r="I4185" s="103">
        <v>3.103359189E9</v>
      </c>
      <c r="J4185" s="104" t="s">
        <v>17108</v>
      </c>
      <c r="K4185" s="105"/>
      <c r="L4185" s="105"/>
    </row>
    <row r="4186">
      <c r="A4186" s="103" t="s">
        <v>4676</v>
      </c>
      <c r="B4186" s="103">
        <v>1.100142482E9</v>
      </c>
      <c r="C4186" s="105"/>
      <c r="D4186" s="104" t="s">
        <v>17111</v>
      </c>
      <c r="E4186" s="106"/>
      <c r="F4186" s="103" t="s">
        <v>4678</v>
      </c>
      <c r="G4186" s="103" t="s">
        <v>4679</v>
      </c>
      <c r="H4186" s="103" t="s">
        <v>17112</v>
      </c>
      <c r="I4186" s="103">
        <v>3.124820028E9</v>
      </c>
      <c r="J4186" s="104" t="s">
        <v>17113</v>
      </c>
      <c r="K4186" s="105"/>
      <c r="L4186" s="105"/>
    </row>
    <row r="4187">
      <c r="A4187" s="103" t="s">
        <v>4676</v>
      </c>
      <c r="B4187" s="103">
        <v>1.10014248201E11</v>
      </c>
      <c r="C4187" s="105"/>
      <c r="D4187" s="104" t="s">
        <v>17111</v>
      </c>
      <c r="E4187" s="104" t="s">
        <v>17114</v>
      </c>
      <c r="F4187" s="103" t="s">
        <v>4678</v>
      </c>
      <c r="G4187" s="103" t="s">
        <v>4679</v>
      </c>
      <c r="H4187" s="103" t="s">
        <v>17115</v>
      </c>
      <c r="I4187" s="103">
        <v>3.124820028E9</v>
      </c>
      <c r="J4187" s="104" t="s">
        <v>17113</v>
      </c>
      <c r="K4187" s="105"/>
      <c r="L4187" s="105"/>
    </row>
    <row r="4188">
      <c r="A4188" s="103" t="s">
        <v>4676</v>
      </c>
      <c r="B4188" s="103">
        <v>1.100142493E9</v>
      </c>
      <c r="C4188" s="105"/>
      <c r="D4188" s="104" t="s">
        <v>17116</v>
      </c>
      <c r="E4188" s="106"/>
      <c r="F4188" s="103" t="s">
        <v>4678</v>
      </c>
      <c r="G4188" s="103" t="s">
        <v>4679</v>
      </c>
      <c r="H4188" s="103" t="s">
        <v>17117</v>
      </c>
      <c r="I4188" s="103">
        <v>3.118049377E9</v>
      </c>
      <c r="J4188" s="104" t="s">
        <v>17118</v>
      </c>
      <c r="K4188" s="103" t="s">
        <v>17119</v>
      </c>
      <c r="L4188" s="105"/>
    </row>
    <row r="4189">
      <c r="A4189" s="103" t="s">
        <v>4676</v>
      </c>
      <c r="B4189" s="103">
        <v>1.10014249301E11</v>
      </c>
      <c r="C4189" s="105"/>
      <c r="D4189" s="104" t="s">
        <v>17120</v>
      </c>
      <c r="E4189" s="104" t="s">
        <v>17121</v>
      </c>
      <c r="F4189" s="103" t="s">
        <v>4678</v>
      </c>
      <c r="G4189" s="103" t="s">
        <v>4679</v>
      </c>
      <c r="H4189" s="103" t="s">
        <v>17117</v>
      </c>
      <c r="I4189" s="103">
        <v>3.118049377E9</v>
      </c>
      <c r="J4189" s="104" t="s">
        <v>17118</v>
      </c>
      <c r="K4189" s="105"/>
      <c r="L4189" s="105"/>
    </row>
    <row r="4190">
      <c r="A4190" s="103" t="s">
        <v>4676</v>
      </c>
      <c r="B4190" s="103">
        <v>1.10014249302E11</v>
      </c>
      <c r="C4190" s="105"/>
      <c r="D4190" s="104" t="s">
        <v>17122</v>
      </c>
      <c r="E4190" s="104" t="s">
        <v>17121</v>
      </c>
      <c r="F4190" s="103" t="s">
        <v>4678</v>
      </c>
      <c r="G4190" s="103" t="s">
        <v>4679</v>
      </c>
      <c r="H4190" s="103" t="s">
        <v>17123</v>
      </c>
      <c r="I4190" s="103">
        <v>3.118049377E9</v>
      </c>
      <c r="J4190" s="104" t="s">
        <v>17118</v>
      </c>
      <c r="K4190" s="105"/>
      <c r="L4190" s="105"/>
    </row>
    <row r="4191">
      <c r="A4191" s="103" t="s">
        <v>4676</v>
      </c>
      <c r="B4191" s="103">
        <v>1.100142538E9</v>
      </c>
      <c r="C4191" s="105"/>
      <c r="D4191" s="104" t="s">
        <v>17124</v>
      </c>
      <c r="E4191" s="106"/>
      <c r="F4191" s="103" t="s">
        <v>4678</v>
      </c>
      <c r="G4191" s="103" t="s">
        <v>4679</v>
      </c>
      <c r="H4191" s="103" t="s">
        <v>17125</v>
      </c>
      <c r="I4191" s="103">
        <v>3.014579648E9</v>
      </c>
      <c r="J4191" s="104" t="s">
        <v>17126</v>
      </c>
      <c r="K4191" s="105"/>
      <c r="L4191" s="105"/>
    </row>
    <row r="4192">
      <c r="A4192" s="103" t="s">
        <v>4676</v>
      </c>
      <c r="B4192" s="103">
        <v>1.10014253801E11</v>
      </c>
      <c r="C4192" s="105"/>
      <c r="D4192" s="104" t="s">
        <v>17127</v>
      </c>
      <c r="E4192" s="104" t="s">
        <v>17128</v>
      </c>
      <c r="F4192" s="103" t="s">
        <v>4678</v>
      </c>
      <c r="G4192" s="103" t="s">
        <v>4679</v>
      </c>
      <c r="H4192" s="103" t="s">
        <v>17125</v>
      </c>
      <c r="I4192" s="103">
        <v>3.014579648E9</v>
      </c>
      <c r="J4192" s="104" t="s">
        <v>17126</v>
      </c>
      <c r="K4192" s="105"/>
      <c r="L4192" s="105"/>
    </row>
    <row r="4193">
      <c r="A4193" s="103" t="s">
        <v>4676</v>
      </c>
      <c r="B4193" s="103">
        <v>1.100142539E9</v>
      </c>
      <c r="C4193" s="105"/>
      <c r="D4193" s="104" t="s">
        <v>17129</v>
      </c>
      <c r="E4193" s="106"/>
      <c r="F4193" s="103" t="s">
        <v>4678</v>
      </c>
      <c r="G4193" s="103" t="s">
        <v>4679</v>
      </c>
      <c r="H4193" s="103" t="s">
        <v>17130</v>
      </c>
      <c r="I4193" s="103">
        <v>3.102419976E9</v>
      </c>
      <c r="J4193" s="104" t="s">
        <v>17131</v>
      </c>
      <c r="K4193" s="107" t="s">
        <v>17132</v>
      </c>
      <c r="L4193" s="105"/>
    </row>
    <row r="4194">
      <c r="A4194" s="103" t="s">
        <v>4676</v>
      </c>
      <c r="B4194" s="103">
        <v>1.10014253901E11</v>
      </c>
      <c r="C4194" s="105"/>
      <c r="D4194" s="104" t="s">
        <v>17133</v>
      </c>
      <c r="E4194" s="104" t="s">
        <v>17134</v>
      </c>
      <c r="F4194" s="103" t="s">
        <v>4678</v>
      </c>
      <c r="G4194" s="103" t="s">
        <v>4679</v>
      </c>
      <c r="H4194" s="103" t="s">
        <v>17130</v>
      </c>
      <c r="I4194" s="103">
        <v>3.102419976E9</v>
      </c>
      <c r="J4194" s="104" t="s">
        <v>17131</v>
      </c>
      <c r="K4194" s="105"/>
      <c r="L4194" s="105"/>
    </row>
    <row r="4195">
      <c r="A4195" s="103" t="s">
        <v>4676</v>
      </c>
      <c r="B4195" s="103">
        <v>1.100142579E9</v>
      </c>
      <c r="C4195" s="105"/>
      <c r="D4195" s="104" t="s">
        <v>17135</v>
      </c>
      <c r="E4195" s="106"/>
      <c r="F4195" s="103" t="s">
        <v>4678</v>
      </c>
      <c r="G4195" s="103" t="s">
        <v>4679</v>
      </c>
      <c r="H4195" s="103" t="s">
        <v>17136</v>
      </c>
      <c r="I4195" s="103" t="s">
        <v>17137</v>
      </c>
      <c r="J4195" s="104" t="s">
        <v>17138</v>
      </c>
      <c r="K4195" s="105"/>
      <c r="L4195" s="105"/>
    </row>
    <row r="4196">
      <c r="A4196" s="103" t="s">
        <v>4676</v>
      </c>
      <c r="B4196" s="103">
        <v>1.10014257901E11</v>
      </c>
      <c r="C4196" s="105"/>
      <c r="D4196" s="104" t="s">
        <v>17135</v>
      </c>
      <c r="E4196" s="104" t="s">
        <v>17139</v>
      </c>
      <c r="F4196" s="103" t="s">
        <v>4678</v>
      </c>
      <c r="G4196" s="103" t="s">
        <v>4679</v>
      </c>
      <c r="H4196" s="103" t="s">
        <v>17136</v>
      </c>
      <c r="I4196" s="103" t="s">
        <v>17137</v>
      </c>
      <c r="J4196" s="104" t="s">
        <v>17138</v>
      </c>
      <c r="K4196" s="105"/>
      <c r="L4196" s="105"/>
    </row>
    <row r="4197">
      <c r="A4197" s="103" t="s">
        <v>4676</v>
      </c>
      <c r="B4197" s="103">
        <v>1.10014259E9</v>
      </c>
      <c r="C4197" s="105"/>
      <c r="D4197" s="104" t="s">
        <v>17140</v>
      </c>
      <c r="E4197" s="106"/>
      <c r="F4197" s="103" t="s">
        <v>4678</v>
      </c>
      <c r="G4197" s="103" t="s">
        <v>4679</v>
      </c>
      <c r="H4197" s="103" t="s">
        <v>17141</v>
      </c>
      <c r="I4197" s="103">
        <v>3.228018161E9</v>
      </c>
      <c r="J4197" s="104" t="s">
        <v>17142</v>
      </c>
      <c r="K4197" s="105"/>
      <c r="L4197" s="105"/>
    </row>
    <row r="4198">
      <c r="A4198" s="103" t="s">
        <v>4676</v>
      </c>
      <c r="B4198" s="103">
        <v>1.10014259001E11</v>
      </c>
      <c r="C4198" s="105"/>
      <c r="D4198" s="104" t="s">
        <v>17140</v>
      </c>
      <c r="E4198" s="104" t="s">
        <v>17143</v>
      </c>
      <c r="F4198" s="103" t="s">
        <v>4678</v>
      </c>
      <c r="G4198" s="103" t="s">
        <v>4679</v>
      </c>
      <c r="H4198" s="103" t="s">
        <v>17141</v>
      </c>
      <c r="I4198" s="103">
        <v>3.228018161E9</v>
      </c>
      <c r="J4198" s="104" t="s">
        <v>17142</v>
      </c>
      <c r="K4198" s="105"/>
      <c r="L4198" s="105"/>
    </row>
    <row r="4199">
      <c r="A4199" s="103" t="s">
        <v>4676</v>
      </c>
      <c r="B4199" s="103">
        <v>1.100142609E9</v>
      </c>
      <c r="C4199" s="105"/>
      <c r="D4199" s="104" t="s">
        <v>17144</v>
      </c>
      <c r="E4199" s="106"/>
      <c r="F4199" s="103" t="s">
        <v>4678</v>
      </c>
      <c r="G4199" s="103" t="s">
        <v>4679</v>
      </c>
      <c r="H4199" s="103" t="s">
        <v>17145</v>
      </c>
      <c r="I4199" s="103">
        <v>3.226858292E9</v>
      </c>
      <c r="J4199" s="104" t="s">
        <v>17146</v>
      </c>
      <c r="K4199" s="105"/>
      <c r="L4199" s="105"/>
    </row>
    <row r="4200">
      <c r="A4200" s="103" t="s">
        <v>4676</v>
      </c>
      <c r="B4200" s="103">
        <v>1.10014260901E11</v>
      </c>
      <c r="C4200" s="105"/>
      <c r="D4200" s="104" t="s">
        <v>17144</v>
      </c>
      <c r="E4200" s="104" t="s">
        <v>14893</v>
      </c>
      <c r="F4200" s="103" t="s">
        <v>4678</v>
      </c>
      <c r="G4200" s="103" t="s">
        <v>4679</v>
      </c>
      <c r="H4200" s="103" t="s">
        <v>17145</v>
      </c>
      <c r="I4200" s="103">
        <v>3.226858292E9</v>
      </c>
      <c r="J4200" s="104" t="s">
        <v>17146</v>
      </c>
      <c r="K4200" s="105"/>
      <c r="L4200" s="105"/>
    </row>
    <row r="4201">
      <c r="A4201" s="103" t="s">
        <v>4676</v>
      </c>
      <c r="B4201" s="103">
        <v>1.10014261E9</v>
      </c>
      <c r="C4201" s="105"/>
      <c r="D4201" s="104" t="s">
        <v>17147</v>
      </c>
      <c r="E4201" s="106"/>
      <c r="F4201" s="103" t="s">
        <v>4678</v>
      </c>
      <c r="G4201" s="103" t="s">
        <v>4679</v>
      </c>
      <c r="H4201" s="103" t="s">
        <v>17148</v>
      </c>
      <c r="I4201" s="103">
        <v>3.125845066E9</v>
      </c>
      <c r="J4201" s="104" t="s">
        <v>17149</v>
      </c>
      <c r="K4201" s="105"/>
      <c r="L4201" s="105"/>
    </row>
    <row r="4202">
      <c r="A4202" s="103" t="s">
        <v>4676</v>
      </c>
      <c r="B4202" s="103">
        <v>1.10014261001E11</v>
      </c>
      <c r="C4202" s="105"/>
      <c r="D4202" s="104" t="s">
        <v>17147</v>
      </c>
      <c r="E4202" s="104" t="s">
        <v>17150</v>
      </c>
      <c r="F4202" s="103" t="s">
        <v>4678</v>
      </c>
      <c r="G4202" s="103" t="s">
        <v>4679</v>
      </c>
      <c r="H4202" s="103" t="s">
        <v>17151</v>
      </c>
      <c r="I4202" s="103">
        <v>3.125845066E9</v>
      </c>
      <c r="J4202" s="104" t="s">
        <v>17149</v>
      </c>
      <c r="K4202" s="105"/>
      <c r="L4202" s="105"/>
    </row>
    <row r="4203">
      <c r="A4203" s="103" t="s">
        <v>4676</v>
      </c>
      <c r="B4203" s="103">
        <v>1.100142612E9</v>
      </c>
      <c r="C4203" s="105"/>
      <c r="D4203" s="104" t="s">
        <v>17152</v>
      </c>
      <c r="E4203" s="106"/>
      <c r="F4203" s="103" t="s">
        <v>4678</v>
      </c>
      <c r="G4203" s="103" t="s">
        <v>4679</v>
      </c>
      <c r="H4203" s="103" t="s">
        <v>17153</v>
      </c>
      <c r="I4203" s="103">
        <v>3.123746118E9</v>
      </c>
      <c r="J4203" s="104" t="s">
        <v>17154</v>
      </c>
      <c r="K4203" s="105"/>
      <c r="L4203" s="105"/>
    </row>
    <row r="4204">
      <c r="A4204" s="103" t="s">
        <v>4676</v>
      </c>
      <c r="B4204" s="103">
        <v>1.10014261201E11</v>
      </c>
      <c r="C4204" s="105"/>
      <c r="D4204" s="104" t="s">
        <v>17152</v>
      </c>
      <c r="E4204" s="104" t="s">
        <v>17155</v>
      </c>
      <c r="F4204" s="103" t="s">
        <v>4678</v>
      </c>
      <c r="G4204" s="103" t="s">
        <v>4679</v>
      </c>
      <c r="H4204" s="103" t="s">
        <v>17153</v>
      </c>
      <c r="I4204" s="103">
        <v>3.123746118E9</v>
      </c>
      <c r="J4204" s="104" t="s">
        <v>17154</v>
      </c>
      <c r="K4204" s="105"/>
      <c r="L4204" s="105"/>
    </row>
    <row r="4205">
      <c r="A4205" s="103" t="s">
        <v>4676</v>
      </c>
      <c r="B4205" s="103">
        <v>1.100142618E9</v>
      </c>
      <c r="C4205" s="105"/>
      <c r="D4205" s="104" t="s">
        <v>17156</v>
      </c>
      <c r="E4205" s="106"/>
      <c r="F4205" s="103" t="s">
        <v>4678</v>
      </c>
      <c r="G4205" s="103" t="s">
        <v>4679</v>
      </c>
      <c r="H4205" s="103" t="s">
        <v>17157</v>
      </c>
      <c r="I4205" s="103">
        <v>3.134565269E9</v>
      </c>
      <c r="J4205" s="104" t="s">
        <v>17158</v>
      </c>
      <c r="K4205" s="107" t="s">
        <v>17159</v>
      </c>
      <c r="L4205" s="105"/>
    </row>
    <row r="4206">
      <c r="A4206" s="103" t="s">
        <v>4676</v>
      </c>
      <c r="B4206" s="103">
        <v>1.10014261801E11</v>
      </c>
      <c r="C4206" s="105"/>
      <c r="D4206" s="104" t="s">
        <v>17160</v>
      </c>
      <c r="E4206" s="104" t="s">
        <v>17161</v>
      </c>
      <c r="F4206" s="103" t="s">
        <v>4678</v>
      </c>
      <c r="G4206" s="103" t="s">
        <v>4679</v>
      </c>
      <c r="H4206" s="103" t="s">
        <v>17157</v>
      </c>
      <c r="I4206" s="103">
        <v>3.134565269E9</v>
      </c>
      <c r="J4206" s="104" t="s">
        <v>17158</v>
      </c>
      <c r="K4206" s="105"/>
      <c r="L4206" s="105"/>
    </row>
    <row r="4207">
      <c r="A4207" s="103" t="s">
        <v>4676</v>
      </c>
      <c r="B4207" s="103">
        <v>1.100142666E9</v>
      </c>
      <c r="C4207" s="105"/>
      <c r="D4207" s="104" t="s">
        <v>17162</v>
      </c>
      <c r="E4207" s="106"/>
      <c r="F4207" s="103" t="s">
        <v>4678</v>
      </c>
      <c r="G4207" s="103" t="s">
        <v>4679</v>
      </c>
      <c r="H4207" s="103" t="s">
        <v>17163</v>
      </c>
      <c r="I4207" s="103">
        <v>6.012157339E9</v>
      </c>
      <c r="J4207" s="104" t="s">
        <v>17164</v>
      </c>
      <c r="K4207" s="105"/>
      <c r="L4207" s="105"/>
    </row>
    <row r="4208">
      <c r="A4208" s="103" t="s">
        <v>4676</v>
      </c>
      <c r="B4208" s="103">
        <v>1.10014266601E11</v>
      </c>
      <c r="C4208" s="105"/>
      <c r="D4208" s="104" t="s">
        <v>17162</v>
      </c>
      <c r="E4208" s="104" t="s">
        <v>17165</v>
      </c>
      <c r="F4208" s="103" t="s">
        <v>4678</v>
      </c>
      <c r="G4208" s="103" t="s">
        <v>4679</v>
      </c>
      <c r="H4208" s="103" t="s">
        <v>17163</v>
      </c>
      <c r="I4208" s="103">
        <v>6.012157339E9</v>
      </c>
      <c r="J4208" s="104" t="s">
        <v>17164</v>
      </c>
      <c r="K4208" s="105"/>
      <c r="L4208" s="105"/>
    </row>
    <row r="4209">
      <c r="A4209" s="103" t="s">
        <v>4676</v>
      </c>
      <c r="B4209" s="103">
        <v>1.100142717E9</v>
      </c>
      <c r="C4209" s="105"/>
      <c r="D4209" s="104" t="s">
        <v>17166</v>
      </c>
      <c r="E4209" s="106"/>
      <c r="F4209" s="103" t="s">
        <v>4678</v>
      </c>
      <c r="G4209" s="103" t="s">
        <v>4679</v>
      </c>
      <c r="H4209" s="103" t="s">
        <v>17167</v>
      </c>
      <c r="I4209" s="103">
        <v>3.228351465E9</v>
      </c>
      <c r="J4209" s="104" t="s">
        <v>17168</v>
      </c>
      <c r="K4209" s="105"/>
      <c r="L4209" s="105"/>
    </row>
    <row r="4210">
      <c r="A4210" s="103" t="s">
        <v>4676</v>
      </c>
      <c r="B4210" s="103">
        <v>1.10014271701E11</v>
      </c>
      <c r="C4210" s="105"/>
      <c r="D4210" s="104" t="s">
        <v>17166</v>
      </c>
      <c r="E4210" s="104" t="s">
        <v>17169</v>
      </c>
      <c r="F4210" s="103" t="s">
        <v>4678</v>
      </c>
      <c r="G4210" s="103" t="s">
        <v>4679</v>
      </c>
      <c r="H4210" s="103" t="s">
        <v>17167</v>
      </c>
      <c r="I4210" s="103">
        <v>3.228351465E9</v>
      </c>
      <c r="J4210" s="104" t="s">
        <v>17168</v>
      </c>
      <c r="K4210" s="105"/>
      <c r="L4210" s="105"/>
    </row>
    <row r="4211">
      <c r="A4211" s="103" t="s">
        <v>4676</v>
      </c>
      <c r="B4211" s="103">
        <v>1.100142723E9</v>
      </c>
      <c r="C4211" s="105"/>
      <c r="D4211" s="104" t="s">
        <v>17170</v>
      </c>
      <c r="E4211" s="106"/>
      <c r="F4211" s="103" t="s">
        <v>4678</v>
      </c>
      <c r="G4211" s="103" t="s">
        <v>4679</v>
      </c>
      <c r="H4211" s="103" t="s">
        <v>17171</v>
      </c>
      <c r="I4211" s="103">
        <v>3.233885341E9</v>
      </c>
      <c r="J4211" s="104" t="s">
        <v>17172</v>
      </c>
      <c r="K4211" s="105"/>
      <c r="L4211" s="105"/>
    </row>
    <row r="4212">
      <c r="A4212" s="103" t="s">
        <v>4676</v>
      </c>
      <c r="B4212" s="103">
        <v>1.10014272301E11</v>
      </c>
      <c r="C4212" s="105"/>
      <c r="D4212" s="104" t="s">
        <v>17173</v>
      </c>
      <c r="E4212" s="104" t="s">
        <v>17174</v>
      </c>
      <c r="F4212" s="103" t="s">
        <v>4678</v>
      </c>
      <c r="G4212" s="103" t="s">
        <v>4679</v>
      </c>
      <c r="H4212" s="103" t="s">
        <v>17171</v>
      </c>
      <c r="I4212" s="103">
        <v>3.233885341E9</v>
      </c>
      <c r="J4212" s="104" t="s">
        <v>17172</v>
      </c>
      <c r="K4212" s="105"/>
      <c r="L4212" s="105"/>
    </row>
    <row r="4213">
      <c r="A4213" s="103" t="s">
        <v>4676</v>
      </c>
      <c r="B4213" s="103">
        <v>1.100142735E9</v>
      </c>
      <c r="C4213" s="105"/>
      <c r="D4213" s="104" t="s">
        <v>17175</v>
      </c>
      <c r="E4213" s="106"/>
      <c r="F4213" s="103" t="s">
        <v>4678</v>
      </c>
      <c r="G4213" s="103" t="s">
        <v>4679</v>
      </c>
      <c r="H4213" s="103" t="s">
        <v>17176</v>
      </c>
      <c r="I4213" s="103">
        <v>3.102989475E9</v>
      </c>
      <c r="J4213" s="104" t="s">
        <v>17177</v>
      </c>
      <c r="K4213" s="107" t="s">
        <v>17178</v>
      </c>
      <c r="L4213" s="105"/>
    </row>
    <row r="4214">
      <c r="A4214" s="103" t="s">
        <v>4676</v>
      </c>
      <c r="B4214" s="103">
        <v>1.10014273501E11</v>
      </c>
      <c r="C4214" s="105"/>
      <c r="D4214" s="104" t="s">
        <v>17175</v>
      </c>
      <c r="E4214" s="104" t="s">
        <v>17179</v>
      </c>
      <c r="F4214" s="103" t="s">
        <v>4678</v>
      </c>
      <c r="G4214" s="103" t="s">
        <v>4679</v>
      </c>
      <c r="H4214" s="103" t="s">
        <v>17176</v>
      </c>
      <c r="I4214" s="103">
        <v>3.102989475E9</v>
      </c>
      <c r="J4214" s="104" t="s">
        <v>17177</v>
      </c>
      <c r="K4214" s="105"/>
      <c r="L4214" s="105"/>
    </row>
    <row r="4215">
      <c r="A4215" s="103" t="s">
        <v>4676</v>
      </c>
      <c r="B4215" s="103">
        <v>1.100142736E9</v>
      </c>
      <c r="C4215" s="105"/>
      <c r="D4215" s="104" t="s">
        <v>17180</v>
      </c>
      <c r="E4215" s="106"/>
      <c r="F4215" s="103" t="s">
        <v>4678</v>
      </c>
      <c r="G4215" s="103" t="s">
        <v>4679</v>
      </c>
      <c r="H4215" s="103" t="s">
        <v>17181</v>
      </c>
      <c r="I4215" s="103">
        <v>3.102035156E9</v>
      </c>
      <c r="J4215" s="104" t="s">
        <v>17182</v>
      </c>
      <c r="K4215" s="107" t="s">
        <v>17183</v>
      </c>
      <c r="L4215" s="105"/>
    </row>
    <row r="4216">
      <c r="A4216" s="103" t="s">
        <v>4676</v>
      </c>
      <c r="B4216" s="103">
        <v>1.10014273601E11</v>
      </c>
      <c r="C4216" s="105"/>
      <c r="D4216" s="104" t="s">
        <v>17184</v>
      </c>
      <c r="E4216" s="104" t="s">
        <v>17185</v>
      </c>
      <c r="F4216" s="103" t="s">
        <v>4678</v>
      </c>
      <c r="G4216" s="103" t="s">
        <v>4679</v>
      </c>
      <c r="H4216" s="103" t="s">
        <v>17181</v>
      </c>
      <c r="I4216" s="103">
        <v>3.102035156E9</v>
      </c>
      <c r="J4216" s="104" t="s">
        <v>17182</v>
      </c>
      <c r="K4216" s="105"/>
      <c r="L4216" s="105"/>
    </row>
    <row r="4217">
      <c r="A4217" s="103" t="s">
        <v>4676</v>
      </c>
      <c r="B4217" s="103">
        <v>1.100142745E9</v>
      </c>
      <c r="C4217" s="105"/>
      <c r="D4217" s="104" t="s">
        <v>17186</v>
      </c>
      <c r="E4217" s="106"/>
      <c r="F4217" s="103" t="s">
        <v>4678</v>
      </c>
      <c r="G4217" s="103" t="s">
        <v>4679</v>
      </c>
      <c r="H4217" s="103" t="s">
        <v>17187</v>
      </c>
      <c r="I4217" s="103">
        <v>3.107269564E9</v>
      </c>
      <c r="J4217" s="104" t="s">
        <v>17188</v>
      </c>
      <c r="K4217" s="107" t="s">
        <v>15591</v>
      </c>
      <c r="L4217" s="105"/>
    </row>
    <row r="4218">
      <c r="A4218" s="103" t="s">
        <v>4676</v>
      </c>
      <c r="B4218" s="103">
        <v>1.10014274501E11</v>
      </c>
      <c r="C4218" s="105"/>
      <c r="D4218" s="104" t="s">
        <v>17186</v>
      </c>
      <c r="E4218" s="104" t="s">
        <v>17189</v>
      </c>
      <c r="F4218" s="103" t="s">
        <v>4678</v>
      </c>
      <c r="G4218" s="103" t="s">
        <v>4679</v>
      </c>
      <c r="H4218" s="103" t="s">
        <v>17187</v>
      </c>
      <c r="I4218" s="103">
        <v>3.107269564E9</v>
      </c>
      <c r="J4218" s="104" t="s">
        <v>17188</v>
      </c>
      <c r="K4218" s="105"/>
      <c r="L4218" s="105"/>
    </row>
    <row r="4219">
      <c r="A4219" s="103" t="s">
        <v>4676</v>
      </c>
      <c r="B4219" s="103">
        <v>1.10014275E9</v>
      </c>
      <c r="C4219" s="105"/>
      <c r="D4219" s="104" t="s">
        <v>17190</v>
      </c>
      <c r="E4219" s="106"/>
      <c r="F4219" s="103" t="s">
        <v>4678</v>
      </c>
      <c r="G4219" s="103" t="s">
        <v>4679</v>
      </c>
      <c r="H4219" s="103" t="s">
        <v>17191</v>
      </c>
      <c r="I4219" s="103">
        <v>3.123002821E9</v>
      </c>
      <c r="J4219" s="104" t="s">
        <v>17192</v>
      </c>
      <c r="K4219" s="105"/>
      <c r="L4219" s="105"/>
    </row>
    <row r="4220">
      <c r="A4220" s="103" t="s">
        <v>4676</v>
      </c>
      <c r="B4220" s="103">
        <v>1.10014275001E11</v>
      </c>
      <c r="C4220" s="105"/>
      <c r="D4220" s="104" t="s">
        <v>17193</v>
      </c>
      <c r="E4220" s="104" t="s">
        <v>17194</v>
      </c>
      <c r="F4220" s="103" t="s">
        <v>4678</v>
      </c>
      <c r="G4220" s="103" t="s">
        <v>4679</v>
      </c>
      <c r="H4220" s="103" t="s">
        <v>17195</v>
      </c>
      <c r="I4220" s="103">
        <v>3.123002821E9</v>
      </c>
      <c r="J4220" s="104" t="s">
        <v>17192</v>
      </c>
      <c r="K4220" s="105"/>
      <c r="L4220" s="105"/>
    </row>
    <row r="4221">
      <c r="A4221" s="103" t="s">
        <v>4676</v>
      </c>
      <c r="B4221" s="103">
        <v>1.100142759E9</v>
      </c>
      <c r="C4221" s="105"/>
      <c r="D4221" s="104" t="s">
        <v>17196</v>
      </c>
      <c r="E4221" s="106"/>
      <c r="F4221" s="103" t="s">
        <v>4678</v>
      </c>
      <c r="G4221" s="103" t="s">
        <v>4679</v>
      </c>
      <c r="H4221" s="103" t="s">
        <v>17197</v>
      </c>
      <c r="I4221" s="103">
        <v>3.213724172E9</v>
      </c>
      <c r="J4221" s="104" t="s">
        <v>17198</v>
      </c>
      <c r="K4221" s="105"/>
      <c r="L4221" s="105"/>
    </row>
    <row r="4222">
      <c r="A4222" s="103" t="s">
        <v>4676</v>
      </c>
      <c r="B4222" s="103">
        <v>1.10014275901E11</v>
      </c>
      <c r="C4222" s="105"/>
      <c r="D4222" s="104" t="s">
        <v>17199</v>
      </c>
      <c r="E4222" s="104" t="s">
        <v>17200</v>
      </c>
      <c r="F4222" s="103" t="s">
        <v>4678</v>
      </c>
      <c r="G4222" s="103" t="s">
        <v>4679</v>
      </c>
      <c r="H4222" s="103" t="s">
        <v>17201</v>
      </c>
      <c r="I4222" s="103">
        <v>3.226875577E9</v>
      </c>
      <c r="J4222" s="104" t="s">
        <v>17198</v>
      </c>
      <c r="K4222" s="105"/>
      <c r="L4222" s="105"/>
    </row>
    <row r="4223">
      <c r="A4223" s="103" t="s">
        <v>4676</v>
      </c>
      <c r="B4223" s="103">
        <v>1.10014277E9</v>
      </c>
      <c r="C4223" s="105"/>
      <c r="D4223" s="104" t="s">
        <v>17202</v>
      </c>
      <c r="E4223" s="106"/>
      <c r="F4223" s="103" t="s">
        <v>4678</v>
      </c>
      <c r="G4223" s="103" t="s">
        <v>4679</v>
      </c>
      <c r="H4223" s="103" t="s">
        <v>17203</v>
      </c>
      <c r="I4223" s="103">
        <v>3.142192664E9</v>
      </c>
      <c r="J4223" s="104" t="s">
        <v>17204</v>
      </c>
      <c r="K4223" s="107" t="s">
        <v>17205</v>
      </c>
      <c r="L4223" s="105"/>
    </row>
    <row r="4224">
      <c r="A4224" s="103" t="s">
        <v>4676</v>
      </c>
      <c r="B4224" s="103">
        <v>1.10014277001E11</v>
      </c>
      <c r="C4224" s="105"/>
      <c r="D4224" s="104" t="s">
        <v>17206</v>
      </c>
      <c r="E4224" s="104" t="s">
        <v>17207</v>
      </c>
      <c r="F4224" s="103" t="s">
        <v>4678</v>
      </c>
      <c r="G4224" s="103" t="s">
        <v>4679</v>
      </c>
      <c r="H4224" s="103" t="s">
        <v>17208</v>
      </c>
      <c r="I4224" s="103">
        <v>3.118256008E9</v>
      </c>
      <c r="J4224" s="104" t="s">
        <v>17209</v>
      </c>
      <c r="K4224" s="105"/>
      <c r="L4224" s="105"/>
    </row>
    <row r="4225">
      <c r="A4225" s="103" t="s">
        <v>4676</v>
      </c>
      <c r="B4225" s="103">
        <v>1.100142782E9</v>
      </c>
      <c r="C4225" s="105"/>
      <c r="D4225" s="104" t="s">
        <v>17210</v>
      </c>
      <c r="E4225" s="106"/>
      <c r="F4225" s="103" t="s">
        <v>4678</v>
      </c>
      <c r="G4225" s="103" t="s">
        <v>4679</v>
      </c>
      <c r="H4225" s="103" t="s">
        <v>17211</v>
      </c>
      <c r="I4225" s="103">
        <v>3.108508966E9</v>
      </c>
      <c r="J4225" s="104" t="s">
        <v>17212</v>
      </c>
      <c r="K4225" s="105"/>
      <c r="L4225" s="105"/>
    </row>
    <row r="4226">
      <c r="A4226" s="103" t="s">
        <v>4676</v>
      </c>
      <c r="B4226" s="103">
        <v>1.10014278201E11</v>
      </c>
      <c r="C4226" s="105"/>
      <c r="D4226" s="104" t="s">
        <v>17213</v>
      </c>
      <c r="E4226" s="104" t="s">
        <v>17214</v>
      </c>
      <c r="F4226" s="103" t="s">
        <v>4678</v>
      </c>
      <c r="G4226" s="103" t="s">
        <v>4679</v>
      </c>
      <c r="H4226" s="103" t="s">
        <v>17211</v>
      </c>
      <c r="I4226" s="103">
        <v>3.108508966E9</v>
      </c>
      <c r="J4226" s="104" t="s">
        <v>17212</v>
      </c>
      <c r="K4226" s="105"/>
      <c r="L4226" s="105"/>
    </row>
    <row r="4227">
      <c r="A4227" s="103" t="s">
        <v>4676</v>
      </c>
      <c r="B4227" s="103">
        <v>1.100142845E9</v>
      </c>
      <c r="C4227" s="105"/>
      <c r="D4227" s="104" t="s">
        <v>17215</v>
      </c>
      <c r="E4227" s="106"/>
      <c r="F4227" s="103" t="s">
        <v>4678</v>
      </c>
      <c r="G4227" s="103" t="s">
        <v>4679</v>
      </c>
      <c r="H4227" s="103" t="s">
        <v>17216</v>
      </c>
      <c r="I4227" s="103">
        <v>3.103029989E9</v>
      </c>
      <c r="J4227" s="104" t="s">
        <v>17217</v>
      </c>
      <c r="K4227" s="107" t="s">
        <v>17218</v>
      </c>
      <c r="L4227" s="105"/>
    </row>
    <row r="4228">
      <c r="A4228" s="103" t="s">
        <v>4676</v>
      </c>
      <c r="B4228" s="103">
        <v>1.10014284501E11</v>
      </c>
      <c r="C4228" s="105"/>
      <c r="D4228" s="104" t="s">
        <v>17219</v>
      </c>
      <c r="E4228" s="104" t="s">
        <v>17220</v>
      </c>
      <c r="F4228" s="103" t="s">
        <v>4678</v>
      </c>
      <c r="G4228" s="103" t="s">
        <v>4679</v>
      </c>
      <c r="H4228" s="103" t="s">
        <v>17216</v>
      </c>
      <c r="I4228" s="103">
        <v>3.103029989E9</v>
      </c>
      <c r="J4228" s="104" t="s">
        <v>17217</v>
      </c>
      <c r="K4228" s="105"/>
      <c r="L4228" s="105"/>
    </row>
    <row r="4229">
      <c r="A4229" s="103" t="s">
        <v>4676</v>
      </c>
      <c r="B4229" s="103">
        <v>1.10014284502E11</v>
      </c>
      <c r="C4229" s="105"/>
      <c r="D4229" s="104" t="s">
        <v>17221</v>
      </c>
      <c r="E4229" s="104" t="s">
        <v>17220</v>
      </c>
      <c r="F4229" s="103" t="s">
        <v>4678</v>
      </c>
      <c r="G4229" s="103" t="s">
        <v>4679</v>
      </c>
      <c r="H4229" s="103" t="s">
        <v>17222</v>
      </c>
      <c r="I4229" s="103">
        <v>3.103029989E9</v>
      </c>
      <c r="J4229" s="104" t="s">
        <v>17217</v>
      </c>
      <c r="K4229" s="105"/>
      <c r="L4229" s="105"/>
    </row>
    <row r="4230">
      <c r="A4230" s="103" t="s">
        <v>4676</v>
      </c>
      <c r="B4230" s="103">
        <v>1.100142846E9</v>
      </c>
      <c r="C4230" s="105"/>
      <c r="D4230" s="104" t="s">
        <v>17223</v>
      </c>
      <c r="E4230" s="106"/>
      <c r="F4230" s="103" t="s">
        <v>4678</v>
      </c>
      <c r="G4230" s="103" t="s">
        <v>4679</v>
      </c>
      <c r="H4230" s="103" t="s">
        <v>17224</v>
      </c>
      <c r="I4230" s="103">
        <v>3.163161067E9</v>
      </c>
      <c r="J4230" s="104" t="s">
        <v>17225</v>
      </c>
      <c r="K4230" s="105"/>
      <c r="L4230" s="105"/>
    </row>
    <row r="4231">
      <c r="A4231" s="103" t="s">
        <v>4676</v>
      </c>
      <c r="B4231" s="103">
        <v>1.10014284601E11</v>
      </c>
      <c r="C4231" s="105"/>
      <c r="D4231" s="104" t="s">
        <v>17223</v>
      </c>
      <c r="E4231" s="104" t="s">
        <v>17226</v>
      </c>
      <c r="F4231" s="103" t="s">
        <v>4678</v>
      </c>
      <c r="G4231" s="103" t="s">
        <v>4679</v>
      </c>
      <c r="H4231" s="103" t="s">
        <v>17224</v>
      </c>
      <c r="I4231" s="103">
        <v>3.163161067E9</v>
      </c>
      <c r="J4231" s="104" t="s">
        <v>17225</v>
      </c>
      <c r="K4231" s="105"/>
      <c r="L4231" s="105"/>
    </row>
    <row r="4232">
      <c r="A4232" s="103" t="s">
        <v>4676</v>
      </c>
      <c r="B4232" s="103">
        <v>1.100142847E9</v>
      </c>
      <c r="C4232" s="105"/>
      <c r="D4232" s="104" t="s">
        <v>17227</v>
      </c>
      <c r="E4232" s="106"/>
      <c r="F4232" s="103" t="s">
        <v>4678</v>
      </c>
      <c r="G4232" s="103" t="s">
        <v>4679</v>
      </c>
      <c r="H4232" s="103" t="s">
        <v>17228</v>
      </c>
      <c r="I4232" s="103">
        <v>3.113206099E9</v>
      </c>
      <c r="J4232" s="104" t="s">
        <v>13910</v>
      </c>
      <c r="K4232" s="107" t="s">
        <v>17229</v>
      </c>
      <c r="L4232" s="105"/>
    </row>
    <row r="4233">
      <c r="A4233" s="103" t="s">
        <v>4676</v>
      </c>
      <c r="B4233" s="103">
        <v>1.10014284701E11</v>
      </c>
      <c r="C4233" s="105"/>
      <c r="D4233" s="104" t="s">
        <v>17227</v>
      </c>
      <c r="E4233" s="104" t="s">
        <v>17230</v>
      </c>
      <c r="F4233" s="103" t="s">
        <v>4678</v>
      </c>
      <c r="G4233" s="103" t="s">
        <v>4679</v>
      </c>
      <c r="H4233" s="103" t="s">
        <v>17228</v>
      </c>
      <c r="I4233" s="103">
        <v>3.113206099E9</v>
      </c>
      <c r="J4233" s="104" t="s">
        <v>13910</v>
      </c>
      <c r="K4233" s="105"/>
      <c r="L4233" s="105"/>
    </row>
    <row r="4234">
      <c r="A4234" s="103" t="s">
        <v>4676</v>
      </c>
      <c r="B4234" s="103">
        <v>1.100142863E9</v>
      </c>
      <c r="C4234" s="105"/>
      <c r="D4234" s="104" t="s">
        <v>17231</v>
      </c>
      <c r="E4234" s="106"/>
      <c r="F4234" s="103" t="s">
        <v>4678</v>
      </c>
      <c r="G4234" s="103" t="s">
        <v>4679</v>
      </c>
      <c r="H4234" s="103" t="s">
        <v>17232</v>
      </c>
      <c r="I4234" s="103">
        <v>3.125923365E9</v>
      </c>
      <c r="J4234" s="104" t="s">
        <v>17233</v>
      </c>
      <c r="K4234" s="105"/>
      <c r="L4234" s="105"/>
    </row>
    <row r="4235">
      <c r="A4235" s="103" t="s">
        <v>4676</v>
      </c>
      <c r="B4235" s="103">
        <v>1.10014286301E11</v>
      </c>
      <c r="C4235" s="105"/>
      <c r="D4235" s="104" t="s">
        <v>17231</v>
      </c>
      <c r="E4235" s="104" t="s">
        <v>15740</v>
      </c>
      <c r="F4235" s="103" t="s">
        <v>4678</v>
      </c>
      <c r="G4235" s="103" t="s">
        <v>4679</v>
      </c>
      <c r="H4235" s="103" t="s">
        <v>17234</v>
      </c>
      <c r="I4235" s="103">
        <v>3.125923365E9</v>
      </c>
      <c r="J4235" s="104" t="s">
        <v>17233</v>
      </c>
      <c r="K4235" s="105"/>
      <c r="L4235" s="105"/>
    </row>
    <row r="4236">
      <c r="A4236" s="103" t="s">
        <v>4676</v>
      </c>
      <c r="B4236" s="103">
        <v>1.10014286302E11</v>
      </c>
      <c r="C4236" s="105"/>
      <c r="D4236" s="104" t="s">
        <v>17235</v>
      </c>
      <c r="E4236" s="104" t="s">
        <v>17236</v>
      </c>
      <c r="F4236" s="103" t="s">
        <v>4678</v>
      </c>
      <c r="G4236" s="103" t="s">
        <v>4679</v>
      </c>
      <c r="H4236" s="103" t="s">
        <v>17237</v>
      </c>
      <c r="I4236" s="103">
        <v>3.2031828E9</v>
      </c>
      <c r="J4236" s="104" t="s">
        <v>17233</v>
      </c>
      <c r="K4236" s="105"/>
      <c r="L4236" s="105"/>
    </row>
    <row r="4237">
      <c r="A4237" s="103" t="s">
        <v>4676</v>
      </c>
      <c r="B4237" s="103">
        <v>1.100142869E9</v>
      </c>
      <c r="C4237" s="105"/>
      <c r="D4237" s="104" t="s">
        <v>17238</v>
      </c>
      <c r="E4237" s="106"/>
      <c r="F4237" s="103" t="s">
        <v>4678</v>
      </c>
      <c r="G4237" s="103" t="s">
        <v>4679</v>
      </c>
      <c r="H4237" s="103" t="s">
        <v>17239</v>
      </c>
      <c r="I4237" s="103">
        <v>3.102244035E9</v>
      </c>
      <c r="J4237" s="104" t="s">
        <v>17240</v>
      </c>
      <c r="K4237" s="107" t="s">
        <v>17241</v>
      </c>
      <c r="L4237" s="105"/>
    </row>
    <row r="4238">
      <c r="A4238" s="103" t="s">
        <v>4676</v>
      </c>
      <c r="B4238" s="103">
        <v>1.10014286901E11</v>
      </c>
      <c r="C4238" s="105"/>
      <c r="D4238" s="104" t="s">
        <v>17238</v>
      </c>
      <c r="E4238" s="104" t="s">
        <v>17242</v>
      </c>
      <c r="F4238" s="103" t="s">
        <v>4678</v>
      </c>
      <c r="G4238" s="103" t="s">
        <v>4679</v>
      </c>
      <c r="H4238" s="103" t="s">
        <v>17239</v>
      </c>
      <c r="I4238" s="103">
        <v>3.102244035E9</v>
      </c>
      <c r="J4238" s="104" t="s">
        <v>17243</v>
      </c>
      <c r="K4238" s="105"/>
      <c r="L4238" s="105"/>
    </row>
    <row r="4239">
      <c r="A4239" s="103" t="s">
        <v>4676</v>
      </c>
      <c r="B4239" s="103">
        <v>1.10014287E9</v>
      </c>
      <c r="C4239" s="105"/>
      <c r="D4239" s="104" t="s">
        <v>17244</v>
      </c>
      <c r="E4239" s="106"/>
      <c r="F4239" s="103" t="s">
        <v>4678</v>
      </c>
      <c r="G4239" s="103" t="s">
        <v>4679</v>
      </c>
      <c r="H4239" s="103" t="s">
        <v>17245</v>
      </c>
      <c r="I4239" s="103" t="s">
        <v>17246</v>
      </c>
      <c r="J4239" s="104" t="s">
        <v>17247</v>
      </c>
      <c r="K4239" s="107" t="s">
        <v>17248</v>
      </c>
      <c r="L4239" s="105"/>
    </row>
    <row r="4240">
      <c r="A4240" s="103" t="s">
        <v>4676</v>
      </c>
      <c r="B4240" s="103">
        <v>1.10014287001E11</v>
      </c>
      <c r="C4240" s="105"/>
      <c r="D4240" s="104" t="s">
        <v>17249</v>
      </c>
      <c r="E4240" s="104" t="s">
        <v>17250</v>
      </c>
      <c r="F4240" s="103" t="s">
        <v>4678</v>
      </c>
      <c r="G4240" s="103" t="s">
        <v>4679</v>
      </c>
      <c r="H4240" s="103" t="s">
        <v>17245</v>
      </c>
      <c r="I4240" s="103">
        <v>3.189615826E9</v>
      </c>
      <c r="J4240" s="104" t="s">
        <v>17251</v>
      </c>
      <c r="K4240" s="105"/>
      <c r="L4240" s="105"/>
    </row>
    <row r="4241">
      <c r="A4241" s="103" t="s">
        <v>4676</v>
      </c>
      <c r="B4241" s="103">
        <v>1.100142904E9</v>
      </c>
      <c r="C4241" s="105"/>
      <c r="D4241" s="104" t="s">
        <v>17252</v>
      </c>
      <c r="E4241" s="106"/>
      <c r="F4241" s="103" t="s">
        <v>4678</v>
      </c>
      <c r="G4241" s="103" t="s">
        <v>4679</v>
      </c>
      <c r="H4241" s="103" t="s">
        <v>17253</v>
      </c>
      <c r="I4241" s="103">
        <v>3.16775963E9</v>
      </c>
      <c r="J4241" s="104" t="s">
        <v>17254</v>
      </c>
      <c r="K4241" s="105"/>
      <c r="L4241" s="105"/>
    </row>
    <row r="4242">
      <c r="A4242" s="103" t="s">
        <v>4676</v>
      </c>
      <c r="B4242" s="103">
        <v>1.10014290401E11</v>
      </c>
      <c r="C4242" s="105"/>
      <c r="D4242" s="104" t="s">
        <v>17252</v>
      </c>
      <c r="E4242" s="104" t="s">
        <v>17255</v>
      </c>
      <c r="F4242" s="103" t="s">
        <v>4678</v>
      </c>
      <c r="G4242" s="103" t="s">
        <v>4679</v>
      </c>
      <c r="H4242" s="103" t="s">
        <v>17253</v>
      </c>
      <c r="I4242" s="103">
        <v>3.16775963E9</v>
      </c>
      <c r="J4242" s="104" t="s">
        <v>17254</v>
      </c>
      <c r="K4242" s="105"/>
      <c r="L4242" s="105"/>
    </row>
    <row r="4243">
      <c r="A4243" s="103" t="s">
        <v>4676</v>
      </c>
      <c r="B4243" s="103">
        <v>1.100142911E9</v>
      </c>
      <c r="C4243" s="105"/>
      <c r="D4243" s="104" t="s">
        <v>17256</v>
      </c>
      <c r="E4243" s="106"/>
      <c r="F4243" s="103" t="s">
        <v>4678</v>
      </c>
      <c r="G4243" s="103" t="s">
        <v>4679</v>
      </c>
      <c r="H4243" s="103" t="s">
        <v>17257</v>
      </c>
      <c r="I4243" s="103">
        <v>3.144622697E9</v>
      </c>
      <c r="J4243" s="104" t="s">
        <v>17258</v>
      </c>
      <c r="K4243" s="105"/>
      <c r="L4243" s="105"/>
    </row>
    <row r="4244">
      <c r="A4244" s="103" t="s">
        <v>4676</v>
      </c>
      <c r="B4244" s="103">
        <v>1.10014291101E11</v>
      </c>
      <c r="C4244" s="105"/>
      <c r="D4244" s="104" t="s">
        <v>17256</v>
      </c>
      <c r="E4244" s="104" t="s">
        <v>17259</v>
      </c>
      <c r="F4244" s="103" t="s">
        <v>4678</v>
      </c>
      <c r="G4244" s="103" t="s">
        <v>4679</v>
      </c>
      <c r="H4244" s="103" t="s">
        <v>17260</v>
      </c>
      <c r="I4244" s="103">
        <v>3.144622697E9</v>
      </c>
      <c r="J4244" s="104" t="s">
        <v>17258</v>
      </c>
      <c r="K4244" s="105"/>
      <c r="L4244" s="105"/>
    </row>
    <row r="4245">
      <c r="A4245" s="103" t="s">
        <v>4676</v>
      </c>
      <c r="B4245" s="103">
        <v>1.100142912E9</v>
      </c>
      <c r="C4245" s="105"/>
      <c r="D4245" s="104" t="s">
        <v>17261</v>
      </c>
      <c r="E4245" s="106"/>
      <c r="F4245" s="103" t="s">
        <v>4678</v>
      </c>
      <c r="G4245" s="103" t="s">
        <v>4679</v>
      </c>
      <c r="H4245" s="103" t="s">
        <v>17262</v>
      </c>
      <c r="I4245" s="103">
        <v>3.15427337E9</v>
      </c>
      <c r="J4245" s="104" t="s">
        <v>17263</v>
      </c>
      <c r="K4245" s="105"/>
      <c r="L4245" s="105"/>
    </row>
    <row r="4246">
      <c r="A4246" s="103" t="s">
        <v>4676</v>
      </c>
      <c r="B4246" s="103">
        <v>1.10014291201E11</v>
      </c>
      <c r="C4246" s="105"/>
      <c r="D4246" s="104" t="s">
        <v>17261</v>
      </c>
      <c r="E4246" s="104" t="s">
        <v>17264</v>
      </c>
      <c r="F4246" s="103" t="s">
        <v>4678</v>
      </c>
      <c r="G4246" s="103" t="s">
        <v>4679</v>
      </c>
      <c r="H4246" s="103" t="s">
        <v>17262</v>
      </c>
      <c r="I4246" s="103">
        <v>3.15427337E9</v>
      </c>
      <c r="J4246" s="104" t="s">
        <v>17263</v>
      </c>
      <c r="K4246" s="105"/>
      <c r="L4246" s="105"/>
    </row>
    <row r="4247">
      <c r="A4247" s="103" t="s">
        <v>4676</v>
      </c>
      <c r="B4247" s="103">
        <v>1.10014293E9</v>
      </c>
      <c r="C4247" s="105"/>
      <c r="D4247" s="104" t="s">
        <v>17265</v>
      </c>
      <c r="E4247" s="106"/>
      <c r="F4247" s="103" t="s">
        <v>4678</v>
      </c>
      <c r="G4247" s="103" t="s">
        <v>4679</v>
      </c>
      <c r="H4247" s="103" t="s">
        <v>17266</v>
      </c>
      <c r="I4247" s="103">
        <v>6232414.0</v>
      </c>
      <c r="J4247" s="104" t="s">
        <v>17267</v>
      </c>
      <c r="K4247" s="103" t="s">
        <v>17268</v>
      </c>
      <c r="L4247" s="105"/>
    </row>
    <row r="4248">
      <c r="A4248" s="103" t="s">
        <v>4676</v>
      </c>
      <c r="B4248" s="103">
        <v>1.10014293001E11</v>
      </c>
      <c r="C4248" s="105"/>
      <c r="D4248" s="104" t="s">
        <v>17269</v>
      </c>
      <c r="E4248" s="104" t="s">
        <v>17270</v>
      </c>
      <c r="F4248" s="103" t="s">
        <v>4678</v>
      </c>
      <c r="G4248" s="103" t="s">
        <v>4679</v>
      </c>
      <c r="H4248" s="103" t="s">
        <v>17271</v>
      </c>
      <c r="I4248" s="103">
        <v>6232414.0</v>
      </c>
      <c r="J4248" s="104" t="s">
        <v>17267</v>
      </c>
      <c r="K4248" s="105"/>
      <c r="L4248" s="105"/>
    </row>
    <row r="4249">
      <c r="A4249" s="103" t="s">
        <v>4676</v>
      </c>
      <c r="B4249" s="103">
        <v>1.100142955E9</v>
      </c>
      <c r="C4249" s="105"/>
      <c r="D4249" s="104" t="s">
        <v>17272</v>
      </c>
      <c r="E4249" s="106"/>
      <c r="F4249" s="103" t="s">
        <v>4678</v>
      </c>
      <c r="G4249" s="103" t="s">
        <v>4679</v>
      </c>
      <c r="H4249" s="103" t="s">
        <v>17273</v>
      </c>
      <c r="I4249" s="103" t="s">
        <v>17274</v>
      </c>
      <c r="J4249" s="104" t="s">
        <v>17275</v>
      </c>
      <c r="K4249" s="105"/>
      <c r="L4249" s="105"/>
    </row>
    <row r="4250">
      <c r="A4250" s="103" t="s">
        <v>4676</v>
      </c>
      <c r="B4250" s="103">
        <v>1.10014295501E11</v>
      </c>
      <c r="C4250" s="105"/>
      <c r="D4250" s="104" t="s">
        <v>17276</v>
      </c>
      <c r="E4250" s="104" t="s">
        <v>17277</v>
      </c>
      <c r="F4250" s="103" t="s">
        <v>4678</v>
      </c>
      <c r="G4250" s="103" t="s">
        <v>4679</v>
      </c>
      <c r="H4250" s="103" t="s">
        <v>17273</v>
      </c>
      <c r="I4250" s="103" t="s">
        <v>17278</v>
      </c>
      <c r="J4250" s="104" t="s">
        <v>17275</v>
      </c>
      <c r="K4250" s="105"/>
      <c r="L4250" s="105"/>
    </row>
    <row r="4251">
      <c r="A4251" s="103" t="s">
        <v>4676</v>
      </c>
      <c r="B4251" s="103">
        <v>1.100142964E9</v>
      </c>
      <c r="C4251" s="105"/>
      <c r="D4251" s="104" t="s">
        <v>17279</v>
      </c>
      <c r="E4251" s="106"/>
      <c r="F4251" s="103" t="s">
        <v>4678</v>
      </c>
      <c r="G4251" s="103" t="s">
        <v>4679</v>
      </c>
      <c r="H4251" s="103" t="s">
        <v>17280</v>
      </c>
      <c r="I4251" s="103">
        <v>3.143332405E9</v>
      </c>
      <c r="J4251" s="104" t="s">
        <v>17281</v>
      </c>
      <c r="K4251" s="105"/>
      <c r="L4251" s="105"/>
    </row>
    <row r="4252">
      <c r="A4252" s="103" t="s">
        <v>4676</v>
      </c>
      <c r="B4252" s="103">
        <v>1.10014296401E11</v>
      </c>
      <c r="C4252" s="105"/>
      <c r="D4252" s="104" t="s">
        <v>17282</v>
      </c>
      <c r="E4252" s="104" t="s">
        <v>17283</v>
      </c>
      <c r="F4252" s="103" t="s">
        <v>4678</v>
      </c>
      <c r="G4252" s="103" t="s">
        <v>4679</v>
      </c>
      <c r="H4252" s="103" t="s">
        <v>17280</v>
      </c>
      <c r="I4252" s="103">
        <v>3.143332405E9</v>
      </c>
      <c r="J4252" s="104" t="s">
        <v>17281</v>
      </c>
      <c r="K4252" s="105"/>
      <c r="L4252" s="105"/>
    </row>
    <row r="4253">
      <c r="A4253" s="103" t="s">
        <v>4676</v>
      </c>
      <c r="B4253" s="103">
        <v>1.100142979E9</v>
      </c>
      <c r="C4253" s="105"/>
      <c r="D4253" s="104" t="s">
        <v>17284</v>
      </c>
      <c r="E4253" s="106"/>
      <c r="F4253" s="103" t="s">
        <v>4678</v>
      </c>
      <c r="G4253" s="103" t="s">
        <v>4679</v>
      </c>
      <c r="H4253" s="103" t="s">
        <v>17285</v>
      </c>
      <c r="I4253" s="103">
        <v>3.173310427E9</v>
      </c>
      <c r="J4253" s="104" t="s">
        <v>17286</v>
      </c>
      <c r="K4253" s="105"/>
      <c r="L4253" s="105"/>
    </row>
    <row r="4254">
      <c r="A4254" s="103" t="s">
        <v>4676</v>
      </c>
      <c r="B4254" s="103">
        <v>1.10014297901E11</v>
      </c>
      <c r="C4254" s="105"/>
      <c r="D4254" s="104" t="s">
        <v>17287</v>
      </c>
      <c r="E4254" s="104" t="s">
        <v>17288</v>
      </c>
      <c r="F4254" s="103" t="s">
        <v>4678</v>
      </c>
      <c r="G4254" s="103" t="s">
        <v>4679</v>
      </c>
      <c r="H4254" s="103" t="s">
        <v>17285</v>
      </c>
      <c r="I4254" s="103">
        <v>3.173310427E9</v>
      </c>
      <c r="J4254" s="104" t="s">
        <v>17286</v>
      </c>
      <c r="K4254" s="105"/>
      <c r="L4254" s="105"/>
    </row>
    <row r="4255">
      <c r="A4255" s="103" t="s">
        <v>4676</v>
      </c>
      <c r="B4255" s="103">
        <v>1.100142997E9</v>
      </c>
      <c r="C4255" s="105"/>
      <c r="D4255" s="104" t="s">
        <v>17289</v>
      </c>
      <c r="E4255" s="106"/>
      <c r="F4255" s="103" t="s">
        <v>4678</v>
      </c>
      <c r="G4255" s="103" t="s">
        <v>4679</v>
      </c>
      <c r="H4255" s="103" t="s">
        <v>17290</v>
      </c>
      <c r="I4255" s="103">
        <v>3.247576903E9</v>
      </c>
      <c r="J4255" s="104" t="s">
        <v>17291</v>
      </c>
      <c r="K4255" s="107" t="s">
        <v>15591</v>
      </c>
      <c r="L4255" s="105"/>
    </row>
    <row r="4256">
      <c r="A4256" s="103" t="s">
        <v>4676</v>
      </c>
      <c r="B4256" s="103">
        <v>1.10014299701E11</v>
      </c>
      <c r="C4256" s="105"/>
      <c r="D4256" s="104" t="s">
        <v>17289</v>
      </c>
      <c r="E4256" s="104" t="s">
        <v>17292</v>
      </c>
      <c r="F4256" s="103" t="s">
        <v>4678</v>
      </c>
      <c r="G4256" s="103" t="s">
        <v>4679</v>
      </c>
      <c r="H4256" s="103" t="s">
        <v>17290</v>
      </c>
      <c r="I4256" s="103">
        <v>3.247576903E9</v>
      </c>
      <c r="J4256" s="104" t="s">
        <v>17291</v>
      </c>
      <c r="K4256" s="105"/>
      <c r="L4256" s="105"/>
    </row>
    <row r="4257">
      <c r="A4257" s="103" t="s">
        <v>4676</v>
      </c>
      <c r="B4257" s="103">
        <v>1.100143057E9</v>
      </c>
      <c r="C4257" s="105"/>
      <c r="D4257" s="104" t="s">
        <v>17293</v>
      </c>
      <c r="E4257" s="106"/>
      <c r="F4257" s="103" t="s">
        <v>4678</v>
      </c>
      <c r="G4257" s="103" t="s">
        <v>4679</v>
      </c>
      <c r="H4257" s="103" t="s">
        <v>17294</v>
      </c>
      <c r="I4257" s="103">
        <v>3.10343609E9</v>
      </c>
      <c r="J4257" s="104" t="s">
        <v>17295</v>
      </c>
      <c r="K4257" s="105"/>
      <c r="L4257" s="105"/>
    </row>
    <row r="4258">
      <c r="A4258" s="103" t="s">
        <v>4676</v>
      </c>
      <c r="B4258" s="103">
        <v>1.10014305701E11</v>
      </c>
      <c r="C4258" s="105"/>
      <c r="D4258" s="104" t="s">
        <v>17293</v>
      </c>
      <c r="E4258" s="104" t="s">
        <v>17296</v>
      </c>
      <c r="F4258" s="103" t="s">
        <v>4678</v>
      </c>
      <c r="G4258" s="103" t="s">
        <v>4679</v>
      </c>
      <c r="H4258" s="103" t="s">
        <v>17294</v>
      </c>
      <c r="I4258" s="103">
        <v>3.10343609E9</v>
      </c>
      <c r="J4258" s="104" t="s">
        <v>17295</v>
      </c>
      <c r="K4258" s="105"/>
      <c r="L4258" s="105"/>
    </row>
    <row r="4259">
      <c r="A4259" s="103" t="s">
        <v>4676</v>
      </c>
      <c r="B4259" s="103">
        <v>1.100143066E9</v>
      </c>
      <c r="C4259" s="105"/>
      <c r="D4259" s="104" t="s">
        <v>17297</v>
      </c>
      <c r="E4259" s="106"/>
      <c r="F4259" s="103" t="s">
        <v>4678</v>
      </c>
      <c r="G4259" s="103" t="s">
        <v>4679</v>
      </c>
      <c r="H4259" s="103" t="s">
        <v>17298</v>
      </c>
      <c r="I4259" s="103">
        <v>3.246153228E9</v>
      </c>
      <c r="J4259" s="104" t="s">
        <v>17299</v>
      </c>
      <c r="K4259" s="105"/>
      <c r="L4259" s="105"/>
    </row>
    <row r="4260">
      <c r="A4260" s="103" t="s">
        <v>4676</v>
      </c>
      <c r="B4260" s="103">
        <v>1.10014306601E11</v>
      </c>
      <c r="C4260" s="105"/>
      <c r="D4260" s="104" t="s">
        <v>17297</v>
      </c>
      <c r="E4260" s="104" t="s">
        <v>17300</v>
      </c>
      <c r="F4260" s="103" t="s">
        <v>4678</v>
      </c>
      <c r="G4260" s="103" t="s">
        <v>4679</v>
      </c>
      <c r="H4260" s="103" t="s">
        <v>17298</v>
      </c>
      <c r="I4260" s="103">
        <v>3.246153228E9</v>
      </c>
      <c r="J4260" s="104" t="s">
        <v>17299</v>
      </c>
      <c r="K4260" s="105"/>
      <c r="L4260" s="105"/>
    </row>
    <row r="4261">
      <c r="A4261" s="103" t="s">
        <v>4676</v>
      </c>
      <c r="B4261" s="103">
        <v>1.100143086E9</v>
      </c>
      <c r="C4261" s="105"/>
      <c r="D4261" s="104" t="s">
        <v>17301</v>
      </c>
      <c r="E4261" s="106"/>
      <c r="F4261" s="103" t="s">
        <v>4678</v>
      </c>
      <c r="G4261" s="103" t="s">
        <v>4679</v>
      </c>
      <c r="H4261" s="103" t="s">
        <v>17302</v>
      </c>
      <c r="I4261" s="103">
        <v>3.1260098E9</v>
      </c>
      <c r="J4261" s="104" t="s">
        <v>17303</v>
      </c>
      <c r="K4261" s="107" t="s">
        <v>15591</v>
      </c>
      <c r="L4261" s="105"/>
    </row>
    <row r="4262">
      <c r="A4262" s="103" t="s">
        <v>4676</v>
      </c>
      <c r="B4262" s="103">
        <v>1.10014308601E11</v>
      </c>
      <c r="C4262" s="105"/>
      <c r="D4262" s="104" t="s">
        <v>17301</v>
      </c>
      <c r="E4262" s="104" t="s">
        <v>16279</v>
      </c>
      <c r="F4262" s="103" t="s">
        <v>4678</v>
      </c>
      <c r="G4262" s="103" t="s">
        <v>4679</v>
      </c>
      <c r="H4262" s="103" t="s">
        <v>17302</v>
      </c>
      <c r="I4262" s="103">
        <v>3.1260098E9</v>
      </c>
      <c r="J4262" s="104" t="s">
        <v>17303</v>
      </c>
      <c r="K4262" s="105"/>
      <c r="L4262" s="105"/>
    </row>
    <row r="4263">
      <c r="A4263" s="103" t="s">
        <v>4676</v>
      </c>
      <c r="B4263" s="103">
        <v>1.10014309E9</v>
      </c>
      <c r="C4263" s="105"/>
      <c r="D4263" s="104" t="s">
        <v>17304</v>
      </c>
      <c r="E4263" s="106"/>
      <c r="F4263" s="103" t="s">
        <v>4678</v>
      </c>
      <c r="G4263" s="103" t="s">
        <v>4679</v>
      </c>
      <c r="H4263" s="103" t="s">
        <v>17305</v>
      </c>
      <c r="I4263" s="103">
        <v>3.243977795E9</v>
      </c>
      <c r="J4263" s="104" t="s">
        <v>17306</v>
      </c>
      <c r="K4263" s="105"/>
      <c r="L4263" s="105"/>
    </row>
    <row r="4264">
      <c r="A4264" s="103" t="s">
        <v>4676</v>
      </c>
      <c r="B4264" s="103">
        <v>1.10014309001E11</v>
      </c>
      <c r="C4264" s="105"/>
      <c r="D4264" s="104" t="s">
        <v>17307</v>
      </c>
      <c r="E4264" s="104" t="s">
        <v>17308</v>
      </c>
      <c r="F4264" s="103" t="s">
        <v>4678</v>
      </c>
      <c r="G4264" s="103" t="s">
        <v>4679</v>
      </c>
      <c r="H4264" s="103" t="s">
        <v>17305</v>
      </c>
      <c r="I4264" s="103">
        <v>3.243977795E9</v>
      </c>
      <c r="J4264" s="104" t="s">
        <v>17306</v>
      </c>
      <c r="K4264" s="105"/>
      <c r="L4264" s="105"/>
    </row>
    <row r="4265">
      <c r="A4265" s="103" t="s">
        <v>4676</v>
      </c>
      <c r="B4265" s="103">
        <v>1.100143115E9</v>
      </c>
      <c r="C4265" s="105"/>
      <c r="D4265" s="104" t="s">
        <v>17309</v>
      </c>
      <c r="E4265" s="106"/>
      <c r="F4265" s="103" t="s">
        <v>4678</v>
      </c>
      <c r="G4265" s="103" t="s">
        <v>4679</v>
      </c>
      <c r="H4265" s="103" t="s">
        <v>17310</v>
      </c>
      <c r="I4265" s="103">
        <v>6.01808983E9</v>
      </c>
      <c r="J4265" s="104" t="s">
        <v>17311</v>
      </c>
      <c r="K4265" s="105"/>
      <c r="L4265" s="105"/>
    </row>
    <row r="4266">
      <c r="A4266" s="103" t="s">
        <v>4676</v>
      </c>
      <c r="B4266" s="103">
        <v>1.10014311501E11</v>
      </c>
      <c r="C4266" s="105"/>
      <c r="D4266" s="104" t="s">
        <v>17312</v>
      </c>
      <c r="E4266" s="104" t="s">
        <v>17313</v>
      </c>
      <c r="F4266" s="103" t="s">
        <v>4678</v>
      </c>
      <c r="G4266" s="103" t="s">
        <v>4679</v>
      </c>
      <c r="H4266" s="103" t="s">
        <v>17310</v>
      </c>
      <c r="I4266" s="103">
        <v>6.01808983E9</v>
      </c>
      <c r="J4266" s="104" t="s">
        <v>17311</v>
      </c>
      <c r="K4266" s="105"/>
      <c r="L4266" s="105"/>
    </row>
    <row r="4267">
      <c r="A4267" s="103" t="s">
        <v>4676</v>
      </c>
      <c r="B4267" s="103">
        <v>1.100143118E9</v>
      </c>
      <c r="C4267" s="105"/>
      <c r="D4267" s="104" t="s">
        <v>17314</v>
      </c>
      <c r="E4267" s="106"/>
      <c r="F4267" s="103" t="s">
        <v>4678</v>
      </c>
      <c r="G4267" s="103" t="s">
        <v>4679</v>
      </c>
      <c r="H4267" s="103" t="s">
        <v>17315</v>
      </c>
      <c r="I4267" s="103">
        <v>3.002655478E9</v>
      </c>
      <c r="J4267" s="104" t="s">
        <v>17316</v>
      </c>
      <c r="K4267" s="107" t="s">
        <v>17317</v>
      </c>
      <c r="L4267" s="105"/>
    </row>
    <row r="4268">
      <c r="A4268" s="103" t="s">
        <v>4676</v>
      </c>
      <c r="B4268" s="103">
        <v>1.10014311801E11</v>
      </c>
      <c r="C4268" s="105"/>
      <c r="D4268" s="104" t="s">
        <v>17314</v>
      </c>
      <c r="E4268" s="104" t="s">
        <v>17318</v>
      </c>
      <c r="F4268" s="103" t="s">
        <v>4678</v>
      </c>
      <c r="G4268" s="103" t="s">
        <v>4679</v>
      </c>
      <c r="H4268" s="103" t="s">
        <v>17315</v>
      </c>
      <c r="I4268" s="103">
        <v>3.002655478E9</v>
      </c>
      <c r="J4268" s="104" t="s">
        <v>17316</v>
      </c>
      <c r="K4268" s="105"/>
      <c r="L4268" s="105"/>
    </row>
    <row r="4269">
      <c r="A4269" s="103" t="s">
        <v>4676</v>
      </c>
      <c r="B4269" s="103">
        <v>1.10014312E9</v>
      </c>
      <c r="C4269" s="105"/>
      <c r="D4269" s="104" t="s">
        <v>17319</v>
      </c>
      <c r="E4269" s="106"/>
      <c r="F4269" s="103" t="s">
        <v>4678</v>
      </c>
      <c r="G4269" s="103" t="s">
        <v>4679</v>
      </c>
      <c r="H4269" s="103" t="s">
        <v>17320</v>
      </c>
      <c r="I4269" s="103">
        <v>3.103481914E9</v>
      </c>
      <c r="J4269" s="104" t="s">
        <v>17321</v>
      </c>
      <c r="K4269" s="107" t="s">
        <v>17322</v>
      </c>
      <c r="L4269" s="105"/>
    </row>
    <row r="4270">
      <c r="A4270" s="103" t="s">
        <v>4676</v>
      </c>
      <c r="B4270" s="103">
        <v>1.10014312001E11</v>
      </c>
      <c r="C4270" s="105"/>
      <c r="D4270" s="104" t="s">
        <v>17319</v>
      </c>
      <c r="E4270" s="104" t="s">
        <v>17323</v>
      </c>
      <c r="F4270" s="103" t="s">
        <v>4678</v>
      </c>
      <c r="G4270" s="103" t="s">
        <v>4679</v>
      </c>
      <c r="H4270" s="103" t="s">
        <v>17324</v>
      </c>
      <c r="I4270" s="103">
        <v>3.103481914E9</v>
      </c>
      <c r="J4270" s="104" t="s">
        <v>17321</v>
      </c>
      <c r="K4270" s="105"/>
      <c r="L4270" s="105"/>
    </row>
    <row r="4271">
      <c r="A4271" s="103" t="s">
        <v>4676</v>
      </c>
      <c r="B4271" s="103">
        <v>1.100143125E9</v>
      </c>
      <c r="C4271" s="105"/>
      <c r="D4271" s="104" t="s">
        <v>17325</v>
      </c>
      <c r="E4271" s="106"/>
      <c r="F4271" s="103" t="s">
        <v>4678</v>
      </c>
      <c r="G4271" s="103" t="s">
        <v>4679</v>
      </c>
      <c r="H4271" s="103" t="s">
        <v>17326</v>
      </c>
      <c r="I4271" s="103">
        <v>3.144549839E9</v>
      </c>
      <c r="J4271" s="104" t="s">
        <v>17327</v>
      </c>
      <c r="K4271" s="105"/>
      <c r="L4271" s="105"/>
    </row>
    <row r="4272">
      <c r="A4272" s="103" t="s">
        <v>4676</v>
      </c>
      <c r="B4272" s="103">
        <v>1.10014312501E11</v>
      </c>
      <c r="C4272" s="105"/>
      <c r="D4272" s="104" t="s">
        <v>17325</v>
      </c>
      <c r="E4272" s="104" t="s">
        <v>17328</v>
      </c>
      <c r="F4272" s="103" t="s">
        <v>4678</v>
      </c>
      <c r="G4272" s="103" t="s">
        <v>4679</v>
      </c>
      <c r="H4272" s="103" t="s">
        <v>17326</v>
      </c>
      <c r="I4272" s="103">
        <v>3.144549839E9</v>
      </c>
      <c r="J4272" s="104" t="s">
        <v>17327</v>
      </c>
      <c r="K4272" s="105"/>
      <c r="L4272" s="105"/>
    </row>
    <row r="4273">
      <c r="A4273" s="103" t="s">
        <v>4676</v>
      </c>
      <c r="B4273" s="103">
        <v>1.100143149E9</v>
      </c>
      <c r="C4273" s="105"/>
      <c r="D4273" s="104" t="s">
        <v>17329</v>
      </c>
      <c r="E4273" s="106"/>
      <c r="F4273" s="103" t="s">
        <v>4678</v>
      </c>
      <c r="G4273" s="103" t="s">
        <v>4679</v>
      </c>
      <c r="H4273" s="103" t="s">
        <v>17330</v>
      </c>
      <c r="I4273" s="103">
        <v>3.162722311E9</v>
      </c>
      <c r="J4273" s="104" t="s">
        <v>17331</v>
      </c>
      <c r="K4273" s="107" t="s">
        <v>17332</v>
      </c>
      <c r="L4273" s="105"/>
    </row>
    <row r="4274">
      <c r="A4274" s="103" t="s">
        <v>4676</v>
      </c>
      <c r="B4274" s="103">
        <v>1.10014314901E11</v>
      </c>
      <c r="C4274" s="105"/>
      <c r="D4274" s="104" t="s">
        <v>17329</v>
      </c>
      <c r="E4274" s="104" t="s">
        <v>17333</v>
      </c>
      <c r="F4274" s="103" t="s">
        <v>4678</v>
      </c>
      <c r="G4274" s="103" t="s">
        <v>4679</v>
      </c>
      <c r="H4274" s="103" t="s">
        <v>17334</v>
      </c>
      <c r="I4274" s="103">
        <v>3.162722311E9</v>
      </c>
      <c r="J4274" s="104" t="s">
        <v>17331</v>
      </c>
      <c r="K4274" s="105"/>
      <c r="L4274" s="105"/>
    </row>
    <row r="4275">
      <c r="A4275" s="103" t="s">
        <v>4676</v>
      </c>
      <c r="B4275" s="103">
        <v>1.100143172E9</v>
      </c>
      <c r="C4275" s="105"/>
      <c r="D4275" s="104" t="s">
        <v>17335</v>
      </c>
      <c r="E4275" s="106"/>
      <c r="F4275" s="103" t="s">
        <v>4678</v>
      </c>
      <c r="G4275" s="103" t="s">
        <v>4679</v>
      </c>
      <c r="H4275" s="103" t="s">
        <v>17336</v>
      </c>
      <c r="I4275" s="103">
        <v>3.10221983E9</v>
      </c>
      <c r="J4275" s="104" t="s">
        <v>12331</v>
      </c>
      <c r="K4275" s="107" t="s">
        <v>17337</v>
      </c>
      <c r="L4275" s="105"/>
    </row>
    <row r="4276">
      <c r="A4276" s="103" t="s">
        <v>4676</v>
      </c>
      <c r="B4276" s="103">
        <v>1.10014317201E11</v>
      </c>
      <c r="C4276" s="105"/>
      <c r="D4276" s="104" t="s">
        <v>17338</v>
      </c>
      <c r="E4276" s="104" t="s">
        <v>17339</v>
      </c>
      <c r="F4276" s="103" t="s">
        <v>4678</v>
      </c>
      <c r="G4276" s="103" t="s">
        <v>4679</v>
      </c>
      <c r="H4276" s="103" t="s">
        <v>17340</v>
      </c>
      <c r="I4276" s="103">
        <v>3.10221983E9</v>
      </c>
      <c r="J4276" s="104" t="s">
        <v>12331</v>
      </c>
      <c r="K4276" s="105"/>
      <c r="L4276" s="105"/>
    </row>
    <row r="4277">
      <c r="A4277" s="103" t="s">
        <v>4676</v>
      </c>
      <c r="B4277" s="103">
        <v>1.100143187E9</v>
      </c>
      <c r="C4277" s="105"/>
      <c r="D4277" s="104" t="s">
        <v>17341</v>
      </c>
      <c r="E4277" s="106"/>
      <c r="F4277" s="103" t="s">
        <v>4678</v>
      </c>
      <c r="G4277" s="103" t="s">
        <v>4679</v>
      </c>
      <c r="H4277" s="103" t="s">
        <v>17342</v>
      </c>
      <c r="I4277" s="103">
        <v>3.232348414E9</v>
      </c>
      <c r="J4277" s="104" t="s">
        <v>17343</v>
      </c>
      <c r="K4277" s="105"/>
      <c r="L4277" s="105"/>
    </row>
    <row r="4278">
      <c r="A4278" s="103" t="s">
        <v>4676</v>
      </c>
      <c r="B4278" s="103">
        <v>1.10014318701E11</v>
      </c>
      <c r="C4278" s="105"/>
      <c r="D4278" s="104" t="s">
        <v>17341</v>
      </c>
      <c r="E4278" s="104" t="s">
        <v>17344</v>
      </c>
      <c r="F4278" s="103" t="s">
        <v>4678</v>
      </c>
      <c r="G4278" s="103" t="s">
        <v>4679</v>
      </c>
      <c r="H4278" s="103" t="s">
        <v>17345</v>
      </c>
      <c r="I4278" s="103">
        <v>3.232348414E9</v>
      </c>
      <c r="J4278" s="104" t="s">
        <v>17343</v>
      </c>
      <c r="K4278" s="105"/>
      <c r="L4278" s="105"/>
    </row>
    <row r="4279">
      <c r="A4279" s="103" t="s">
        <v>4676</v>
      </c>
      <c r="B4279" s="103">
        <v>1.100143188E9</v>
      </c>
      <c r="C4279" s="105"/>
      <c r="D4279" s="104" t="s">
        <v>17346</v>
      </c>
      <c r="E4279" s="106"/>
      <c r="F4279" s="103" t="s">
        <v>4678</v>
      </c>
      <c r="G4279" s="103" t="s">
        <v>4679</v>
      </c>
      <c r="H4279" s="103" t="s">
        <v>17347</v>
      </c>
      <c r="I4279" s="103">
        <v>3.108036648E9</v>
      </c>
      <c r="J4279" s="104" t="s">
        <v>17348</v>
      </c>
      <c r="K4279" s="105"/>
      <c r="L4279" s="105"/>
    </row>
    <row r="4280">
      <c r="A4280" s="103" t="s">
        <v>4676</v>
      </c>
      <c r="B4280" s="103">
        <v>1.10014318801E11</v>
      </c>
      <c r="C4280" s="105"/>
      <c r="D4280" s="104" t="s">
        <v>17346</v>
      </c>
      <c r="E4280" s="104" t="s">
        <v>17349</v>
      </c>
      <c r="F4280" s="103" t="s">
        <v>4678</v>
      </c>
      <c r="G4280" s="103" t="s">
        <v>4679</v>
      </c>
      <c r="H4280" s="103" t="s">
        <v>17350</v>
      </c>
      <c r="I4280" s="103">
        <v>3.108036648E9</v>
      </c>
      <c r="J4280" s="104" t="s">
        <v>17348</v>
      </c>
      <c r="K4280" s="105"/>
      <c r="L4280" s="105"/>
    </row>
    <row r="4281">
      <c r="A4281" s="103" t="s">
        <v>4676</v>
      </c>
      <c r="B4281" s="103">
        <v>1.100143197E9</v>
      </c>
      <c r="C4281" s="105"/>
      <c r="D4281" s="104" t="s">
        <v>17351</v>
      </c>
      <c r="E4281" s="106"/>
      <c r="F4281" s="103" t="s">
        <v>4678</v>
      </c>
      <c r="G4281" s="103" t="s">
        <v>4679</v>
      </c>
      <c r="H4281" s="103" t="s">
        <v>17352</v>
      </c>
      <c r="I4281" s="103">
        <v>3.112815864E9</v>
      </c>
      <c r="J4281" s="104" t="s">
        <v>17353</v>
      </c>
      <c r="K4281" s="105"/>
      <c r="L4281" s="105"/>
    </row>
    <row r="4282">
      <c r="A4282" s="103" t="s">
        <v>4676</v>
      </c>
      <c r="B4282" s="103">
        <v>1.10014319701E11</v>
      </c>
      <c r="C4282" s="105"/>
      <c r="D4282" s="104" t="s">
        <v>17354</v>
      </c>
      <c r="E4282" s="104" t="s">
        <v>17355</v>
      </c>
      <c r="F4282" s="103" t="s">
        <v>4678</v>
      </c>
      <c r="G4282" s="103" t="s">
        <v>4679</v>
      </c>
      <c r="H4282" s="103" t="s">
        <v>17352</v>
      </c>
      <c r="I4282" s="103">
        <v>3.112815864E9</v>
      </c>
      <c r="J4282" s="104" t="s">
        <v>17353</v>
      </c>
      <c r="K4282" s="105"/>
      <c r="L4282" s="105"/>
    </row>
    <row r="4283">
      <c r="A4283" s="103" t="s">
        <v>4676</v>
      </c>
      <c r="B4283" s="103">
        <v>1.100143198E9</v>
      </c>
      <c r="C4283" s="105"/>
      <c r="D4283" s="104" t="s">
        <v>17356</v>
      </c>
      <c r="E4283" s="106"/>
      <c r="F4283" s="103" t="s">
        <v>4678</v>
      </c>
      <c r="G4283" s="103" t="s">
        <v>4679</v>
      </c>
      <c r="H4283" s="103" t="s">
        <v>17357</v>
      </c>
      <c r="I4283" s="103">
        <v>3.042093128E9</v>
      </c>
      <c r="J4283" s="104" t="s">
        <v>17358</v>
      </c>
      <c r="K4283" s="105"/>
      <c r="L4283" s="105"/>
    </row>
    <row r="4284">
      <c r="A4284" s="103" t="s">
        <v>4676</v>
      </c>
      <c r="B4284" s="103">
        <v>1.10014319801E11</v>
      </c>
      <c r="C4284" s="105"/>
      <c r="D4284" s="104" t="s">
        <v>17356</v>
      </c>
      <c r="E4284" s="104" t="s">
        <v>17359</v>
      </c>
      <c r="F4284" s="103" t="s">
        <v>4678</v>
      </c>
      <c r="G4284" s="103" t="s">
        <v>4679</v>
      </c>
      <c r="H4284" s="103" t="s">
        <v>17357</v>
      </c>
      <c r="I4284" s="103">
        <v>3.042093128E9</v>
      </c>
      <c r="J4284" s="104" t="s">
        <v>17358</v>
      </c>
      <c r="K4284" s="105"/>
      <c r="L4284" s="105"/>
    </row>
    <row r="4285">
      <c r="A4285" s="103" t="s">
        <v>4676</v>
      </c>
      <c r="B4285" s="103">
        <v>1.100143199E9</v>
      </c>
      <c r="C4285" s="105"/>
      <c r="D4285" s="104" t="s">
        <v>17360</v>
      </c>
      <c r="E4285" s="106"/>
      <c r="F4285" s="103" t="s">
        <v>4678</v>
      </c>
      <c r="G4285" s="103" t="s">
        <v>4679</v>
      </c>
      <c r="H4285" s="103" t="s">
        <v>17361</v>
      </c>
      <c r="I4285" s="103">
        <v>3.138997611E9</v>
      </c>
      <c r="J4285" s="104" t="s">
        <v>17362</v>
      </c>
      <c r="K4285" s="105"/>
      <c r="L4285" s="105"/>
    </row>
    <row r="4286">
      <c r="A4286" s="103" t="s">
        <v>4676</v>
      </c>
      <c r="B4286" s="103">
        <v>1.10014319901E11</v>
      </c>
      <c r="C4286" s="105"/>
      <c r="D4286" s="104" t="s">
        <v>17360</v>
      </c>
      <c r="E4286" s="104" t="s">
        <v>17363</v>
      </c>
      <c r="F4286" s="103" t="s">
        <v>4678</v>
      </c>
      <c r="G4286" s="103" t="s">
        <v>4679</v>
      </c>
      <c r="H4286" s="103" t="s">
        <v>17361</v>
      </c>
      <c r="I4286" s="103">
        <v>3.138997611E9</v>
      </c>
      <c r="J4286" s="104" t="s">
        <v>17362</v>
      </c>
      <c r="K4286" s="105"/>
      <c r="L4286" s="105"/>
    </row>
    <row r="4287">
      <c r="A4287" s="103" t="s">
        <v>4676</v>
      </c>
      <c r="B4287" s="103">
        <v>1.100143202E9</v>
      </c>
      <c r="C4287" s="105"/>
      <c r="D4287" s="104" t="s">
        <v>17364</v>
      </c>
      <c r="E4287" s="106"/>
      <c r="F4287" s="103" t="s">
        <v>4678</v>
      </c>
      <c r="G4287" s="103" t="s">
        <v>4679</v>
      </c>
      <c r="H4287" s="103" t="s">
        <v>17365</v>
      </c>
      <c r="I4287" s="103">
        <v>3.105610555E9</v>
      </c>
      <c r="J4287" s="104" t="s">
        <v>15050</v>
      </c>
      <c r="K4287" s="107" t="s">
        <v>17366</v>
      </c>
      <c r="L4287" s="105"/>
    </row>
    <row r="4288">
      <c r="A4288" s="103" t="s">
        <v>4676</v>
      </c>
      <c r="B4288" s="103">
        <v>1.10014320201E11</v>
      </c>
      <c r="C4288" s="105"/>
      <c r="D4288" s="104" t="s">
        <v>17367</v>
      </c>
      <c r="E4288" s="104" t="s">
        <v>17368</v>
      </c>
      <c r="F4288" s="103" t="s">
        <v>4678</v>
      </c>
      <c r="G4288" s="103" t="s">
        <v>4679</v>
      </c>
      <c r="H4288" s="103" t="s">
        <v>17369</v>
      </c>
      <c r="I4288" s="103">
        <v>3.105610555E9</v>
      </c>
      <c r="J4288" s="104" t="s">
        <v>15050</v>
      </c>
      <c r="K4288" s="105"/>
      <c r="L4288" s="105"/>
    </row>
    <row r="4289">
      <c r="A4289" s="103" t="s">
        <v>4676</v>
      </c>
      <c r="B4289" s="103">
        <v>1.100143208E9</v>
      </c>
      <c r="C4289" s="105"/>
      <c r="D4289" s="104" t="s">
        <v>17370</v>
      </c>
      <c r="E4289" s="106"/>
      <c r="F4289" s="103" t="s">
        <v>4678</v>
      </c>
      <c r="G4289" s="103" t="s">
        <v>4679</v>
      </c>
      <c r="H4289" s="103" t="s">
        <v>17371</v>
      </c>
      <c r="I4289" s="103">
        <v>3.123694811E9</v>
      </c>
      <c r="J4289" s="104" t="s">
        <v>17372</v>
      </c>
      <c r="K4289" s="105"/>
      <c r="L4289" s="105"/>
    </row>
    <row r="4290">
      <c r="A4290" s="103" t="s">
        <v>4676</v>
      </c>
      <c r="B4290" s="103">
        <v>1.10014320801E11</v>
      </c>
      <c r="C4290" s="105"/>
      <c r="D4290" s="104" t="s">
        <v>17373</v>
      </c>
      <c r="E4290" s="104" t="s">
        <v>17374</v>
      </c>
      <c r="F4290" s="103" t="s">
        <v>4678</v>
      </c>
      <c r="G4290" s="103" t="s">
        <v>4679</v>
      </c>
      <c r="H4290" s="103" t="s">
        <v>17371</v>
      </c>
      <c r="I4290" s="103">
        <v>3.123694811E9</v>
      </c>
      <c r="J4290" s="104" t="s">
        <v>17372</v>
      </c>
      <c r="K4290" s="105"/>
      <c r="L4290" s="105"/>
    </row>
    <row r="4291">
      <c r="A4291" s="103" t="s">
        <v>4676</v>
      </c>
      <c r="B4291" s="103">
        <v>1.10014320802E11</v>
      </c>
      <c r="C4291" s="105"/>
      <c r="D4291" s="104" t="s">
        <v>17375</v>
      </c>
      <c r="E4291" s="104" t="s">
        <v>17374</v>
      </c>
      <c r="F4291" s="103" t="s">
        <v>4678</v>
      </c>
      <c r="G4291" s="103" t="s">
        <v>4679</v>
      </c>
      <c r="H4291" s="103" t="s">
        <v>17376</v>
      </c>
      <c r="I4291" s="103" t="s">
        <v>17377</v>
      </c>
      <c r="J4291" s="104" t="s">
        <v>17378</v>
      </c>
      <c r="K4291" s="105"/>
      <c r="L4291" s="105"/>
    </row>
    <row r="4292">
      <c r="A4292" s="103" t="s">
        <v>4676</v>
      </c>
      <c r="B4292" s="103">
        <v>1.100143237E9</v>
      </c>
      <c r="C4292" s="105"/>
      <c r="D4292" s="104" t="s">
        <v>17379</v>
      </c>
      <c r="E4292" s="106"/>
      <c r="F4292" s="103" t="s">
        <v>4678</v>
      </c>
      <c r="G4292" s="103" t="s">
        <v>4679</v>
      </c>
      <c r="H4292" s="103" t="s">
        <v>17380</v>
      </c>
      <c r="I4292" s="103">
        <v>3.22898863E9</v>
      </c>
      <c r="J4292" s="104" t="s">
        <v>17381</v>
      </c>
      <c r="K4292" s="105"/>
      <c r="L4292" s="105"/>
    </row>
    <row r="4293">
      <c r="A4293" s="103" t="s">
        <v>4676</v>
      </c>
      <c r="B4293" s="103">
        <v>1.10014323701E11</v>
      </c>
      <c r="C4293" s="105"/>
      <c r="D4293" s="104" t="s">
        <v>17379</v>
      </c>
      <c r="E4293" s="104" t="s">
        <v>17382</v>
      </c>
      <c r="F4293" s="103" t="s">
        <v>4678</v>
      </c>
      <c r="G4293" s="103" t="s">
        <v>4679</v>
      </c>
      <c r="H4293" s="103" t="s">
        <v>17380</v>
      </c>
      <c r="I4293" s="103">
        <v>3.22898863E9</v>
      </c>
      <c r="J4293" s="104" t="s">
        <v>17381</v>
      </c>
      <c r="K4293" s="105"/>
      <c r="L4293" s="105"/>
    </row>
    <row r="4294">
      <c r="A4294" s="103" t="s">
        <v>4676</v>
      </c>
      <c r="B4294" s="103">
        <v>1.100143286E9</v>
      </c>
      <c r="C4294" s="105"/>
      <c r="D4294" s="104" t="s">
        <v>17383</v>
      </c>
      <c r="E4294" s="106"/>
      <c r="F4294" s="103" t="s">
        <v>4678</v>
      </c>
      <c r="G4294" s="103" t="s">
        <v>4679</v>
      </c>
      <c r="H4294" s="103" t="s">
        <v>17384</v>
      </c>
      <c r="I4294" s="103">
        <v>3.132368924E9</v>
      </c>
      <c r="J4294" s="104" t="s">
        <v>17385</v>
      </c>
      <c r="K4294" s="107" t="s">
        <v>17386</v>
      </c>
      <c r="L4294" s="105"/>
    </row>
    <row r="4295">
      <c r="A4295" s="103" t="s">
        <v>4676</v>
      </c>
      <c r="B4295" s="103">
        <v>1.10014328601E11</v>
      </c>
      <c r="C4295" s="105"/>
      <c r="D4295" s="104" t="s">
        <v>17383</v>
      </c>
      <c r="E4295" s="104" t="s">
        <v>17387</v>
      </c>
      <c r="F4295" s="103" t="s">
        <v>4678</v>
      </c>
      <c r="G4295" s="103" t="s">
        <v>4679</v>
      </c>
      <c r="H4295" s="103" t="s">
        <v>17384</v>
      </c>
      <c r="I4295" s="103">
        <v>3.132368924E9</v>
      </c>
      <c r="J4295" s="104" t="s">
        <v>17385</v>
      </c>
      <c r="K4295" s="105"/>
      <c r="L4295" s="105"/>
    </row>
    <row r="4296">
      <c r="A4296" s="103" t="s">
        <v>4676</v>
      </c>
      <c r="B4296" s="103">
        <v>1.10014331E9</v>
      </c>
      <c r="C4296" s="105"/>
      <c r="D4296" s="104" t="s">
        <v>17388</v>
      </c>
      <c r="E4296" s="106"/>
      <c r="F4296" s="103" t="s">
        <v>4678</v>
      </c>
      <c r="G4296" s="103" t="s">
        <v>4679</v>
      </c>
      <c r="H4296" s="103" t="s">
        <v>17389</v>
      </c>
      <c r="I4296" s="103">
        <v>3.017140134E9</v>
      </c>
      <c r="J4296" s="104" t="s">
        <v>17390</v>
      </c>
      <c r="K4296" s="105"/>
      <c r="L4296" s="105"/>
    </row>
    <row r="4297">
      <c r="A4297" s="103" t="s">
        <v>4676</v>
      </c>
      <c r="B4297" s="103">
        <v>1.10014331001E11</v>
      </c>
      <c r="C4297" s="105"/>
      <c r="D4297" s="104" t="s">
        <v>17388</v>
      </c>
      <c r="E4297" s="104" t="s">
        <v>17391</v>
      </c>
      <c r="F4297" s="103" t="s">
        <v>4678</v>
      </c>
      <c r="G4297" s="103" t="s">
        <v>4679</v>
      </c>
      <c r="H4297" s="103" t="s">
        <v>17389</v>
      </c>
      <c r="I4297" s="103">
        <v>3.017140134E9</v>
      </c>
      <c r="J4297" s="104" t="s">
        <v>17390</v>
      </c>
      <c r="K4297" s="105"/>
      <c r="L4297" s="105"/>
    </row>
    <row r="4298">
      <c r="A4298" s="103" t="s">
        <v>4676</v>
      </c>
      <c r="B4298" s="103">
        <v>1.100143339E9</v>
      </c>
      <c r="C4298" s="105"/>
      <c r="D4298" s="104" t="s">
        <v>17392</v>
      </c>
      <c r="E4298" s="106"/>
      <c r="F4298" s="103" t="s">
        <v>4678</v>
      </c>
      <c r="G4298" s="103" t="s">
        <v>4679</v>
      </c>
      <c r="H4298" s="103" t="s">
        <v>17393</v>
      </c>
      <c r="I4298" s="103">
        <v>3.123694811E9</v>
      </c>
      <c r="J4298" s="104" t="s">
        <v>17372</v>
      </c>
      <c r="K4298" s="105"/>
      <c r="L4298" s="105"/>
    </row>
    <row r="4299">
      <c r="A4299" s="103" t="s">
        <v>4676</v>
      </c>
      <c r="B4299" s="103">
        <v>1.10014333901E11</v>
      </c>
      <c r="C4299" s="105"/>
      <c r="D4299" s="104" t="s">
        <v>17394</v>
      </c>
      <c r="E4299" s="104" t="s">
        <v>17395</v>
      </c>
      <c r="F4299" s="103" t="s">
        <v>4678</v>
      </c>
      <c r="G4299" s="103" t="s">
        <v>4679</v>
      </c>
      <c r="H4299" s="103" t="s">
        <v>17393</v>
      </c>
      <c r="I4299" s="103">
        <v>3.123694811E9</v>
      </c>
      <c r="J4299" s="104" t="s">
        <v>17372</v>
      </c>
      <c r="K4299" s="105"/>
      <c r="L4299" s="105"/>
    </row>
    <row r="4300">
      <c r="A4300" s="103" t="s">
        <v>4676</v>
      </c>
      <c r="B4300" s="103">
        <v>1.10014333902E11</v>
      </c>
      <c r="C4300" s="105"/>
      <c r="D4300" s="104" t="s">
        <v>17396</v>
      </c>
      <c r="E4300" s="104" t="s">
        <v>17397</v>
      </c>
      <c r="F4300" s="103" t="s">
        <v>4678</v>
      </c>
      <c r="G4300" s="103" t="s">
        <v>4679</v>
      </c>
      <c r="H4300" s="103" t="s">
        <v>17398</v>
      </c>
      <c r="I4300" s="103">
        <v>3.012500969E9</v>
      </c>
      <c r="J4300" s="104" t="s">
        <v>17399</v>
      </c>
      <c r="K4300" s="105"/>
      <c r="L4300" s="105"/>
    </row>
    <row r="4301">
      <c r="A4301" s="103" t="s">
        <v>4676</v>
      </c>
      <c r="B4301" s="103">
        <v>1.10014341E9</v>
      </c>
      <c r="C4301" s="105"/>
      <c r="D4301" s="104" t="s">
        <v>17400</v>
      </c>
      <c r="E4301" s="106"/>
      <c r="F4301" s="103" t="s">
        <v>4678</v>
      </c>
      <c r="G4301" s="103" t="s">
        <v>4679</v>
      </c>
      <c r="H4301" s="103" t="s">
        <v>17401</v>
      </c>
      <c r="I4301" s="103">
        <v>3.161111012E9</v>
      </c>
      <c r="J4301" s="104" t="s">
        <v>17402</v>
      </c>
      <c r="K4301" s="105"/>
      <c r="L4301" s="105"/>
    </row>
    <row r="4302">
      <c r="A4302" s="103" t="s">
        <v>4676</v>
      </c>
      <c r="B4302" s="103">
        <v>1.10014341001E11</v>
      </c>
      <c r="C4302" s="105"/>
      <c r="D4302" s="104" t="s">
        <v>17403</v>
      </c>
      <c r="E4302" s="104" t="s">
        <v>17404</v>
      </c>
      <c r="F4302" s="103" t="s">
        <v>4678</v>
      </c>
      <c r="G4302" s="103" t="s">
        <v>4679</v>
      </c>
      <c r="H4302" s="103" t="s">
        <v>17401</v>
      </c>
      <c r="I4302" s="103">
        <v>3.161111012E9</v>
      </c>
      <c r="J4302" s="104" t="s">
        <v>17402</v>
      </c>
      <c r="K4302" s="105"/>
      <c r="L4302" s="105"/>
    </row>
    <row r="4303">
      <c r="A4303" s="103" t="s">
        <v>4676</v>
      </c>
      <c r="B4303" s="103">
        <v>1.100143496E9</v>
      </c>
      <c r="C4303" s="105"/>
      <c r="D4303" s="104" t="s">
        <v>17405</v>
      </c>
      <c r="E4303" s="106"/>
      <c r="F4303" s="103" t="s">
        <v>4678</v>
      </c>
      <c r="G4303" s="103" t="s">
        <v>4679</v>
      </c>
      <c r="H4303" s="103" t="s">
        <v>17406</v>
      </c>
      <c r="I4303" s="103">
        <v>3.143304824E9</v>
      </c>
      <c r="J4303" s="104" t="s">
        <v>17407</v>
      </c>
      <c r="K4303" s="107" t="s">
        <v>17408</v>
      </c>
      <c r="L4303" s="105"/>
    </row>
    <row r="4304">
      <c r="A4304" s="103" t="s">
        <v>4676</v>
      </c>
      <c r="B4304" s="103">
        <v>1.10014349601E11</v>
      </c>
      <c r="C4304" s="105"/>
      <c r="D4304" s="104" t="s">
        <v>17405</v>
      </c>
      <c r="E4304" s="104" t="s">
        <v>17409</v>
      </c>
      <c r="F4304" s="103" t="s">
        <v>4678</v>
      </c>
      <c r="G4304" s="103" t="s">
        <v>4679</v>
      </c>
      <c r="H4304" s="103" t="s">
        <v>17406</v>
      </c>
      <c r="I4304" s="103">
        <v>3.143304824E9</v>
      </c>
      <c r="J4304" s="104" t="s">
        <v>17407</v>
      </c>
      <c r="K4304" s="105"/>
      <c r="L4304" s="105"/>
    </row>
    <row r="4305">
      <c r="A4305" s="103" t="s">
        <v>4676</v>
      </c>
      <c r="B4305" s="103">
        <v>1.100143514E9</v>
      </c>
      <c r="C4305" s="105"/>
      <c r="D4305" s="104" t="s">
        <v>17410</v>
      </c>
      <c r="E4305" s="106"/>
      <c r="F4305" s="103" t="s">
        <v>4678</v>
      </c>
      <c r="G4305" s="103" t="s">
        <v>4679</v>
      </c>
      <c r="H4305" s="103" t="s">
        <v>17411</v>
      </c>
      <c r="I4305" s="103">
        <v>3.041306066E9</v>
      </c>
      <c r="J4305" s="104" t="s">
        <v>17412</v>
      </c>
      <c r="K4305" s="107" t="s">
        <v>17413</v>
      </c>
      <c r="L4305" s="105"/>
    </row>
    <row r="4306">
      <c r="A4306" s="103" t="s">
        <v>4676</v>
      </c>
      <c r="B4306" s="103">
        <v>1.10014351401E11</v>
      </c>
      <c r="C4306" s="105"/>
      <c r="D4306" s="104" t="s">
        <v>17414</v>
      </c>
      <c r="E4306" s="104" t="s">
        <v>17415</v>
      </c>
      <c r="F4306" s="103" t="s">
        <v>4678</v>
      </c>
      <c r="G4306" s="103" t="s">
        <v>4679</v>
      </c>
      <c r="H4306" s="103" t="s">
        <v>17416</v>
      </c>
      <c r="I4306" s="103">
        <v>3.041306066E9</v>
      </c>
      <c r="J4306" s="104" t="s">
        <v>17412</v>
      </c>
      <c r="K4306" s="105"/>
      <c r="L4306" s="105"/>
    </row>
    <row r="4307">
      <c r="A4307" s="103" t="s">
        <v>4676</v>
      </c>
      <c r="B4307" s="103">
        <v>1.100143515E9</v>
      </c>
      <c r="C4307" s="105"/>
      <c r="D4307" s="104" t="s">
        <v>17417</v>
      </c>
      <c r="E4307" s="106"/>
      <c r="F4307" s="103" t="s">
        <v>4678</v>
      </c>
      <c r="G4307" s="103" t="s">
        <v>4679</v>
      </c>
      <c r="H4307" s="103" t="s">
        <v>17418</v>
      </c>
      <c r="I4307" s="103">
        <v>3.142227252E9</v>
      </c>
      <c r="J4307" s="104" t="s">
        <v>17419</v>
      </c>
      <c r="K4307" s="105"/>
      <c r="L4307" s="105"/>
    </row>
    <row r="4308">
      <c r="A4308" s="103" t="s">
        <v>4676</v>
      </c>
      <c r="B4308" s="103">
        <v>1.10014351501E11</v>
      </c>
      <c r="C4308" s="105"/>
      <c r="D4308" s="104" t="s">
        <v>17417</v>
      </c>
      <c r="E4308" s="104" t="s">
        <v>17420</v>
      </c>
      <c r="F4308" s="103" t="s">
        <v>4678</v>
      </c>
      <c r="G4308" s="103" t="s">
        <v>4679</v>
      </c>
      <c r="H4308" s="103" t="s">
        <v>17418</v>
      </c>
      <c r="I4308" s="103">
        <v>3.142227252E9</v>
      </c>
      <c r="J4308" s="104" t="s">
        <v>17419</v>
      </c>
      <c r="K4308" s="105"/>
      <c r="L4308" s="105"/>
    </row>
    <row r="4309">
      <c r="A4309" s="103" t="s">
        <v>4676</v>
      </c>
      <c r="B4309" s="103">
        <v>1.10014352E9</v>
      </c>
      <c r="C4309" s="105"/>
      <c r="D4309" s="104" t="s">
        <v>17421</v>
      </c>
      <c r="E4309" s="106"/>
      <c r="F4309" s="103" t="s">
        <v>4678</v>
      </c>
      <c r="G4309" s="103" t="s">
        <v>4679</v>
      </c>
      <c r="H4309" s="103" t="s">
        <v>17422</v>
      </c>
      <c r="I4309" s="103">
        <v>3.216468458E9</v>
      </c>
      <c r="J4309" s="104" t="s">
        <v>17423</v>
      </c>
      <c r="K4309" s="107" t="s">
        <v>17424</v>
      </c>
      <c r="L4309" s="105"/>
    </row>
    <row r="4310">
      <c r="A4310" s="103" t="s">
        <v>4676</v>
      </c>
      <c r="B4310" s="103">
        <v>1.10014352001E11</v>
      </c>
      <c r="C4310" s="105"/>
      <c r="D4310" s="104" t="s">
        <v>17425</v>
      </c>
      <c r="E4310" s="104" t="s">
        <v>17426</v>
      </c>
      <c r="F4310" s="103" t="s">
        <v>4678</v>
      </c>
      <c r="G4310" s="103" t="s">
        <v>4679</v>
      </c>
      <c r="H4310" s="103" t="s">
        <v>17422</v>
      </c>
      <c r="I4310" s="103">
        <v>3.216468458E9</v>
      </c>
      <c r="J4310" s="104" t="s">
        <v>17423</v>
      </c>
      <c r="K4310" s="105"/>
      <c r="L4310" s="105"/>
    </row>
    <row r="4311">
      <c r="A4311" s="103" t="s">
        <v>4676</v>
      </c>
      <c r="B4311" s="103">
        <v>1.100143572E9</v>
      </c>
      <c r="C4311" s="105"/>
      <c r="D4311" s="104" t="s">
        <v>17427</v>
      </c>
      <c r="E4311" s="106"/>
      <c r="F4311" s="103" t="s">
        <v>4678</v>
      </c>
      <c r="G4311" s="103" t="s">
        <v>4679</v>
      </c>
      <c r="H4311" s="103" t="s">
        <v>17428</v>
      </c>
      <c r="I4311" s="103">
        <v>3.143596088E9</v>
      </c>
      <c r="J4311" s="104" t="s">
        <v>17429</v>
      </c>
      <c r="K4311" s="103" t="s">
        <v>17430</v>
      </c>
      <c r="L4311" s="105"/>
    </row>
    <row r="4312">
      <c r="A4312" s="103" t="s">
        <v>4676</v>
      </c>
      <c r="B4312" s="103">
        <v>1.10014357201E11</v>
      </c>
      <c r="C4312" s="105"/>
      <c r="D4312" s="104" t="s">
        <v>17427</v>
      </c>
      <c r="E4312" s="104" t="s">
        <v>17431</v>
      </c>
      <c r="F4312" s="103" t="s">
        <v>4678</v>
      </c>
      <c r="G4312" s="103" t="s">
        <v>4679</v>
      </c>
      <c r="H4312" s="103" t="s">
        <v>17428</v>
      </c>
      <c r="I4312" s="103">
        <v>3.143596088E9</v>
      </c>
      <c r="J4312" s="104" t="s">
        <v>17429</v>
      </c>
      <c r="K4312" s="105"/>
      <c r="L4312" s="105"/>
    </row>
    <row r="4313">
      <c r="A4313" s="103" t="s">
        <v>4676</v>
      </c>
      <c r="B4313" s="103">
        <v>1.100143577E9</v>
      </c>
      <c r="C4313" s="105"/>
      <c r="D4313" s="104" t="s">
        <v>17432</v>
      </c>
      <c r="E4313" s="106"/>
      <c r="F4313" s="103" t="s">
        <v>4678</v>
      </c>
      <c r="G4313" s="103" t="s">
        <v>4679</v>
      </c>
      <c r="H4313" s="103" t="s">
        <v>17433</v>
      </c>
      <c r="I4313" s="103">
        <v>6.016169979E9</v>
      </c>
      <c r="J4313" s="104" t="s">
        <v>17434</v>
      </c>
      <c r="K4313" s="105"/>
      <c r="L4313" s="105"/>
    </row>
    <row r="4314">
      <c r="A4314" s="103" t="s">
        <v>4676</v>
      </c>
      <c r="B4314" s="103">
        <v>1.10014357701E11</v>
      </c>
      <c r="C4314" s="105"/>
      <c r="D4314" s="104" t="s">
        <v>17435</v>
      </c>
      <c r="E4314" s="104" t="s">
        <v>17436</v>
      </c>
      <c r="F4314" s="103" t="s">
        <v>4678</v>
      </c>
      <c r="G4314" s="103" t="s">
        <v>4679</v>
      </c>
      <c r="H4314" s="103" t="s">
        <v>17433</v>
      </c>
      <c r="I4314" s="103">
        <v>6.016169979E9</v>
      </c>
      <c r="J4314" s="104" t="s">
        <v>17434</v>
      </c>
      <c r="K4314" s="105"/>
      <c r="L4314" s="105"/>
    </row>
    <row r="4315">
      <c r="A4315" s="103" t="s">
        <v>4676</v>
      </c>
      <c r="B4315" s="103">
        <v>1.100143665E9</v>
      </c>
      <c r="C4315" s="105"/>
      <c r="D4315" s="104" t="s">
        <v>17437</v>
      </c>
      <c r="E4315" s="106"/>
      <c r="F4315" s="103" t="s">
        <v>4678</v>
      </c>
      <c r="G4315" s="103" t="s">
        <v>4679</v>
      </c>
      <c r="H4315" s="103" t="s">
        <v>17438</v>
      </c>
      <c r="I4315" s="103">
        <v>3.223579925E9</v>
      </c>
      <c r="J4315" s="104" t="s">
        <v>17439</v>
      </c>
      <c r="K4315" s="105"/>
      <c r="L4315" s="105"/>
    </row>
    <row r="4316">
      <c r="A4316" s="103" t="s">
        <v>4676</v>
      </c>
      <c r="B4316" s="103">
        <v>1.10014366501E11</v>
      </c>
      <c r="C4316" s="105"/>
      <c r="D4316" s="104" t="s">
        <v>17437</v>
      </c>
      <c r="E4316" s="104" t="s">
        <v>17440</v>
      </c>
      <c r="F4316" s="103" t="s">
        <v>4678</v>
      </c>
      <c r="G4316" s="103" t="s">
        <v>4679</v>
      </c>
      <c r="H4316" s="103" t="s">
        <v>17438</v>
      </c>
      <c r="I4316" s="103">
        <v>3.223579925E9</v>
      </c>
      <c r="J4316" s="104" t="s">
        <v>17439</v>
      </c>
      <c r="K4316" s="105"/>
      <c r="L4316" s="105"/>
    </row>
    <row r="4317">
      <c r="A4317" s="103" t="s">
        <v>4676</v>
      </c>
      <c r="B4317" s="103">
        <v>1.100143732E9</v>
      </c>
      <c r="C4317" s="105"/>
      <c r="D4317" s="104" t="s">
        <v>17441</v>
      </c>
      <c r="E4317" s="106"/>
      <c r="F4317" s="103" t="s">
        <v>4678</v>
      </c>
      <c r="G4317" s="103" t="s">
        <v>4679</v>
      </c>
      <c r="H4317" s="103" t="s">
        <v>17442</v>
      </c>
      <c r="I4317" s="103">
        <v>3.105749339E9</v>
      </c>
      <c r="J4317" s="104" t="s">
        <v>17443</v>
      </c>
      <c r="K4317" s="107" t="s">
        <v>17444</v>
      </c>
      <c r="L4317" s="105"/>
    </row>
    <row r="4318">
      <c r="A4318" s="103" t="s">
        <v>4676</v>
      </c>
      <c r="B4318" s="103">
        <v>1.10014373201E11</v>
      </c>
      <c r="C4318" s="105"/>
      <c r="D4318" s="104" t="s">
        <v>17441</v>
      </c>
      <c r="E4318" s="104" t="s">
        <v>17445</v>
      </c>
      <c r="F4318" s="103" t="s">
        <v>4678</v>
      </c>
      <c r="G4318" s="103" t="s">
        <v>4679</v>
      </c>
      <c r="H4318" s="103" t="s">
        <v>17442</v>
      </c>
      <c r="I4318" s="103">
        <v>3.105749339E9</v>
      </c>
      <c r="J4318" s="104" t="s">
        <v>17443</v>
      </c>
      <c r="K4318" s="105"/>
      <c r="L4318" s="105"/>
    </row>
  </sheetData>
  <hyperlinks>
    <hyperlink r:id="rId1" ref="K7"/>
    <hyperlink r:id="rId2" ref="K70"/>
    <hyperlink r:id="rId3" ref="K80"/>
    <hyperlink r:id="rId4" ref="K83"/>
    <hyperlink r:id="rId5" ref="K124"/>
    <hyperlink r:id="rId6" ref="K136"/>
    <hyperlink r:id="rId7" ref="K148"/>
    <hyperlink r:id="rId8" ref="K152"/>
    <hyperlink r:id="rId9" ref="K158"/>
    <hyperlink r:id="rId10" ref="K160"/>
    <hyperlink r:id="rId11" ref="K191"/>
    <hyperlink r:id="rId12" ref="K195"/>
    <hyperlink r:id="rId13" ref="K196"/>
    <hyperlink r:id="rId14" ref="K209"/>
    <hyperlink r:id="rId15" ref="K213"/>
    <hyperlink r:id="rId16" ref="K228"/>
    <hyperlink r:id="rId17" ref="K239"/>
    <hyperlink r:id="rId18" ref="K245"/>
    <hyperlink r:id="rId19" ref="K256"/>
    <hyperlink r:id="rId20" ref="K265"/>
    <hyperlink r:id="rId21" ref="K270"/>
    <hyperlink r:id="rId22" ref="K272"/>
    <hyperlink r:id="rId23" ref="K274"/>
    <hyperlink r:id="rId24" ref="K297"/>
    <hyperlink r:id="rId25" ref="K314"/>
    <hyperlink r:id="rId26" ref="K320"/>
    <hyperlink r:id="rId27" ref="K331"/>
    <hyperlink r:id="rId28" ref="K343"/>
    <hyperlink r:id="rId29" ref="K353"/>
    <hyperlink r:id="rId30" ref="K360"/>
    <hyperlink r:id="rId31" ref="K364"/>
    <hyperlink r:id="rId32" ref="K367"/>
    <hyperlink r:id="rId33" ref="K373"/>
    <hyperlink r:id="rId34" ref="K411"/>
    <hyperlink r:id="rId35" ref="K424"/>
    <hyperlink r:id="rId36" ref="K431"/>
    <hyperlink r:id="rId37" ref="K448"/>
    <hyperlink r:id="rId38" ref="K460"/>
    <hyperlink r:id="rId39" ref="K465"/>
    <hyperlink r:id="rId40" ref="K477"/>
    <hyperlink r:id="rId41" ref="K494"/>
    <hyperlink r:id="rId42" ref="K509"/>
    <hyperlink r:id="rId43" ref="K519"/>
    <hyperlink r:id="rId44" ref="K521"/>
    <hyperlink r:id="rId45" ref="K523"/>
    <hyperlink r:id="rId46" ref="K537"/>
    <hyperlink r:id="rId47" ref="K565"/>
    <hyperlink r:id="rId48" ref="K572"/>
    <hyperlink r:id="rId49" ref="K589"/>
    <hyperlink r:id="rId50" ref="K600"/>
    <hyperlink r:id="rId51" ref="K665"/>
    <hyperlink r:id="rId52" ref="K668"/>
    <hyperlink r:id="rId53" ref="K672"/>
    <hyperlink r:id="rId54" ref="K677"/>
    <hyperlink r:id="rId55" ref="K692"/>
    <hyperlink r:id="rId56" ref="K696"/>
    <hyperlink r:id="rId57" ref="K700"/>
    <hyperlink r:id="rId58" ref="K710"/>
    <hyperlink r:id="rId59" ref="K736"/>
    <hyperlink r:id="rId60" ref="K743"/>
    <hyperlink r:id="rId61" ref="J745"/>
    <hyperlink r:id="rId62" ref="K751"/>
    <hyperlink r:id="rId63" ref="K793"/>
    <hyperlink r:id="rId64" ref="K795"/>
    <hyperlink r:id="rId65" ref="K818"/>
    <hyperlink r:id="rId66" ref="K854"/>
    <hyperlink r:id="rId67" ref="K859"/>
    <hyperlink r:id="rId68" ref="K865"/>
    <hyperlink r:id="rId69" ref="K870"/>
    <hyperlink r:id="rId70" ref="K875"/>
    <hyperlink r:id="rId71" ref="K877"/>
    <hyperlink r:id="rId72" ref="K878"/>
    <hyperlink r:id="rId73" ref="K880"/>
    <hyperlink r:id="rId74" ref="K882"/>
    <hyperlink r:id="rId75" ref="K884"/>
    <hyperlink r:id="rId76" ref="K899"/>
    <hyperlink r:id="rId77" ref="K901"/>
    <hyperlink r:id="rId78" ref="K907"/>
    <hyperlink r:id="rId79" ref="K917"/>
    <hyperlink r:id="rId80" ref="K930"/>
    <hyperlink r:id="rId81" ref="K977"/>
    <hyperlink r:id="rId82" ref="K1003"/>
    <hyperlink r:id="rId83" ref="K1007"/>
    <hyperlink r:id="rId84" ref="K1010"/>
    <hyperlink r:id="rId85" ref="K1021"/>
    <hyperlink r:id="rId86" ref="K1045"/>
    <hyperlink r:id="rId87" ref="K1060"/>
    <hyperlink r:id="rId88" ref="K1064"/>
    <hyperlink r:id="rId89" ref="K1072"/>
    <hyperlink r:id="rId90" ref="K1091"/>
    <hyperlink r:id="rId91" ref="K1103"/>
    <hyperlink r:id="rId92" ref="K1108"/>
    <hyperlink r:id="rId93" ref="K1154"/>
    <hyperlink r:id="rId94" ref="K1160"/>
    <hyperlink r:id="rId95" ref="K1167"/>
    <hyperlink r:id="rId96" ref="K1189"/>
    <hyperlink r:id="rId97" ref="K1191"/>
    <hyperlink r:id="rId98" ref="K1199"/>
    <hyperlink r:id="rId99" ref="K1209"/>
    <hyperlink r:id="rId100" ref="K1213"/>
    <hyperlink r:id="rId101" ref="K1215"/>
    <hyperlink r:id="rId102" ref="K1223"/>
    <hyperlink r:id="rId103" ref="K1246"/>
    <hyperlink r:id="rId104" ref="K1248"/>
    <hyperlink r:id="rId105" ref="K1250"/>
    <hyperlink r:id="rId106" ref="K1254"/>
    <hyperlink r:id="rId107" ref="K1258"/>
    <hyperlink r:id="rId108" ref="K1266"/>
    <hyperlink r:id="rId109" ref="K1272"/>
    <hyperlink r:id="rId110" ref="K1276"/>
    <hyperlink r:id="rId111" ref="K1292"/>
    <hyperlink r:id="rId112" ref="K1295"/>
    <hyperlink r:id="rId113" ref="K1308"/>
    <hyperlink r:id="rId114" ref="K1310"/>
    <hyperlink r:id="rId115" ref="K1373"/>
    <hyperlink r:id="rId116" ref="K1375"/>
    <hyperlink r:id="rId117" ref="K1382"/>
    <hyperlink r:id="rId118" ref="K1384"/>
    <hyperlink r:id="rId119" ref="K1412"/>
    <hyperlink r:id="rId120" ref="K1438"/>
    <hyperlink r:id="rId121" ref="K1455"/>
    <hyperlink r:id="rId122" ref="K1464"/>
    <hyperlink r:id="rId123" ref="K1466"/>
    <hyperlink r:id="rId124" ref="K1487"/>
    <hyperlink r:id="rId125" ref="K1495"/>
    <hyperlink r:id="rId126" ref="K1500"/>
    <hyperlink r:id="rId127" ref="K1503"/>
    <hyperlink r:id="rId128" ref="K1516"/>
    <hyperlink r:id="rId129" ref="K1525"/>
    <hyperlink r:id="rId130" ref="K1543"/>
    <hyperlink r:id="rId131" ref="K1549"/>
    <hyperlink r:id="rId132" ref="K1553"/>
    <hyperlink r:id="rId133" ref="K1570"/>
    <hyperlink r:id="rId134" ref="K1634"/>
    <hyperlink r:id="rId135" ref="K1653"/>
    <hyperlink r:id="rId136" ref="K1655"/>
    <hyperlink r:id="rId137" ref="K1656"/>
    <hyperlink r:id="rId138" ref="K1657"/>
    <hyperlink r:id="rId139" ref="K1677"/>
    <hyperlink r:id="rId140" ref="K1679"/>
    <hyperlink r:id="rId141" ref="K1685"/>
    <hyperlink r:id="rId142" ref="K1693"/>
    <hyperlink r:id="rId143" ref="K1697"/>
    <hyperlink r:id="rId144" ref="K1699"/>
    <hyperlink r:id="rId145" ref="K1712"/>
    <hyperlink r:id="rId146" ref="K1714"/>
    <hyperlink r:id="rId147" ref="K1736"/>
    <hyperlink r:id="rId148" ref="K1741"/>
    <hyperlink r:id="rId149" ref="K1747"/>
    <hyperlink r:id="rId150" ref="K1753"/>
    <hyperlink r:id="rId151" ref="K1770"/>
    <hyperlink r:id="rId152" ref="K1790"/>
    <hyperlink r:id="rId153" ref="K1800"/>
    <hyperlink r:id="rId154" ref="K1812"/>
    <hyperlink r:id="rId155" ref="K1824"/>
    <hyperlink r:id="rId156" ref="K1826"/>
    <hyperlink r:id="rId157" ref="K1836"/>
    <hyperlink r:id="rId158" ref="K1840"/>
    <hyperlink r:id="rId159" ref="K1844"/>
    <hyperlink r:id="rId160" ref="K1852"/>
    <hyperlink r:id="rId161" ref="K1854"/>
    <hyperlink r:id="rId162" ref="K1861"/>
    <hyperlink r:id="rId163" ref="K1863"/>
    <hyperlink r:id="rId164" ref="K1885"/>
    <hyperlink r:id="rId165" ref="K1889"/>
    <hyperlink r:id="rId166" ref="K1901"/>
    <hyperlink r:id="rId167" ref="K1905"/>
    <hyperlink r:id="rId168" ref="K1911"/>
    <hyperlink r:id="rId169" ref="K1926"/>
    <hyperlink r:id="rId170" ref="K1928"/>
    <hyperlink r:id="rId171" ref="K1930"/>
    <hyperlink r:id="rId172" ref="K1936"/>
    <hyperlink r:id="rId173" ref="K1953"/>
    <hyperlink r:id="rId174" ref="K1960"/>
    <hyperlink r:id="rId175" ref="K1979"/>
    <hyperlink r:id="rId176" ref="K1986"/>
    <hyperlink r:id="rId177" ref="K1988"/>
    <hyperlink r:id="rId178" ref="K1990"/>
    <hyperlink r:id="rId179" ref="K1993"/>
    <hyperlink r:id="rId180" ref="K2013"/>
    <hyperlink r:id="rId181" ref="K2015"/>
    <hyperlink r:id="rId182" ref="K2020"/>
    <hyperlink r:id="rId183" ref="K2028"/>
    <hyperlink r:id="rId184" ref="K2037"/>
    <hyperlink r:id="rId185" ref="K2053"/>
    <hyperlink r:id="rId186" ref="K2072"/>
    <hyperlink r:id="rId187" ref="K2074"/>
    <hyperlink r:id="rId188" ref="K2076"/>
    <hyperlink r:id="rId189" ref="K2078"/>
    <hyperlink r:id="rId190" ref="K2083"/>
    <hyperlink r:id="rId191" ref="K2089"/>
    <hyperlink r:id="rId192" ref="K2091"/>
    <hyperlink r:id="rId193" ref="K2093"/>
    <hyperlink r:id="rId194" ref="K2097"/>
    <hyperlink r:id="rId195" ref="K2099"/>
    <hyperlink r:id="rId196" ref="K2104"/>
    <hyperlink r:id="rId197" ref="K2106"/>
    <hyperlink r:id="rId198" ref="K2108"/>
    <hyperlink r:id="rId199" ref="K2110"/>
    <hyperlink r:id="rId200" ref="K2114"/>
    <hyperlink r:id="rId201" ref="K2116"/>
    <hyperlink r:id="rId202" ref="K2123"/>
    <hyperlink r:id="rId203" ref="K2130"/>
    <hyperlink r:id="rId204" ref="K2132"/>
    <hyperlink r:id="rId205" ref="K2134"/>
    <hyperlink r:id="rId206" ref="K2136"/>
    <hyperlink r:id="rId207" ref="K2141"/>
    <hyperlink r:id="rId208" ref="K2145"/>
    <hyperlink r:id="rId209" ref="K2147"/>
    <hyperlink r:id="rId210" ref="K2149"/>
    <hyperlink r:id="rId211" ref="K2155"/>
    <hyperlink r:id="rId212" ref="K2167"/>
    <hyperlink r:id="rId213" ref="K2177"/>
    <hyperlink r:id="rId214" ref="K2184"/>
    <hyperlink r:id="rId215" ref="K2201"/>
    <hyperlink r:id="rId216" ref="K2205"/>
    <hyperlink r:id="rId217" ref="K2209"/>
    <hyperlink r:id="rId218" ref="K2213"/>
    <hyperlink r:id="rId219" ref="K2224"/>
    <hyperlink r:id="rId220" ref="K2228"/>
    <hyperlink r:id="rId221" ref="K2234"/>
    <hyperlink r:id="rId222" ref="K2238"/>
    <hyperlink r:id="rId223" ref="K2256"/>
    <hyperlink r:id="rId224" ref="K2258"/>
    <hyperlink r:id="rId225" ref="K2266"/>
    <hyperlink r:id="rId226" ref="K2270"/>
    <hyperlink r:id="rId227" ref="K2272"/>
    <hyperlink r:id="rId228" ref="K2276"/>
    <hyperlink r:id="rId229" ref="K2289"/>
    <hyperlink r:id="rId230" ref="K2295"/>
    <hyperlink r:id="rId231" ref="K2303"/>
    <hyperlink r:id="rId232" ref="K2312"/>
    <hyperlink r:id="rId233" ref="K2317"/>
    <hyperlink r:id="rId234" ref="K2334"/>
    <hyperlink r:id="rId235" ref="K2357"/>
    <hyperlink r:id="rId236" ref="K2372"/>
    <hyperlink r:id="rId237" ref="K2374"/>
    <hyperlink r:id="rId238" ref="K2376"/>
    <hyperlink r:id="rId239" ref="K2378"/>
    <hyperlink r:id="rId240" ref="K2380"/>
    <hyperlink r:id="rId241" ref="K2387"/>
    <hyperlink r:id="rId242" ref="K2422"/>
    <hyperlink r:id="rId243" ref="K2428"/>
    <hyperlink r:id="rId244" ref="K2434"/>
    <hyperlink r:id="rId245" ref="K2436"/>
    <hyperlink r:id="rId246" ref="K2439"/>
    <hyperlink r:id="rId247" ref="K2441"/>
    <hyperlink r:id="rId248" ref="K2449"/>
    <hyperlink r:id="rId249" ref="K2452"/>
    <hyperlink r:id="rId250" ref="K2454"/>
    <hyperlink r:id="rId251" ref="K2459"/>
    <hyperlink r:id="rId252" ref="K2465"/>
    <hyperlink r:id="rId253" ref="K2467"/>
    <hyperlink r:id="rId254" ref="K2469"/>
    <hyperlink r:id="rId255" ref="K2471"/>
    <hyperlink r:id="rId256" ref="K2479"/>
    <hyperlink r:id="rId257" ref="K2507"/>
    <hyperlink r:id="rId258" ref="K2528"/>
    <hyperlink r:id="rId259" ref="K2530"/>
    <hyperlink r:id="rId260" ref="K2536"/>
    <hyperlink r:id="rId261" ref="K2562"/>
    <hyperlink r:id="rId262" ref="K2567"/>
    <hyperlink r:id="rId263" ref="K2569"/>
    <hyperlink r:id="rId264" ref="K2575"/>
    <hyperlink r:id="rId265" ref="K2580"/>
    <hyperlink r:id="rId266" ref="K2584"/>
    <hyperlink r:id="rId267" ref="K2586"/>
    <hyperlink r:id="rId268" ref="K2592"/>
    <hyperlink r:id="rId269" ref="K2611"/>
    <hyperlink r:id="rId270" ref="K2624"/>
    <hyperlink r:id="rId271" ref="K2626"/>
    <hyperlink r:id="rId272" ref="K2628"/>
    <hyperlink r:id="rId273" ref="K2646"/>
    <hyperlink r:id="rId274" ref="K2650"/>
    <hyperlink r:id="rId275" ref="K2660"/>
    <hyperlink r:id="rId276" ref="K2672"/>
    <hyperlink r:id="rId277" ref="K2674"/>
    <hyperlink r:id="rId278" ref="K2676"/>
    <hyperlink r:id="rId279" ref="K2678"/>
    <hyperlink r:id="rId280" ref="K2684"/>
    <hyperlink r:id="rId281" ref="K2687"/>
    <hyperlink r:id="rId282" ref="K2691"/>
    <hyperlink r:id="rId283" ref="K2695"/>
    <hyperlink r:id="rId284" ref="K2704"/>
    <hyperlink r:id="rId285" ref="K2708"/>
    <hyperlink r:id="rId286" ref="K2710"/>
    <hyperlink r:id="rId287" ref="K2716"/>
    <hyperlink r:id="rId288" ref="K2722"/>
    <hyperlink r:id="rId289" ref="K2726"/>
    <hyperlink r:id="rId290" ref="K2754"/>
    <hyperlink r:id="rId291" ref="K2756"/>
    <hyperlink r:id="rId292" ref="K2758"/>
    <hyperlink r:id="rId293" ref="K2762"/>
    <hyperlink r:id="rId294" ref="K2764"/>
    <hyperlink r:id="rId295" ref="K2766"/>
    <hyperlink r:id="rId296" ref="K2778"/>
    <hyperlink r:id="rId297" ref="K2787"/>
    <hyperlink r:id="rId298" ref="K2791"/>
    <hyperlink r:id="rId299" ref="K2799"/>
    <hyperlink r:id="rId300" ref="K2801"/>
    <hyperlink r:id="rId301" ref="K2803"/>
    <hyperlink r:id="rId302" ref="K2807"/>
    <hyperlink r:id="rId303" ref="K2809"/>
    <hyperlink r:id="rId304" ref="K2813"/>
    <hyperlink r:id="rId305" ref="K2815"/>
    <hyperlink r:id="rId306" ref="K2819"/>
    <hyperlink r:id="rId307" ref="K2825"/>
    <hyperlink r:id="rId308" ref="K2835"/>
    <hyperlink r:id="rId309" ref="K2838"/>
    <hyperlink r:id="rId310" ref="K2840"/>
    <hyperlink r:id="rId311" ref="K2845"/>
    <hyperlink r:id="rId312" ref="K2851"/>
    <hyperlink r:id="rId313" ref="K2871"/>
    <hyperlink r:id="rId314" ref="K2873"/>
    <hyperlink r:id="rId315" ref="K2875"/>
    <hyperlink r:id="rId316" ref="K2883"/>
    <hyperlink r:id="rId317" ref="K2887"/>
    <hyperlink r:id="rId318" ref="K2889"/>
    <hyperlink r:id="rId319" ref="K2891"/>
    <hyperlink r:id="rId320" ref="K2895"/>
    <hyperlink r:id="rId321" ref="K2901"/>
    <hyperlink r:id="rId322" ref="K2905"/>
    <hyperlink r:id="rId323" ref="K2911"/>
    <hyperlink r:id="rId324" ref="K2915"/>
    <hyperlink r:id="rId325" ref="K2936"/>
    <hyperlink r:id="rId326" ref="K2945"/>
    <hyperlink r:id="rId327" ref="K2953"/>
    <hyperlink r:id="rId328" ref="K2955"/>
    <hyperlink r:id="rId329" ref="K2960"/>
    <hyperlink r:id="rId330" ref="K2962"/>
    <hyperlink r:id="rId331" ref="K2972"/>
    <hyperlink r:id="rId332" ref="K2986"/>
    <hyperlink r:id="rId333" ref="K3005"/>
    <hyperlink r:id="rId334" ref="K3007"/>
    <hyperlink r:id="rId335" ref="K3009"/>
    <hyperlink r:id="rId336" ref="K3011"/>
    <hyperlink r:id="rId337" ref="K3025"/>
    <hyperlink r:id="rId338" ref="K3027"/>
    <hyperlink r:id="rId339" ref="K3031"/>
    <hyperlink r:id="rId340" ref="K3041"/>
    <hyperlink r:id="rId341" ref="K3045"/>
    <hyperlink r:id="rId342" ref="K3047"/>
    <hyperlink r:id="rId343" ref="K3055"/>
    <hyperlink r:id="rId344" ref="K3057"/>
    <hyperlink r:id="rId345" ref="K3059"/>
    <hyperlink r:id="rId346" ref="K3065"/>
    <hyperlink r:id="rId347" ref="K3069"/>
    <hyperlink r:id="rId348" ref="K3073"/>
    <hyperlink r:id="rId349" ref="K3079"/>
    <hyperlink r:id="rId350" ref="K3081"/>
    <hyperlink r:id="rId351" ref="K3086"/>
    <hyperlink r:id="rId352" ref="K3092"/>
    <hyperlink r:id="rId353" ref="K3094"/>
    <hyperlink r:id="rId354" ref="K3098"/>
    <hyperlink r:id="rId355" ref="K3102"/>
    <hyperlink r:id="rId356" ref="K3104"/>
    <hyperlink r:id="rId357" ref="K3106"/>
    <hyperlink r:id="rId358" ref="K3108"/>
    <hyperlink r:id="rId359" ref="K3110"/>
    <hyperlink r:id="rId360" ref="K3112"/>
    <hyperlink r:id="rId361" ref="K3116"/>
    <hyperlink r:id="rId362" ref="K3120"/>
    <hyperlink r:id="rId363" ref="K3122"/>
    <hyperlink r:id="rId364" ref="K3128"/>
    <hyperlink r:id="rId365" ref="K3134"/>
    <hyperlink r:id="rId366" ref="K3137"/>
    <hyperlink r:id="rId367" ref="K3145"/>
    <hyperlink r:id="rId368" ref="K3147"/>
    <hyperlink r:id="rId369" ref="K3149"/>
    <hyperlink r:id="rId370" ref="K3169"/>
    <hyperlink r:id="rId371" ref="K3186"/>
    <hyperlink r:id="rId372" ref="K3201"/>
    <hyperlink r:id="rId373" ref="K3226"/>
    <hyperlink r:id="rId374" ref="K3230"/>
    <hyperlink r:id="rId375" ref="K3237"/>
    <hyperlink r:id="rId376" ref="K3240"/>
    <hyperlink r:id="rId377" ref="K3245"/>
    <hyperlink r:id="rId378" ref="K3249"/>
    <hyperlink r:id="rId379" ref="K3262"/>
    <hyperlink r:id="rId380" ref="K3267"/>
    <hyperlink r:id="rId381" ref="K3274"/>
    <hyperlink r:id="rId382" ref="K3316"/>
    <hyperlink r:id="rId383" ref="K3318"/>
    <hyperlink r:id="rId384" ref="K3320"/>
    <hyperlink r:id="rId385" ref="K3326"/>
    <hyperlink r:id="rId386" ref="K3328"/>
    <hyperlink r:id="rId387" ref="K3338"/>
    <hyperlink r:id="rId388" ref="K3346"/>
    <hyperlink r:id="rId389" ref="K3348"/>
    <hyperlink r:id="rId390" ref="K3357"/>
    <hyperlink r:id="rId391" ref="K3359"/>
    <hyperlink r:id="rId392" ref="K3363"/>
    <hyperlink r:id="rId393" ref="K3373"/>
    <hyperlink r:id="rId394" ref="K3375"/>
    <hyperlink r:id="rId395" ref="K3377"/>
    <hyperlink r:id="rId396" ref="K3395"/>
    <hyperlink r:id="rId397" ref="K3397"/>
    <hyperlink r:id="rId398" ref="K3399"/>
    <hyperlink r:id="rId399" ref="K3405"/>
    <hyperlink r:id="rId400" ref="K3416"/>
    <hyperlink r:id="rId401" ref="K3426"/>
    <hyperlink r:id="rId402" ref="K3428"/>
    <hyperlink r:id="rId403" ref="K3430"/>
    <hyperlink r:id="rId404" ref="K3445"/>
    <hyperlink r:id="rId405" ref="K3451"/>
    <hyperlink r:id="rId406" ref="K3455"/>
    <hyperlink r:id="rId407" ref="K3457"/>
    <hyperlink r:id="rId408" ref="K3461"/>
    <hyperlink r:id="rId409" ref="K3465"/>
    <hyperlink r:id="rId410" ref="K3468"/>
    <hyperlink r:id="rId411" ref="K3475"/>
    <hyperlink r:id="rId412" ref="K3477"/>
    <hyperlink r:id="rId413" ref="K3485"/>
    <hyperlink r:id="rId414" ref="K3487"/>
    <hyperlink r:id="rId415" ref="K3489"/>
    <hyperlink r:id="rId416" ref="K3493"/>
    <hyperlink r:id="rId417" ref="K3495"/>
    <hyperlink r:id="rId418" ref="K3500"/>
    <hyperlink r:id="rId419" ref="K3504"/>
    <hyperlink r:id="rId420" ref="K3506"/>
    <hyperlink r:id="rId421" ref="K3510"/>
    <hyperlink r:id="rId422" ref="K3512"/>
    <hyperlink r:id="rId423" ref="K3516"/>
    <hyperlink r:id="rId424" ref="K3522"/>
    <hyperlink r:id="rId425" ref="K3536"/>
    <hyperlink r:id="rId426" ref="K3539"/>
    <hyperlink r:id="rId427" ref="K3545"/>
    <hyperlink r:id="rId428" ref="K3547"/>
    <hyperlink r:id="rId429" ref="K3549"/>
    <hyperlink r:id="rId430" ref="K3553"/>
    <hyperlink r:id="rId431" ref="K3555"/>
    <hyperlink r:id="rId432" ref="K3565"/>
    <hyperlink r:id="rId433" ref="K3569"/>
    <hyperlink r:id="rId434" ref="K3572"/>
    <hyperlink r:id="rId435" ref="K3576"/>
    <hyperlink r:id="rId436" ref="K3580"/>
    <hyperlink r:id="rId437" ref="K3588"/>
    <hyperlink r:id="rId438" ref="K3592"/>
    <hyperlink r:id="rId439" ref="K3597"/>
    <hyperlink r:id="rId440" ref="K3599"/>
    <hyperlink r:id="rId441" ref="K3601"/>
    <hyperlink r:id="rId442" ref="K3605"/>
    <hyperlink r:id="rId443" ref="K3610"/>
    <hyperlink r:id="rId444" ref="K3614"/>
    <hyperlink r:id="rId445" ref="K3616"/>
    <hyperlink r:id="rId446" ref="K3624"/>
    <hyperlink r:id="rId447" ref="K3626"/>
    <hyperlink r:id="rId448" ref="K3630"/>
    <hyperlink r:id="rId449" ref="K3632"/>
    <hyperlink r:id="rId450" ref="K3640"/>
    <hyperlink r:id="rId451" ref="K3642"/>
    <hyperlink r:id="rId452" ref="K3644"/>
    <hyperlink r:id="rId453" ref="K3646"/>
    <hyperlink r:id="rId454" ref="K3648"/>
    <hyperlink r:id="rId455" ref="K3650"/>
    <hyperlink r:id="rId456" ref="K3652"/>
    <hyperlink r:id="rId457" ref="K3654"/>
    <hyperlink r:id="rId458" ref="K3660"/>
    <hyperlink r:id="rId459" ref="K3663"/>
    <hyperlink r:id="rId460" ref="K3665"/>
    <hyperlink r:id="rId461" ref="K3667"/>
    <hyperlink r:id="rId462" ref="K3673"/>
    <hyperlink r:id="rId463" ref="K3681"/>
    <hyperlink r:id="rId464" ref="K3684"/>
    <hyperlink r:id="rId465" ref="K3690"/>
    <hyperlink r:id="rId466" ref="K3695"/>
    <hyperlink r:id="rId467" ref="K3697"/>
    <hyperlink r:id="rId468" ref="K3699"/>
    <hyperlink r:id="rId469" ref="K3710"/>
    <hyperlink r:id="rId470" ref="K3714"/>
    <hyperlink r:id="rId471" ref="K3718"/>
    <hyperlink r:id="rId472" ref="K3724"/>
    <hyperlink r:id="rId473" ref="K3728"/>
    <hyperlink r:id="rId474" ref="K3737"/>
    <hyperlink r:id="rId475" ref="K3739"/>
    <hyperlink r:id="rId476" ref="K3741"/>
    <hyperlink r:id="rId477" ref="K3744"/>
    <hyperlink r:id="rId478" ref="K3748"/>
    <hyperlink r:id="rId479" ref="K3750"/>
    <hyperlink r:id="rId480" ref="K3752"/>
    <hyperlink r:id="rId481" ref="K3762"/>
    <hyperlink r:id="rId482" ref="K3766"/>
    <hyperlink r:id="rId483" ref="K3774"/>
    <hyperlink r:id="rId484" ref="K3776"/>
    <hyperlink r:id="rId485" ref="K3778"/>
    <hyperlink r:id="rId486" ref="K3782"/>
    <hyperlink r:id="rId487" ref="K3790"/>
    <hyperlink r:id="rId488" ref="K3792"/>
    <hyperlink r:id="rId489" ref="K3808"/>
    <hyperlink r:id="rId490" ref="K3810"/>
    <hyperlink r:id="rId491" ref="K3821"/>
    <hyperlink r:id="rId492" ref="K3823"/>
    <hyperlink r:id="rId493" ref="K3825"/>
    <hyperlink r:id="rId494" ref="K3829"/>
    <hyperlink r:id="rId495" ref="K3831"/>
    <hyperlink r:id="rId496" ref="K3835"/>
    <hyperlink r:id="rId497" ref="K3841"/>
    <hyperlink r:id="rId498" ref="K3843"/>
    <hyperlink r:id="rId499" ref="K3845"/>
    <hyperlink r:id="rId500" ref="K3847"/>
    <hyperlink r:id="rId501" ref="K3849"/>
    <hyperlink r:id="rId502" ref="K3853"/>
    <hyperlink r:id="rId503" ref="K3855"/>
    <hyperlink r:id="rId504" ref="K3858"/>
    <hyperlink r:id="rId505" ref="K3860"/>
    <hyperlink r:id="rId506" ref="K3862"/>
    <hyperlink r:id="rId507" ref="K3864"/>
    <hyperlink r:id="rId508" ref="K3870"/>
    <hyperlink r:id="rId509" ref="K3876"/>
    <hyperlink r:id="rId510" ref="K3881"/>
    <hyperlink r:id="rId511" ref="K3891"/>
    <hyperlink r:id="rId512" ref="K3895"/>
    <hyperlink r:id="rId513" ref="K3897"/>
    <hyperlink r:id="rId514" ref="K3902"/>
    <hyperlink r:id="rId515" ref="K3914"/>
    <hyperlink r:id="rId516" ref="K3916"/>
    <hyperlink r:id="rId517" ref="K3928"/>
    <hyperlink r:id="rId518" ref="K3950"/>
    <hyperlink r:id="rId519" ref="K3965"/>
    <hyperlink r:id="rId520" ref="K3978"/>
    <hyperlink r:id="rId521" ref="K3982"/>
    <hyperlink r:id="rId522" ref="K3988"/>
    <hyperlink r:id="rId523" ref="K3990"/>
    <hyperlink r:id="rId524" ref="K3992"/>
    <hyperlink r:id="rId525" ref="K3994"/>
    <hyperlink r:id="rId526" ref="K4003"/>
    <hyperlink r:id="rId527" ref="K4009"/>
    <hyperlink r:id="rId528" ref="K4017"/>
    <hyperlink r:id="rId529" ref="K4022"/>
    <hyperlink r:id="rId530" ref="K4026"/>
    <hyperlink r:id="rId531" ref="K4032"/>
    <hyperlink r:id="rId532" ref="K4042"/>
    <hyperlink r:id="rId533" ref="K4046"/>
    <hyperlink r:id="rId534" ref="K4050"/>
    <hyperlink r:id="rId535" ref="K4054"/>
    <hyperlink r:id="rId536" ref="K4061"/>
    <hyperlink r:id="rId537" ref="K4071"/>
    <hyperlink r:id="rId538" ref="K4073"/>
    <hyperlink r:id="rId539" ref="K4081"/>
    <hyperlink r:id="rId540" ref="K4090"/>
    <hyperlink r:id="rId541" ref="K4098"/>
    <hyperlink r:id="rId542" ref="K4102"/>
    <hyperlink r:id="rId543" ref="K4104"/>
    <hyperlink r:id="rId544" ref="K4106"/>
    <hyperlink r:id="rId545" ref="K4108"/>
    <hyperlink r:id="rId546" ref="K4114"/>
    <hyperlink r:id="rId547" ref="K4116"/>
    <hyperlink r:id="rId548" ref="K4118"/>
    <hyperlink r:id="rId549" ref="K4122"/>
    <hyperlink r:id="rId550" ref="K4124"/>
    <hyperlink r:id="rId551" ref="K4128"/>
    <hyperlink r:id="rId552" ref="K4134"/>
    <hyperlink r:id="rId553" ref="K4136"/>
    <hyperlink r:id="rId554" ref="K4144"/>
    <hyperlink r:id="rId555" ref="K4148"/>
    <hyperlink r:id="rId556" ref="K4150"/>
    <hyperlink r:id="rId557" ref="K4152"/>
    <hyperlink r:id="rId558" ref="K4156"/>
    <hyperlink r:id="rId559" ref="K4158"/>
    <hyperlink r:id="rId560" ref="K4174"/>
    <hyperlink r:id="rId561" ref="K4176"/>
    <hyperlink r:id="rId562" ref="K4178"/>
    <hyperlink r:id="rId563" ref="K4193"/>
    <hyperlink r:id="rId564" ref="K4205"/>
    <hyperlink r:id="rId565" ref="K4213"/>
    <hyperlink r:id="rId566" ref="K4215"/>
    <hyperlink r:id="rId567" ref="K4217"/>
    <hyperlink r:id="rId568" ref="K4223"/>
    <hyperlink r:id="rId569" ref="K4227"/>
    <hyperlink r:id="rId570" ref="K4232"/>
    <hyperlink r:id="rId571" ref="K4237"/>
    <hyperlink r:id="rId572" ref="K4239"/>
    <hyperlink r:id="rId573" ref="K4255"/>
    <hyperlink r:id="rId574" ref="K4261"/>
    <hyperlink r:id="rId575" ref="K4267"/>
    <hyperlink r:id="rId576" ref="K4269"/>
    <hyperlink r:id="rId577" ref="K4273"/>
    <hyperlink r:id="rId578" ref="K4275"/>
    <hyperlink r:id="rId579" ref="K4287"/>
    <hyperlink r:id="rId580" ref="K4294"/>
    <hyperlink r:id="rId581" ref="K4303"/>
    <hyperlink r:id="rId582" ref="K4305"/>
    <hyperlink r:id="rId583" ref="K4309"/>
    <hyperlink r:id="rId584" ref="K4317"/>
  </hyperlinks>
  <drawing r:id="rId58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6.0"/>
    <col customWidth="1" min="3" max="5" width="12.0"/>
    <col customWidth="1" min="6" max="26" width="8.71"/>
  </cols>
  <sheetData>
    <row r="1" ht="24.0" customHeight="1">
      <c r="A1" s="1" t="s">
        <v>17446</v>
      </c>
      <c r="B1" s="2"/>
      <c r="C1" s="2"/>
      <c r="D1" s="2"/>
      <c r="E1" s="3"/>
    </row>
    <row r="2">
      <c r="A2" s="4"/>
      <c r="B2" s="4"/>
      <c r="C2" s="4"/>
      <c r="D2" s="4"/>
      <c r="E2" s="4"/>
    </row>
    <row r="3" ht="15.0" customHeight="1">
      <c r="A3" s="13" t="s">
        <v>172</v>
      </c>
      <c r="B3" s="2"/>
      <c r="C3" s="2"/>
      <c r="D3" s="2"/>
      <c r="E3" s="3"/>
    </row>
    <row r="4" ht="15.0" customHeight="1">
      <c r="A4" s="26" t="s">
        <v>173</v>
      </c>
      <c r="B4" s="29">
        <v>49.0</v>
      </c>
      <c r="C4" s="4"/>
      <c r="D4" s="4"/>
      <c r="E4" s="4"/>
    </row>
    <row r="5" ht="15.0" customHeight="1">
      <c r="A5" s="26" t="s">
        <v>174</v>
      </c>
      <c r="B5" s="29">
        <v>79.0</v>
      </c>
      <c r="C5" s="4"/>
      <c r="D5" s="4"/>
      <c r="E5" s="4"/>
    </row>
    <row r="6" ht="15.0" customHeight="1">
      <c r="A6" s="26" t="s">
        <v>175</v>
      </c>
      <c r="B6" s="29">
        <v>99.0</v>
      </c>
      <c r="C6" s="4"/>
      <c r="D6" s="4"/>
      <c r="E6" s="4"/>
    </row>
    <row r="7" ht="15.0" customHeight="1">
      <c r="A7" s="26" t="s">
        <v>176</v>
      </c>
      <c r="B7" s="27">
        <v>3.0</v>
      </c>
      <c r="C7" s="4"/>
      <c r="D7" s="4"/>
      <c r="E7" s="4"/>
    </row>
    <row r="8" ht="15.0" customHeight="1">
      <c r="A8" s="26" t="s">
        <v>177</v>
      </c>
      <c r="B8" s="31">
        <v>0.6</v>
      </c>
      <c r="C8" s="4"/>
      <c r="D8" s="4"/>
      <c r="E8" s="4"/>
    </row>
    <row r="9">
      <c r="A9" s="4"/>
      <c r="B9" s="4"/>
      <c r="C9" s="4"/>
      <c r="D9" s="4"/>
      <c r="E9" s="4"/>
    </row>
    <row r="10" ht="15.0" customHeight="1">
      <c r="A10" s="13" t="s">
        <v>17447</v>
      </c>
      <c r="B10" s="2"/>
      <c r="C10" s="2"/>
      <c r="D10" s="2"/>
      <c r="E10" s="3"/>
    </row>
    <row r="11" ht="15.0" customHeight="1">
      <c r="A11" s="15" t="s">
        <v>186</v>
      </c>
      <c r="B11" s="15" t="s">
        <v>179</v>
      </c>
      <c r="C11" s="15" t="s">
        <v>189</v>
      </c>
      <c r="D11" s="15" t="s">
        <v>180</v>
      </c>
      <c r="E11" s="15" t="s">
        <v>95</v>
      </c>
    </row>
    <row r="12" ht="15.0" customHeight="1">
      <c r="A12" s="110"/>
      <c r="B12" s="110"/>
      <c r="C12" s="66">
        <v>3.0</v>
      </c>
      <c r="D12" s="21" t="str">
        <f t="shared" ref="D12:D15" si="1">IF(B12="Salud",$B$5,IF(B12="TMS",$B$6,IF(B12="","",$B$4)))</f>
        <v/>
      </c>
      <c r="E12" s="21" t="str">
        <f t="shared" ref="E12:E15" si="2">IF(B12="","",C12*D12)</f>
        <v/>
      </c>
    </row>
    <row r="13" ht="15.0" customHeight="1">
      <c r="A13" s="110"/>
      <c r="B13" s="110"/>
      <c r="C13" s="66">
        <v>3.0</v>
      </c>
      <c r="D13" s="21" t="str">
        <f t="shared" si="1"/>
        <v/>
      </c>
      <c r="E13" s="21" t="str">
        <f t="shared" si="2"/>
        <v/>
      </c>
    </row>
    <row r="14" ht="15.0" customHeight="1">
      <c r="A14" s="110"/>
      <c r="B14" s="110"/>
      <c r="C14" s="66">
        <v>3.0</v>
      </c>
      <c r="D14" s="21" t="str">
        <f t="shared" si="1"/>
        <v/>
      </c>
      <c r="E14" s="21" t="str">
        <f t="shared" si="2"/>
        <v/>
      </c>
    </row>
    <row r="15" ht="15.0" customHeight="1">
      <c r="A15" s="110"/>
      <c r="B15" s="110"/>
      <c r="C15" s="66">
        <v>3.0</v>
      </c>
      <c r="D15" s="21" t="str">
        <f t="shared" si="1"/>
        <v/>
      </c>
      <c r="E15" s="21" t="str">
        <f t="shared" si="2"/>
        <v/>
      </c>
    </row>
    <row r="16" ht="15.0" customHeight="1">
      <c r="A16" s="11" t="s">
        <v>25</v>
      </c>
      <c r="B16" s="4"/>
      <c r="C16" s="111">
        <f>COUNTA(A12:A15)</f>
        <v>0</v>
      </c>
      <c r="D16" s="4"/>
      <c r="E16" s="112">
        <f>SUM(E12:E15)</f>
        <v>0</v>
      </c>
    </row>
    <row r="17">
      <c r="A17" s="4"/>
      <c r="B17" s="4"/>
      <c r="C17" s="4"/>
      <c r="D17" s="4"/>
      <c r="E17" s="4"/>
    </row>
    <row r="18" ht="15.0" customHeight="1">
      <c r="A18" s="11" t="s">
        <v>184</v>
      </c>
      <c r="B18" s="113">
        <f>E16*B8</f>
        <v>0</v>
      </c>
      <c r="C18" s="4"/>
      <c r="D18" s="4"/>
      <c r="E18" s="4"/>
    </row>
    <row r="19">
      <c r="A19" s="4"/>
      <c r="B19" s="4"/>
      <c r="C19" s="4"/>
      <c r="D19" s="4"/>
      <c r="E19" s="4"/>
    </row>
    <row r="20" ht="15.0" customHeight="1">
      <c r="A20" s="14" t="s">
        <v>17448</v>
      </c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4">
    <mergeCell ref="A1:E1"/>
    <mergeCell ref="A3:E3"/>
    <mergeCell ref="A10:E10"/>
    <mergeCell ref="A20:E20"/>
  </mergeCells>
  <dataValidations>
    <dataValidation type="list" allowBlank="1" sqref="B12:B15">
      <formula1>"Contabilidad,Salud,TMS"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13.0"/>
    <col customWidth="1" min="4" max="4" width="15.0"/>
    <col customWidth="1" min="5" max="5" width="10.0"/>
    <col customWidth="1" min="6" max="26" width="8.71"/>
  </cols>
  <sheetData>
    <row r="1" ht="24.0" customHeight="1">
      <c r="A1" s="1" t="s">
        <v>17449</v>
      </c>
      <c r="B1" s="2"/>
      <c r="C1" s="2"/>
      <c r="D1" s="2"/>
      <c r="E1" s="3"/>
    </row>
    <row r="3">
      <c r="A3" s="13" t="s">
        <v>17450</v>
      </c>
      <c r="B3" s="2"/>
      <c r="C3" s="2"/>
      <c r="D3" s="2"/>
      <c r="E3" s="3"/>
    </row>
    <row r="4">
      <c r="A4" s="26" t="s">
        <v>17451</v>
      </c>
      <c r="B4" s="27">
        <v>120.0</v>
      </c>
    </row>
    <row r="5">
      <c r="A5" s="26" t="s">
        <v>17452</v>
      </c>
      <c r="B5" s="31">
        <v>0.0</v>
      </c>
    </row>
    <row r="6">
      <c r="A6" s="26" t="s">
        <v>17453</v>
      </c>
      <c r="B6" s="27">
        <v>40.0</v>
      </c>
    </row>
    <row r="7">
      <c r="A7" s="26" t="s">
        <v>17454</v>
      </c>
      <c r="B7" s="27">
        <v>40.0</v>
      </c>
    </row>
    <row r="8">
      <c r="A8" s="26" t="s">
        <v>17455</v>
      </c>
      <c r="B8" s="27">
        <v>20.0</v>
      </c>
    </row>
    <row r="9">
      <c r="A9" s="26" t="s">
        <v>17456</v>
      </c>
      <c r="B9" s="27">
        <v>12.0</v>
      </c>
    </row>
    <row r="10">
      <c r="A10" s="26" t="s">
        <v>17457</v>
      </c>
      <c r="B10" s="27">
        <v>7.0</v>
      </c>
    </row>
    <row r="11">
      <c r="A11" s="26" t="s">
        <v>17458</v>
      </c>
      <c r="B11" s="27">
        <v>3.0</v>
      </c>
    </row>
    <row r="12">
      <c r="A12" s="26" t="s">
        <v>17459</v>
      </c>
      <c r="B12" s="28">
        <v>2265.0</v>
      </c>
    </row>
    <row r="13">
      <c r="A13" s="26" t="s">
        <v>17460</v>
      </c>
      <c r="B13" s="114">
        <f>Supuestos!B5</f>
        <v>6</v>
      </c>
    </row>
    <row r="15">
      <c r="A15" s="13" t="s">
        <v>17461</v>
      </c>
      <c r="B15" s="2"/>
      <c r="C15" s="2"/>
      <c r="D15" s="2"/>
      <c r="E15" s="3"/>
    </row>
    <row r="16">
      <c r="A16" s="15" t="s">
        <v>93</v>
      </c>
      <c r="B16" s="15" t="s">
        <v>17462</v>
      </c>
      <c r="C16" s="15" t="s">
        <v>17463</v>
      </c>
      <c r="D16" s="15" t="s">
        <v>17464</v>
      </c>
    </row>
    <row r="17">
      <c r="A17" s="16" t="s">
        <v>97</v>
      </c>
      <c r="B17" s="17">
        <f>Supuestos!B35</f>
        <v>15</v>
      </c>
      <c r="C17" s="20">
        <f>$B$6</f>
        <v>40</v>
      </c>
      <c r="D17" s="20">
        <f t="shared" ref="D17:D19" si="1">B17*C17*(1-$B$5)</f>
        <v>600</v>
      </c>
    </row>
    <row r="18">
      <c r="A18" s="16" t="s">
        <v>98</v>
      </c>
      <c r="B18" s="17">
        <f>Supuestos!B29</f>
        <v>20</v>
      </c>
      <c r="C18" s="20">
        <f>$B$7</f>
        <v>40</v>
      </c>
      <c r="D18" s="20">
        <f t="shared" si="1"/>
        <v>800</v>
      </c>
    </row>
    <row r="19">
      <c r="A19" s="16" t="s">
        <v>138</v>
      </c>
      <c r="B19" s="17">
        <f>Supuestos!B21</f>
        <v>40</v>
      </c>
      <c r="C19" s="20">
        <f>$B$8</f>
        <v>20</v>
      </c>
      <c r="D19" s="20">
        <f t="shared" si="1"/>
        <v>800</v>
      </c>
    </row>
    <row r="20">
      <c r="A20" s="22" t="s">
        <v>17465</v>
      </c>
      <c r="B20" s="24"/>
      <c r="C20" s="24"/>
      <c r="D20" s="23">
        <f>SUM(D17:D19)</f>
        <v>2200</v>
      </c>
    </row>
    <row r="21" ht="15.75" customHeight="1">
      <c r="A21" s="26" t="s">
        <v>17466</v>
      </c>
      <c r="D21" s="49">
        <f>D20/B13/B4</f>
        <v>3.055555556</v>
      </c>
    </row>
    <row r="22" ht="15.75" customHeight="1"/>
    <row r="23" ht="15.75" customHeight="1">
      <c r="A23" s="13" t="s">
        <v>17467</v>
      </c>
      <c r="B23" s="2"/>
      <c r="C23" s="2"/>
      <c r="D23" s="2"/>
      <c r="E23" s="3"/>
    </row>
    <row r="24" ht="15.75" customHeight="1">
      <c r="A24" s="15" t="s">
        <v>17468</v>
      </c>
      <c r="B24" s="15" t="s">
        <v>17469</v>
      </c>
      <c r="C24" s="15" t="s">
        <v>17470</v>
      </c>
    </row>
    <row r="25" ht="15.75" customHeight="1">
      <c r="A25" s="16" t="s">
        <v>17471</v>
      </c>
      <c r="B25" s="50">
        <f>(Supuestos!B35+Supuestos!B29+Supuestos!B21)/B13/B10</f>
        <v>1.785714286</v>
      </c>
      <c r="C25" s="20">
        <f t="shared" ref="C25:C28" si="2">ROUNDUP(B25,0)</f>
        <v>2</v>
      </c>
    </row>
    <row r="26" ht="15.75" customHeight="1">
      <c r="A26" s="16" t="s">
        <v>17472</v>
      </c>
      <c r="B26" s="50">
        <f>ROUNDUP(((Supuestos!B29+Supuestos!B35)*17/40)/B13/4,1)</f>
        <v>0.7</v>
      </c>
      <c r="C26" s="20">
        <f t="shared" si="2"/>
        <v>1</v>
      </c>
    </row>
    <row r="27" ht="15.75" customHeight="1">
      <c r="A27" s="16" t="s">
        <v>17473</v>
      </c>
      <c r="B27" s="50">
        <f>D21</f>
        <v>3.055555556</v>
      </c>
      <c r="C27" s="20">
        <f t="shared" si="2"/>
        <v>4</v>
      </c>
    </row>
    <row r="28" ht="15.75" customHeight="1">
      <c r="A28" s="16" t="s">
        <v>17474</v>
      </c>
      <c r="B28" s="50">
        <f>B11</f>
        <v>3</v>
      </c>
      <c r="C28" s="20">
        <f t="shared" si="2"/>
        <v>3</v>
      </c>
    </row>
    <row r="29" ht="15.75" customHeight="1">
      <c r="A29" s="22" t="s">
        <v>17475</v>
      </c>
      <c r="B29" s="115">
        <f t="shared" ref="B29:C29" si="3">SUM(B25:B28)</f>
        <v>8.541269841</v>
      </c>
      <c r="C29" s="116">
        <f t="shared" si="3"/>
        <v>10</v>
      </c>
    </row>
    <row r="30" ht="15.75" customHeight="1"/>
    <row r="31" ht="15.75" customHeight="1">
      <c r="A31" s="13" t="s">
        <v>17476</v>
      </c>
      <c r="B31" s="2"/>
      <c r="C31" s="2"/>
      <c r="D31" s="2"/>
      <c r="E31" s="3"/>
    </row>
    <row r="32" ht="15.75" customHeight="1">
      <c r="A32" s="26" t="s">
        <v>17477</v>
      </c>
      <c r="B32" s="43">
        <f>'Aliados — resumen'!E6</f>
        <v>95</v>
      </c>
    </row>
    <row r="33" ht="15.75" customHeight="1">
      <c r="A33" s="26" t="s">
        <v>17478</v>
      </c>
      <c r="B33" s="42">
        <f>B32*B9*(1-B5)</f>
        <v>1140</v>
      </c>
    </row>
    <row r="34" ht="15.75" customHeight="1">
      <c r="A34" s="11" t="s">
        <v>17479</v>
      </c>
      <c r="B34" s="117">
        <f>B33/B13/B4</f>
        <v>1.583333333</v>
      </c>
    </row>
    <row r="35" ht="15.75" customHeight="1"/>
    <row r="36" ht="15.75" customHeight="1">
      <c r="A36" s="13" t="s">
        <v>17480</v>
      </c>
      <c r="B36" s="2"/>
      <c r="C36" s="2"/>
      <c r="D36" s="2"/>
      <c r="E36" s="3"/>
    </row>
    <row r="37" ht="15.75" customHeight="1">
      <c r="A37" s="26" t="s">
        <v>17481</v>
      </c>
      <c r="B37" s="41">
        <f>C29*B12</f>
        <v>22650</v>
      </c>
    </row>
    <row r="38" ht="15.75" customHeight="1">
      <c r="A38" s="26" t="s">
        <v>17482</v>
      </c>
      <c r="B38" s="44">
        <f>'Puente a 100K'!D9</f>
        <v>77885.8</v>
      </c>
    </row>
    <row r="39" ht="15.75" customHeight="1">
      <c r="A39" s="26" t="s">
        <v>17483</v>
      </c>
      <c r="B39" s="48">
        <f>B37/B38</f>
        <v>0.2908103916</v>
      </c>
    </row>
    <row r="40" ht="15.75" customHeight="1">
      <c r="A40" s="26" t="s">
        <v>17484</v>
      </c>
      <c r="B40" s="41">
        <f>B38*12/C29</f>
        <v>93462.96</v>
      </c>
    </row>
    <row r="41" ht="15.75" customHeight="1"/>
    <row r="42" ht="15.75" customHeight="1">
      <c r="A42" s="13" t="s">
        <v>17485</v>
      </c>
      <c r="B42" s="2"/>
      <c r="C42" s="2"/>
      <c r="D42" s="2"/>
      <c r="E42" s="3"/>
    </row>
    <row r="43" ht="15.75" customHeight="1">
      <c r="A43" s="14" t="s">
        <v>17486</v>
      </c>
    </row>
    <row r="44" ht="15.75" customHeight="1">
      <c r="A44" s="14" t="s">
        <v>17487</v>
      </c>
    </row>
    <row r="45" ht="15.75" customHeight="1">
      <c r="A45" s="14" t="s">
        <v>17488</v>
      </c>
    </row>
    <row r="46" ht="15.75" customHeight="1">
      <c r="A46" s="14" t="s">
        <v>17489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3:E43"/>
    <mergeCell ref="A44:E44"/>
    <mergeCell ref="A45:E45"/>
    <mergeCell ref="A46:E46"/>
    <mergeCell ref="A1:E1"/>
    <mergeCell ref="A3:E3"/>
    <mergeCell ref="A15:E15"/>
    <mergeCell ref="A23:E23"/>
    <mergeCell ref="A31:E31"/>
    <mergeCell ref="A36:E36"/>
    <mergeCell ref="A42:E4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</cols>
  <sheetData>
    <row r="1" ht="225.0" customHeight="1"/>
    <row r="3" ht="22.5" customHeight="1">
      <c r="A3" s="118" t="s">
        <v>17490</v>
      </c>
      <c r="B3" s="118" t="s">
        <v>18</v>
      </c>
    </row>
    <row r="4" ht="22.5" customHeight="1">
      <c r="A4" s="119" t="s">
        <v>364</v>
      </c>
      <c r="B4" s="120">
        <v>514.0</v>
      </c>
    </row>
    <row r="5" ht="22.5" customHeight="1">
      <c r="A5" s="119" t="s">
        <v>880</v>
      </c>
      <c r="B5" s="120">
        <v>315.0</v>
      </c>
    </row>
    <row r="6" ht="22.5" customHeight="1">
      <c r="A6" s="119" t="s">
        <v>1194</v>
      </c>
      <c r="B6" s="120">
        <v>307.0</v>
      </c>
    </row>
    <row r="7" ht="22.5" customHeight="1">
      <c r="A7" s="119" t="s">
        <v>1501</v>
      </c>
      <c r="B7" s="120">
        <v>306.0</v>
      </c>
    </row>
    <row r="8" ht="22.5" customHeight="1">
      <c r="A8" s="119" t="s">
        <v>1839</v>
      </c>
      <c r="B8" s="120">
        <v>113.0</v>
      </c>
    </row>
    <row r="9" ht="22.5" customHeight="1">
      <c r="A9" s="119" t="s">
        <v>1984</v>
      </c>
      <c r="B9" s="120">
        <v>1255.0</v>
      </c>
    </row>
    <row r="10" ht="22.5" customHeight="1">
      <c r="A10" s="119" t="s">
        <v>3580</v>
      </c>
      <c r="B10" s="120">
        <v>274.0</v>
      </c>
    </row>
    <row r="11" ht="22.5" customHeight="1">
      <c r="A11" s="119" t="s">
        <v>3966</v>
      </c>
      <c r="B11" s="120">
        <v>123.0</v>
      </c>
    </row>
    <row r="12" ht="22.5" customHeight="1">
      <c r="A12" s="119" t="s">
        <v>4153</v>
      </c>
      <c r="B12" s="120">
        <v>211.0</v>
      </c>
    </row>
    <row r="13" ht="22.5" customHeight="1">
      <c r="A13" s="119" t="s">
        <v>4395</v>
      </c>
      <c r="B13" s="120">
        <v>261.0</v>
      </c>
    </row>
  </sheetData>
  <dataValidations>
    <dataValidation type="custom" allowBlank="1" showDropDown="1" sqref="B4:B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4.43"/>
  </cols>
  <sheetData>
    <row r="1" ht="225.0" customHeight="1"/>
    <row r="3" ht="22.5" customHeight="1">
      <c r="A3" s="118" t="s">
        <v>93</v>
      </c>
      <c r="B3" s="118" t="s">
        <v>95</v>
      </c>
    </row>
    <row r="4" ht="22.5" customHeight="1">
      <c r="A4" s="119" t="s">
        <v>100</v>
      </c>
      <c r="B4" s="120">
        <v>5000.0</v>
      </c>
    </row>
    <row r="5" ht="22.5" customHeight="1">
      <c r="A5" s="119" t="s">
        <v>99</v>
      </c>
      <c r="B5" s="120">
        <v>16000.0</v>
      </c>
    </row>
    <row r="6" ht="22.5" customHeight="1">
      <c r="A6" s="119" t="s">
        <v>97</v>
      </c>
      <c r="B6" s="120">
        <v>22500.0</v>
      </c>
    </row>
    <row r="7" ht="22.5" customHeight="1">
      <c r="A7" s="119" t="s">
        <v>102</v>
      </c>
      <c r="B7" s="119" t="s">
        <v>17491</v>
      </c>
    </row>
    <row r="8" ht="22.5" customHeight="1">
      <c r="A8" s="119" t="s">
        <v>98</v>
      </c>
      <c r="B8" s="120">
        <v>19840.0</v>
      </c>
    </row>
  </sheetData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