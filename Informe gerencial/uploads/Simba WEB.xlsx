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<sst xmlns="http://schemas.openxmlformats.org/spreadsheetml/2006/main" count="531" uniqueCount="502">
  <si>
    <t>UID_Empresa</t>
  </si>
  <si>
    <t>NombreEmpresa</t>
  </si>
  <si>
    <t>NIT</t>
  </si>
  <si>
    <t>primer_documento</t>
  </si>
  <si>
    <t>ultimo_documento</t>
  </si>
  <si>
    <t>documentos_totales</t>
  </si>
  <si>
    <t>documentos_2024</t>
  </si>
  <si>
    <t>documentos_2025</t>
  </si>
  <si>
    <t>documentos_diciembre</t>
  </si>
  <si>
    <t>documentos_noviembre</t>
  </si>
  <si>
    <t>facturas</t>
  </si>
  <si>
    <t>nota_debito</t>
  </si>
  <si>
    <t>nota_credito</t>
  </si>
  <si>
    <t>documento_soporte</t>
  </si>
  <si>
    <t>nota_doc_soporte</t>
  </si>
  <si>
    <t>usa_Linea_CargoDescuento</t>
  </si>
  <si>
    <t>usa_Total_CargoDescuento</t>
  </si>
  <si>
    <t>usa_Total_Remesas</t>
  </si>
  <si>
    <t>usa_UsuariosSalud</t>
  </si>
  <si>
    <t>maneja_adjunto</t>
  </si>
  <si>
    <t>en_tercero_mandatario</t>
  </si>
  <si>
    <t>en_tercero_mandante</t>
  </si>
  <si>
    <t>linea_tercero_mandante</t>
  </si>
  <si>
    <t>multiples_compradores</t>
  </si>
  <si>
    <t>multiples_accionistas</t>
  </si>
  <si>
    <t>wildcards</t>
  </si>
  <si>
    <t>encabezado_referencias_documento</t>
  </si>
  <si>
    <t>linea_referencias_documento</t>
  </si>
  <si>
    <t>maneja_anticipo</t>
  </si>
  <si>
    <t>maneja_saldo_anticipo</t>
  </si>
  <si>
    <t>Orden Migracion</t>
  </si>
  <si>
    <t>% Funcionalidades</t>
  </si>
  <si>
    <t>Funcionalidades</t>
  </si>
  <si>
    <t>LARGO</t>
  </si>
  <si>
    <t>CONCESION SANTA MARTA PARAGUACHON S.A.</t>
  </si>
  <si>
    <t>2024-10-01 16:11:21.730</t>
  </si>
  <si>
    <t>2025-11-01 14:35:12.780</t>
  </si>
  <si>
    <t>COOPERATIVA DE MOTORISTAS DEL HUILA Y CAQUETA LIMITADA</t>
  </si>
  <si>
    <t>2024-11-13 14:44:54.203</t>
  </si>
  <si>
    <t>2025-12-11 12:03:02.550</t>
  </si>
  <si>
    <t>NATALIA ARENAS</t>
  </si>
  <si>
    <t>2024-05-10 13:37:59.510</t>
  </si>
  <si>
    <t>2025-12-12 07:05:30.223</t>
  </si>
  <si>
    <t>ENERGY LIVING S.A.S..</t>
  </si>
  <si>
    <t>2023-02-09 08:57:19.063</t>
  </si>
  <si>
    <t>2025-12-02 10:02:07.850</t>
  </si>
  <si>
    <t>JORGE VARON MUNAR</t>
  </si>
  <si>
    <t>2023-03-07 12:42:27.660</t>
  </si>
  <si>
    <t>2025-11-28 22:30:49.497</t>
  </si>
  <si>
    <t>BUGANVILO S.A.S</t>
  </si>
  <si>
    <t>2022-11-18 14:55:07.613</t>
  </si>
  <si>
    <t>2025-12-04 14:12:27.023</t>
  </si>
  <si>
    <t>SCHWARZIN S.A.S.</t>
  </si>
  <si>
    <t>2022-11-18 15:13:32.987</t>
  </si>
  <si>
    <t>2025-12-04 00:00:00.000</t>
  </si>
  <si>
    <t>VERDAU S.A.S.</t>
  </si>
  <si>
    <t>2022-11-18 15:23:52.963</t>
  </si>
  <si>
    <t>ETAPA 2 LA VIDA ES BELLA S.A.S</t>
  </si>
  <si>
    <t>2025-10-03 00:00:00.000</t>
  </si>
  <si>
    <t>2025-11-07 00:00:00.000</t>
  </si>
  <si>
    <t>ETAPA 3 LA VIDA ES BELLA S.A.S</t>
  </si>
  <si>
    <t>2025-12-01 00:00:00.000</t>
  </si>
  <si>
    <t>JUAN PABLO POSADA ARCINIEGAS</t>
  </si>
  <si>
    <t>2024-10-03 16:38:09.757</t>
  </si>
  <si>
    <t>2025-11-25 16:38:09.757</t>
  </si>
  <si>
    <t>INVERSIONES RRM &amp; CIA SAS</t>
  </si>
  <si>
    <t>MUKIS SAS</t>
  </si>
  <si>
    <t>2022-08-22 08:21:11.863</t>
  </si>
  <si>
    <t>2025-12-11 07:41:33.597</t>
  </si>
  <si>
    <t>CONSTRUCTORA LATITUD 80 SAS</t>
  </si>
  <si>
    <t>2024-09-16 12:26:00.000</t>
  </si>
  <si>
    <t>2025-12-05 10:51:45.007</t>
  </si>
  <si>
    <t>ELECTRICOS Y AUTOMATIZACION HTC S.A.S.</t>
  </si>
  <si>
    <t>2022-12-12 16:27:59.633</t>
  </si>
  <si>
    <t>2025-12-01 16:20:16.877</t>
  </si>
  <si>
    <t>INVERINMOBILI SAS</t>
  </si>
  <si>
    <t>2022-08-23 11:58:39.017</t>
  </si>
  <si>
    <t>2025-11-26 08:06:58.813</t>
  </si>
  <si>
    <t>JOSE MARIA CORDOBA MARQUEZ</t>
  </si>
  <si>
    <t>2021-05-06 14:34:11.697</t>
  </si>
  <si>
    <t>2025-12-04 12:16:47.937</t>
  </si>
  <si>
    <t>KEN SUN HU</t>
  </si>
  <si>
    <t>2020-11-03 17:04:08.877</t>
  </si>
  <si>
    <t>2025-12-03 12:02:31.587</t>
  </si>
  <si>
    <t>3C INVERCON SAS</t>
  </si>
  <si>
    <t>2020-07-02 10:05:54.950</t>
  </si>
  <si>
    <t>2025-12-03 11:10:36.580</t>
  </si>
  <si>
    <t>ASOCIACION DE VIGILANCIA GIAMAN</t>
  </si>
  <si>
    <t>2021-09-22 14:57:04.117</t>
  </si>
  <si>
    <t>2025-10-30 00:00:00.000</t>
  </si>
  <si>
    <t>BLALEN</t>
  </si>
  <si>
    <t>2020-11-18 12:36:12.713</t>
  </si>
  <si>
    <t>2025-12-09 10:00:21.813</t>
  </si>
  <si>
    <t>JOSE JULIAN DIAZ</t>
  </si>
  <si>
    <t>2024-04-20 12:58:52.830</t>
  </si>
  <si>
    <t>2025-12-09 08:52:37.183</t>
  </si>
  <si>
    <t>ACADEMIA DE BELLEZA ALTA PELUQUERIA Y BARBERIA ITALIANA S.A.S</t>
  </si>
  <si>
    <t>2024-08-05 17:39:25.510</t>
  </si>
  <si>
    <t>2025-12-03 13:49:39.767</t>
  </si>
  <si>
    <t>POLFLEX LTDA</t>
  </si>
  <si>
    <t>2020-11-17 16:17:45.503</t>
  </si>
  <si>
    <t>2025-12-10 12:32:08.597</t>
  </si>
  <si>
    <t>CARDENAS VIOLA RODOLFO</t>
  </si>
  <si>
    <t>2025-03-22 13:02:18.157</t>
  </si>
  <si>
    <t>2025-12-11 13:02:18.157</t>
  </si>
  <si>
    <t>PROMOTORA TIERRA GRATA NORTE S.A.S</t>
  </si>
  <si>
    <t>2025-01-21 00:00:00.000</t>
  </si>
  <si>
    <t>2025-11-28 08:26:55.723</t>
  </si>
  <si>
    <t>VARELA RODELO DOLLYS ADORACION</t>
  </si>
  <si>
    <t>2020-02-17 10:30:34.257</t>
  </si>
  <si>
    <t>2025-11-24 13:34:53.947</t>
  </si>
  <si>
    <t>Lucy Yolanda Gomez Ortiz</t>
  </si>
  <si>
    <t>2024-03-12 16:26:49.207</t>
  </si>
  <si>
    <t>2025-11-04 14:50:38.450</t>
  </si>
  <si>
    <t>SOW DESIGN STUDIO LTDA</t>
  </si>
  <si>
    <t>2020-09-14 11:32:41.107</t>
  </si>
  <si>
    <t>2025-11-20 11:38:01.247</t>
  </si>
  <si>
    <t>H&amp;N TRANSPORTES SAS</t>
  </si>
  <si>
    <t>2024-01-23 16:38:23.520</t>
  </si>
  <si>
    <t>2025-10-27 10:17:32.887</t>
  </si>
  <si>
    <t>MARIA TERESA GALIANO DE SANCHEZ</t>
  </si>
  <si>
    <t>2023-07-13 09:27:56.093</t>
  </si>
  <si>
    <t>2025-12-05 09:57:02.580</t>
  </si>
  <si>
    <t>PROYECTAR DISEÑOS Y CONSTRUCCIONES SAS</t>
  </si>
  <si>
    <t>2021-11-29 15:20:56.987</t>
  </si>
  <si>
    <t>2025-12-10 16:26:19.327</t>
  </si>
  <si>
    <t xml:space="preserve">ARGEMIRO TORRES MENDEZ </t>
  </si>
  <si>
    <t>2023-11-15 15:05:38.750</t>
  </si>
  <si>
    <t>2025-12-10 13:25:36.140</t>
  </si>
  <si>
    <t>DAVID FERNANDO MORA BONILLA</t>
  </si>
  <si>
    <t>2023-11-11 18:41:30.050</t>
  </si>
  <si>
    <t>2025-12-09 16:18:51.760</t>
  </si>
  <si>
    <t>LAURA ALEJANDRA POVEDA LOTERO</t>
  </si>
  <si>
    <t>2024-07-23 21:25:17.007</t>
  </si>
  <si>
    <t>2025-11-23 21:25:17.007</t>
  </si>
  <si>
    <t xml:space="preserve"> PROMOTORA TIERRA GRATA S.A.S.</t>
  </si>
  <si>
    <t>2021-10-22 00:00:00.000</t>
  </si>
  <si>
    <t>2025-12-03 00:00:00.000</t>
  </si>
  <si>
    <t>PROMOTORA MEGABODEGAS S.A.</t>
  </si>
  <si>
    <t>2020-07-30 16:09:34.943</t>
  </si>
  <si>
    <t>2025-11-13 00:00:00.000</t>
  </si>
  <si>
    <t>MARIA CLAUDIA GUZMAN SERRANO</t>
  </si>
  <si>
    <t>2021-09-06 17:17:28.057</t>
  </si>
  <si>
    <t>2025-12-06 09:03:56.360</t>
  </si>
  <si>
    <t>DEGITEX SAS</t>
  </si>
  <si>
    <t>2020-08-11 09:22:09.983</t>
  </si>
  <si>
    <t>2025-12-12 11:13:20.310</t>
  </si>
  <si>
    <t>Asociacion Colombiana De Fibras Ascolfibras</t>
  </si>
  <si>
    <t>2020-02-20 11:07:05.897</t>
  </si>
  <si>
    <t>2025-10-22 11:49:48.287</t>
  </si>
  <si>
    <t>GERARDO IVAN DAVILA PEREIRA</t>
  </si>
  <si>
    <t>2021-07-29 18:14:20.850</t>
  </si>
  <si>
    <t>2025-11-28 14:46:19.897</t>
  </si>
  <si>
    <t>GAS DE LA REGION S.A.S</t>
  </si>
  <si>
    <t>2024-08-24 11:48:41.437</t>
  </si>
  <si>
    <t>DAD CONSULTORES SAS</t>
  </si>
  <si>
    <t>2020-09-07 14:30:01.200</t>
  </si>
  <si>
    <t>2025-12-11 08:28:16.873</t>
  </si>
  <si>
    <t>SOFTWARE, SUMINISTROS Y SOLUCIONES INGENIERIA SAS</t>
  </si>
  <si>
    <t>2023-05-10 16:25:56.733</t>
  </si>
  <si>
    <t>2025-12-03 12:56:38.250</t>
  </si>
  <si>
    <t>ACRIPROYECTOS-PUBLICIDAD Y MOBILIARIO S.A.S</t>
  </si>
  <si>
    <t>2023-03-03 08:37:07.320</t>
  </si>
  <si>
    <t>2025-12-12 10:33:39.453</t>
  </si>
  <si>
    <t>BEST PRACTICE INTERNET MARKETING SAS</t>
  </si>
  <si>
    <t>2020-09-25 16:02:31.300</t>
  </si>
  <si>
    <t>2025-12-05 15:21:41.490</t>
  </si>
  <si>
    <t>JOSE ROGELIO MARTINEZ ARCILA</t>
  </si>
  <si>
    <t>2020-10-06 09:33:46.087</t>
  </si>
  <si>
    <t>2025-12-11 11:22:16.947</t>
  </si>
  <si>
    <t>JOSE ASDRUBAL RINCON GOMEZ</t>
  </si>
  <si>
    <t>2024-08-15 10:46:15.030</t>
  </si>
  <si>
    <t>2025-12-11 09:40:38.807</t>
  </si>
  <si>
    <t>OLVEGA SAS</t>
  </si>
  <si>
    <t>2021-01-08 11:46:17.100</t>
  </si>
  <si>
    <t>2025-12-04 09:58:13.587</t>
  </si>
  <si>
    <t>CEMENTOS ORIENTE S.A.S ZOMAC</t>
  </si>
  <si>
    <t>2025-12-11 16:04:47.703</t>
  </si>
  <si>
    <t>2025-12-11 16:26:19.993</t>
  </si>
  <si>
    <t>FACTOR COMUN SAS</t>
  </si>
  <si>
    <t>2024-07-12 19:46:48.527</t>
  </si>
  <si>
    <t>2025-11-14 19:46:48.527</t>
  </si>
  <si>
    <t>SOCIEDAD MINERA TROMPETERO LTDA</t>
  </si>
  <si>
    <t>2019-12-10 13:54:39.373</t>
  </si>
  <si>
    <t>2025-12-03 11:03:02.077</t>
  </si>
  <si>
    <t>PROMOTORA LA VIDA ES BELLA S.A.S.</t>
  </si>
  <si>
    <t>2019-12-17 16:30:41.840</t>
  </si>
  <si>
    <t>2025-12-12 07:49:32.587</t>
  </si>
  <si>
    <t>ROBINFOOD COLOMBIA S.A.S</t>
  </si>
  <si>
    <t>2024-06-07 10:04:19.480</t>
  </si>
  <si>
    <t>2025-12-11 16:00:11.567</t>
  </si>
  <si>
    <t>OLGA ALICIA VELEZ GARZON</t>
  </si>
  <si>
    <t>2020-09-03 09:12:59.903</t>
  </si>
  <si>
    <t>2025-12-09 10:46:27.267</t>
  </si>
  <si>
    <t>CLAUDIA LUCIA VELANDIA GOMEZ</t>
  </si>
  <si>
    <t>2023-10-13 14:27:40.207</t>
  </si>
  <si>
    <t>2025-12-10 16:39:08.490</t>
  </si>
  <si>
    <t>JUDY CONSTANZA DIAZ FIRIGUA</t>
  </si>
  <si>
    <t>2020-11-30 18:08:37.567</t>
  </si>
  <si>
    <t>2025-12-11 11:22:47.897</t>
  </si>
  <si>
    <t>LUIS EDUARDO OVALLE</t>
  </si>
  <si>
    <t>2019-12-09 22:15:21.410</t>
  </si>
  <si>
    <t>2025-11-26 22:35:04.593</t>
  </si>
  <si>
    <t>ALUCRIS S.A.S.</t>
  </si>
  <si>
    <t>2020-11-04 09:42:28.403</t>
  </si>
  <si>
    <t>2025-12-12 10:09:32.977</t>
  </si>
  <si>
    <t>TRANSPORTADORA HUBER FRANCO S.A.S.</t>
  </si>
  <si>
    <t>2024-05-03 15:02:16.200</t>
  </si>
  <si>
    <t>2025-12-11 16:53:10.030</t>
  </si>
  <si>
    <t>CENTRAL DE ARRENDAMIENTOS INVESTIGACIONES Y COBRANZAS SAS</t>
  </si>
  <si>
    <t>2022-09-13 09:07:24.930</t>
  </si>
  <si>
    <t>2025-12-03 17:14:57.450</t>
  </si>
  <si>
    <t>SMC COLOMBIA SAS</t>
  </si>
  <si>
    <t>2022-08-31 00:00:00.000</t>
  </si>
  <si>
    <t>2025-12-09 12:09:29.410</t>
  </si>
  <si>
    <t>CENTRO COMERCIAL PORTAL DE LA 80 - PROPIEDAD HORIZONTAL</t>
  </si>
  <si>
    <t>2022-08-10 16:57:14.607</t>
  </si>
  <si>
    <t>2025-12-04 17:19:10.577</t>
  </si>
  <si>
    <t>COOPERATIVA DE PRODUCCION Y TRABAJO VENCEDOR</t>
  </si>
  <si>
    <t>2022-12-30 00:00:00.000</t>
  </si>
  <si>
    <t>2025-12-02 09:05:48.943</t>
  </si>
  <si>
    <t>GRUPO SANCHEZ COLOMBIA SAS</t>
  </si>
  <si>
    <t>2022-08-31 17:06:35.703</t>
  </si>
  <si>
    <t>2025-12-01 10:49:22.493</t>
  </si>
  <si>
    <t>MEMORY CORP CALI S.A.S</t>
  </si>
  <si>
    <t>2022-08-29 10:32:01.033</t>
  </si>
  <si>
    <t>2025-11-28 16:33:04.613</t>
  </si>
  <si>
    <t>MEMORY CORP SAS</t>
  </si>
  <si>
    <t>2022-08-26 09:52:48.760</t>
  </si>
  <si>
    <t>2025-11-26 16:13:56.443</t>
  </si>
  <si>
    <t>RAUL RODRIGUEZ</t>
  </si>
  <si>
    <t>2020-02-27 15:45:48.487</t>
  </si>
  <si>
    <t>2025-11-28 16:49:55.997</t>
  </si>
  <si>
    <t>MINERIA INTEGRAL DE LA SABANA SAS</t>
  </si>
  <si>
    <t>2021-02-23 14:28:25.497</t>
  </si>
  <si>
    <t>2025-12-02 11:29:20.430</t>
  </si>
  <si>
    <t>FUNDACION HATOGRANDE</t>
  </si>
  <si>
    <t>2023-08-31 11:31:01.850</t>
  </si>
  <si>
    <t>2025-12-07 10:31:05.577</t>
  </si>
  <si>
    <t>JORGE HERNANDEZ PINZON</t>
  </si>
  <si>
    <t>2022-01-24 11:00:01.697</t>
  </si>
  <si>
    <t>2025-12-10 19:16:51.487</t>
  </si>
  <si>
    <t>MINAS T&amp;R SAS</t>
  </si>
  <si>
    <t>2022-01-27 15:34:14.757</t>
  </si>
  <si>
    <t>2025-12-11 00:00:00.000</t>
  </si>
  <si>
    <t>Hot Trade SAS</t>
  </si>
  <si>
    <t>2022-08-16 11:46:57.980</t>
  </si>
  <si>
    <t>2025-11-28 14:21:32.167</t>
  </si>
  <si>
    <t xml:space="preserve">INTEGRA IMPRESOS SAS </t>
  </si>
  <si>
    <t>2019-12-17 10:24:59.707</t>
  </si>
  <si>
    <t>2025-12-12 09:12:00.447</t>
  </si>
  <si>
    <t>FLORES DE PALOQUEMAO SA</t>
  </si>
  <si>
    <t>2020-10-08 14:43:12.857</t>
  </si>
  <si>
    <t>2025-12-11 10:33:38.580</t>
  </si>
  <si>
    <t>STEEL SOLUCIONES EMPRESARIALES SAS</t>
  </si>
  <si>
    <t>2022-04-07 10:44:21.513</t>
  </si>
  <si>
    <t>2025-12-05 12:23:02.247</t>
  </si>
  <si>
    <t>LA ELSY LTDA</t>
  </si>
  <si>
    <t>2019-12-12 13:41:40.850</t>
  </si>
  <si>
    <t>2025-12-11 13:51:55.477</t>
  </si>
  <si>
    <t>CAP TERMINACION Y ACABADOS SAS</t>
  </si>
  <si>
    <t>2020-01-10 12:19:59.103</t>
  </si>
  <si>
    <t>2025-11-10 16:33:40.300</t>
  </si>
  <si>
    <t>TABA SPORT S.A.S.</t>
  </si>
  <si>
    <t>2020-07-26 14:24:17.793</t>
  </si>
  <si>
    <t>2025-12-12 11:57:54.750</t>
  </si>
  <si>
    <t>LC TRANSPORTADORES S A S</t>
  </si>
  <si>
    <t>2023-09-11 09:30:20.087</t>
  </si>
  <si>
    <t>2025-12-04 19:41:21.557</t>
  </si>
  <si>
    <t>ARMANDO CUELLAR ARTEAGA</t>
  </si>
  <si>
    <t>2023-11-15 14:45:04.800</t>
  </si>
  <si>
    <t>2025-12-12 10:55:40.487</t>
  </si>
  <si>
    <t>MADKTING COLOMBIA SAS</t>
  </si>
  <si>
    <t>2020-07-16 17:51:02.770</t>
  </si>
  <si>
    <t>2025-12-09 13:17:33.677</t>
  </si>
  <si>
    <t>JAVIER LONDOÑO SAS</t>
  </si>
  <si>
    <t>2019-12-16 11:05:14.340</t>
  </si>
  <si>
    <t>2025-12-09 11:11:41.927</t>
  </si>
  <si>
    <t>ARQUITECT SAS</t>
  </si>
  <si>
    <t>2020-12-18 22:07:07.527</t>
  </si>
  <si>
    <t>2025-12-04 08:02:30.193</t>
  </si>
  <si>
    <t>KRONOS MOBILE SAS</t>
  </si>
  <si>
    <t>2022-02-10 03:23:15.890</t>
  </si>
  <si>
    <t>2025-12-10 14:42:32.987</t>
  </si>
  <si>
    <t>CRISTINA HERRERA TALENTI SAS</t>
  </si>
  <si>
    <t>2020-03-04 14:52:44.197</t>
  </si>
  <si>
    <t>2025-12-10 19:05:47.797</t>
  </si>
  <si>
    <t>CARGO TRUCK SAS</t>
  </si>
  <si>
    <t>2024-08-09 14:48:50.957</t>
  </si>
  <si>
    <t>2025-12-02 18:13:28.930</t>
  </si>
  <si>
    <t>PROMOTORA INMOBILIARIA BRUJAS S.A.S.</t>
  </si>
  <si>
    <t>2019-12-12 12:27:08.723</t>
  </si>
  <si>
    <t>2025-12-05 00:00:00.000</t>
  </si>
  <si>
    <t>TAOCCI SAS</t>
  </si>
  <si>
    <t>2023-10-20 16:48:33.780</t>
  </si>
  <si>
    <t>2025-12-11 16:58:31.947</t>
  </si>
  <si>
    <t>ASOCIACION INDIGENA EL CONSUELO ASOINCO</t>
  </si>
  <si>
    <t>2022-11-02 18:21:45.683</t>
  </si>
  <si>
    <t>2025-12-03 19:07:43.803</t>
  </si>
  <si>
    <t>DIEGO FERNANDO CALZADA VARGAS</t>
  </si>
  <si>
    <t>2020-09-29 16:43:59.950</t>
  </si>
  <si>
    <t>2025-12-03 06:48:27.180</t>
  </si>
  <si>
    <t>Visual &amp; Color</t>
  </si>
  <si>
    <t>2023-09-13 17:12:23.740</t>
  </si>
  <si>
    <t>2025-12-09 15:23:20.213</t>
  </si>
  <si>
    <t>MACRO SERVICIOS EXPRESS DE COLOMBIA SAS</t>
  </si>
  <si>
    <t>2025-04-07 09:56:18.990</t>
  </si>
  <si>
    <t>2025-12-10 14:11:48.490</t>
  </si>
  <si>
    <t xml:space="preserve">TRANSPORTADORES ALIADOS DEL DEPARTAMENTO DE ARAUCA S.A.S ZOMAC </t>
  </si>
  <si>
    <t>2024-11-26 00:00:00.000</t>
  </si>
  <si>
    <t>2025-12-10 00:00:00.000</t>
  </si>
  <si>
    <t xml:space="preserve">EMPRESA DE TRANSPORTE SERVICARGA RADIO S. A. </t>
  </si>
  <si>
    <t>2024-12-02 00:00:00.000</t>
  </si>
  <si>
    <t>UNION TEMPORAL PETROQUINTAL</t>
  </si>
  <si>
    <t>2024-05-28 18:24:06.037</t>
  </si>
  <si>
    <t>2025-11-20 12:59:22.947</t>
  </si>
  <si>
    <t>Verion SAS</t>
  </si>
  <si>
    <t>2022-08-11 14:37:41.093</t>
  </si>
  <si>
    <t>2025-12-09 12:17:29.617</t>
  </si>
  <si>
    <t>ASESORES CONTABLES TRIBUTARIOS Y ASOCIADOS SAS</t>
  </si>
  <si>
    <t>2020-09-25 13:16:34.280</t>
  </si>
  <si>
    <t>2025-12-05 08:05:46.633</t>
  </si>
  <si>
    <t>FLAVIO BLANCO</t>
  </si>
  <si>
    <t>2020-11-18 12:11:55.340</t>
  </si>
  <si>
    <t>2025-12-11 10:14:51.200</t>
  </si>
  <si>
    <t>TRANS SOLUCIONES J&amp;J S.A.S</t>
  </si>
  <si>
    <t>2023-10-02 13:43:11.690</t>
  </si>
  <si>
    <t>2025-10-31 18:19:06.577</t>
  </si>
  <si>
    <t>ALBROKERS ZF SAS</t>
  </si>
  <si>
    <t>2022-12-23 15:26:42.953</t>
  </si>
  <si>
    <t>INVERSIONES 4G S.A.S</t>
  </si>
  <si>
    <t>2022-12-16 09:14:37.547</t>
  </si>
  <si>
    <t>2025-12-09 13:29:36.353</t>
  </si>
  <si>
    <t>MARQUEZ E HIJOS MATERIALES ELECTRICOS SAS</t>
  </si>
  <si>
    <t>2025-09-15 15:22:04.837</t>
  </si>
  <si>
    <t>2025-12-11 12:38:08.230</t>
  </si>
  <si>
    <t xml:space="preserve">C I RESINC DE COLOMBIA SAS </t>
  </si>
  <si>
    <t>2020-02-10 10:44:22.407</t>
  </si>
  <si>
    <t>2025-12-01 14:09:08.113</t>
  </si>
  <si>
    <t>CHAZKICARGO S.A.S.</t>
  </si>
  <si>
    <t>2024-04-26 12:01:54.570</t>
  </si>
  <si>
    <t>2025-12-10 14:21:36.393</t>
  </si>
  <si>
    <t>CORPORACION LEGAL TRADE COLOMBIA</t>
  </si>
  <si>
    <t>2020-09-30 20:59:37.537</t>
  </si>
  <si>
    <t>2025-11-26 23:01:56.237</t>
  </si>
  <si>
    <t>EDUARDO MARQUEZ E HIJOS MATERIALES ELECTRICOS SAS</t>
  </si>
  <si>
    <t>2020-07-09 17:03:10.113</t>
  </si>
  <si>
    <t>2025-12-11 14:05:20.887</t>
  </si>
  <si>
    <t>SUMINISTROS SEPULVEDA SAS</t>
  </si>
  <si>
    <t>2020-01-16 14:40:32.540</t>
  </si>
  <si>
    <t>2025-12-10 19:51:00.187</t>
  </si>
  <si>
    <t>BOTSMOTION SAS</t>
  </si>
  <si>
    <t>2020-06-16 15:18:51.893</t>
  </si>
  <si>
    <t>2025-12-10 11:05:54.327</t>
  </si>
  <si>
    <t>AGUAS DE BOGOTA SA ESP</t>
  </si>
  <si>
    <t>2023-03-01 14:29:16.930</t>
  </si>
  <si>
    <t>2025-12-12 11:45:00.000</t>
  </si>
  <si>
    <t>CONTACTO DIRECTO ASESORES EN SEGUROS LTDA</t>
  </si>
  <si>
    <t>2019-11-28 14:36:42.027</t>
  </si>
  <si>
    <t>2025-11-25 15:34:06.727</t>
  </si>
  <si>
    <t>LUZ ADRIANA TODO EN SEGUROS LTDA</t>
  </si>
  <si>
    <t>2019-12-12 20:14:30.303</t>
  </si>
  <si>
    <t>2025-12-12 07:41:14.183</t>
  </si>
  <si>
    <t>EMPRESA DE ENERGIA DE ARAUCA ESP ENELAR ESP</t>
  </si>
  <si>
    <t>2022-09-06 00:00:00.000</t>
  </si>
  <si>
    <t>MANUFACTURAS CALZADO MANDARINA SAS</t>
  </si>
  <si>
    <t>2020-11-13 00:00:00.000</t>
  </si>
  <si>
    <t>2025-12-12 11:28:36.367</t>
  </si>
  <si>
    <t>MID SAS</t>
  </si>
  <si>
    <t>2019-12-11 11:00:33.270</t>
  </si>
  <si>
    <t>2025-12-03 09:39:40.947</t>
  </si>
  <si>
    <t>TRANSPORTES R. VELEZ LACAYO S.A.S</t>
  </si>
  <si>
    <t>2024-03-02 12:24:24.657</t>
  </si>
  <si>
    <t>2025-12-10 16:55:35.563</t>
  </si>
  <si>
    <t>LOGISTICA INTEGRAL PORTUARIA CARGO SAS</t>
  </si>
  <si>
    <t>2023-12-20 16:00:05.217</t>
  </si>
  <si>
    <t>2025-10-31 18:25:42.563</t>
  </si>
  <si>
    <t>SANTIAGO PARDO RAMIREZ</t>
  </si>
  <si>
    <t>2020-09-07 14:46:44.677</t>
  </si>
  <si>
    <t>2025-12-09 14:17:11.807</t>
  </si>
  <si>
    <t>CONSULTORES OPA S.A.</t>
  </si>
  <si>
    <t>2020-09-08 07:21:32.003</t>
  </si>
  <si>
    <t>2025-12-10 16:21:52.427</t>
  </si>
  <si>
    <t>GT INVERCOL - GESTION CONTABLE &amp; LEGAL SAS</t>
  </si>
  <si>
    <t>2023-01-27 13:18:54.053</t>
  </si>
  <si>
    <t>2025-12-01 11:25:11.610</t>
  </si>
  <si>
    <t>LABORATORIO CLINICO WINLAB S.A.S.</t>
  </si>
  <si>
    <t>2025-10-20 16:24:16.750</t>
  </si>
  <si>
    <t>2025-12-10 21:58:33.143</t>
  </si>
  <si>
    <t>SOCIEDAD MINERA LA PROVIDENCIA LTDA</t>
  </si>
  <si>
    <t>2019-12-10 12:50:48.813</t>
  </si>
  <si>
    <t>2025-12-11 19:55:39.137</t>
  </si>
  <si>
    <t>AMERLAB EU</t>
  </si>
  <si>
    <t>2022-09-19 15:01:30.217</t>
  </si>
  <si>
    <t>2025-11-30 21:29:14.417</t>
  </si>
  <si>
    <t>BLEC SAS</t>
  </si>
  <si>
    <t>2020-11-10 11:05:16.730</t>
  </si>
  <si>
    <t>2025-12-12 08:07:59.653</t>
  </si>
  <si>
    <t>REVALIU SAS</t>
  </si>
  <si>
    <t>2020-07-29 09:53:14.193</t>
  </si>
  <si>
    <t>2025-12-10 09:47:06.720</t>
  </si>
  <si>
    <t>CONSORCIO ERON LA GUAJIRA</t>
  </si>
  <si>
    <t>2021-12-14 13:00:34.090</t>
  </si>
  <si>
    <t>2025-12-11 13:00:34.090</t>
  </si>
  <si>
    <t>SYNEOS HEALTH COLOMBIA LTDA</t>
  </si>
  <si>
    <t>2020-04-08 08:19:01.867</t>
  </si>
  <si>
    <t>2025-12-12 07:57:53.743</t>
  </si>
  <si>
    <t>CONSORCIO PILAMO</t>
  </si>
  <si>
    <t>2021-07-12 15:06:04.487</t>
  </si>
  <si>
    <t>2025-12-09 07:46:22.110</t>
  </si>
  <si>
    <t>VARELA FIHOLL &amp; CIA SAS</t>
  </si>
  <si>
    <t>2019-12-04 19:11:09.420</t>
  </si>
  <si>
    <t>2025-12-11 18:00:00.000</t>
  </si>
  <si>
    <t>CLAUDIA SERRATO SAS</t>
  </si>
  <si>
    <t>2023-01-10 15:46:08.577</t>
  </si>
  <si>
    <t>2025-12-11 10:33:12.743</t>
  </si>
  <si>
    <t xml:space="preserve"> CONSULTORIA ESTRUCTURAL LUIS GONZALO VILLADA SAS</t>
  </si>
  <si>
    <t>2020-03-20 23:18:14.997</t>
  </si>
  <si>
    <t>2025-12-10 14:57:35.443</t>
  </si>
  <si>
    <t>PARDO &amp; ASOCIADOS ESTRATEGIAS TRIBUTARIAS S.A.</t>
  </si>
  <si>
    <t>2019-12-09 13:42:45.383</t>
  </si>
  <si>
    <t>2025-12-12 11:46:05.797</t>
  </si>
  <si>
    <t>INVERPLAG</t>
  </si>
  <si>
    <t>2020-09-18 17:18:18.993</t>
  </si>
  <si>
    <t>2025-11-24 20:19:02.367</t>
  </si>
  <si>
    <t xml:space="preserve"> MINAS MONTECRISTO S.A.S.</t>
  </si>
  <si>
    <t>2019-12-03 16:04:20.013</t>
  </si>
  <si>
    <t>2025-11-04 00:00:00.000</t>
  </si>
  <si>
    <t>TRANSPORTES NODUS SAS</t>
  </si>
  <si>
    <t>2025-08-15 10:43:51.987</t>
  </si>
  <si>
    <t>2025-12-12 11:28:22.327</t>
  </si>
  <si>
    <t>TRANSP MENSAJERIA COSTA NORTE S.A.S.</t>
  </si>
  <si>
    <t>2024-04-18 17:51:37.030</t>
  </si>
  <si>
    <t>2025-12-12 12:11:55.623</t>
  </si>
  <si>
    <t>SNF INC</t>
  </si>
  <si>
    <t>2019-12-13 14:50:58.300</t>
  </si>
  <si>
    <t>2025-12-12 10:10:52.050</t>
  </si>
  <si>
    <t>TRANSPORTES RUSINQUE SAS</t>
  </si>
  <si>
    <t>2020-01-20 14:21:17.823</t>
  </si>
  <si>
    <t>2025-12-12 09:57:50.010</t>
  </si>
  <si>
    <t>MOGOLLON S.A.S. OPERADOR LOGISTICO DE CARGA</t>
  </si>
  <si>
    <t>2023-10-03 16:55:46.503</t>
  </si>
  <si>
    <t>2025-12-11 16:55:05.340</t>
  </si>
  <si>
    <t>ATENEA MOBILE SAS</t>
  </si>
  <si>
    <t>2020-06-09 06:24:37.607</t>
  </si>
  <si>
    <t>2025-12-11 10:08:50.883</t>
  </si>
  <si>
    <t xml:space="preserve">GENETICA LAB SAS </t>
  </si>
  <si>
    <t>2025-07-17 15:27:02.823</t>
  </si>
  <si>
    <t>2025-10-28 15:07:50.017</t>
  </si>
  <si>
    <t>HIERROS &amp; CONCRETOS SAS</t>
  </si>
  <si>
    <t>2020-01-14 16:31:30.203</t>
  </si>
  <si>
    <t>2025-12-12 09:16:37.263</t>
  </si>
  <si>
    <t>IT SERVICIOS DE COLOMBIA SAS</t>
  </si>
  <si>
    <t>2020-08-07 10:20:45.680</t>
  </si>
  <si>
    <t>2025-12-11 03:58:52.843</t>
  </si>
  <si>
    <t>MARIA TERESA GALIANO SERVIMED SAS</t>
  </si>
  <si>
    <t>2023-04-24 00:00:00.000</t>
  </si>
  <si>
    <t>2025-12-12 08:45:44.447</t>
  </si>
  <si>
    <t>INVERSIONES INMOBILIARIAS INGEURBE S.A.S.</t>
  </si>
  <si>
    <t>2025-10-30 15:39:51.823</t>
  </si>
  <si>
    <t>2025-11-20 12:55:16.323</t>
  </si>
  <si>
    <t>SOCIEDAD MINAS M&amp;M SAS</t>
  </si>
  <si>
    <t>2019-11-28 16:45:14.457</t>
  </si>
  <si>
    <t>MEDIAR SEGUROS LIMITADA AGENCIA DE SEGUROS</t>
  </si>
  <si>
    <t>2020-02-27 08:23:26.917</t>
  </si>
  <si>
    <t>2025-12-12 09:33:34.387</t>
  </si>
  <si>
    <t>ALBROKERS LOGISTICS SAS</t>
  </si>
  <si>
    <t>2025-07-30 08:17:00.170</t>
  </si>
  <si>
    <t>2025-12-09 00:00:00.000</t>
  </si>
  <si>
    <t>GESTION ADMINISTRATIVA PARA ANTIOQUIA L&amp;S SAS</t>
  </si>
  <si>
    <t>2020-11-18 11:00:42.840</t>
  </si>
  <si>
    <t>2025-11-27 14:53:16.380</t>
  </si>
  <si>
    <t>UNION TEMPORAL TDCLL - CTP</t>
  </si>
  <si>
    <t>2024-06-07 09:08:33.303</t>
  </si>
  <si>
    <t>2025-11-19 12:15:57.680</t>
  </si>
  <si>
    <t>WORLDWIDE LOGISTICS GROUP SAS</t>
  </si>
  <si>
    <t>2024-09-12 13:59:54.333</t>
  </si>
  <si>
    <t>2025-12-11 17:11:39.053</t>
  </si>
  <si>
    <t>STONE COLOMBIA SAS</t>
  </si>
  <si>
    <t>2020-08-10 15:16:40.503</t>
  </si>
  <si>
    <t>2025-12-05 14:37:21.770</t>
  </si>
  <si>
    <t>C Y B GRABADO SAS</t>
  </si>
  <si>
    <t>2020-02-13 10:44:41.290</t>
  </si>
  <si>
    <t>2025-12-12 15:36:15.560</t>
  </si>
  <si>
    <t>SHEN-TA CHANG</t>
  </si>
  <si>
    <t>2020-09-30 11:36:17.290</t>
  </si>
  <si>
    <t>2025-12-12 07:51:35.087</t>
  </si>
  <si>
    <t xml:space="preserve">MECANIZADOS GROUP SAS </t>
  </si>
  <si>
    <t>2020-03-13 16:34:01.323</t>
  </si>
  <si>
    <t>2025-12-11 11:15:23.690</t>
  </si>
  <si>
    <t>INDUSTRIAS 2 RR SAS</t>
  </si>
  <si>
    <t>2019-12-06 09:35:17.027</t>
  </si>
  <si>
    <t>2025-12-11 16:43:23.717</t>
  </si>
  <si>
    <t>TRANSPORTES COCOCARGA LTDA</t>
  </si>
  <si>
    <t>2024-03-01 16:55:31.447</t>
  </si>
  <si>
    <t>2025-12-12 11:14:17.147</t>
  </si>
  <si>
    <t>CUMBE COLOMBIA S.A.S.</t>
  </si>
  <si>
    <t>2023-02-28 00:00:00.000</t>
  </si>
  <si>
    <t>2025-12-12 08:03:23.490</t>
  </si>
  <si>
    <t>PUNTO DE SERVICIOS S.A.</t>
  </si>
  <si>
    <t>2020-01-03 08:00:33.270</t>
  </si>
  <si>
    <t>2025-12-12 12:03:14.670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</si>
</sst>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Aptos Narrow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2" fontId="3" numFmtId="0" xfId="0" applyAlignment="1" applyBorder="1" applyFont="1">
      <alignment horizontal="right" vertical="bottom"/>
    </xf>
    <xf borderId="0" fillId="0" fontId="3" numFmtId="10" xfId="0" applyAlignment="1" applyFont="1" applyNumberFormat="1">
      <alignment horizontal="right" vertical="bottom"/>
    </xf>
    <xf borderId="1" fillId="2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33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4" t="s">
        <v>10</v>
      </c>
      <c r="AJ2" s="4" t="s">
        <v>11</v>
      </c>
      <c r="AK2" s="4" t="s">
        <v>12</v>
      </c>
      <c r="AL2" s="4" t="s">
        <v>13</v>
      </c>
      <c r="AM2" s="4" t="s">
        <v>14</v>
      </c>
      <c r="AN2" s="4" t="s">
        <v>15</v>
      </c>
      <c r="AO2" s="4" t="s">
        <v>16</v>
      </c>
      <c r="AP2" s="4" t="s">
        <v>17</v>
      </c>
      <c r="AQ2" s="4" t="s">
        <v>18</v>
      </c>
      <c r="AR2" s="4" t="s">
        <v>19</v>
      </c>
      <c r="AS2" s="4" t="s">
        <v>20</v>
      </c>
      <c r="AT2" s="4" t="s">
        <v>21</v>
      </c>
      <c r="AU2" s="4" t="s">
        <v>22</v>
      </c>
      <c r="AV2" s="4" t="s">
        <v>23</v>
      </c>
      <c r="AW2" s="4" t="s">
        <v>24</v>
      </c>
      <c r="AX2" s="4" t="s">
        <v>25</v>
      </c>
      <c r="AY2" s="4" t="s">
        <v>26</v>
      </c>
      <c r="AZ2" s="4" t="s">
        <v>27</v>
      </c>
      <c r="BA2" s="4" t="s">
        <v>28</v>
      </c>
      <c r="BB2" s="4" t="s">
        <v>29</v>
      </c>
    </row>
    <row r="3">
      <c r="A3" s="5">
        <v>576.0</v>
      </c>
      <c r="B3" s="4" t="s">
        <v>34</v>
      </c>
      <c r="C3" s="5">
        <v>8.00235278E8</v>
      </c>
      <c r="D3" s="4" t="s">
        <v>35</v>
      </c>
      <c r="E3" s="4" t="s">
        <v>36</v>
      </c>
      <c r="F3" s="5">
        <v>96276.0</v>
      </c>
      <c r="G3" s="5">
        <v>1.0</v>
      </c>
      <c r="H3" s="5">
        <v>96275.0</v>
      </c>
      <c r="I3" s="6">
        <v>0.0</v>
      </c>
      <c r="J3" s="5">
        <v>714.0</v>
      </c>
      <c r="K3" s="5">
        <v>96276.0</v>
      </c>
      <c r="L3" s="5">
        <v>0.0</v>
      </c>
      <c r="M3" s="5">
        <v>0.0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  <c r="S3" s="5">
        <v>0.0</v>
      </c>
      <c r="T3" s="5">
        <v>0.0</v>
      </c>
      <c r="U3" s="5">
        <v>0.0</v>
      </c>
      <c r="V3" s="5">
        <v>0.0</v>
      </c>
      <c r="W3" s="5">
        <v>0.0</v>
      </c>
      <c r="X3" s="5">
        <v>0.0</v>
      </c>
      <c r="Y3" s="5">
        <v>0.0</v>
      </c>
      <c r="Z3" s="5">
        <v>0.0</v>
      </c>
      <c r="AA3" s="5">
        <v>0.0</v>
      </c>
      <c r="AB3" s="5">
        <v>0.0</v>
      </c>
      <c r="AC3" s="5">
        <v>0.0</v>
      </c>
      <c r="AD3" s="5">
        <v>0.0</v>
      </c>
      <c r="AE3" s="5">
        <v>1.0</v>
      </c>
      <c r="AF3" s="7">
        <f t="shared" ref="AF3:AF161" si="2">AH3/COUNTA($K$2:$AD$2)</f>
        <v>0.05</v>
      </c>
      <c r="AG3" s="4" t="str">
        <f t="shared" ref="AG3:AG161" si="3">IF($K3&gt;0,K$2&amp;",","")&amp;
 IF($L3&gt;0,L$2&amp;",","")&amp;
 IF($M3&gt;0,M$2&amp;",","")&amp;
 IF($N3&gt;0,N$2&amp;",","")&amp;
 IF($O3&gt;0,O$2&amp;",","")&amp;
 IF($P3&gt;0,P$2&amp;",","")&amp;
 IF($Q3&gt;0,Q$2&amp;",","")&amp;
 IF($R3&gt;0,R$2&amp;",","")&amp;
 IF($S3&gt;0,S$2&amp;",","")&amp;
 IF($T3&gt;0,T$2&amp;",","")&amp;
 IF($U3&gt;0,U$2&amp;",","")&amp;
 IF($V3&gt;0,V$2&amp;",","")&amp;
 IF($W3&gt;0,W$2&amp;",","")&amp;
 IF($X3&gt;0,X$2&amp;",","")&amp;
 IF($Y3&gt;0,Y$2&amp;",","")&amp;
 IF($Z3&gt;0,Z$2&amp;",","")&amp;
 IF($AA3&gt;0,AA$2&amp;",","")&amp;
 IF($AB3&gt;0,AB$2&amp;",","")&amp;
 IF($AC3&gt;0,AC$2&amp;",","")&amp;
 IF($AD3&gt;0,AD$2&amp;",","")</f>
        <v>facturas,</v>
      </c>
      <c r="AH3" s="5">
        <f t="shared" ref="AH3:AH161" si="4">COUNTIF(AI3:BB3,1)</f>
        <v>1</v>
      </c>
      <c r="AI3" s="5">
        <f t="shared" ref="AI3:BB3" si="1">IF(COUNTIF(K$3:K3,"&gt;0")&gt;0,1,0)</f>
        <v>1</v>
      </c>
      <c r="AJ3" s="5">
        <f t="shared" si="1"/>
        <v>0</v>
      </c>
      <c r="AK3" s="5">
        <f t="shared" si="1"/>
        <v>0</v>
      </c>
      <c r="AL3" s="5">
        <f t="shared" si="1"/>
        <v>0</v>
      </c>
      <c r="AM3" s="5">
        <f t="shared" si="1"/>
        <v>0</v>
      </c>
      <c r="AN3" s="5">
        <f t="shared" si="1"/>
        <v>0</v>
      </c>
      <c r="AO3" s="5">
        <f t="shared" si="1"/>
        <v>0</v>
      </c>
      <c r="AP3" s="5">
        <f t="shared" si="1"/>
        <v>0</v>
      </c>
      <c r="AQ3" s="5">
        <f t="shared" si="1"/>
        <v>0</v>
      </c>
      <c r="AR3" s="5">
        <f t="shared" si="1"/>
        <v>0</v>
      </c>
      <c r="AS3" s="5">
        <f t="shared" si="1"/>
        <v>0</v>
      </c>
      <c r="AT3" s="5">
        <f t="shared" si="1"/>
        <v>0</v>
      </c>
      <c r="AU3" s="5">
        <f t="shared" si="1"/>
        <v>0</v>
      </c>
      <c r="AV3" s="5">
        <f t="shared" si="1"/>
        <v>0</v>
      </c>
      <c r="AW3" s="5">
        <f t="shared" si="1"/>
        <v>0</v>
      </c>
      <c r="AX3" s="5">
        <f t="shared" si="1"/>
        <v>0</v>
      </c>
      <c r="AY3" s="5">
        <f t="shared" si="1"/>
        <v>0</v>
      </c>
      <c r="AZ3" s="5">
        <f t="shared" si="1"/>
        <v>0</v>
      </c>
      <c r="BA3" s="5">
        <f t="shared" si="1"/>
        <v>0</v>
      </c>
      <c r="BB3" s="5">
        <f t="shared" si="1"/>
        <v>0</v>
      </c>
    </row>
    <row r="4">
      <c r="A4" s="5">
        <v>580.0</v>
      </c>
      <c r="B4" s="4" t="s">
        <v>37</v>
      </c>
      <c r="C4" s="5">
        <v>8.91100279E8</v>
      </c>
      <c r="D4" s="4" t="s">
        <v>38</v>
      </c>
      <c r="E4" s="4" t="s">
        <v>39</v>
      </c>
      <c r="F4" s="5">
        <v>980.0</v>
      </c>
      <c r="G4" s="5">
        <v>55.0</v>
      </c>
      <c r="H4" s="5">
        <v>925.0</v>
      </c>
      <c r="I4" s="6">
        <v>56.0</v>
      </c>
      <c r="J4" s="5">
        <v>83.0</v>
      </c>
      <c r="K4" s="5">
        <v>980.0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v>0.0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5">
        <v>0.0</v>
      </c>
      <c r="AA4" s="5">
        <v>0.0</v>
      </c>
      <c r="AB4" s="5">
        <v>0.0</v>
      </c>
      <c r="AC4" s="5">
        <v>0.0</v>
      </c>
      <c r="AD4" s="5">
        <v>0.0</v>
      </c>
      <c r="AE4" s="5">
        <v>1.0</v>
      </c>
      <c r="AF4" s="7">
        <f t="shared" si="2"/>
        <v>0.05</v>
      </c>
      <c r="AG4" s="4" t="str">
        <f t="shared" si="3"/>
        <v>facturas,</v>
      </c>
      <c r="AH4" s="5">
        <f t="shared" si="4"/>
        <v>1</v>
      </c>
      <c r="AI4" s="5">
        <f t="shared" ref="AI4:BB4" si="5">IF(COUNTIF(K$3:K4,"&gt;0")&gt;0,1,0)</f>
        <v>1</v>
      </c>
      <c r="AJ4" s="5">
        <f t="shared" si="5"/>
        <v>0</v>
      </c>
      <c r="AK4" s="5">
        <f t="shared" si="5"/>
        <v>0</v>
      </c>
      <c r="AL4" s="5">
        <f t="shared" si="5"/>
        <v>0</v>
      </c>
      <c r="AM4" s="5">
        <f t="shared" si="5"/>
        <v>0</v>
      </c>
      <c r="AN4" s="5">
        <f t="shared" si="5"/>
        <v>0</v>
      </c>
      <c r="AO4" s="5">
        <f t="shared" si="5"/>
        <v>0</v>
      </c>
      <c r="AP4" s="5">
        <f t="shared" si="5"/>
        <v>0</v>
      </c>
      <c r="AQ4" s="5">
        <f t="shared" si="5"/>
        <v>0</v>
      </c>
      <c r="AR4" s="5">
        <f t="shared" si="5"/>
        <v>0</v>
      </c>
      <c r="AS4" s="5">
        <f t="shared" si="5"/>
        <v>0</v>
      </c>
      <c r="AT4" s="5">
        <f t="shared" si="5"/>
        <v>0</v>
      </c>
      <c r="AU4" s="5">
        <f t="shared" si="5"/>
        <v>0</v>
      </c>
      <c r="AV4" s="5">
        <f t="shared" si="5"/>
        <v>0</v>
      </c>
      <c r="AW4" s="5">
        <f t="shared" si="5"/>
        <v>0</v>
      </c>
      <c r="AX4" s="5">
        <f t="shared" si="5"/>
        <v>0</v>
      </c>
      <c r="AY4" s="5">
        <f t="shared" si="5"/>
        <v>0</v>
      </c>
      <c r="AZ4" s="5">
        <f t="shared" si="5"/>
        <v>0</v>
      </c>
      <c r="BA4" s="5">
        <f t="shared" si="5"/>
        <v>0</v>
      </c>
      <c r="BB4" s="5">
        <f t="shared" si="5"/>
        <v>0</v>
      </c>
    </row>
    <row r="5">
      <c r="A5" s="5">
        <v>553.0</v>
      </c>
      <c r="B5" s="4" t="s">
        <v>40</v>
      </c>
      <c r="C5" s="5">
        <v>1.020807213E9</v>
      </c>
      <c r="D5" s="4" t="s">
        <v>41</v>
      </c>
      <c r="E5" s="4" t="s">
        <v>42</v>
      </c>
      <c r="F5" s="5">
        <v>85.0</v>
      </c>
      <c r="G5" s="5">
        <v>20.0</v>
      </c>
      <c r="H5" s="5">
        <v>65.0</v>
      </c>
      <c r="I5" s="6">
        <v>11.0</v>
      </c>
      <c r="J5" s="5">
        <v>14.0</v>
      </c>
      <c r="K5" s="5">
        <v>85.0</v>
      </c>
      <c r="L5" s="5">
        <v>0.0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0.0</v>
      </c>
      <c r="AD5" s="5">
        <v>0.0</v>
      </c>
      <c r="AE5" s="5">
        <v>1.0</v>
      </c>
      <c r="AF5" s="7">
        <f t="shared" si="2"/>
        <v>0.05</v>
      </c>
      <c r="AG5" s="4" t="str">
        <f t="shared" si="3"/>
        <v>facturas,</v>
      </c>
      <c r="AH5" s="5">
        <f t="shared" si="4"/>
        <v>1</v>
      </c>
      <c r="AI5" s="5">
        <f t="shared" ref="AI5:BB5" si="6">IF(COUNTIF(K$3:K5,"&gt;0")&gt;0,1,0)</f>
        <v>1</v>
      </c>
      <c r="AJ5" s="5">
        <f t="shared" si="6"/>
        <v>0</v>
      </c>
      <c r="AK5" s="5">
        <f t="shared" si="6"/>
        <v>0</v>
      </c>
      <c r="AL5" s="5">
        <f t="shared" si="6"/>
        <v>0</v>
      </c>
      <c r="AM5" s="5">
        <f t="shared" si="6"/>
        <v>0</v>
      </c>
      <c r="AN5" s="5">
        <f t="shared" si="6"/>
        <v>0</v>
      </c>
      <c r="AO5" s="5">
        <f t="shared" si="6"/>
        <v>0</v>
      </c>
      <c r="AP5" s="5">
        <f t="shared" si="6"/>
        <v>0</v>
      </c>
      <c r="AQ5" s="5">
        <f t="shared" si="6"/>
        <v>0</v>
      </c>
      <c r="AR5" s="5">
        <f t="shared" si="6"/>
        <v>0</v>
      </c>
      <c r="AS5" s="5">
        <f t="shared" si="6"/>
        <v>0</v>
      </c>
      <c r="AT5" s="5">
        <f t="shared" si="6"/>
        <v>0</v>
      </c>
      <c r="AU5" s="5">
        <f t="shared" si="6"/>
        <v>0</v>
      </c>
      <c r="AV5" s="5">
        <f t="shared" si="6"/>
        <v>0</v>
      </c>
      <c r="AW5" s="5">
        <f t="shared" si="6"/>
        <v>0</v>
      </c>
      <c r="AX5" s="5">
        <f t="shared" si="6"/>
        <v>0</v>
      </c>
      <c r="AY5" s="5">
        <f t="shared" si="6"/>
        <v>0</v>
      </c>
      <c r="AZ5" s="5">
        <f t="shared" si="6"/>
        <v>0</v>
      </c>
      <c r="BA5" s="5">
        <f t="shared" si="6"/>
        <v>0</v>
      </c>
      <c r="BB5" s="5">
        <f t="shared" si="6"/>
        <v>0</v>
      </c>
    </row>
    <row r="6">
      <c r="A6" s="5">
        <v>29.0</v>
      </c>
      <c r="B6" s="4" t="s">
        <v>43</v>
      </c>
      <c r="C6" s="5">
        <v>9.00610705E8</v>
      </c>
      <c r="D6" s="4" t="s">
        <v>44</v>
      </c>
      <c r="E6" s="4" t="s">
        <v>45</v>
      </c>
      <c r="F6" s="5">
        <v>36.0</v>
      </c>
      <c r="G6" s="5">
        <v>12.0</v>
      </c>
      <c r="H6" s="5">
        <v>13.0</v>
      </c>
      <c r="I6" s="6">
        <v>1.0</v>
      </c>
      <c r="J6" s="5">
        <v>1.0</v>
      </c>
      <c r="K6" s="5">
        <v>36.0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5">
        <v>0.0</v>
      </c>
      <c r="AD6" s="5">
        <v>0.0</v>
      </c>
      <c r="AE6" s="5">
        <v>1.0</v>
      </c>
      <c r="AF6" s="7">
        <f t="shared" si="2"/>
        <v>0.05</v>
      </c>
      <c r="AG6" s="4" t="str">
        <f t="shared" si="3"/>
        <v>facturas,</v>
      </c>
      <c r="AH6" s="5">
        <f t="shared" si="4"/>
        <v>1</v>
      </c>
      <c r="AI6" s="5">
        <f t="shared" ref="AI6:BB6" si="7">IF(COUNTIF(K$3:K6,"&gt;0")&gt;0,1,0)</f>
        <v>1</v>
      </c>
      <c r="AJ6" s="5">
        <f t="shared" si="7"/>
        <v>0</v>
      </c>
      <c r="AK6" s="5">
        <f t="shared" si="7"/>
        <v>0</v>
      </c>
      <c r="AL6" s="5">
        <f t="shared" si="7"/>
        <v>0</v>
      </c>
      <c r="AM6" s="5">
        <f t="shared" si="7"/>
        <v>0</v>
      </c>
      <c r="AN6" s="5">
        <f t="shared" si="7"/>
        <v>0</v>
      </c>
      <c r="AO6" s="5">
        <f t="shared" si="7"/>
        <v>0</v>
      </c>
      <c r="AP6" s="5">
        <f t="shared" si="7"/>
        <v>0</v>
      </c>
      <c r="AQ6" s="5">
        <f t="shared" si="7"/>
        <v>0</v>
      </c>
      <c r="AR6" s="5">
        <f t="shared" si="7"/>
        <v>0</v>
      </c>
      <c r="AS6" s="5">
        <f t="shared" si="7"/>
        <v>0</v>
      </c>
      <c r="AT6" s="5">
        <f t="shared" si="7"/>
        <v>0</v>
      </c>
      <c r="AU6" s="5">
        <f t="shared" si="7"/>
        <v>0</v>
      </c>
      <c r="AV6" s="5">
        <f t="shared" si="7"/>
        <v>0</v>
      </c>
      <c r="AW6" s="5">
        <f t="shared" si="7"/>
        <v>0</v>
      </c>
      <c r="AX6" s="5">
        <f t="shared" si="7"/>
        <v>0</v>
      </c>
      <c r="AY6" s="5">
        <f t="shared" si="7"/>
        <v>0</v>
      </c>
      <c r="AZ6" s="5">
        <f t="shared" si="7"/>
        <v>0</v>
      </c>
      <c r="BA6" s="5">
        <f t="shared" si="7"/>
        <v>0</v>
      </c>
      <c r="BB6" s="5">
        <f t="shared" si="7"/>
        <v>0</v>
      </c>
    </row>
    <row r="7">
      <c r="A7" s="5">
        <v>470.0</v>
      </c>
      <c r="B7" s="4" t="s">
        <v>46</v>
      </c>
      <c r="C7" s="5">
        <v>7.935638E7</v>
      </c>
      <c r="D7" s="4" t="s">
        <v>47</v>
      </c>
      <c r="E7" s="4" t="s">
        <v>48</v>
      </c>
      <c r="F7" s="5">
        <v>36.0</v>
      </c>
      <c r="G7" s="5">
        <v>14.0</v>
      </c>
      <c r="H7" s="5">
        <v>11.0</v>
      </c>
      <c r="I7" s="6">
        <v>0.0</v>
      </c>
      <c r="J7" s="5">
        <v>1.0</v>
      </c>
      <c r="K7" s="5">
        <v>36.0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  <c r="AC7" s="5">
        <v>0.0</v>
      </c>
      <c r="AD7" s="5">
        <v>0.0</v>
      </c>
      <c r="AE7" s="5">
        <v>1.0</v>
      </c>
      <c r="AF7" s="7">
        <f t="shared" si="2"/>
        <v>0.05</v>
      </c>
      <c r="AG7" s="4" t="str">
        <f t="shared" si="3"/>
        <v>facturas,</v>
      </c>
      <c r="AH7" s="5">
        <f t="shared" si="4"/>
        <v>1</v>
      </c>
      <c r="AI7" s="5">
        <f t="shared" ref="AI7:BB7" si="8">IF(COUNTIF(K$3:K7,"&gt;0")&gt;0,1,0)</f>
        <v>1</v>
      </c>
      <c r="AJ7" s="5">
        <f t="shared" si="8"/>
        <v>0</v>
      </c>
      <c r="AK7" s="5">
        <f t="shared" si="8"/>
        <v>0</v>
      </c>
      <c r="AL7" s="5">
        <f t="shared" si="8"/>
        <v>0</v>
      </c>
      <c r="AM7" s="5">
        <f t="shared" si="8"/>
        <v>0</v>
      </c>
      <c r="AN7" s="5">
        <f t="shared" si="8"/>
        <v>0</v>
      </c>
      <c r="AO7" s="5">
        <f t="shared" si="8"/>
        <v>0</v>
      </c>
      <c r="AP7" s="5">
        <f t="shared" si="8"/>
        <v>0</v>
      </c>
      <c r="AQ7" s="5">
        <f t="shared" si="8"/>
        <v>0</v>
      </c>
      <c r="AR7" s="5">
        <f t="shared" si="8"/>
        <v>0</v>
      </c>
      <c r="AS7" s="5">
        <f t="shared" si="8"/>
        <v>0</v>
      </c>
      <c r="AT7" s="5">
        <f t="shared" si="8"/>
        <v>0</v>
      </c>
      <c r="AU7" s="5">
        <f t="shared" si="8"/>
        <v>0</v>
      </c>
      <c r="AV7" s="5">
        <f t="shared" si="8"/>
        <v>0</v>
      </c>
      <c r="AW7" s="5">
        <f t="shared" si="8"/>
        <v>0</v>
      </c>
      <c r="AX7" s="5">
        <f t="shared" si="8"/>
        <v>0</v>
      </c>
      <c r="AY7" s="5">
        <f t="shared" si="8"/>
        <v>0</v>
      </c>
      <c r="AZ7" s="5">
        <f t="shared" si="8"/>
        <v>0</v>
      </c>
      <c r="BA7" s="5">
        <f t="shared" si="8"/>
        <v>0</v>
      </c>
      <c r="BB7" s="5">
        <f t="shared" si="8"/>
        <v>0</v>
      </c>
    </row>
    <row r="8">
      <c r="A8" s="5">
        <v>445.0</v>
      </c>
      <c r="B8" s="4" t="s">
        <v>49</v>
      </c>
      <c r="C8" s="5">
        <v>9.01624813E8</v>
      </c>
      <c r="D8" s="4" t="s">
        <v>50</v>
      </c>
      <c r="E8" s="4" t="s">
        <v>51</v>
      </c>
      <c r="F8" s="5">
        <v>6.0</v>
      </c>
      <c r="G8" s="5">
        <v>1.0</v>
      </c>
      <c r="H8" s="5">
        <v>2.0</v>
      </c>
      <c r="I8" s="6">
        <v>1.0</v>
      </c>
      <c r="J8" s="5">
        <v>1.0</v>
      </c>
      <c r="K8" s="5">
        <v>6.0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v>0.0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  <c r="AC8" s="5">
        <v>0.0</v>
      </c>
      <c r="AD8" s="5">
        <v>0.0</v>
      </c>
      <c r="AE8" s="5">
        <v>1.0</v>
      </c>
      <c r="AF8" s="7">
        <f t="shared" si="2"/>
        <v>0.05</v>
      </c>
      <c r="AG8" s="4" t="str">
        <f t="shared" si="3"/>
        <v>facturas,</v>
      </c>
      <c r="AH8" s="5">
        <f t="shared" si="4"/>
        <v>1</v>
      </c>
      <c r="AI8" s="5">
        <f t="shared" ref="AI8:BB8" si="9">IF(COUNTIF(K$3:K8,"&gt;0")&gt;0,1,0)</f>
        <v>1</v>
      </c>
      <c r="AJ8" s="5">
        <f t="shared" si="9"/>
        <v>0</v>
      </c>
      <c r="AK8" s="5">
        <f t="shared" si="9"/>
        <v>0</v>
      </c>
      <c r="AL8" s="5">
        <f t="shared" si="9"/>
        <v>0</v>
      </c>
      <c r="AM8" s="5">
        <f t="shared" si="9"/>
        <v>0</v>
      </c>
      <c r="AN8" s="5">
        <f t="shared" si="9"/>
        <v>0</v>
      </c>
      <c r="AO8" s="5">
        <f t="shared" si="9"/>
        <v>0</v>
      </c>
      <c r="AP8" s="5">
        <f t="shared" si="9"/>
        <v>0</v>
      </c>
      <c r="AQ8" s="5">
        <f t="shared" si="9"/>
        <v>0</v>
      </c>
      <c r="AR8" s="5">
        <f t="shared" si="9"/>
        <v>0</v>
      </c>
      <c r="AS8" s="5">
        <f t="shared" si="9"/>
        <v>0</v>
      </c>
      <c r="AT8" s="5">
        <f t="shared" si="9"/>
        <v>0</v>
      </c>
      <c r="AU8" s="5">
        <f t="shared" si="9"/>
        <v>0</v>
      </c>
      <c r="AV8" s="5">
        <f t="shared" si="9"/>
        <v>0</v>
      </c>
      <c r="AW8" s="5">
        <f t="shared" si="9"/>
        <v>0</v>
      </c>
      <c r="AX8" s="5">
        <f t="shared" si="9"/>
        <v>0</v>
      </c>
      <c r="AY8" s="5">
        <f t="shared" si="9"/>
        <v>0</v>
      </c>
      <c r="AZ8" s="5">
        <f t="shared" si="9"/>
        <v>0</v>
      </c>
      <c r="BA8" s="5">
        <f t="shared" si="9"/>
        <v>0</v>
      </c>
      <c r="BB8" s="5">
        <f t="shared" si="9"/>
        <v>0</v>
      </c>
    </row>
    <row r="9">
      <c r="A9" s="5">
        <v>446.0</v>
      </c>
      <c r="B9" s="4" t="s">
        <v>52</v>
      </c>
      <c r="C9" s="5">
        <v>9.01632915E8</v>
      </c>
      <c r="D9" s="4" t="s">
        <v>53</v>
      </c>
      <c r="E9" s="4" t="s">
        <v>54</v>
      </c>
      <c r="F9" s="5">
        <v>6.0</v>
      </c>
      <c r="G9" s="5">
        <v>1.0</v>
      </c>
      <c r="H9" s="5">
        <v>2.0</v>
      </c>
      <c r="I9" s="6">
        <v>1.0</v>
      </c>
      <c r="J9" s="5">
        <v>1.0</v>
      </c>
      <c r="K9" s="5">
        <v>6.0</v>
      </c>
      <c r="L9" s="5">
        <v>0.0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  <c r="AC9" s="5">
        <v>0.0</v>
      </c>
      <c r="AD9" s="5">
        <v>0.0</v>
      </c>
      <c r="AE9" s="5">
        <v>1.0</v>
      </c>
      <c r="AF9" s="7">
        <f t="shared" si="2"/>
        <v>0.05</v>
      </c>
      <c r="AG9" s="4" t="str">
        <f t="shared" si="3"/>
        <v>facturas,</v>
      </c>
      <c r="AH9" s="5">
        <f t="shared" si="4"/>
        <v>1</v>
      </c>
      <c r="AI9" s="5">
        <f t="shared" ref="AI9:BB9" si="10">IF(COUNTIF(K$3:K9,"&gt;0")&gt;0,1,0)</f>
        <v>1</v>
      </c>
      <c r="AJ9" s="5">
        <f t="shared" si="10"/>
        <v>0</v>
      </c>
      <c r="AK9" s="5">
        <f t="shared" si="10"/>
        <v>0</v>
      </c>
      <c r="AL9" s="5">
        <f t="shared" si="10"/>
        <v>0</v>
      </c>
      <c r="AM9" s="5">
        <f t="shared" si="10"/>
        <v>0</v>
      </c>
      <c r="AN9" s="5">
        <f t="shared" si="10"/>
        <v>0</v>
      </c>
      <c r="AO9" s="5">
        <f t="shared" si="10"/>
        <v>0</v>
      </c>
      <c r="AP9" s="5">
        <f t="shared" si="10"/>
        <v>0</v>
      </c>
      <c r="AQ9" s="5">
        <f t="shared" si="10"/>
        <v>0</v>
      </c>
      <c r="AR9" s="5">
        <f t="shared" si="10"/>
        <v>0</v>
      </c>
      <c r="AS9" s="5">
        <f t="shared" si="10"/>
        <v>0</v>
      </c>
      <c r="AT9" s="5">
        <f t="shared" si="10"/>
        <v>0</v>
      </c>
      <c r="AU9" s="5">
        <f t="shared" si="10"/>
        <v>0</v>
      </c>
      <c r="AV9" s="5">
        <f t="shared" si="10"/>
        <v>0</v>
      </c>
      <c r="AW9" s="5">
        <f t="shared" si="10"/>
        <v>0</v>
      </c>
      <c r="AX9" s="5">
        <f t="shared" si="10"/>
        <v>0</v>
      </c>
      <c r="AY9" s="5">
        <f t="shared" si="10"/>
        <v>0</v>
      </c>
      <c r="AZ9" s="5">
        <f t="shared" si="10"/>
        <v>0</v>
      </c>
      <c r="BA9" s="5">
        <f t="shared" si="10"/>
        <v>0</v>
      </c>
      <c r="BB9" s="5">
        <f t="shared" si="10"/>
        <v>0</v>
      </c>
    </row>
    <row r="10">
      <c r="A10" s="5">
        <v>447.0</v>
      </c>
      <c r="B10" s="4" t="s">
        <v>55</v>
      </c>
      <c r="C10" s="5">
        <v>9.01625933E8</v>
      </c>
      <c r="D10" s="4" t="s">
        <v>56</v>
      </c>
      <c r="E10" s="4" t="s">
        <v>54</v>
      </c>
      <c r="F10" s="5">
        <v>4.0</v>
      </c>
      <c r="G10" s="5">
        <v>0.0</v>
      </c>
      <c r="H10" s="5">
        <v>2.0</v>
      </c>
      <c r="I10" s="6">
        <v>1.0</v>
      </c>
      <c r="J10" s="5">
        <v>1.0</v>
      </c>
      <c r="K10" s="5">
        <v>4.0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  <c r="AC10" s="5">
        <v>0.0</v>
      </c>
      <c r="AD10" s="5">
        <v>0.0</v>
      </c>
      <c r="AE10" s="5">
        <v>1.0</v>
      </c>
      <c r="AF10" s="7">
        <f t="shared" si="2"/>
        <v>0.05</v>
      </c>
      <c r="AG10" s="4" t="str">
        <f t="shared" si="3"/>
        <v>facturas,</v>
      </c>
      <c r="AH10" s="5">
        <f t="shared" si="4"/>
        <v>1</v>
      </c>
      <c r="AI10" s="5">
        <f t="shared" ref="AI10:BB10" si="11">IF(COUNTIF(K$3:K10,"&gt;0")&gt;0,1,0)</f>
        <v>1</v>
      </c>
      <c r="AJ10" s="5">
        <f t="shared" si="11"/>
        <v>0</v>
      </c>
      <c r="AK10" s="5">
        <f t="shared" si="11"/>
        <v>0</v>
      </c>
      <c r="AL10" s="5">
        <f t="shared" si="11"/>
        <v>0</v>
      </c>
      <c r="AM10" s="5">
        <f t="shared" si="11"/>
        <v>0</v>
      </c>
      <c r="AN10" s="5">
        <f t="shared" si="11"/>
        <v>0</v>
      </c>
      <c r="AO10" s="5">
        <f t="shared" si="11"/>
        <v>0</v>
      </c>
      <c r="AP10" s="5">
        <f t="shared" si="11"/>
        <v>0</v>
      </c>
      <c r="AQ10" s="5">
        <f t="shared" si="11"/>
        <v>0</v>
      </c>
      <c r="AR10" s="5">
        <f t="shared" si="11"/>
        <v>0</v>
      </c>
      <c r="AS10" s="5">
        <f t="shared" si="11"/>
        <v>0</v>
      </c>
      <c r="AT10" s="5">
        <f t="shared" si="11"/>
        <v>0</v>
      </c>
      <c r="AU10" s="5">
        <f t="shared" si="11"/>
        <v>0</v>
      </c>
      <c r="AV10" s="5">
        <f t="shared" si="11"/>
        <v>0</v>
      </c>
      <c r="AW10" s="5">
        <f t="shared" si="11"/>
        <v>0</v>
      </c>
      <c r="AX10" s="5">
        <f t="shared" si="11"/>
        <v>0</v>
      </c>
      <c r="AY10" s="5">
        <f t="shared" si="11"/>
        <v>0</v>
      </c>
      <c r="AZ10" s="5">
        <f t="shared" si="11"/>
        <v>0</v>
      </c>
      <c r="BA10" s="5">
        <f t="shared" si="11"/>
        <v>0</v>
      </c>
      <c r="BB10" s="5">
        <f t="shared" si="11"/>
        <v>0</v>
      </c>
    </row>
    <row r="11">
      <c r="A11" s="5">
        <v>585.0</v>
      </c>
      <c r="B11" s="4" t="s">
        <v>57</v>
      </c>
      <c r="C11" s="5">
        <v>9.01901623E8</v>
      </c>
      <c r="D11" s="4" t="s">
        <v>58</v>
      </c>
      <c r="E11" s="4" t="s">
        <v>59</v>
      </c>
      <c r="F11" s="5">
        <v>3.0</v>
      </c>
      <c r="G11" s="5">
        <v>0.0</v>
      </c>
      <c r="H11" s="5">
        <v>3.0</v>
      </c>
      <c r="I11" s="6">
        <v>0.0</v>
      </c>
      <c r="J11" s="5">
        <v>2.0</v>
      </c>
      <c r="K11" s="5">
        <v>3.0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5">
        <v>0.0</v>
      </c>
      <c r="AD11" s="5">
        <v>0.0</v>
      </c>
      <c r="AE11" s="5">
        <v>1.0</v>
      </c>
      <c r="AF11" s="7">
        <f t="shared" si="2"/>
        <v>0.05</v>
      </c>
      <c r="AG11" s="4" t="str">
        <f t="shared" si="3"/>
        <v>facturas,</v>
      </c>
      <c r="AH11" s="5">
        <f t="shared" si="4"/>
        <v>1</v>
      </c>
      <c r="AI11" s="5">
        <f t="shared" ref="AI11:BB11" si="12">IF(COUNTIF(K$3:K11,"&gt;0")&gt;0,1,0)</f>
        <v>1</v>
      </c>
      <c r="AJ11" s="5">
        <f t="shared" si="12"/>
        <v>0</v>
      </c>
      <c r="AK11" s="5">
        <f t="shared" si="12"/>
        <v>0</v>
      </c>
      <c r="AL11" s="5">
        <f t="shared" si="12"/>
        <v>0</v>
      </c>
      <c r="AM11" s="5">
        <f t="shared" si="12"/>
        <v>0</v>
      </c>
      <c r="AN11" s="5">
        <f t="shared" si="12"/>
        <v>0</v>
      </c>
      <c r="AO11" s="5">
        <f t="shared" si="12"/>
        <v>0</v>
      </c>
      <c r="AP11" s="5">
        <f t="shared" si="12"/>
        <v>0</v>
      </c>
      <c r="AQ11" s="5">
        <f t="shared" si="12"/>
        <v>0</v>
      </c>
      <c r="AR11" s="5">
        <f t="shared" si="12"/>
        <v>0</v>
      </c>
      <c r="AS11" s="5">
        <f t="shared" si="12"/>
        <v>0</v>
      </c>
      <c r="AT11" s="5">
        <f t="shared" si="12"/>
        <v>0</v>
      </c>
      <c r="AU11" s="5">
        <f t="shared" si="12"/>
        <v>0</v>
      </c>
      <c r="AV11" s="5">
        <f t="shared" si="12"/>
        <v>0</v>
      </c>
      <c r="AW11" s="5">
        <f t="shared" si="12"/>
        <v>0</v>
      </c>
      <c r="AX11" s="5">
        <f t="shared" si="12"/>
        <v>0</v>
      </c>
      <c r="AY11" s="5">
        <f t="shared" si="12"/>
        <v>0</v>
      </c>
      <c r="AZ11" s="5">
        <f t="shared" si="12"/>
        <v>0</v>
      </c>
      <c r="BA11" s="5">
        <f t="shared" si="12"/>
        <v>0</v>
      </c>
      <c r="BB11" s="5">
        <f t="shared" si="12"/>
        <v>0</v>
      </c>
    </row>
    <row r="12">
      <c r="A12" s="5">
        <v>586.0</v>
      </c>
      <c r="B12" s="4" t="s">
        <v>60</v>
      </c>
      <c r="C12" s="5">
        <v>9.01901625E8</v>
      </c>
      <c r="D12" s="4" t="s">
        <v>58</v>
      </c>
      <c r="E12" s="4" t="s">
        <v>61</v>
      </c>
      <c r="F12" s="5">
        <v>2.0</v>
      </c>
      <c r="G12" s="5">
        <v>0.0</v>
      </c>
      <c r="H12" s="5">
        <v>2.0</v>
      </c>
      <c r="I12" s="6">
        <v>1.0</v>
      </c>
      <c r="J12" s="5">
        <v>0.0</v>
      </c>
      <c r="K12" s="5">
        <v>2.0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5">
        <v>0.0</v>
      </c>
      <c r="AD12" s="5">
        <v>0.0</v>
      </c>
      <c r="AE12" s="5">
        <v>1.0</v>
      </c>
      <c r="AF12" s="7">
        <f t="shared" si="2"/>
        <v>0.05</v>
      </c>
      <c r="AG12" s="4" t="str">
        <f t="shared" si="3"/>
        <v>facturas,</v>
      </c>
      <c r="AH12" s="5">
        <f t="shared" si="4"/>
        <v>1</v>
      </c>
      <c r="AI12" s="5">
        <f t="shared" ref="AI12:BB12" si="13">IF(COUNTIF(K$3:K12,"&gt;0")&gt;0,1,0)</f>
        <v>1</v>
      </c>
      <c r="AJ12" s="5">
        <f t="shared" si="13"/>
        <v>0</v>
      </c>
      <c r="AK12" s="5">
        <f t="shared" si="13"/>
        <v>0</v>
      </c>
      <c r="AL12" s="5">
        <f t="shared" si="13"/>
        <v>0</v>
      </c>
      <c r="AM12" s="5">
        <f t="shared" si="13"/>
        <v>0</v>
      </c>
      <c r="AN12" s="5">
        <f t="shared" si="13"/>
        <v>0</v>
      </c>
      <c r="AO12" s="5">
        <f t="shared" si="13"/>
        <v>0</v>
      </c>
      <c r="AP12" s="5">
        <f t="shared" si="13"/>
        <v>0</v>
      </c>
      <c r="AQ12" s="5">
        <f t="shared" si="13"/>
        <v>0</v>
      </c>
      <c r="AR12" s="5">
        <f t="shared" si="13"/>
        <v>0</v>
      </c>
      <c r="AS12" s="5">
        <f t="shared" si="13"/>
        <v>0</v>
      </c>
      <c r="AT12" s="5">
        <f t="shared" si="13"/>
        <v>0</v>
      </c>
      <c r="AU12" s="5">
        <f t="shared" si="13"/>
        <v>0</v>
      </c>
      <c r="AV12" s="5">
        <f t="shared" si="13"/>
        <v>0</v>
      </c>
      <c r="AW12" s="5">
        <f t="shared" si="13"/>
        <v>0</v>
      </c>
      <c r="AX12" s="5">
        <f t="shared" si="13"/>
        <v>0</v>
      </c>
      <c r="AY12" s="5">
        <f t="shared" si="13"/>
        <v>0</v>
      </c>
      <c r="AZ12" s="5">
        <f t="shared" si="13"/>
        <v>0</v>
      </c>
      <c r="BA12" s="5">
        <f t="shared" si="13"/>
        <v>0</v>
      </c>
      <c r="BB12" s="5">
        <f t="shared" si="13"/>
        <v>0</v>
      </c>
    </row>
    <row r="13">
      <c r="A13" s="5">
        <v>578.0</v>
      </c>
      <c r="B13" s="4" t="s">
        <v>62</v>
      </c>
      <c r="C13" s="5">
        <v>7.9980858E7</v>
      </c>
      <c r="D13" s="4" t="s">
        <v>63</v>
      </c>
      <c r="E13" s="4" t="s">
        <v>64</v>
      </c>
      <c r="F13" s="5">
        <v>2.0</v>
      </c>
      <c r="G13" s="5">
        <v>1.0</v>
      </c>
      <c r="H13" s="5">
        <v>1.0</v>
      </c>
      <c r="I13" s="6">
        <v>0.0</v>
      </c>
      <c r="J13" s="5">
        <v>1.0</v>
      </c>
      <c r="K13" s="5">
        <v>2.0</v>
      </c>
      <c r="L13" s="5">
        <v>0.0</v>
      </c>
      <c r="M13" s="5">
        <v>0.0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  <c r="AC13" s="5">
        <v>0.0</v>
      </c>
      <c r="AD13" s="5">
        <v>0.0</v>
      </c>
      <c r="AE13" s="5">
        <v>1.0</v>
      </c>
      <c r="AF13" s="7">
        <f t="shared" si="2"/>
        <v>0.05</v>
      </c>
      <c r="AG13" s="4" t="str">
        <f t="shared" si="3"/>
        <v>facturas,</v>
      </c>
      <c r="AH13" s="5">
        <f t="shared" si="4"/>
        <v>1</v>
      </c>
      <c r="AI13" s="5">
        <f t="shared" ref="AI13:BB13" si="14">IF(COUNTIF(K$3:K13,"&gt;0")&gt;0,1,0)</f>
        <v>1</v>
      </c>
      <c r="AJ13" s="5">
        <f t="shared" si="14"/>
        <v>0</v>
      </c>
      <c r="AK13" s="5">
        <f t="shared" si="14"/>
        <v>0</v>
      </c>
      <c r="AL13" s="5">
        <f t="shared" si="14"/>
        <v>0</v>
      </c>
      <c r="AM13" s="5">
        <f t="shared" si="14"/>
        <v>0</v>
      </c>
      <c r="AN13" s="5">
        <f t="shared" si="14"/>
        <v>0</v>
      </c>
      <c r="AO13" s="5">
        <f t="shared" si="14"/>
        <v>0</v>
      </c>
      <c r="AP13" s="5">
        <f t="shared" si="14"/>
        <v>0</v>
      </c>
      <c r="AQ13" s="5">
        <f t="shared" si="14"/>
        <v>0</v>
      </c>
      <c r="AR13" s="5">
        <f t="shared" si="14"/>
        <v>0</v>
      </c>
      <c r="AS13" s="5">
        <f t="shared" si="14"/>
        <v>0</v>
      </c>
      <c r="AT13" s="5">
        <f t="shared" si="14"/>
        <v>0</v>
      </c>
      <c r="AU13" s="5">
        <f t="shared" si="14"/>
        <v>0</v>
      </c>
      <c r="AV13" s="5">
        <f t="shared" si="14"/>
        <v>0</v>
      </c>
      <c r="AW13" s="5">
        <f t="shared" si="14"/>
        <v>0</v>
      </c>
      <c r="AX13" s="5">
        <f t="shared" si="14"/>
        <v>0</v>
      </c>
      <c r="AY13" s="5">
        <f t="shared" si="14"/>
        <v>0</v>
      </c>
      <c r="AZ13" s="5">
        <f t="shared" si="14"/>
        <v>0</v>
      </c>
      <c r="BA13" s="5">
        <f t="shared" si="14"/>
        <v>0</v>
      </c>
      <c r="BB13" s="5">
        <f t="shared" si="14"/>
        <v>0</v>
      </c>
    </row>
    <row r="14">
      <c r="A14" s="5">
        <v>504.0</v>
      </c>
      <c r="B14" s="4" t="s">
        <v>65</v>
      </c>
      <c r="C14" s="5">
        <v>9.01697685E8</v>
      </c>
      <c r="D14" s="4" t="s">
        <v>54</v>
      </c>
      <c r="E14" s="4" t="s">
        <v>54</v>
      </c>
      <c r="F14" s="5">
        <v>1.0</v>
      </c>
      <c r="G14" s="5">
        <v>0.0</v>
      </c>
      <c r="H14" s="5">
        <v>1.0</v>
      </c>
      <c r="I14" s="6">
        <v>1.0</v>
      </c>
      <c r="J14" s="5">
        <v>0.0</v>
      </c>
      <c r="K14" s="5">
        <v>1.0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  <c r="AC14" s="5">
        <v>0.0</v>
      </c>
      <c r="AD14" s="5">
        <v>0.0</v>
      </c>
      <c r="AE14" s="5">
        <v>1.0</v>
      </c>
      <c r="AF14" s="7">
        <f t="shared" si="2"/>
        <v>0.05</v>
      </c>
      <c r="AG14" s="4" t="str">
        <f t="shared" si="3"/>
        <v>facturas,</v>
      </c>
      <c r="AH14" s="5">
        <f t="shared" si="4"/>
        <v>1</v>
      </c>
      <c r="AI14" s="5">
        <f t="shared" ref="AI14:BB14" si="15">IF(COUNTIF(K$3:K14,"&gt;0")&gt;0,1,0)</f>
        <v>1</v>
      </c>
      <c r="AJ14" s="5">
        <f t="shared" si="15"/>
        <v>0</v>
      </c>
      <c r="AK14" s="5">
        <f t="shared" si="15"/>
        <v>0</v>
      </c>
      <c r="AL14" s="5">
        <f t="shared" si="15"/>
        <v>0</v>
      </c>
      <c r="AM14" s="5">
        <f t="shared" si="15"/>
        <v>0</v>
      </c>
      <c r="AN14" s="5">
        <f t="shared" si="15"/>
        <v>0</v>
      </c>
      <c r="AO14" s="5">
        <f t="shared" si="15"/>
        <v>0</v>
      </c>
      <c r="AP14" s="5">
        <f t="shared" si="15"/>
        <v>0</v>
      </c>
      <c r="AQ14" s="5">
        <f t="shared" si="15"/>
        <v>0</v>
      </c>
      <c r="AR14" s="5">
        <f t="shared" si="15"/>
        <v>0</v>
      </c>
      <c r="AS14" s="5">
        <f t="shared" si="15"/>
        <v>0</v>
      </c>
      <c r="AT14" s="5">
        <f t="shared" si="15"/>
        <v>0</v>
      </c>
      <c r="AU14" s="5">
        <f t="shared" si="15"/>
        <v>0</v>
      </c>
      <c r="AV14" s="5">
        <f t="shared" si="15"/>
        <v>0</v>
      </c>
      <c r="AW14" s="5">
        <f t="shared" si="15"/>
        <v>0</v>
      </c>
      <c r="AX14" s="5">
        <f t="shared" si="15"/>
        <v>0</v>
      </c>
      <c r="AY14" s="5">
        <f t="shared" si="15"/>
        <v>0</v>
      </c>
      <c r="AZ14" s="5">
        <f t="shared" si="15"/>
        <v>0</v>
      </c>
      <c r="BA14" s="5">
        <f t="shared" si="15"/>
        <v>0</v>
      </c>
      <c r="BB14" s="5">
        <f t="shared" si="15"/>
        <v>0</v>
      </c>
    </row>
    <row r="15">
      <c r="A15" s="5">
        <v>367.0</v>
      </c>
      <c r="B15" s="4" t="s">
        <v>66</v>
      </c>
      <c r="C15" s="5">
        <v>8.00207646E8</v>
      </c>
      <c r="D15" s="4" t="s">
        <v>67</v>
      </c>
      <c r="E15" s="4" t="s">
        <v>68</v>
      </c>
      <c r="F15" s="5">
        <v>379.0</v>
      </c>
      <c r="G15" s="5">
        <v>69.0</v>
      </c>
      <c r="H15" s="5">
        <v>76.0</v>
      </c>
      <c r="I15" s="5">
        <v>3.0</v>
      </c>
      <c r="J15" s="5">
        <v>8.0</v>
      </c>
      <c r="K15" s="5">
        <v>0.0</v>
      </c>
      <c r="L15" s="5">
        <v>0.0</v>
      </c>
      <c r="M15" s="5">
        <v>0.0</v>
      </c>
      <c r="N15" s="5">
        <v>379.0</v>
      </c>
      <c r="O15" s="5">
        <v>0.0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  <c r="AB15" s="5">
        <v>0.0</v>
      </c>
      <c r="AC15" s="5">
        <v>0.0</v>
      </c>
      <c r="AD15" s="5">
        <v>0.0</v>
      </c>
      <c r="AE15" s="5">
        <v>2.0</v>
      </c>
      <c r="AF15" s="7">
        <f t="shared" si="2"/>
        <v>0.1</v>
      </c>
      <c r="AG15" s="4" t="str">
        <f t="shared" si="3"/>
        <v>documento_soporte,</v>
      </c>
      <c r="AH15" s="5">
        <f t="shared" si="4"/>
        <v>2</v>
      </c>
      <c r="AI15" s="5">
        <f t="shared" ref="AI15:BB15" si="16">IF(COUNTIF(K$3:K15,"&gt;0")&gt;0,1,0)</f>
        <v>1</v>
      </c>
      <c r="AJ15" s="5">
        <f t="shared" si="16"/>
        <v>0</v>
      </c>
      <c r="AK15" s="5">
        <f t="shared" si="16"/>
        <v>0</v>
      </c>
      <c r="AL15" s="5">
        <f t="shared" si="16"/>
        <v>1</v>
      </c>
      <c r="AM15" s="5">
        <f t="shared" si="16"/>
        <v>0</v>
      </c>
      <c r="AN15" s="5">
        <f t="shared" si="16"/>
        <v>0</v>
      </c>
      <c r="AO15" s="5">
        <f t="shared" si="16"/>
        <v>0</v>
      </c>
      <c r="AP15" s="5">
        <f t="shared" si="16"/>
        <v>0</v>
      </c>
      <c r="AQ15" s="5">
        <f t="shared" si="16"/>
        <v>0</v>
      </c>
      <c r="AR15" s="5">
        <f t="shared" si="16"/>
        <v>0</v>
      </c>
      <c r="AS15" s="5">
        <f t="shared" si="16"/>
        <v>0</v>
      </c>
      <c r="AT15" s="5">
        <f t="shared" si="16"/>
        <v>0</v>
      </c>
      <c r="AU15" s="5">
        <f t="shared" si="16"/>
        <v>0</v>
      </c>
      <c r="AV15" s="5">
        <f t="shared" si="16"/>
        <v>0</v>
      </c>
      <c r="AW15" s="5">
        <f t="shared" si="16"/>
        <v>0</v>
      </c>
      <c r="AX15" s="5">
        <f t="shared" si="16"/>
        <v>0</v>
      </c>
      <c r="AY15" s="5">
        <f t="shared" si="16"/>
        <v>0</v>
      </c>
      <c r="AZ15" s="5">
        <f t="shared" si="16"/>
        <v>0</v>
      </c>
      <c r="BA15" s="5">
        <f t="shared" si="16"/>
        <v>0</v>
      </c>
      <c r="BB15" s="5">
        <f t="shared" si="16"/>
        <v>0</v>
      </c>
    </row>
    <row r="16">
      <c r="A16" s="5">
        <v>574.0</v>
      </c>
      <c r="B16" s="4" t="s">
        <v>69</v>
      </c>
      <c r="C16" s="5">
        <v>9.0182319E8</v>
      </c>
      <c r="D16" s="4" t="s">
        <v>70</v>
      </c>
      <c r="E16" s="4" t="s">
        <v>71</v>
      </c>
      <c r="F16" s="5">
        <v>52.0</v>
      </c>
      <c r="G16" s="5">
        <v>21.0</v>
      </c>
      <c r="H16" s="5">
        <v>31.0</v>
      </c>
      <c r="I16" s="5">
        <v>1.0</v>
      </c>
      <c r="J16" s="5">
        <v>5.0</v>
      </c>
      <c r="K16" s="5">
        <v>0.0</v>
      </c>
      <c r="L16" s="5">
        <v>0.0</v>
      </c>
      <c r="M16" s="5">
        <v>0.0</v>
      </c>
      <c r="N16" s="5">
        <v>52.0</v>
      </c>
      <c r="O16" s="5">
        <v>0.0</v>
      </c>
      <c r="P16" s="5">
        <v>0.0</v>
      </c>
      <c r="Q16" s="5">
        <v>0.0</v>
      </c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  <c r="AC16" s="5">
        <v>0.0</v>
      </c>
      <c r="AD16" s="5">
        <v>0.0</v>
      </c>
      <c r="AE16" s="5">
        <v>2.0</v>
      </c>
      <c r="AF16" s="7">
        <f t="shared" si="2"/>
        <v>0.1</v>
      </c>
      <c r="AG16" s="4" t="str">
        <f t="shared" si="3"/>
        <v>documento_soporte,</v>
      </c>
      <c r="AH16" s="5">
        <f t="shared" si="4"/>
        <v>2</v>
      </c>
      <c r="AI16" s="5">
        <f t="shared" ref="AI16:BB16" si="17">IF(COUNTIF(K$3:K16,"&gt;0")&gt;0,1,0)</f>
        <v>1</v>
      </c>
      <c r="AJ16" s="5">
        <f t="shared" si="17"/>
        <v>0</v>
      </c>
      <c r="AK16" s="5">
        <f t="shared" si="17"/>
        <v>0</v>
      </c>
      <c r="AL16" s="5">
        <f t="shared" si="17"/>
        <v>1</v>
      </c>
      <c r="AM16" s="5">
        <f t="shared" si="17"/>
        <v>0</v>
      </c>
      <c r="AN16" s="5">
        <f t="shared" si="17"/>
        <v>0</v>
      </c>
      <c r="AO16" s="5">
        <f t="shared" si="17"/>
        <v>0</v>
      </c>
      <c r="AP16" s="5">
        <f t="shared" si="17"/>
        <v>0</v>
      </c>
      <c r="AQ16" s="5">
        <f t="shared" si="17"/>
        <v>0</v>
      </c>
      <c r="AR16" s="5">
        <f t="shared" si="17"/>
        <v>0</v>
      </c>
      <c r="AS16" s="5">
        <f t="shared" si="17"/>
        <v>0</v>
      </c>
      <c r="AT16" s="5">
        <f t="shared" si="17"/>
        <v>0</v>
      </c>
      <c r="AU16" s="5">
        <f t="shared" si="17"/>
        <v>0</v>
      </c>
      <c r="AV16" s="5">
        <f t="shared" si="17"/>
        <v>0</v>
      </c>
      <c r="AW16" s="5">
        <f t="shared" si="17"/>
        <v>0</v>
      </c>
      <c r="AX16" s="5">
        <f t="shared" si="17"/>
        <v>0</v>
      </c>
      <c r="AY16" s="5">
        <f t="shared" si="17"/>
        <v>0</v>
      </c>
      <c r="AZ16" s="5">
        <f t="shared" si="17"/>
        <v>0</v>
      </c>
      <c r="BA16" s="5">
        <f t="shared" si="17"/>
        <v>0</v>
      </c>
      <c r="BB16" s="5">
        <f t="shared" si="17"/>
        <v>0</v>
      </c>
    </row>
    <row r="17">
      <c r="A17" s="5">
        <v>395.0</v>
      </c>
      <c r="B17" s="4" t="s">
        <v>72</v>
      </c>
      <c r="C17" s="5">
        <v>9.01073078E8</v>
      </c>
      <c r="D17" s="4" t="s">
        <v>73</v>
      </c>
      <c r="E17" s="4" t="s">
        <v>74</v>
      </c>
      <c r="F17" s="5">
        <v>73.0</v>
      </c>
      <c r="G17" s="5">
        <v>24.0</v>
      </c>
      <c r="H17" s="5">
        <v>11.0</v>
      </c>
      <c r="I17" s="5">
        <v>1.0</v>
      </c>
      <c r="J17" s="5">
        <v>1.0</v>
      </c>
      <c r="K17" s="5">
        <v>0.0</v>
      </c>
      <c r="L17" s="5">
        <v>0.0</v>
      </c>
      <c r="M17" s="5">
        <v>0.0</v>
      </c>
      <c r="N17" s="5">
        <v>73.0</v>
      </c>
      <c r="O17" s="5">
        <v>0.0</v>
      </c>
      <c r="P17" s="5">
        <v>0.0</v>
      </c>
      <c r="Q17" s="5">
        <v>0.0</v>
      </c>
      <c r="R17" s="5">
        <v>0.0</v>
      </c>
      <c r="S17" s="5">
        <v>0.0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  <c r="AC17" s="5">
        <v>0.0</v>
      </c>
      <c r="AD17" s="5">
        <v>0.0</v>
      </c>
      <c r="AE17" s="5">
        <v>2.0</v>
      </c>
      <c r="AF17" s="7">
        <f t="shared" si="2"/>
        <v>0.1</v>
      </c>
      <c r="AG17" s="4" t="str">
        <f t="shared" si="3"/>
        <v>documento_soporte,</v>
      </c>
      <c r="AH17" s="5">
        <f t="shared" si="4"/>
        <v>2</v>
      </c>
      <c r="AI17" s="5">
        <f t="shared" ref="AI17:BB17" si="18">IF(COUNTIF(K$3:K17,"&gt;0")&gt;0,1,0)</f>
        <v>1</v>
      </c>
      <c r="AJ17" s="5">
        <f t="shared" si="18"/>
        <v>0</v>
      </c>
      <c r="AK17" s="5">
        <f t="shared" si="18"/>
        <v>0</v>
      </c>
      <c r="AL17" s="5">
        <f t="shared" si="18"/>
        <v>1</v>
      </c>
      <c r="AM17" s="5">
        <f t="shared" si="18"/>
        <v>0</v>
      </c>
      <c r="AN17" s="5">
        <f t="shared" si="18"/>
        <v>0</v>
      </c>
      <c r="AO17" s="5">
        <f t="shared" si="18"/>
        <v>0</v>
      </c>
      <c r="AP17" s="5">
        <f t="shared" si="18"/>
        <v>0</v>
      </c>
      <c r="AQ17" s="5">
        <f t="shared" si="18"/>
        <v>0</v>
      </c>
      <c r="AR17" s="5">
        <f t="shared" si="18"/>
        <v>0</v>
      </c>
      <c r="AS17" s="5">
        <f t="shared" si="18"/>
        <v>0</v>
      </c>
      <c r="AT17" s="5">
        <f t="shared" si="18"/>
        <v>0</v>
      </c>
      <c r="AU17" s="5">
        <f t="shared" si="18"/>
        <v>0</v>
      </c>
      <c r="AV17" s="5">
        <f t="shared" si="18"/>
        <v>0</v>
      </c>
      <c r="AW17" s="5">
        <f t="shared" si="18"/>
        <v>0</v>
      </c>
      <c r="AX17" s="5">
        <f t="shared" si="18"/>
        <v>0</v>
      </c>
      <c r="AY17" s="5">
        <f t="shared" si="18"/>
        <v>0</v>
      </c>
      <c r="AZ17" s="5">
        <f t="shared" si="18"/>
        <v>0</v>
      </c>
      <c r="BA17" s="5">
        <f t="shared" si="18"/>
        <v>0</v>
      </c>
      <c r="BB17" s="5">
        <f t="shared" si="18"/>
        <v>0</v>
      </c>
    </row>
    <row r="18">
      <c r="A18" s="5">
        <v>368.0</v>
      </c>
      <c r="B18" s="4" t="s">
        <v>75</v>
      </c>
      <c r="C18" s="5">
        <v>8.30129393E8</v>
      </c>
      <c r="D18" s="4" t="s">
        <v>76</v>
      </c>
      <c r="E18" s="4" t="s">
        <v>77</v>
      </c>
      <c r="F18" s="5">
        <v>24.0</v>
      </c>
      <c r="G18" s="5">
        <v>6.0</v>
      </c>
      <c r="H18" s="5">
        <v>8.0</v>
      </c>
      <c r="I18" s="5">
        <v>0.0</v>
      </c>
      <c r="J18" s="5">
        <v>2.0</v>
      </c>
      <c r="K18" s="5">
        <v>0.0</v>
      </c>
      <c r="L18" s="5">
        <v>0.0</v>
      </c>
      <c r="M18" s="5">
        <v>0.0</v>
      </c>
      <c r="N18" s="5">
        <v>24.0</v>
      </c>
      <c r="O18" s="5">
        <v>0.0</v>
      </c>
      <c r="P18" s="5">
        <v>0.0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5">
        <v>0.0</v>
      </c>
      <c r="AD18" s="5">
        <v>0.0</v>
      </c>
      <c r="AE18" s="5">
        <v>2.0</v>
      </c>
      <c r="AF18" s="7">
        <f t="shared" si="2"/>
        <v>0.1</v>
      </c>
      <c r="AG18" s="4" t="str">
        <f t="shared" si="3"/>
        <v>documento_soporte,</v>
      </c>
      <c r="AH18" s="5">
        <f t="shared" si="4"/>
        <v>2</v>
      </c>
      <c r="AI18" s="5">
        <f t="shared" ref="AI18:BB18" si="19">IF(COUNTIF(K$3:K18,"&gt;0")&gt;0,1,0)</f>
        <v>1</v>
      </c>
      <c r="AJ18" s="5">
        <f t="shared" si="19"/>
        <v>0</v>
      </c>
      <c r="AK18" s="5">
        <f t="shared" si="19"/>
        <v>0</v>
      </c>
      <c r="AL18" s="5">
        <f t="shared" si="19"/>
        <v>1</v>
      </c>
      <c r="AM18" s="5">
        <f t="shared" si="19"/>
        <v>0</v>
      </c>
      <c r="AN18" s="5">
        <f t="shared" si="19"/>
        <v>0</v>
      </c>
      <c r="AO18" s="5">
        <f t="shared" si="19"/>
        <v>0</v>
      </c>
      <c r="AP18" s="5">
        <f t="shared" si="19"/>
        <v>0</v>
      </c>
      <c r="AQ18" s="5">
        <f t="shared" si="19"/>
        <v>0</v>
      </c>
      <c r="AR18" s="5">
        <f t="shared" si="19"/>
        <v>0</v>
      </c>
      <c r="AS18" s="5">
        <f t="shared" si="19"/>
        <v>0</v>
      </c>
      <c r="AT18" s="5">
        <f t="shared" si="19"/>
        <v>0</v>
      </c>
      <c r="AU18" s="5">
        <f t="shared" si="19"/>
        <v>0</v>
      </c>
      <c r="AV18" s="5">
        <f t="shared" si="19"/>
        <v>0</v>
      </c>
      <c r="AW18" s="5">
        <f t="shared" si="19"/>
        <v>0</v>
      </c>
      <c r="AX18" s="5">
        <f t="shared" si="19"/>
        <v>0</v>
      </c>
      <c r="AY18" s="5">
        <f t="shared" si="19"/>
        <v>0</v>
      </c>
      <c r="AZ18" s="5">
        <f t="shared" si="19"/>
        <v>0</v>
      </c>
      <c r="BA18" s="5">
        <f t="shared" si="19"/>
        <v>0</v>
      </c>
      <c r="BB18" s="5">
        <f t="shared" si="19"/>
        <v>0</v>
      </c>
    </row>
    <row r="19">
      <c r="A19" s="5">
        <v>361.0</v>
      </c>
      <c r="B19" s="4" t="s">
        <v>78</v>
      </c>
      <c r="C19" s="5">
        <v>1.9259114E7</v>
      </c>
      <c r="D19" s="4" t="s">
        <v>79</v>
      </c>
      <c r="E19" s="4" t="s">
        <v>80</v>
      </c>
      <c r="F19" s="5">
        <v>151.0</v>
      </c>
      <c r="G19" s="5">
        <v>12.0</v>
      </c>
      <c r="H19" s="5">
        <v>11.0</v>
      </c>
      <c r="I19" s="6">
        <v>1.0</v>
      </c>
      <c r="J19" s="5">
        <v>0.0</v>
      </c>
      <c r="K19" s="5">
        <v>151.0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5">
        <v>0.0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18.0</v>
      </c>
      <c r="AA19" s="5">
        <v>0.0</v>
      </c>
      <c r="AB19" s="5">
        <v>0.0</v>
      </c>
      <c r="AC19" s="5">
        <v>0.0</v>
      </c>
      <c r="AD19" s="5">
        <v>0.0</v>
      </c>
      <c r="AE19" s="5">
        <v>3.0</v>
      </c>
      <c r="AF19" s="7">
        <f t="shared" si="2"/>
        <v>0.15</v>
      </c>
      <c r="AG19" s="4" t="str">
        <f t="shared" si="3"/>
        <v>facturas,wildcards,</v>
      </c>
      <c r="AH19" s="5">
        <f t="shared" si="4"/>
        <v>3</v>
      </c>
      <c r="AI19" s="5">
        <f t="shared" ref="AI19:BB19" si="20">IF(COUNTIF(K$3:K19,"&gt;0")&gt;0,1,0)</f>
        <v>1</v>
      </c>
      <c r="AJ19" s="5">
        <f t="shared" si="20"/>
        <v>0</v>
      </c>
      <c r="AK19" s="5">
        <f t="shared" si="20"/>
        <v>0</v>
      </c>
      <c r="AL19" s="5">
        <f t="shared" si="20"/>
        <v>1</v>
      </c>
      <c r="AM19" s="5">
        <f t="shared" si="20"/>
        <v>0</v>
      </c>
      <c r="AN19" s="5">
        <f t="shared" si="20"/>
        <v>0</v>
      </c>
      <c r="AO19" s="5">
        <f t="shared" si="20"/>
        <v>0</v>
      </c>
      <c r="AP19" s="5">
        <f t="shared" si="20"/>
        <v>0</v>
      </c>
      <c r="AQ19" s="5">
        <f t="shared" si="20"/>
        <v>0</v>
      </c>
      <c r="AR19" s="5">
        <f t="shared" si="20"/>
        <v>0</v>
      </c>
      <c r="AS19" s="5">
        <f t="shared" si="20"/>
        <v>0</v>
      </c>
      <c r="AT19" s="5">
        <f t="shared" si="20"/>
        <v>0</v>
      </c>
      <c r="AU19" s="5">
        <f t="shared" si="20"/>
        <v>0</v>
      </c>
      <c r="AV19" s="5">
        <f t="shared" si="20"/>
        <v>0</v>
      </c>
      <c r="AW19" s="5">
        <f t="shared" si="20"/>
        <v>0</v>
      </c>
      <c r="AX19" s="5">
        <f t="shared" si="20"/>
        <v>1</v>
      </c>
      <c r="AY19" s="5">
        <f t="shared" si="20"/>
        <v>0</v>
      </c>
      <c r="AZ19" s="5">
        <f t="shared" si="20"/>
        <v>0</v>
      </c>
      <c r="BA19" s="5">
        <f t="shared" si="20"/>
        <v>0</v>
      </c>
      <c r="BB19" s="5">
        <f t="shared" si="20"/>
        <v>0</v>
      </c>
    </row>
    <row r="20">
      <c r="A20" s="5">
        <v>326.0</v>
      </c>
      <c r="B20" s="4" t="s">
        <v>81</v>
      </c>
      <c r="C20" s="5">
        <v>6.50468141E8</v>
      </c>
      <c r="D20" s="4" t="s">
        <v>82</v>
      </c>
      <c r="E20" s="4" t="s">
        <v>83</v>
      </c>
      <c r="F20" s="5">
        <v>306.0</v>
      </c>
      <c r="G20" s="5">
        <v>59.0</v>
      </c>
      <c r="H20" s="5">
        <v>62.0</v>
      </c>
      <c r="I20" s="5">
        <v>5.0</v>
      </c>
      <c r="J20" s="5">
        <v>5.0</v>
      </c>
      <c r="K20" s="5">
        <v>305.0</v>
      </c>
      <c r="L20" s="5">
        <v>0.0</v>
      </c>
      <c r="M20" s="5">
        <v>1.0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v>0.0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  <c r="AB20" s="5">
        <v>0.0</v>
      </c>
      <c r="AC20" s="5">
        <v>0.0</v>
      </c>
      <c r="AD20" s="5">
        <v>0.0</v>
      </c>
      <c r="AE20" s="5">
        <v>4.0</v>
      </c>
      <c r="AF20" s="7">
        <f t="shared" si="2"/>
        <v>0.2</v>
      </c>
      <c r="AG20" s="4" t="str">
        <f t="shared" si="3"/>
        <v>facturas,nota_credito,</v>
      </c>
      <c r="AH20" s="5">
        <f t="shared" si="4"/>
        <v>4</v>
      </c>
      <c r="AI20" s="5">
        <f t="shared" ref="AI20:BB20" si="21">IF(COUNTIF(K$3:K20,"&gt;0")&gt;0,1,0)</f>
        <v>1</v>
      </c>
      <c r="AJ20" s="5">
        <f t="shared" si="21"/>
        <v>0</v>
      </c>
      <c r="AK20" s="5">
        <f t="shared" si="21"/>
        <v>1</v>
      </c>
      <c r="AL20" s="5">
        <f t="shared" si="21"/>
        <v>1</v>
      </c>
      <c r="AM20" s="5">
        <f t="shared" si="21"/>
        <v>0</v>
      </c>
      <c r="AN20" s="5">
        <f t="shared" si="21"/>
        <v>0</v>
      </c>
      <c r="AO20" s="5">
        <f t="shared" si="21"/>
        <v>0</v>
      </c>
      <c r="AP20" s="5">
        <f t="shared" si="21"/>
        <v>0</v>
      </c>
      <c r="AQ20" s="5">
        <f t="shared" si="21"/>
        <v>0</v>
      </c>
      <c r="AR20" s="5">
        <f t="shared" si="21"/>
        <v>0</v>
      </c>
      <c r="AS20" s="5">
        <f t="shared" si="21"/>
        <v>0</v>
      </c>
      <c r="AT20" s="5">
        <f t="shared" si="21"/>
        <v>0</v>
      </c>
      <c r="AU20" s="5">
        <f t="shared" si="21"/>
        <v>0</v>
      </c>
      <c r="AV20" s="5">
        <f t="shared" si="21"/>
        <v>0</v>
      </c>
      <c r="AW20" s="5">
        <f t="shared" si="21"/>
        <v>0</v>
      </c>
      <c r="AX20" s="5">
        <f t="shared" si="21"/>
        <v>1</v>
      </c>
      <c r="AY20" s="5">
        <f t="shared" si="21"/>
        <v>0</v>
      </c>
      <c r="AZ20" s="5">
        <f t="shared" si="21"/>
        <v>0</v>
      </c>
      <c r="BA20" s="5">
        <f t="shared" si="21"/>
        <v>0</v>
      </c>
      <c r="BB20" s="5">
        <f t="shared" si="21"/>
        <v>0</v>
      </c>
    </row>
    <row r="21">
      <c r="A21" s="5">
        <v>86.0</v>
      </c>
      <c r="B21" s="4" t="s">
        <v>84</v>
      </c>
      <c r="C21" s="5">
        <v>9.00337075E8</v>
      </c>
      <c r="D21" s="4" t="s">
        <v>85</v>
      </c>
      <c r="E21" s="4" t="s">
        <v>86</v>
      </c>
      <c r="F21" s="5">
        <v>68.0</v>
      </c>
      <c r="G21" s="5">
        <v>12.0</v>
      </c>
      <c r="H21" s="5">
        <v>12.0</v>
      </c>
      <c r="I21" s="5">
        <v>1.0</v>
      </c>
      <c r="J21" s="5">
        <v>1.0</v>
      </c>
      <c r="K21" s="5">
        <v>67.0</v>
      </c>
      <c r="L21" s="5">
        <v>0.0</v>
      </c>
      <c r="M21" s="5">
        <v>1.0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v>0.0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0.0</v>
      </c>
      <c r="AC21" s="5">
        <v>0.0</v>
      </c>
      <c r="AD21" s="5">
        <v>0.0</v>
      </c>
      <c r="AE21" s="5">
        <v>4.0</v>
      </c>
      <c r="AF21" s="7">
        <f t="shared" si="2"/>
        <v>0.2</v>
      </c>
      <c r="AG21" s="4" t="str">
        <f t="shared" si="3"/>
        <v>facturas,nota_credito,</v>
      </c>
      <c r="AH21" s="5">
        <f t="shared" si="4"/>
        <v>4</v>
      </c>
      <c r="AI21" s="5">
        <f t="shared" ref="AI21:BB21" si="22">IF(COUNTIF(K$3:K21,"&gt;0")&gt;0,1,0)</f>
        <v>1</v>
      </c>
      <c r="AJ21" s="5">
        <f t="shared" si="22"/>
        <v>0</v>
      </c>
      <c r="AK21" s="5">
        <f t="shared" si="22"/>
        <v>1</v>
      </c>
      <c r="AL21" s="5">
        <f t="shared" si="22"/>
        <v>1</v>
      </c>
      <c r="AM21" s="5">
        <f t="shared" si="22"/>
        <v>0</v>
      </c>
      <c r="AN21" s="5">
        <f t="shared" si="22"/>
        <v>0</v>
      </c>
      <c r="AO21" s="5">
        <f t="shared" si="22"/>
        <v>0</v>
      </c>
      <c r="AP21" s="5">
        <f t="shared" si="22"/>
        <v>0</v>
      </c>
      <c r="AQ21" s="5">
        <f t="shared" si="22"/>
        <v>0</v>
      </c>
      <c r="AR21" s="5">
        <f t="shared" si="22"/>
        <v>0</v>
      </c>
      <c r="AS21" s="5">
        <f t="shared" si="22"/>
        <v>0</v>
      </c>
      <c r="AT21" s="5">
        <f t="shared" si="22"/>
        <v>0</v>
      </c>
      <c r="AU21" s="5">
        <f t="shared" si="22"/>
        <v>0</v>
      </c>
      <c r="AV21" s="5">
        <f t="shared" si="22"/>
        <v>0</v>
      </c>
      <c r="AW21" s="5">
        <f t="shared" si="22"/>
        <v>0</v>
      </c>
      <c r="AX21" s="5">
        <f t="shared" si="22"/>
        <v>1</v>
      </c>
      <c r="AY21" s="5">
        <f t="shared" si="22"/>
        <v>0</v>
      </c>
      <c r="AZ21" s="5">
        <f t="shared" si="22"/>
        <v>0</v>
      </c>
      <c r="BA21" s="5">
        <f t="shared" si="22"/>
        <v>0</v>
      </c>
      <c r="BB21" s="5">
        <f t="shared" si="22"/>
        <v>0</v>
      </c>
    </row>
    <row r="22">
      <c r="A22" s="5">
        <v>380.0</v>
      </c>
      <c r="B22" s="4" t="s">
        <v>87</v>
      </c>
      <c r="C22" s="5">
        <v>9.01389458E8</v>
      </c>
      <c r="D22" s="4" t="s">
        <v>88</v>
      </c>
      <c r="E22" s="4" t="s">
        <v>89</v>
      </c>
      <c r="F22" s="5">
        <v>68.0</v>
      </c>
      <c r="G22" s="5">
        <v>14.0</v>
      </c>
      <c r="H22" s="5">
        <v>10.0</v>
      </c>
      <c r="I22" s="5">
        <v>0.0</v>
      </c>
      <c r="J22" s="5">
        <v>0.0</v>
      </c>
      <c r="K22" s="5">
        <v>67.0</v>
      </c>
      <c r="L22" s="5">
        <v>0.0</v>
      </c>
      <c r="M22" s="5">
        <v>1.0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5">
        <v>0.0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0.0</v>
      </c>
      <c r="AA22" s="5">
        <v>0.0</v>
      </c>
      <c r="AB22" s="5">
        <v>0.0</v>
      </c>
      <c r="AC22" s="5">
        <v>0.0</v>
      </c>
      <c r="AD22" s="5">
        <v>0.0</v>
      </c>
      <c r="AE22" s="5">
        <v>4.0</v>
      </c>
      <c r="AF22" s="7">
        <f t="shared" si="2"/>
        <v>0.2</v>
      </c>
      <c r="AG22" s="4" t="str">
        <f t="shared" si="3"/>
        <v>facturas,nota_credito,</v>
      </c>
      <c r="AH22" s="5">
        <f t="shared" si="4"/>
        <v>4</v>
      </c>
      <c r="AI22" s="5">
        <f t="shared" ref="AI22:BB22" si="23">IF(COUNTIF(K$3:K22,"&gt;0")&gt;0,1,0)</f>
        <v>1</v>
      </c>
      <c r="AJ22" s="5">
        <f t="shared" si="23"/>
        <v>0</v>
      </c>
      <c r="AK22" s="5">
        <f t="shared" si="23"/>
        <v>1</v>
      </c>
      <c r="AL22" s="5">
        <f t="shared" si="23"/>
        <v>1</v>
      </c>
      <c r="AM22" s="5">
        <f t="shared" si="23"/>
        <v>0</v>
      </c>
      <c r="AN22" s="5">
        <f t="shared" si="23"/>
        <v>0</v>
      </c>
      <c r="AO22" s="5">
        <f t="shared" si="23"/>
        <v>0</v>
      </c>
      <c r="AP22" s="5">
        <f t="shared" si="23"/>
        <v>0</v>
      </c>
      <c r="AQ22" s="5">
        <f t="shared" si="23"/>
        <v>0</v>
      </c>
      <c r="AR22" s="5">
        <f t="shared" si="23"/>
        <v>0</v>
      </c>
      <c r="AS22" s="5">
        <f t="shared" si="23"/>
        <v>0</v>
      </c>
      <c r="AT22" s="5">
        <f t="shared" si="23"/>
        <v>0</v>
      </c>
      <c r="AU22" s="5">
        <f t="shared" si="23"/>
        <v>0</v>
      </c>
      <c r="AV22" s="5">
        <f t="shared" si="23"/>
        <v>0</v>
      </c>
      <c r="AW22" s="5">
        <f t="shared" si="23"/>
        <v>0</v>
      </c>
      <c r="AX22" s="5">
        <f t="shared" si="23"/>
        <v>1</v>
      </c>
      <c r="AY22" s="5">
        <f t="shared" si="23"/>
        <v>0</v>
      </c>
      <c r="AZ22" s="5">
        <f t="shared" si="23"/>
        <v>0</v>
      </c>
      <c r="BA22" s="5">
        <f t="shared" si="23"/>
        <v>0</v>
      </c>
      <c r="BB22" s="5">
        <f t="shared" si="23"/>
        <v>0</v>
      </c>
    </row>
    <row r="23">
      <c r="A23" s="5">
        <v>294.0</v>
      </c>
      <c r="B23" s="4" t="s">
        <v>90</v>
      </c>
      <c r="C23" s="5">
        <v>8.30072828E8</v>
      </c>
      <c r="D23" s="4" t="s">
        <v>91</v>
      </c>
      <c r="E23" s="4" t="s">
        <v>92</v>
      </c>
      <c r="F23" s="5">
        <v>48.0</v>
      </c>
      <c r="G23" s="5">
        <v>11.0</v>
      </c>
      <c r="H23" s="5">
        <v>12.0</v>
      </c>
      <c r="I23" s="5">
        <v>1.0</v>
      </c>
      <c r="J23" s="5">
        <v>1.0</v>
      </c>
      <c r="K23" s="5">
        <v>47.0</v>
      </c>
      <c r="L23" s="5">
        <v>0.0</v>
      </c>
      <c r="M23" s="5">
        <v>1.0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  <c r="AC23" s="5">
        <v>0.0</v>
      </c>
      <c r="AD23" s="5">
        <v>0.0</v>
      </c>
      <c r="AE23" s="5">
        <v>4.0</v>
      </c>
      <c r="AF23" s="7">
        <f t="shared" si="2"/>
        <v>0.2</v>
      </c>
      <c r="AG23" s="4" t="str">
        <f t="shared" si="3"/>
        <v>facturas,nota_credito,</v>
      </c>
      <c r="AH23" s="5">
        <f t="shared" si="4"/>
        <v>4</v>
      </c>
      <c r="AI23" s="5">
        <f t="shared" ref="AI23:BB23" si="24">IF(COUNTIF(K$3:K23,"&gt;0")&gt;0,1,0)</f>
        <v>1</v>
      </c>
      <c r="AJ23" s="5">
        <f t="shared" si="24"/>
        <v>0</v>
      </c>
      <c r="AK23" s="5">
        <f t="shared" si="24"/>
        <v>1</v>
      </c>
      <c r="AL23" s="5">
        <f t="shared" si="24"/>
        <v>1</v>
      </c>
      <c r="AM23" s="5">
        <f t="shared" si="24"/>
        <v>0</v>
      </c>
      <c r="AN23" s="5">
        <f t="shared" si="24"/>
        <v>0</v>
      </c>
      <c r="AO23" s="5">
        <f t="shared" si="24"/>
        <v>0</v>
      </c>
      <c r="AP23" s="5">
        <f t="shared" si="24"/>
        <v>0</v>
      </c>
      <c r="AQ23" s="5">
        <f t="shared" si="24"/>
        <v>0</v>
      </c>
      <c r="AR23" s="5">
        <f t="shared" si="24"/>
        <v>0</v>
      </c>
      <c r="AS23" s="5">
        <f t="shared" si="24"/>
        <v>0</v>
      </c>
      <c r="AT23" s="5">
        <f t="shared" si="24"/>
        <v>0</v>
      </c>
      <c r="AU23" s="5">
        <f t="shared" si="24"/>
        <v>0</v>
      </c>
      <c r="AV23" s="5">
        <f t="shared" si="24"/>
        <v>0</v>
      </c>
      <c r="AW23" s="5">
        <f t="shared" si="24"/>
        <v>0</v>
      </c>
      <c r="AX23" s="5">
        <f t="shared" si="24"/>
        <v>1</v>
      </c>
      <c r="AY23" s="5">
        <f t="shared" si="24"/>
        <v>0</v>
      </c>
      <c r="AZ23" s="5">
        <f t="shared" si="24"/>
        <v>0</v>
      </c>
      <c r="BA23" s="5">
        <f t="shared" si="24"/>
        <v>0</v>
      </c>
      <c r="BB23" s="5">
        <f t="shared" si="24"/>
        <v>0</v>
      </c>
    </row>
    <row r="24">
      <c r="A24" s="5">
        <v>509.0</v>
      </c>
      <c r="B24" s="4" t="s">
        <v>93</v>
      </c>
      <c r="C24" s="5">
        <v>7.9865985E7</v>
      </c>
      <c r="D24" s="4" t="s">
        <v>94</v>
      </c>
      <c r="E24" s="4" t="s">
        <v>95</v>
      </c>
      <c r="F24" s="5">
        <v>7.0</v>
      </c>
      <c r="G24" s="5">
        <v>5.0</v>
      </c>
      <c r="H24" s="5">
        <v>2.0</v>
      </c>
      <c r="I24" s="5">
        <v>1.0</v>
      </c>
      <c r="J24" s="5">
        <v>1.0</v>
      </c>
      <c r="K24" s="5">
        <v>6.0</v>
      </c>
      <c r="L24" s="5">
        <v>0.0</v>
      </c>
      <c r="M24" s="5">
        <v>1.0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5">
        <v>0.0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5">
        <v>0.0</v>
      </c>
      <c r="AA24" s="5">
        <v>0.0</v>
      </c>
      <c r="AB24" s="5">
        <v>0.0</v>
      </c>
      <c r="AC24" s="5">
        <v>0.0</v>
      </c>
      <c r="AD24" s="5">
        <v>0.0</v>
      </c>
      <c r="AE24" s="5">
        <v>4.0</v>
      </c>
      <c r="AF24" s="7">
        <f t="shared" si="2"/>
        <v>0.2</v>
      </c>
      <c r="AG24" s="4" t="str">
        <f t="shared" si="3"/>
        <v>facturas,nota_credito,</v>
      </c>
      <c r="AH24" s="5">
        <f t="shared" si="4"/>
        <v>4</v>
      </c>
      <c r="AI24" s="5">
        <f t="shared" ref="AI24:BB24" si="25">IF(COUNTIF(K$3:K24,"&gt;0")&gt;0,1,0)</f>
        <v>1</v>
      </c>
      <c r="AJ24" s="5">
        <f t="shared" si="25"/>
        <v>0</v>
      </c>
      <c r="AK24" s="5">
        <f t="shared" si="25"/>
        <v>1</v>
      </c>
      <c r="AL24" s="5">
        <f t="shared" si="25"/>
        <v>1</v>
      </c>
      <c r="AM24" s="5">
        <f t="shared" si="25"/>
        <v>0</v>
      </c>
      <c r="AN24" s="5">
        <f t="shared" si="25"/>
        <v>0</v>
      </c>
      <c r="AO24" s="5">
        <f t="shared" si="25"/>
        <v>0</v>
      </c>
      <c r="AP24" s="5">
        <f t="shared" si="25"/>
        <v>0</v>
      </c>
      <c r="AQ24" s="5">
        <f t="shared" si="25"/>
        <v>0</v>
      </c>
      <c r="AR24" s="5">
        <f t="shared" si="25"/>
        <v>0</v>
      </c>
      <c r="AS24" s="5">
        <f t="shared" si="25"/>
        <v>0</v>
      </c>
      <c r="AT24" s="5">
        <f t="shared" si="25"/>
        <v>0</v>
      </c>
      <c r="AU24" s="5">
        <f t="shared" si="25"/>
        <v>0</v>
      </c>
      <c r="AV24" s="5">
        <f t="shared" si="25"/>
        <v>0</v>
      </c>
      <c r="AW24" s="5">
        <f t="shared" si="25"/>
        <v>0</v>
      </c>
      <c r="AX24" s="5">
        <f t="shared" si="25"/>
        <v>1</v>
      </c>
      <c r="AY24" s="5">
        <f t="shared" si="25"/>
        <v>0</v>
      </c>
      <c r="AZ24" s="5">
        <f t="shared" si="25"/>
        <v>0</v>
      </c>
      <c r="BA24" s="5">
        <f t="shared" si="25"/>
        <v>0</v>
      </c>
      <c r="BB24" s="5">
        <f t="shared" si="25"/>
        <v>0</v>
      </c>
    </row>
    <row r="25">
      <c r="A25" s="5">
        <v>567.0</v>
      </c>
      <c r="B25" s="4" t="s">
        <v>96</v>
      </c>
      <c r="C25" s="5">
        <v>9.0088525E8</v>
      </c>
      <c r="D25" s="4" t="s">
        <v>97</v>
      </c>
      <c r="E25" s="4" t="s">
        <v>98</v>
      </c>
      <c r="F25" s="5">
        <v>164.0</v>
      </c>
      <c r="G25" s="5">
        <v>95.0</v>
      </c>
      <c r="H25" s="5">
        <v>69.0</v>
      </c>
      <c r="I25" s="5">
        <v>5.0</v>
      </c>
      <c r="J25" s="5">
        <v>0.0</v>
      </c>
      <c r="K25" s="5">
        <v>162.0</v>
      </c>
      <c r="L25" s="5">
        <v>0.0</v>
      </c>
      <c r="M25" s="5">
        <v>2.0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  <c r="AB25" s="5">
        <v>0.0</v>
      </c>
      <c r="AC25" s="5">
        <v>0.0</v>
      </c>
      <c r="AD25" s="5">
        <v>0.0</v>
      </c>
      <c r="AE25" s="5">
        <v>4.0</v>
      </c>
      <c r="AF25" s="7">
        <f t="shared" si="2"/>
        <v>0.2</v>
      </c>
      <c r="AG25" s="4" t="str">
        <f t="shared" si="3"/>
        <v>facturas,nota_credito,</v>
      </c>
      <c r="AH25" s="5">
        <f t="shared" si="4"/>
        <v>4</v>
      </c>
      <c r="AI25" s="5">
        <f t="shared" ref="AI25:BB25" si="26">IF(COUNTIF(K$3:K25,"&gt;0")&gt;0,1,0)</f>
        <v>1</v>
      </c>
      <c r="AJ25" s="5">
        <f t="shared" si="26"/>
        <v>0</v>
      </c>
      <c r="AK25" s="5">
        <f t="shared" si="26"/>
        <v>1</v>
      </c>
      <c r="AL25" s="5">
        <f t="shared" si="26"/>
        <v>1</v>
      </c>
      <c r="AM25" s="5">
        <f t="shared" si="26"/>
        <v>0</v>
      </c>
      <c r="AN25" s="5">
        <f t="shared" si="26"/>
        <v>0</v>
      </c>
      <c r="AO25" s="5">
        <f t="shared" si="26"/>
        <v>0</v>
      </c>
      <c r="AP25" s="5">
        <f t="shared" si="26"/>
        <v>0</v>
      </c>
      <c r="AQ25" s="5">
        <f t="shared" si="26"/>
        <v>0</v>
      </c>
      <c r="AR25" s="5">
        <f t="shared" si="26"/>
        <v>0</v>
      </c>
      <c r="AS25" s="5">
        <f t="shared" si="26"/>
        <v>0</v>
      </c>
      <c r="AT25" s="5">
        <f t="shared" si="26"/>
        <v>0</v>
      </c>
      <c r="AU25" s="5">
        <f t="shared" si="26"/>
        <v>0</v>
      </c>
      <c r="AV25" s="5">
        <f t="shared" si="26"/>
        <v>0</v>
      </c>
      <c r="AW25" s="5">
        <f t="shared" si="26"/>
        <v>0</v>
      </c>
      <c r="AX25" s="5">
        <f t="shared" si="26"/>
        <v>1</v>
      </c>
      <c r="AY25" s="5">
        <f t="shared" si="26"/>
        <v>0</v>
      </c>
      <c r="AZ25" s="5">
        <f t="shared" si="26"/>
        <v>0</v>
      </c>
      <c r="BA25" s="5">
        <f t="shared" si="26"/>
        <v>0</v>
      </c>
      <c r="BB25" s="5">
        <f t="shared" si="26"/>
        <v>0</v>
      </c>
    </row>
    <row r="26">
      <c r="A26" s="5">
        <v>332.0</v>
      </c>
      <c r="B26" s="4" t="s">
        <v>99</v>
      </c>
      <c r="C26" s="5">
        <v>8.30124431E8</v>
      </c>
      <c r="D26" s="4" t="s">
        <v>100</v>
      </c>
      <c r="E26" s="4" t="s">
        <v>101</v>
      </c>
      <c r="F26" s="5">
        <v>138.0</v>
      </c>
      <c r="G26" s="5">
        <v>36.0</v>
      </c>
      <c r="H26" s="5">
        <v>29.0</v>
      </c>
      <c r="I26" s="5">
        <v>2.0</v>
      </c>
      <c r="J26" s="5">
        <v>3.0</v>
      </c>
      <c r="K26" s="5">
        <v>136.0</v>
      </c>
      <c r="L26" s="5">
        <v>0.0</v>
      </c>
      <c r="M26" s="5">
        <v>2.0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5">
        <v>0.0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  <c r="AB26" s="5">
        <v>0.0</v>
      </c>
      <c r="AC26" s="5">
        <v>0.0</v>
      </c>
      <c r="AD26" s="5">
        <v>0.0</v>
      </c>
      <c r="AE26" s="5">
        <v>4.0</v>
      </c>
      <c r="AF26" s="7">
        <f t="shared" si="2"/>
        <v>0.2</v>
      </c>
      <c r="AG26" s="4" t="str">
        <f t="shared" si="3"/>
        <v>facturas,nota_credito,</v>
      </c>
      <c r="AH26" s="5">
        <f t="shared" si="4"/>
        <v>4</v>
      </c>
      <c r="AI26" s="5">
        <f t="shared" ref="AI26:BB26" si="27">IF(COUNTIF(K$3:K26,"&gt;0")&gt;0,1,0)</f>
        <v>1</v>
      </c>
      <c r="AJ26" s="5">
        <f t="shared" si="27"/>
        <v>0</v>
      </c>
      <c r="AK26" s="5">
        <f t="shared" si="27"/>
        <v>1</v>
      </c>
      <c r="AL26" s="5">
        <f t="shared" si="27"/>
        <v>1</v>
      </c>
      <c r="AM26" s="5">
        <f t="shared" si="27"/>
        <v>0</v>
      </c>
      <c r="AN26" s="5">
        <f t="shared" si="27"/>
        <v>0</v>
      </c>
      <c r="AO26" s="5">
        <f t="shared" si="27"/>
        <v>0</v>
      </c>
      <c r="AP26" s="5">
        <f t="shared" si="27"/>
        <v>0</v>
      </c>
      <c r="AQ26" s="5">
        <f t="shared" si="27"/>
        <v>0</v>
      </c>
      <c r="AR26" s="5">
        <f t="shared" si="27"/>
        <v>0</v>
      </c>
      <c r="AS26" s="5">
        <f t="shared" si="27"/>
        <v>0</v>
      </c>
      <c r="AT26" s="5">
        <f t="shared" si="27"/>
        <v>0</v>
      </c>
      <c r="AU26" s="5">
        <f t="shared" si="27"/>
        <v>0</v>
      </c>
      <c r="AV26" s="5">
        <f t="shared" si="27"/>
        <v>0</v>
      </c>
      <c r="AW26" s="5">
        <f t="shared" si="27"/>
        <v>0</v>
      </c>
      <c r="AX26" s="5">
        <f t="shared" si="27"/>
        <v>1</v>
      </c>
      <c r="AY26" s="5">
        <f t="shared" si="27"/>
        <v>0</v>
      </c>
      <c r="AZ26" s="5">
        <f t="shared" si="27"/>
        <v>0</v>
      </c>
      <c r="BA26" s="5">
        <f t="shared" si="27"/>
        <v>0</v>
      </c>
      <c r="BB26" s="5">
        <f t="shared" si="27"/>
        <v>0</v>
      </c>
    </row>
    <row r="27">
      <c r="A27" s="5">
        <v>591.0</v>
      </c>
      <c r="B27" s="4" t="s">
        <v>102</v>
      </c>
      <c r="C27" s="5">
        <v>9294894.0</v>
      </c>
      <c r="D27" s="4" t="s">
        <v>103</v>
      </c>
      <c r="E27" s="4" t="s">
        <v>104</v>
      </c>
      <c r="F27" s="5">
        <v>30.0</v>
      </c>
      <c r="G27" s="5">
        <v>0.0</v>
      </c>
      <c r="H27" s="5">
        <v>30.0</v>
      </c>
      <c r="I27" s="5">
        <v>2.0</v>
      </c>
      <c r="J27" s="5">
        <v>5.0</v>
      </c>
      <c r="K27" s="5">
        <v>28.0</v>
      </c>
      <c r="L27" s="5">
        <v>0.0</v>
      </c>
      <c r="M27" s="5">
        <v>2.0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v>0.0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0.0</v>
      </c>
      <c r="AA27" s="5">
        <v>0.0</v>
      </c>
      <c r="AB27" s="5">
        <v>0.0</v>
      </c>
      <c r="AC27" s="5">
        <v>0.0</v>
      </c>
      <c r="AD27" s="5">
        <v>0.0</v>
      </c>
      <c r="AE27" s="5">
        <v>4.0</v>
      </c>
      <c r="AF27" s="7">
        <f t="shared" si="2"/>
        <v>0.2</v>
      </c>
      <c r="AG27" s="4" t="str">
        <f t="shared" si="3"/>
        <v>facturas,nota_credito,</v>
      </c>
      <c r="AH27" s="5">
        <f t="shared" si="4"/>
        <v>4</v>
      </c>
      <c r="AI27" s="5">
        <f t="shared" ref="AI27:BB27" si="28">IF(COUNTIF(K$3:K27,"&gt;0")&gt;0,1,0)</f>
        <v>1</v>
      </c>
      <c r="AJ27" s="5">
        <f t="shared" si="28"/>
        <v>0</v>
      </c>
      <c r="AK27" s="5">
        <f t="shared" si="28"/>
        <v>1</v>
      </c>
      <c r="AL27" s="5">
        <f t="shared" si="28"/>
        <v>1</v>
      </c>
      <c r="AM27" s="5">
        <f t="shared" si="28"/>
        <v>0</v>
      </c>
      <c r="AN27" s="5">
        <f t="shared" si="28"/>
        <v>0</v>
      </c>
      <c r="AO27" s="5">
        <f t="shared" si="28"/>
        <v>0</v>
      </c>
      <c r="AP27" s="5">
        <f t="shared" si="28"/>
        <v>0</v>
      </c>
      <c r="AQ27" s="5">
        <f t="shared" si="28"/>
        <v>0</v>
      </c>
      <c r="AR27" s="5">
        <f t="shared" si="28"/>
        <v>0</v>
      </c>
      <c r="AS27" s="5">
        <f t="shared" si="28"/>
        <v>0</v>
      </c>
      <c r="AT27" s="5">
        <f t="shared" si="28"/>
        <v>0</v>
      </c>
      <c r="AU27" s="5">
        <f t="shared" si="28"/>
        <v>0</v>
      </c>
      <c r="AV27" s="5">
        <f t="shared" si="28"/>
        <v>0</v>
      </c>
      <c r="AW27" s="5">
        <f t="shared" si="28"/>
        <v>0</v>
      </c>
      <c r="AX27" s="5">
        <f t="shared" si="28"/>
        <v>1</v>
      </c>
      <c r="AY27" s="5">
        <f t="shared" si="28"/>
        <v>0</v>
      </c>
      <c r="AZ27" s="5">
        <f t="shared" si="28"/>
        <v>0</v>
      </c>
      <c r="BA27" s="5">
        <f t="shared" si="28"/>
        <v>0</v>
      </c>
      <c r="BB27" s="5">
        <f t="shared" si="28"/>
        <v>0</v>
      </c>
    </row>
    <row r="28">
      <c r="A28" s="5">
        <v>439.0</v>
      </c>
      <c r="B28" s="4" t="s">
        <v>105</v>
      </c>
      <c r="C28" s="5">
        <v>9.01587363E8</v>
      </c>
      <c r="D28" s="4" t="s">
        <v>106</v>
      </c>
      <c r="E28" s="4" t="s">
        <v>107</v>
      </c>
      <c r="F28" s="5">
        <v>23.0</v>
      </c>
      <c r="G28" s="5">
        <v>0.0</v>
      </c>
      <c r="H28" s="5">
        <v>23.0</v>
      </c>
      <c r="I28" s="5">
        <v>0.0</v>
      </c>
      <c r="J28" s="5">
        <v>2.0</v>
      </c>
      <c r="K28" s="5">
        <v>21.0</v>
      </c>
      <c r="L28" s="5">
        <v>0.0</v>
      </c>
      <c r="M28" s="5">
        <v>2.0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  <c r="S28" s="5">
        <v>0.0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0.0</v>
      </c>
      <c r="AA28" s="5">
        <v>0.0</v>
      </c>
      <c r="AB28" s="5">
        <v>0.0</v>
      </c>
      <c r="AC28" s="5">
        <v>0.0</v>
      </c>
      <c r="AD28" s="5">
        <v>0.0</v>
      </c>
      <c r="AE28" s="5">
        <v>4.0</v>
      </c>
      <c r="AF28" s="7">
        <f t="shared" si="2"/>
        <v>0.2</v>
      </c>
      <c r="AG28" s="4" t="str">
        <f t="shared" si="3"/>
        <v>facturas,nota_credito,</v>
      </c>
      <c r="AH28" s="5">
        <f t="shared" si="4"/>
        <v>4</v>
      </c>
      <c r="AI28" s="5">
        <f t="shared" ref="AI28:BB28" si="29">IF(COUNTIF(K$3:K28,"&gt;0")&gt;0,1,0)</f>
        <v>1</v>
      </c>
      <c r="AJ28" s="5">
        <f t="shared" si="29"/>
        <v>0</v>
      </c>
      <c r="AK28" s="5">
        <f t="shared" si="29"/>
        <v>1</v>
      </c>
      <c r="AL28" s="5">
        <f t="shared" si="29"/>
        <v>1</v>
      </c>
      <c r="AM28" s="5">
        <f t="shared" si="29"/>
        <v>0</v>
      </c>
      <c r="AN28" s="5">
        <f t="shared" si="29"/>
        <v>0</v>
      </c>
      <c r="AO28" s="5">
        <f t="shared" si="29"/>
        <v>0</v>
      </c>
      <c r="AP28" s="5">
        <f t="shared" si="29"/>
        <v>0</v>
      </c>
      <c r="AQ28" s="5">
        <f t="shared" si="29"/>
        <v>0</v>
      </c>
      <c r="AR28" s="5">
        <f t="shared" si="29"/>
        <v>0</v>
      </c>
      <c r="AS28" s="5">
        <f t="shared" si="29"/>
        <v>0</v>
      </c>
      <c r="AT28" s="5">
        <f t="shared" si="29"/>
        <v>0</v>
      </c>
      <c r="AU28" s="5">
        <f t="shared" si="29"/>
        <v>0</v>
      </c>
      <c r="AV28" s="5">
        <f t="shared" si="29"/>
        <v>0</v>
      </c>
      <c r="AW28" s="5">
        <f t="shared" si="29"/>
        <v>0</v>
      </c>
      <c r="AX28" s="5">
        <f t="shared" si="29"/>
        <v>1</v>
      </c>
      <c r="AY28" s="5">
        <f t="shared" si="29"/>
        <v>0</v>
      </c>
      <c r="AZ28" s="5">
        <f t="shared" si="29"/>
        <v>0</v>
      </c>
      <c r="BA28" s="5">
        <f t="shared" si="29"/>
        <v>0</v>
      </c>
      <c r="BB28" s="5">
        <f t="shared" si="29"/>
        <v>0</v>
      </c>
    </row>
    <row r="29">
      <c r="A29" s="5">
        <v>139.0</v>
      </c>
      <c r="B29" s="4" t="s">
        <v>108</v>
      </c>
      <c r="C29" s="5">
        <v>4.1673281E7</v>
      </c>
      <c r="D29" s="4" t="s">
        <v>109</v>
      </c>
      <c r="E29" s="4" t="s">
        <v>110</v>
      </c>
      <c r="F29" s="5">
        <v>246.0</v>
      </c>
      <c r="G29" s="5">
        <v>24.0</v>
      </c>
      <c r="H29" s="5">
        <v>22.0</v>
      </c>
      <c r="I29" s="5">
        <v>0.0</v>
      </c>
      <c r="J29" s="5">
        <v>2.0</v>
      </c>
      <c r="K29" s="5">
        <v>243.0</v>
      </c>
      <c r="L29" s="5">
        <v>0.0</v>
      </c>
      <c r="M29" s="5">
        <v>3.0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  <c r="S29" s="5">
        <v>0.0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v>0.0</v>
      </c>
      <c r="AC29" s="5">
        <v>0.0</v>
      </c>
      <c r="AD29" s="5">
        <v>0.0</v>
      </c>
      <c r="AE29" s="5">
        <v>4.0</v>
      </c>
      <c r="AF29" s="7">
        <f t="shared" si="2"/>
        <v>0.2</v>
      </c>
      <c r="AG29" s="4" t="str">
        <f t="shared" si="3"/>
        <v>facturas,nota_credito,</v>
      </c>
      <c r="AH29" s="5">
        <f t="shared" si="4"/>
        <v>4</v>
      </c>
      <c r="AI29" s="5">
        <f t="shared" ref="AI29:BB29" si="30">IF(COUNTIF(K$3:K29,"&gt;0")&gt;0,1,0)</f>
        <v>1</v>
      </c>
      <c r="AJ29" s="5">
        <f t="shared" si="30"/>
        <v>0</v>
      </c>
      <c r="AK29" s="5">
        <f t="shared" si="30"/>
        <v>1</v>
      </c>
      <c r="AL29" s="5">
        <f t="shared" si="30"/>
        <v>1</v>
      </c>
      <c r="AM29" s="5">
        <f t="shared" si="30"/>
        <v>0</v>
      </c>
      <c r="AN29" s="5">
        <f t="shared" si="30"/>
        <v>0</v>
      </c>
      <c r="AO29" s="5">
        <f t="shared" si="30"/>
        <v>0</v>
      </c>
      <c r="AP29" s="5">
        <f t="shared" si="30"/>
        <v>0</v>
      </c>
      <c r="AQ29" s="5">
        <f t="shared" si="30"/>
        <v>0</v>
      </c>
      <c r="AR29" s="5">
        <f t="shared" si="30"/>
        <v>0</v>
      </c>
      <c r="AS29" s="5">
        <f t="shared" si="30"/>
        <v>0</v>
      </c>
      <c r="AT29" s="5">
        <f t="shared" si="30"/>
        <v>0</v>
      </c>
      <c r="AU29" s="5">
        <f t="shared" si="30"/>
        <v>0</v>
      </c>
      <c r="AV29" s="5">
        <f t="shared" si="30"/>
        <v>0</v>
      </c>
      <c r="AW29" s="5">
        <f t="shared" si="30"/>
        <v>0</v>
      </c>
      <c r="AX29" s="5">
        <f t="shared" si="30"/>
        <v>1</v>
      </c>
      <c r="AY29" s="5">
        <f t="shared" si="30"/>
        <v>0</v>
      </c>
      <c r="AZ29" s="5">
        <f t="shared" si="30"/>
        <v>0</v>
      </c>
      <c r="BA29" s="5">
        <f t="shared" si="30"/>
        <v>0</v>
      </c>
      <c r="BB29" s="5">
        <f t="shared" si="30"/>
        <v>0</v>
      </c>
    </row>
    <row r="30">
      <c r="A30" s="5">
        <v>529.0</v>
      </c>
      <c r="B30" s="4" t="s">
        <v>111</v>
      </c>
      <c r="C30" s="5">
        <v>1.07587279E9</v>
      </c>
      <c r="D30" s="4" t="s">
        <v>112</v>
      </c>
      <c r="E30" s="4" t="s">
        <v>113</v>
      </c>
      <c r="F30" s="5">
        <v>99.0</v>
      </c>
      <c r="G30" s="5">
        <v>59.0</v>
      </c>
      <c r="H30" s="5">
        <v>40.0</v>
      </c>
      <c r="I30" s="5">
        <v>0.0</v>
      </c>
      <c r="J30" s="5">
        <v>1.0</v>
      </c>
      <c r="K30" s="5">
        <v>96.0</v>
      </c>
      <c r="L30" s="5">
        <v>0.0</v>
      </c>
      <c r="M30" s="5">
        <v>3.0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  <c r="S30" s="5">
        <v>0.0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  <c r="AC30" s="5">
        <v>0.0</v>
      </c>
      <c r="AD30" s="5">
        <v>0.0</v>
      </c>
      <c r="AE30" s="5">
        <v>4.0</v>
      </c>
      <c r="AF30" s="7">
        <f t="shared" si="2"/>
        <v>0.2</v>
      </c>
      <c r="AG30" s="4" t="str">
        <f t="shared" si="3"/>
        <v>facturas,nota_credito,</v>
      </c>
      <c r="AH30" s="5">
        <f t="shared" si="4"/>
        <v>4</v>
      </c>
      <c r="AI30" s="5">
        <f t="shared" ref="AI30:BB30" si="31">IF(COUNTIF(K$3:K30,"&gt;0")&gt;0,1,0)</f>
        <v>1</v>
      </c>
      <c r="AJ30" s="5">
        <f t="shared" si="31"/>
        <v>0</v>
      </c>
      <c r="AK30" s="5">
        <f t="shared" si="31"/>
        <v>1</v>
      </c>
      <c r="AL30" s="5">
        <f t="shared" si="31"/>
        <v>1</v>
      </c>
      <c r="AM30" s="5">
        <f t="shared" si="31"/>
        <v>0</v>
      </c>
      <c r="AN30" s="5">
        <f t="shared" si="31"/>
        <v>0</v>
      </c>
      <c r="AO30" s="5">
        <f t="shared" si="31"/>
        <v>0</v>
      </c>
      <c r="AP30" s="5">
        <f t="shared" si="31"/>
        <v>0</v>
      </c>
      <c r="AQ30" s="5">
        <f t="shared" si="31"/>
        <v>0</v>
      </c>
      <c r="AR30" s="5">
        <f t="shared" si="31"/>
        <v>0</v>
      </c>
      <c r="AS30" s="5">
        <f t="shared" si="31"/>
        <v>0</v>
      </c>
      <c r="AT30" s="5">
        <f t="shared" si="31"/>
        <v>0</v>
      </c>
      <c r="AU30" s="5">
        <f t="shared" si="31"/>
        <v>0</v>
      </c>
      <c r="AV30" s="5">
        <f t="shared" si="31"/>
        <v>0</v>
      </c>
      <c r="AW30" s="5">
        <f t="shared" si="31"/>
        <v>0</v>
      </c>
      <c r="AX30" s="5">
        <f t="shared" si="31"/>
        <v>1</v>
      </c>
      <c r="AY30" s="5">
        <f t="shared" si="31"/>
        <v>0</v>
      </c>
      <c r="AZ30" s="5">
        <f t="shared" si="31"/>
        <v>0</v>
      </c>
      <c r="BA30" s="5">
        <f t="shared" si="31"/>
        <v>0</v>
      </c>
      <c r="BB30" s="5">
        <f t="shared" si="31"/>
        <v>0</v>
      </c>
    </row>
    <row r="31">
      <c r="A31" s="5">
        <v>55.0</v>
      </c>
      <c r="B31" s="4" t="s">
        <v>114</v>
      </c>
      <c r="C31" s="5">
        <v>9.00274068E8</v>
      </c>
      <c r="D31" s="4" t="s">
        <v>115</v>
      </c>
      <c r="E31" s="4" t="s">
        <v>116</v>
      </c>
      <c r="F31" s="5">
        <v>102.0</v>
      </c>
      <c r="G31" s="5">
        <v>22.0</v>
      </c>
      <c r="H31" s="5">
        <v>16.0</v>
      </c>
      <c r="I31" s="5">
        <v>0.0</v>
      </c>
      <c r="J31" s="5">
        <v>2.0</v>
      </c>
      <c r="K31" s="5">
        <v>98.0</v>
      </c>
      <c r="L31" s="5">
        <v>0.0</v>
      </c>
      <c r="M31" s="5">
        <v>4.0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v>0.0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  <c r="AC31" s="5">
        <v>0.0</v>
      </c>
      <c r="AD31" s="5">
        <v>0.0</v>
      </c>
      <c r="AE31" s="5">
        <v>4.0</v>
      </c>
      <c r="AF31" s="7">
        <f t="shared" si="2"/>
        <v>0.2</v>
      </c>
      <c r="AG31" s="4" t="str">
        <f t="shared" si="3"/>
        <v>facturas,nota_credito,</v>
      </c>
      <c r="AH31" s="5">
        <f t="shared" si="4"/>
        <v>4</v>
      </c>
      <c r="AI31" s="5">
        <f t="shared" ref="AI31:BB31" si="32">IF(COUNTIF(K$3:K31,"&gt;0")&gt;0,1,0)</f>
        <v>1</v>
      </c>
      <c r="AJ31" s="5">
        <f t="shared" si="32"/>
        <v>0</v>
      </c>
      <c r="AK31" s="5">
        <f t="shared" si="32"/>
        <v>1</v>
      </c>
      <c r="AL31" s="5">
        <f t="shared" si="32"/>
        <v>1</v>
      </c>
      <c r="AM31" s="5">
        <f t="shared" si="32"/>
        <v>0</v>
      </c>
      <c r="AN31" s="5">
        <f t="shared" si="32"/>
        <v>0</v>
      </c>
      <c r="AO31" s="5">
        <f t="shared" si="32"/>
        <v>0</v>
      </c>
      <c r="AP31" s="5">
        <f t="shared" si="32"/>
        <v>0</v>
      </c>
      <c r="AQ31" s="5">
        <f t="shared" si="32"/>
        <v>0</v>
      </c>
      <c r="AR31" s="5">
        <f t="shared" si="32"/>
        <v>0</v>
      </c>
      <c r="AS31" s="5">
        <f t="shared" si="32"/>
        <v>0</v>
      </c>
      <c r="AT31" s="5">
        <f t="shared" si="32"/>
        <v>0</v>
      </c>
      <c r="AU31" s="5">
        <f t="shared" si="32"/>
        <v>0</v>
      </c>
      <c r="AV31" s="5">
        <f t="shared" si="32"/>
        <v>0</v>
      </c>
      <c r="AW31" s="5">
        <f t="shared" si="32"/>
        <v>0</v>
      </c>
      <c r="AX31" s="5">
        <f t="shared" si="32"/>
        <v>1</v>
      </c>
      <c r="AY31" s="5">
        <f t="shared" si="32"/>
        <v>0</v>
      </c>
      <c r="AZ31" s="5">
        <f t="shared" si="32"/>
        <v>0</v>
      </c>
      <c r="BA31" s="5">
        <f t="shared" si="32"/>
        <v>0</v>
      </c>
      <c r="BB31" s="5">
        <f t="shared" si="32"/>
        <v>0</v>
      </c>
    </row>
    <row r="32">
      <c r="A32" s="5">
        <v>510.0</v>
      </c>
      <c r="B32" s="4" t="s">
        <v>117</v>
      </c>
      <c r="C32" s="5">
        <v>9.00738917E8</v>
      </c>
      <c r="D32" s="4" t="s">
        <v>118</v>
      </c>
      <c r="E32" s="4" t="s">
        <v>119</v>
      </c>
      <c r="F32" s="5">
        <v>69.0</v>
      </c>
      <c r="G32" s="5">
        <v>53.0</v>
      </c>
      <c r="H32" s="5">
        <v>16.0</v>
      </c>
      <c r="I32" s="5">
        <v>0.0</v>
      </c>
      <c r="J32" s="5">
        <v>0.0</v>
      </c>
      <c r="K32" s="5">
        <v>64.0</v>
      </c>
      <c r="L32" s="5">
        <v>0.0</v>
      </c>
      <c r="M32" s="5">
        <v>5.0</v>
      </c>
      <c r="N32" s="5">
        <v>0.0</v>
      </c>
      <c r="O32" s="5">
        <v>0.0</v>
      </c>
      <c r="P32" s="5">
        <v>0.0</v>
      </c>
      <c r="Q32" s="5">
        <v>0.0</v>
      </c>
      <c r="R32" s="5">
        <v>0.0</v>
      </c>
      <c r="S32" s="5">
        <v>0.0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0.0</v>
      </c>
      <c r="AA32" s="5">
        <v>0.0</v>
      </c>
      <c r="AB32" s="5">
        <v>0.0</v>
      </c>
      <c r="AC32" s="5">
        <v>0.0</v>
      </c>
      <c r="AD32" s="5">
        <v>0.0</v>
      </c>
      <c r="AE32" s="5">
        <v>4.0</v>
      </c>
      <c r="AF32" s="7">
        <f t="shared" si="2"/>
        <v>0.2</v>
      </c>
      <c r="AG32" s="4" t="str">
        <f t="shared" si="3"/>
        <v>facturas,nota_credito,</v>
      </c>
      <c r="AH32" s="5">
        <f t="shared" si="4"/>
        <v>4</v>
      </c>
      <c r="AI32" s="5">
        <f t="shared" ref="AI32:BB32" si="33">IF(COUNTIF(K$3:K32,"&gt;0")&gt;0,1,0)</f>
        <v>1</v>
      </c>
      <c r="AJ32" s="5">
        <f t="shared" si="33"/>
        <v>0</v>
      </c>
      <c r="AK32" s="5">
        <f t="shared" si="33"/>
        <v>1</v>
      </c>
      <c r="AL32" s="5">
        <f t="shared" si="33"/>
        <v>1</v>
      </c>
      <c r="AM32" s="5">
        <f t="shared" si="33"/>
        <v>0</v>
      </c>
      <c r="AN32" s="5">
        <f t="shared" si="33"/>
        <v>0</v>
      </c>
      <c r="AO32" s="5">
        <f t="shared" si="33"/>
        <v>0</v>
      </c>
      <c r="AP32" s="5">
        <f t="shared" si="33"/>
        <v>0</v>
      </c>
      <c r="AQ32" s="5">
        <f t="shared" si="33"/>
        <v>0</v>
      </c>
      <c r="AR32" s="5">
        <f t="shared" si="33"/>
        <v>0</v>
      </c>
      <c r="AS32" s="5">
        <f t="shared" si="33"/>
        <v>0</v>
      </c>
      <c r="AT32" s="5">
        <f t="shared" si="33"/>
        <v>0</v>
      </c>
      <c r="AU32" s="5">
        <f t="shared" si="33"/>
        <v>0</v>
      </c>
      <c r="AV32" s="5">
        <f t="shared" si="33"/>
        <v>0</v>
      </c>
      <c r="AW32" s="5">
        <f t="shared" si="33"/>
        <v>0</v>
      </c>
      <c r="AX32" s="5">
        <f t="shared" si="33"/>
        <v>1</v>
      </c>
      <c r="AY32" s="5">
        <f t="shared" si="33"/>
        <v>0</v>
      </c>
      <c r="AZ32" s="5">
        <f t="shared" si="33"/>
        <v>0</v>
      </c>
      <c r="BA32" s="5">
        <f t="shared" si="33"/>
        <v>0</v>
      </c>
      <c r="BB32" s="5">
        <f t="shared" si="33"/>
        <v>0</v>
      </c>
    </row>
    <row r="33">
      <c r="A33" s="5">
        <v>477.0</v>
      </c>
      <c r="B33" s="4" t="s">
        <v>120</v>
      </c>
      <c r="C33" s="5">
        <v>2.1239227E7</v>
      </c>
      <c r="D33" s="4" t="s">
        <v>121</v>
      </c>
      <c r="E33" s="4" t="s">
        <v>122</v>
      </c>
      <c r="F33" s="5">
        <v>62.0</v>
      </c>
      <c r="G33" s="5">
        <v>26.0</v>
      </c>
      <c r="H33" s="5">
        <v>22.0</v>
      </c>
      <c r="I33" s="5">
        <v>4.0</v>
      </c>
      <c r="J33" s="5">
        <v>1.0</v>
      </c>
      <c r="K33" s="5">
        <v>57.0</v>
      </c>
      <c r="L33" s="5">
        <v>0.0</v>
      </c>
      <c r="M33" s="5">
        <v>5.0</v>
      </c>
      <c r="N33" s="5">
        <v>0.0</v>
      </c>
      <c r="O33" s="5">
        <v>0.0</v>
      </c>
      <c r="P33" s="5">
        <v>0.0</v>
      </c>
      <c r="Q33" s="5">
        <v>0.0</v>
      </c>
      <c r="R33" s="5">
        <v>0.0</v>
      </c>
      <c r="S33" s="5">
        <v>0.0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0.0</v>
      </c>
      <c r="AA33" s="5">
        <v>0.0</v>
      </c>
      <c r="AB33" s="5">
        <v>0.0</v>
      </c>
      <c r="AC33" s="5">
        <v>0.0</v>
      </c>
      <c r="AD33" s="5">
        <v>0.0</v>
      </c>
      <c r="AE33" s="5">
        <v>4.0</v>
      </c>
      <c r="AF33" s="7">
        <f t="shared" si="2"/>
        <v>0.2</v>
      </c>
      <c r="AG33" s="4" t="str">
        <f t="shared" si="3"/>
        <v>facturas,nota_credito,</v>
      </c>
      <c r="AH33" s="5">
        <f t="shared" si="4"/>
        <v>4</v>
      </c>
      <c r="AI33" s="5">
        <f t="shared" ref="AI33:BB33" si="34">IF(COUNTIF(K$3:K33,"&gt;0")&gt;0,1,0)</f>
        <v>1</v>
      </c>
      <c r="AJ33" s="5">
        <f t="shared" si="34"/>
        <v>0</v>
      </c>
      <c r="AK33" s="5">
        <f t="shared" si="34"/>
        <v>1</v>
      </c>
      <c r="AL33" s="5">
        <f t="shared" si="34"/>
        <v>1</v>
      </c>
      <c r="AM33" s="5">
        <f t="shared" si="34"/>
        <v>0</v>
      </c>
      <c r="AN33" s="5">
        <f t="shared" si="34"/>
        <v>0</v>
      </c>
      <c r="AO33" s="5">
        <f t="shared" si="34"/>
        <v>0</v>
      </c>
      <c r="AP33" s="5">
        <f t="shared" si="34"/>
        <v>0</v>
      </c>
      <c r="AQ33" s="5">
        <f t="shared" si="34"/>
        <v>0</v>
      </c>
      <c r="AR33" s="5">
        <f t="shared" si="34"/>
        <v>0</v>
      </c>
      <c r="AS33" s="5">
        <f t="shared" si="34"/>
        <v>0</v>
      </c>
      <c r="AT33" s="5">
        <f t="shared" si="34"/>
        <v>0</v>
      </c>
      <c r="AU33" s="5">
        <f t="shared" si="34"/>
        <v>0</v>
      </c>
      <c r="AV33" s="5">
        <f t="shared" si="34"/>
        <v>0</v>
      </c>
      <c r="AW33" s="5">
        <f t="shared" si="34"/>
        <v>0</v>
      </c>
      <c r="AX33" s="5">
        <f t="shared" si="34"/>
        <v>1</v>
      </c>
      <c r="AY33" s="5">
        <f t="shared" si="34"/>
        <v>0</v>
      </c>
      <c r="AZ33" s="5">
        <f t="shared" si="34"/>
        <v>0</v>
      </c>
      <c r="BA33" s="5">
        <f t="shared" si="34"/>
        <v>0</v>
      </c>
      <c r="BB33" s="5">
        <f t="shared" si="34"/>
        <v>0</v>
      </c>
    </row>
    <row r="34">
      <c r="A34" s="5">
        <v>385.0</v>
      </c>
      <c r="B34" s="4" t="s">
        <v>123</v>
      </c>
      <c r="C34" s="5">
        <v>9.01104357E8</v>
      </c>
      <c r="D34" s="4" t="s">
        <v>124</v>
      </c>
      <c r="E34" s="4" t="s">
        <v>125</v>
      </c>
      <c r="F34" s="5">
        <v>41.0</v>
      </c>
      <c r="G34" s="5">
        <v>11.0</v>
      </c>
      <c r="H34" s="5">
        <v>9.0</v>
      </c>
      <c r="I34" s="5">
        <v>1.0</v>
      </c>
      <c r="J34" s="5">
        <v>1.0</v>
      </c>
      <c r="K34" s="5">
        <v>36.0</v>
      </c>
      <c r="L34" s="5">
        <v>0.0</v>
      </c>
      <c r="M34" s="5">
        <v>5.0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  <c r="S34" s="5">
        <v>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  <c r="AC34" s="5">
        <v>0.0</v>
      </c>
      <c r="AD34" s="5">
        <v>0.0</v>
      </c>
      <c r="AE34" s="5">
        <v>4.0</v>
      </c>
      <c r="AF34" s="7">
        <f t="shared" si="2"/>
        <v>0.2</v>
      </c>
      <c r="AG34" s="4" t="str">
        <f t="shared" si="3"/>
        <v>facturas,nota_credito,</v>
      </c>
      <c r="AH34" s="5">
        <f t="shared" si="4"/>
        <v>4</v>
      </c>
      <c r="AI34" s="5">
        <f t="shared" ref="AI34:BB34" si="35">IF(COUNTIF(K$3:K34,"&gt;0")&gt;0,1,0)</f>
        <v>1</v>
      </c>
      <c r="AJ34" s="5">
        <f t="shared" si="35"/>
        <v>0</v>
      </c>
      <c r="AK34" s="5">
        <f t="shared" si="35"/>
        <v>1</v>
      </c>
      <c r="AL34" s="5">
        <f t="shared" si="35"/>
        <v>1</v>
      </c>
      <c r="AM34" s="5">
        <f t="shared" si="35"/>
        <v>0</v>
      </c>
      <c r="AN34" s="5">
        <f t="shared" si="35"/>
        <v>0</v>
      </c>
      <c r="AO34" s="5">
        <f t="shared" si="35"/>
        <v>0</v>
      </c>
      <c r="AP34" s="5">
        <f t="shared" si="35"/>
        <v>0</v>
      </c>
      <c r="AQ34" s="5">
        <f t="shared" si="35"/>
        <v>0</v>
      </c>
      <c r="AR34" s="5">
        <f t="shared" si="35"/>
        <v>0</v>
      </c>
      <c r="AS34" s="5">
        <f t="shared" si="35"/>
        <v>0</v>
      </c>
      <c r="AT34" s="5">
        <f t="shared" si="35"/>
        <v>0</v>
      </c>
      <c r="AU34" s="5">
        <f t="shared" si="35"/>
        <v>0</v>
      </c>
      <c r="AV34" s="5">
        <f t="shared" si="35"/>
        <v>0</v>
      </c>
      <c r="AW34" s="5">
        <f t="shared" si="35"/>
        <v>0</v>
      </c>
      <c r="AX34" s="5">
        <f t="shared" si="35"/>
        <v>1</v>
      </c>
      <c r="AY34" s="5">
        <f t="shared" si="35"/>
        <v>0</v>
      </c>
      <c r="AZ34" s="5">
        <f t="shared" si="35"/>
        <v>0</v>
      </c>
      <c r="BA34" s="5">
        <f t="shared" si="35"/>
        <v>0</v>
      </c>
      <c r="BB34" s="5">
        <f t="shared" si="35"/>
        <v>0</v>
      </c>
    </row>
    <row r="35">
      <c r="A35" s="5">
        <v>488.0</v>
      </c>
      <c r="B35" s="4" t="s">
        <v>126</v>
      </c>
      <c r="C35" s="5">
        <v>4942974.0</v>
      </c>
      <c r="D35" s="4" t="s">
        <v>127</v>
      </c>
      <c r="E35" s="4" t="s">
        <v>128</v>
      </c>
      <c r="F35" s="5">
        <v>229.0</v>
      </c>
      <c r="G35" s="5">
        <v>116.0</v>
      </c>
      <c r="H35" s="5">
        <v>86.0</v>
      </c>
      <c r="I35" s="5">
        <v>2.0</v>
      </c>
      <c r="J35" s="5">
        <v>7.0</v>
      </c>
      <c r="K35" s="5">
        <v>223.0</v>
      </c>
      <c r="L35" s="5">
        <v>0.0</v>
      </c>
      <c r="M35" s="5">
        <v>6.0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  <c r="AB35" s="5">
        <v>0.0</v>
      </c>
      <c r="AC35" s="5">
        <v>0.0</v>
      </c>
      <c r="AD35" s="5">
        <v>0.0</v>
      </c>
      <c r="AE35" s="5">
        <v>4.0</v>
      </c>
      <c r="AF35" s="7">
        <f t="shared" si="2"/>
        <v>0.2</v>
      </c>
      <c r="AG35" s="4" t="str">
        <f t="shared" si="3"/>
        <v>facturas,nota_credito,</v>
      </c>
      <c r="AH35" s="5">
        <f t="shared" si="4"/>
        <v>4</v>
      </c>
      <c r="AI35" s="5">
        <f t="shared" ref="AI35:BB35" si="36">IF(COUNTIF(K$3:K35,"&gt;0")&gt;0,1,0)</f>
        <v>1</v>
      </c>
      <c r="AJ35" s="5">
        <f t="shared" si="36"/>
        <v>0</v>
      </c>
      <c r="AK35" s="5">
        <f t="shared" si="36"/>
        <v>1</v>
      </c>
      <c r="AL35" s="5">
        <f t="shared" si="36"/>
        <v>1</v>
      </c>
      <c r="AM35" s="5">
        <f t="shared" si="36"/>
        <v>0</v>
      </c>
      <c r="AN35" s="5">
        <f t="shared" si="36"/>
        <v>0</v>
      </c>
      <c r="AO35" s="5">
        <f t="shared" si="36"/>
        <v>0</v>
      </c>
      <c r="AP35" s="5">
        <f t="shared" si="36"/>
        <v>0</v>
      </c>
      <c r="AQ35" s="5">
        <f t="shared" si="36"/>
        <v>0</v>
      </c>
      <c r="AR35" s="5">
        <f t="shared" si="36"/>
        <v>0</v>
      </c>
      <c r="AS35" s="5">
        <f t="shared" si="36"/>
        <v>0</v>
      </c>
      <c r="AT35" s="5">
        <f t="shared" si="36"/>
        <v>0</v>
      </c>
      <c r="AU35" s="5">
        <f t="shared" si="36"/>
        <v>0</v>
      </c>
      <c r="AV35" s="5">
        <f t="shared" si="36"/>
        <v>0</v>
      </c>
      <c r="AW35" s="5">
        <f t="shared" si="36"/>
        <v>0</v>
      </c>
      <c r="AX35" s="5">
        <f t="shared" si="36"/>
        <v>1</v>
      </c>
      <c r="AY35" s="5">
        <f t="shared" si="36"/>
        <v>0</v>
      </c>
      <c r="AZ35" s="5">
        <f t="shared" si="36"/>
        <v>0</v>
      </c>
      <c r="BA35" s="5">
        <f t="shared" si="36"/>
        <v>0</v>
      </c>
      <c r="BB35" s="5">
        <f t="shared" si="36"/>
        <v>0</v>
      </c>
    </row>
    <row r="36">
      <c r="A36" s="5">
        <v>486.0</v>
      </c>
      <c r="B36" s="4" t="s">
        <v>129</v>
      </c>
      <c r="C36" s="5">
        <v>1.2138345E7</v>
      </c>
      <c r="D36" s="4" t="s">
        <v>130</v>
      </c>
      <c r="E36" s="4" t="s">
        <v>131</v>
      </c>
      <c r="F36" s="5">
        <v>196.0</v>
      </c>
      <c r="G36" s="5">
        <v>89.0</v>
      </c>
      <c r="H36" s="5">
        <v>78.0</v>
      </c>
      <c r="I36" s="5">
        <v>1.0</v>
      </c>
      <c r="J36" s="5">
        <v>8.0</v>
      </c>
      <c r="K36" s="5">
        <v>190.0</v>
      </c>
      <c r="L36" s="5">
        <v>0.0</v>
      </c>
      <c r="M36" s="5">
        <v>6.0</v>
      </c>
      <c r="N36" s="5">
        <v>0.0</v>
      </c>
      <c r="O36" s="5">
        <v>0.0</v>
      </c>
      <c r="P36" s="5">
        <v>0.0</v>
      </c>
      <c r="Q36" s="5">
        <v>0.0</v>
      </c>
      <c r="R36" s="5">
        <v>0.0</v>
      </c>
      <c r="S36" s="5">
        <v>0.0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0.0</v>
      </c>
      <c r="AA36" s="5">
        <v>0.0</v>
      </c>
      <c r="AB36" s="5">
        <v>0.0</v>
      </c>
      <c r="AC36" s="5">
        <v>0.0</v>
      </c>
      <c r="AD36" s="5">
        <v>0.0</v>
      </c>
      <c r="AE36" s="5">
        <v>4.0</v>
      </c>
      <c r="AF36" s="7">
        <f t="shared" si="2"/>
        <v>0.2</v>
      </c>
      <c r="AG36" s="4" t="str">
        <f t="shared" si="3"/>
        <v>facturas,nota_credito,</v>
      </c>
      <c r="AH36" s="5">
        <f t="shared" si="4"/>
        <v>4</v>
      </c>
      <c r="AI36" s="5">
        <f t="shared" ref="AI36:BB36" si="37">IF(COUNTIF(K$3:K36,"&gt;0")&gt;0,1,0)</f>
        <v>1</v>
      </c>
      <c r="AJ36" s="5">
        <f t="shared" si="37"/>
        <v>0</v>
      </c>
      <c r="AK36" s="5">
        <f t="shared" si="37"/>
        <v>1</v>
      </c>
      <c r="AL36" s="5">
        <f t="shared" si="37"/>
        <v>1</v>
      </c>
      <c r="AM36" s="5">
        <f t="shared" si="37"/>
        <v>0</v>
      </c>
      <c r="AN36" s="5">
        <f t="shared" si="37"/>
        <v>0</v>
      </c>
      <c r="AO36" s="5">
        <f t="shared" si="37"/>
        <v>0</v>
      </c>
      <c r="AP36" s="5">
        <f t="shared" si="37"/>
        <v>0</v>
      </c>
      <c r="AQ36" s="5">
        <f t="shared" si="37"/>
        <v>0</v>
      </c>
      <c r="AR36" s="5">
        <f t="shared" si="37"/>
        <v>0</v>
      </c>
      <c r="AS36" s="5">
        <f t="shared" si="37"/>
        <v>0</v>
      </c>
      <c r="AT36" s="5">
        <f t="shared" si="37"/>
        <v>0</v>
      </c>
      <c r="AU36" s="5">
        <f t="shared" si="37"/>
        <v>0</v>
      </c>
      <c r="AV36" s="5">
        <f t="shared" si="37"/>
        <v>0</v>
      </c>
      <c r="AW36" s="5">
        <f t="shared" si="37"/>
        <v>0</v>
      </c>
      <c r="AX36" s="5">
        <f t="shared" si="37"/>
        <v>1</v>
      </c>
      <c r="AY36" s="5">
        <f t="shared" si="37"/>
        <v>0</v>
      </c>
      <c r="AZ36" s="5">
        <f t="shared" si="37"/>
        <v>0</v>
      </c>
      <c r="BA36" s="5">
        <f t="shared" si="37"/>
        <v>0</v>
      </c>
      <c r="BB36" s="5">
        <f t="shared" si="37"/>
        <v>0</v>
      </c>
    </row>
    <row r="37">
      <c r="A37" s="5">
        <v>544.0</v>
      </c>
      <c r="B37" s="4" t="s">
        <v>132</v>
      </c>
      <c r="C37" s="5">
        <v>1.015405669E9</v>
      </c>
      <c r="D37" s="4" t="s">
        <v>133</v>
      </c>
      <c r="E37" s="4" t="s">
        <v>134</v>
      </c>
      <c r="F37" s="5">
        <v>50.0</v>
      </c>
      <c r="G37" s="5">
        <v>21.0</v>
      </c>
      <c r="H37" s="5">
        <v>29.0</v>
      </c>
      <c r="I37" s="5">
        <v>0.0</v>
      </c>
      <c r="J37" s="5">
        <v>5.0</v>
      </c>
      <c r="K37" s="5">
        <v>44.0</v>
      </c>
      <c r="L37" s="5">
        <v>0.0</v>
      </c>
      <c r="M37" s="5">
        <v>6.0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  <c r="S37" s="5">
        <v>0.0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0.0</v>
      </c>
      <c r="AA37" s="5">
        <v>0.0</v>
      </c>
      <c r="AB37" s="5">
        <v>0.0</v>
      </c>
      <c r="AC37" s="5">
        <v>0.0</v>
      </c>
      <c r="AD37" s="5">
        <v>0.0</v>
      </c>
      <c r="AE37" s="5">
        <v>4.0</v>
      </c>
      <c r="AF37" s="7">
        <f t="shared" si="2"/>
        <v>0.2</v>
      </c>
      <c r="AG37" s="4" t="str">
        <f t="shared" si="3"/>
        <v>facturas,nota_credito,</v>
      </c>
      <c r="AH37" s="5">
        <f t="shared" si="4"/>
        <v>4</v>
      </c>
      <c r="AI37" s="5">
        <f t="shared" ref="AI37:BB37" si="38">IF(COUNTIF(K$3:K37,"&gt;0")&gt;0,1,0)</f>
        <v>1</v>
      </c>
      <c r="AJ37" s="5">
        <f t="shared" si="38"/>
        <v>0</v>
      </c>
      <c r="AK37" s="5">
        <f t="shared" si="38"/>
        <v>1</v>
      </c>
      <c r="AL37" s="5">
        <f t="shared" si="38"/>
        <v>1</v>
      </c>
      <c r="AM37" s="5">
        <f t="shared" si="38"/>
        <v>0</v>
      </c>
      <c r="AN37" s="5">
        <f t="shared" si="38"/>
        <v>0</v>
      </c>
      <c r="AO37" s="5">
        <f t="shared" si="38"/>
        <v>0</v>
      </c>
      <c r="AP37" s="5">
        <f t="shared" si="38"/>
        <v>0</v>
      </c>
      <c r="AQ37" s="5">
        <f t="shared" si="38"/>
        <v>0</v>
      </c>
      <c r="AR37" s="5">
        <f t="shared" si="38"/>
        <v>0</v>
      </c>
      <c r="AS37" s="5">
        <f t="shared" si="38"/>
        <v>0</v>
      </c>
      <c r="AT37" s="5">
        <f t="shared" si="38"/>
        <v>0</v>
      </c>
      <c r="AU37" s="5">
        <f t="shared" si="38"/>
        <v>0</v>
      </c>
      <c r="AV37" s="5">
        <f t="shared" si="38"/>
        <v>0</v>
      </c>
      <c r="AW37" s="5">
        <f t="shared" si="38"/>
        <v>0</v>
      </c>
      <c r="AX37" s="5">
        <f t="shared" si="38"/>
        <v>1</v>
      </c>
      <c r="AY37" s="5">
        <f t="shared" si="38"/>
        <v>0</v>
      </c>
      <c r="AZ37" s="5">
        <f t="shared" si="38"/>
        <v>0</v>
      </c>
      <c r="BA37" s="5">
        <f t="shared" si="38"/>
        <v>0</v>
      </c>
      <c r="BB37" s="5">
        <f t="shared" si="38"/>
        <v>0</v>
      </c>
    </row>
    <row r="38">
      <c r="A38" s="5">
        <v>27.0</v>
      </c>
      <c r="B38" s="4" t="s">
        <v>135</v>
      </c>
      <c r="C38" s="5">
        <v>9.00556545E8</v>
      </c>
      <c r="D38" s="4" t="s">
        <v>136</v>
      </c>
      <c r="E38" s="4" t="s">
        <v>137</v>
      </c>
      <c r="F38" s="5">
        <v>158.0</v>
      </c>
      <c r="G38" s="5">
        <v>50.0</v>
      </c>
      <c r="H38" s="5">
        <v>58.0</v>
      </c>
      <c r="I38" s="5">
        <v>4.0</v>
      </c>
      <c r="J38" s="5">
        <v>4.0</v>
      </c>
      <c r="K38" s="5">
        <v>151.0</v>
      </c>
      <c r="L38" s="5">
        <v>0.0</v>
      </c>
      <c r="M38" s="5">
        <v>7.0</v>
      </c>
      <c r="N38" s="5">
        <v>0.0</v>
      </c>
      <c r="O38" s="5">
        <v>0.0</v>
      </c>
      <c r="P38" s="5">
        <v>0.0</v>
      </c>
      <c r="Q38" s="5">
        <v>0.0</v>
      </c>
      <c r="R38" s="5">
        <v>0.0</v>
      </c>
      <c r="S38" s="5">
        <v>0.0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0.0</v>
      </c>
      <c r="Z38" s="5">
        <v>0.0</v>
      </c>
      <c r="AA38" s="5">
        <v>0.0</v>
      </c>
      <c r="AB38" s="5">
        <v>0.0</v>
      </c>
      <c r="AC38" s="5">
        <v>0.0</v>
      </c>
      <c r="AD38" s="5">
        <v>0.0</v>
      </c>
      <c r="AE38" s="5">
        <v>4.0</v>
      </c>
      <c r="AF38" s="7">
        <f t="shared" si="2"/>
        <v>0.2</v>
      </c>
      <c r="AG38" s="4" t="str">
        <f t="shared" si="3"/>
        <v>facturas,nota_credito,</v>
      </c>
      <c r="AH38" s="5">
        <f t="shared" si="4"/>
        <v>4</v>
      </c>
      <c r="AI38" s="5">
        <f t="shared" ref="AI38:BB38" si="39">IF(COUNTIF(K$3:K38,"&gt;0")&gt;0,1,0)</f>
        <v>1</v>
      </c>
      <c r="AJ38" s="5">
        <f t="shared" si="39"/>
        <v>0</v>
      </c>
      <c r="AK38" s="5">
        <f t="shared" si="39"/>
        <v>1</v>
      </c>
      <c r="AL38" s="5">
        <f t="shared" si="39"/>
        <v>1</v>
      </c>
      <c r="AM38" s="5">
        <f t="shared" si="39"/>
        <v>0</v>
      </c>
      <c r="AN38" s="5">
        <f t="shared" si="39"/>
        <v>0</v>
      </c>
      <c r="AO38" s="5">
        <f t="shared" si="39"/>
        <v>0</v>
      </c>
      <c r="AP38" s="5">
        <f t="shared" si="39"/>
        <v>0</v>
      </c>
      <c r="AQ38" s="5">
        <f t="shared" si="39"/>
        <v>0</v>
      </c>
      <c r="AR38" s="5">
        <f t="shared" si="39"/>
        <v>0</v>
      </c>
      <c r="AS38" s="5">
        <f t="shared" si="39"/>
        <v>0</v>
      </c>
      <c r="AT38" s="5">
        <f t="shared" si="39"/>
        <v>0</v>
      </c>
      <c r="AU38" s="5">
        <f t="shared" si="39"/>
        <v>0</v>
      </c>
      <c r="AV38" s="5">
        <f t="shared" si="39"/>
        <v>0</v>
      </c>
      <c r="AW38" s="5">
        <f t="shared" si="39"/>
        <v>0</v>
      </c>
      <c r="AX38" s="5">
        <f t="shared" si="39"/>
        <v>1</v>
      </c>
      <c r="AY38" s="5">
        <f t="shared" si="39"/>
        <v>0</v>
      </c>
      <c r="AZ38" s="5">
        <f t="shared" si="39"/>
        <v>0</v>
      </c>
      <c r="BA38" s="5">
        <f t="shared" si="39"/>
        <v>0</v>
      </c>
      <c r="BB38" s="5">
        <f t="shared" si="39"/>
        <v>0</v>
      </c>
    </row>
    <row r="39">
      <c r="A39" s="5">
        <v>28.0</v>
      </c>
      <c r="B39" s="4" t="s">
        <v>138</v>
      </c>
      <c r="C39" s="5">
        <v>9.00226802E8</v>
      </c>
      <c r="D39" s="4" t="s">
        <v>139</v>
      </c>
      <c r="E39" s="4" t="s">
        <v>140</v>
      </c>
      <c r="F39" s="5">
        <v>55.0</v>
      </c>
      <c r="G39" s="5">
        <v>1.0</v>
      </c>
      <c r="H39" s="5">
        <v>50.0</v>
      </c>
      <c r="I39" s="5">
        <v>0.0</v>
      </c>
      <c r="J39" s="5">
        <v>5.0</v>
      </c>
      <c r="K39" s="5">
        <v>48.0</v>
      </c>
      <c r="L39" s="5">
        <v>0.0</v>
      </c>
      <c r="M39" s="5">
        <v>7.0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0.0</v>
      </c>
      <c r="AA39" s="5">
        <v>0.0</v>
      </c>
      <c r="AB39" s="5">
        <v>0.0</v>
      </c>
      <c r="AC39" s="5">
        <v>0.0</v>
      </c>
      <c r="AD39" s="5">
        <v>0.0</v>
      </c>
      <c r="AE39" s="5">
        <v>4.0</v>
      </c>
      <c r="AF39" s="7">
        <f t="shared" si="2"/>
        <v>0.2</v>
      </c>
      <c r="AG39" s="4" t="str">
        <f t="shared" si="3"/>
        <v>facturas,nota_credito,</v>
      </c>
      <c r="AH39" s="5">
        <f t="shared" si="4"/>
        <v>4</v>
      </c>
      <c r="AI39" s="5">
        <f t="shared" ref="AI39:BB39" si="40">IF(COUNTIF(K$3:K39,"&gt;0")&gt;0,1,0)</f>
        <v>1</v>
      </c>
      <c r="AJ39" s="5">
        <f t="shared" si="40"/>
        <v>0</v>
      </c>
      <c r="AK39" s="5">
        <f t="shared" si="40"/>
        <v>1</v>
      </c>
      <c r="AL39" s="5">
        <f t="shared" si="40"/>
        <v>1</v>
      </c>
      <c r="AM39" s="5">
        <f t="shared" si="40"/>
        <v>0</v>
      </c>
      <c r="AN39" s="5">
        <f t="shared" si="40"/>
        <v>0</v>
      </c>
      <c r="AO39" s="5">
        <f t="shared" si="40"/>
        <v>0</v>
      </c>
      <c r="AP39" s="5">
        <f t="shared" si="40"/>
        <v>0</v>
      </c>
      <c r="AQ39" s="5">
        <f t="shared" si="40"/>
        <v>0</v>
      </c>
      <c r="AR39" s="5">
        <f t="shared" si="40"/>
        <v>0</v>
      </c>
      <c r="AS39" s="5">
        <f t="shared" si="40"/>
        <v>0</v>
      </c>
      <c r="AT39" s="5">
        <f t="shared" si="40"/>
        <v>0</v>
      </c>
      <c r="AU39" s="5">
        <f t="shared" si="40"/>
        <v>0</v>
      </c>
      <c r="AV39" s="5">
        <f t="shared" si="40"/>
        <v>0</v>
      </c>
      <c r="AW39" s="5">
        <f t="shared" si="40"/>
        <v>0</v>
      </c>
      <c r="AX39" s="5">
        <f t="shared" si="40"/>
        <v>1</v>
      </c>
      <c r="AY39" s="5">
        <f t="shared" si="40"/>
        <v>0</v>
      </c>
      <c r="AZ39" s="5">
        <f t="shared" si="40"/>
        <v>0</v>
      </c>
      <c r="BA39" s="5">
        <f t="shared" si="40"/>
        <v>0</v>
      </c>
      <c r="BB39" s="5">
        <f t="shared" si="40"/>
        <v>0</v>
      </c>
    </row>
    <row r="40">
      <c r="A40" s="5">
        <v>377.0</v>
      </c>
      <c r="B40" s="4" t="s">
        <v>141</v>
      </c>
      <c r="C40" s="5">
        <v>6.3531796E7</v>
      </c>
      <c r="D40" s="4" t="s">
        <v>142</v>
      </c>
      <c r="E40" s="4" t="s">
        <v>143</v>
      </c>
      <c r="F40" s="5">
        <v>947.0</v>
      </c>
      <c r="G40" s="5">
        <v>176.0</v>
      </c>
      <c r="H40" s="5">
        <v>161.0</v>
      </c>
      <c r="I40" s="5">
        <v>5.0</v>
      </c>
      <c r="J40" s="5">
        <v>8.0</v>
      </c>
      <c r="K40" s="5">
        <v>939.0</v>
      </c>
      <c r="L40" s="5">
        <v>0.0</v>
      </c>
      <c r="M40" s="5">
        <v>8.0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0.0</v>
      </c>
      <c r="AA40" s="5">
        <v>0.0</v>
      </c>
      <c r="AB40" s="5">
        <v>0.0</v>
      </c>
      <c r="AC40" s="5">
        <v>0.0</v>
      </c>
      <c r="AD40" s="5">
        <v>0.0</v>
      </c>
      <c r="AE40" s="5">
        <v>4.0</v>
      </c>
      <c r="AF40" s="7">
        <f t="shared" si="2"/>
        <v>0.2</v>
      </c>
      <c r="AG40" s="4" t="str">
        <f t="shared" si="3"/>
        <v>facturas,nota_credito,</v>
      </c>
      <c r="AH40" s="5">
        <f t="shared" si="4"/>
        <v>4</v>
      </c>
      <c r="AI40" s="5">
        <f t="shared" ref="AI40:BB40" si="41">IF(COUNTIF(K$3:K40,"&gt;0")&gt;0,1,0)</f>
        <v>1</v>
      </c>
      <c r="AJ40" s="5">
        <f t="shared" si="41"/>
        <v>0</v>
      </c>
      <c r="AK40" s="5">
        <f t="shared" si="41"/>
        <v>1</v>
      </c>
      <c r="AL40" s="5">
        <f t="shared" si="41"/>
        <v>1</v>
      </c>
      <c r="AM40" s="5">
        <f t="shared" si="41"/>
        <v>0</v>
      </c>
      <c r="AN40" s="5">
        <f t="shared" si="41"/>
        <v>0</v>
      </c>
      <c r="AO40" s="5">
        <f t="shared" si="41"/>
        <v>0</v>
      </c>
      <c r="AP40" s="5">
        <f t="shared" si="41"/>
        <v>0</v>
      </c>
      <c r="AQ40" s="5">
        <f t="shared" si="41"/>
        <v>0</v>
      </c>
      <c r="AR40" s="5">
        <f t="shared" si="41"/>
        <v>0</v>
      </c>
      <c r="AS40" s="5">
        <f t="shared" si="41"/>
        <v>0</v>
      </c>
      <c r="AT40" s="5">
        <f t="shared" si="41"/>
        <v>0</v>
      </c>
      <c r="AU40" s="5">
        <f t="shared" si="41"/>
        <v>0</v>
      </c>
      <c r="AV40" s="5">
        <f t="shared" si="41"/>
        <v>0</v>
      </c>
      <c r="AW40" s="5">
        <f t="shared" si="41"/>
        <v>0</v>
      </c>
      <c r="AX40" s="5">
        <f t="shared" si="41"/>
        <v>1</v>
      </c>
      <c r="AY40" s="5">
        <f t="shared" si="41"/>
        <v>0</v>
      </c>
      <c r="AZ40" s="5">
        <f t="shared" si="41"/>
        <v>0</v>
      </c>
      <c r="BA40" s="5">
        <f t="shared" si="41"/>
        <v>0</v>
      </c>
      <c r="BB40" s="5">
        <f t="shared" si="41"/>
        <v>0</v>
      </c>
    </row>
    <row r="41">
      <c r="A41" s="5">
        <v>252.0</v>
      </c>
      <c r="B41" s="4" t="s">
        <v>144</v>
      </c>
      <c r="C41" s="5">
        <v>9.00543486E8</v>
      </c>
      <c r="D41" s="4" t="s">
        <v>145</v>
      </c>
      <c r="E41" s="4" t="s">
        <v>146</v>
      </c>
      <c r="F41" s="5">
        <v>465.0</v>
      </c>
      <c r="G41" s="5">
        <v>50.0</v>
      </c>
      <c r="H41" s="5">
        <v>114.0</v>
      </c>
      <c r="I41" s="5">
        <v>8.0</v>
      </c>
      <c r="J41" s="5">
        <v>12.0</v>
      </c>
      <c r="K41" s="5">
        <v>457.0</v>
      </c>
      <c r="L41" s="5">
        <v>0.0</v>
      </c>
      <c r="M41" s="5">
        <v>8.0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  <c r="S41" s="5">
        <v>0.0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  <c r="AB41" s="5">
        <v>0.0</v>
      </c>
      <c r="AC41" s="5">
        <v>0.0</v>
      </c>
      <c r="AD41" s="5">
        <v>0.0</v>
      </c>
      <c r="AE41" s="5">
        <v>4.0</v>
      </c>
      <c r="AF41" s="7">
        <f t="shared" si="2"/>
        <v>0.2</v>
      </c>
      <c r="AG41" s="4" t="str">
        <f t="shared" si="3"/>
        <v>facturas,nota_credito,</v>
      </c>
      <c r="AH41" s="5">
        <f t="shared" si="4"/>
        <v>4</v>
      </c>
      <c r="AI41" s="5">
        <f t="shared" ref="AI41:BB41" si="42">IF(COUNTIF(K$3:K41,"&gt;0")&gt;0,1,0)</f>
        <v>1</v>
      </c>
      <c r="AJ41" s="5">
        <f t="shared" si="42"/>
        <v>0</v>
      </c>
      <c r="AK41" s="5">
        <f t="shared" si="42"/>
        <v>1</v>
      </c>
      <c r="AL41" s="5">
        <f t="shared" si="42"/>
        <v>1</v>
      </c>
      <c r="AM41" s="5">
        <f t="shared" si="42"/>
        <v>0</v>
      </c>
      <c r="AN41" s="5">
        <f t="shared" si="42"/>
        <v>0</v>
      </c>
      <c r="AO41" s="5">
        <f t="shared" si="42"/>
        <v>0</v>
      </c>
      <c r="AP41" s="5">
        <f t="shared" si="42"/>
        <v>0</v>
      </c>
      <c r="AQ41" s="5">
        <f t="shared" si="42"/>
        <v>0</v>
      </c>
      <c r="AR41" s="5">
        <f t="shared" si="42"/>
        <v>0</v>
      </c>
      <c r="AS41" s="5">
        <f t="shared" si="42"/>
        <v>0</v>
      </c>
      <c r="AT41" s="5">
        <f t="shared" si="42"/>
        <v>0</v>
      </c>
      <c r="AU41" s="5">
        <f t="shared" si="42"/>
        <v>0</v>
      </c>
      <c r="AV41" s="5">
        <f t="shared" si="42"/>
        <v>0</v>
      </c>
      <c r="AW41" s="5">
        <f t="shared" si="42"/>
        <v>0</v>
      </c>
      <c r="AX41" s="5">
        <f t="shared" si="42"/>
        <v>1</v>
      </c>
      <c r="AY41" s="5">
        <f t="shared" si="42"/>
        <v>0</v>
      </c>
      <c r="AZ41" s="5">
        <f t="shared" si="42"/>
        <v>0</v>
      </c>
      <c r="BA41" s="5">
        <f t="shared" si="42"/>
        <v>0</v>
      </c>
      <c r="BB41" s="5">
        <f t="shared" si="42"/>
        <v>0</v>
      </c>
    </row>
    <row r="42">
      <c r="A42" s="5">
        <v>132.0</v>
      </c>
      <c r="B42" s="4" t="s">
        <v>147</v>
      </c>
      <c r="C42" s="5">
        <v>8.00170555E8</v>
      </c>
      <c r="D42" s="4" t="s">
        <v>148</v>
      </c>
      <c r="E42" s="4" t="s">
        <v>149</v>
      </c>
      <c r="F42" s="5">
        <v>159.0</v>
      </c>
      <c r="G42" s="5">
        <v>37.0</v>
      </c>
      <c r="H42" s="5">
        <v>26.0</v>
      </c>
      <c r="I42" s="5">
        <v>0.0</v>
      </c>
      <c r="J42" s="5">
        <v>0.0</v>
      </c>
      <c r="K42" s="5">
        <v>151.0</v>
      </c>
      <c r="L42" s="5">
        <v>0.0</v>
      </c>
      <c r="M42" s="5">
        <v>8.0</v>
      </c>
      <c r="N42" s="5">
        <v>0.0</v>
      </c>
      <c r="O42" s="5">
        <v>0.0</v>
      </c>
      <c r="P42" s="5">
        <v>0.0</v>
      </c>
      <c r="Q42" s="5">
        <v>0.0</v>
      </c>
      <c r="R42" s="5">
        <v>0.0</v>
      </c>
      <c r="S42" s="5">
        <v>0.0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5">
        <v>0.0</v>
      </c>
      <c r="AA42" s="5">
        <v>0.0</v>
      </c>
      <c r="AB42" s="5">
        <v>0.0</v>
      </c>
      <c r="AC42" s="5">
        <v>0.0</v>
      </c>
      <c r="AD42" s="5">
        <v>0.0</v>
      </c>
      <c r="AE42" s="5">
        <v>4.0</v>
      </c>
      <c r="AF42" s="7">
        <f t="shared" si="2"/>
        <v>0.2</v>
      </c>
      <c r="AG42" s="4" t="str">
        <f t="shared" si="3"/>
        <v>facturas,nota_credito,</v>
      </c>
      <c r="AH42" s="5">
        <f t="shared" si="4"/>
        <v>4</v>
      </c>
      <c r="AI42" s="5">
        <f t="shared" ref="AI42:BB42" si="43">IF(COUNTIF(K$3:K42,"&gt;0")&gt;0,1,0)</f>
        <v>1</v>
      </c>
      <c r="AJ42" s="5">
        <f t="shared" si="43"/>
        <v>0</v>
      </c>
      <c r="AK42" s="5">
        <f t="shared" si="43"/>
        <v>1</v>
      </c>
      <c r="AL42" s="5">
        <f t="shared" si="43"/>
        <v>1</v>
      </c>
      <c r="AM42" s="5">
        <f t="shared" si="43"/>
        <v>0</v>
      </c>
      <c r="AN42" s="5">
        <f t="shared" si="43"/>
        <v>0</v>
      </c>
      <c r="AO42" s="5">
        <f t="shared" si="43"/>
        <v>0</v>
      </c>
      <c r="AP42" s="5">
        <f t="shared" si="43"/>
        <v>0</v>
      </c>
      <c r="AQ42" s="5">
        <f t="shared" si="43"/>
        <v>0</v>
      </c>
      <c r="AR42" s="5">
        <f t="shared" si="43"/>
        <v>0</v>
      </c>
      <c r="AS42" s="5">
        <f t="shared" si="43"/>
        <v>0</v>
      </c>
      <c r="AT42" s="5">
        <f t="shared" si="43"/>
        <v>0</v>
      </c>
      <c r="AU42" s="5">
        <f t="shared" si="43"/>
        <v>0</v>
      </c>
      <c r="AV42" s="5">
        <f t="shared" si="43"/>
        <v>0</v>
      </c>
      <c r="AW42" s="5">
        <f t="shared" si="43"/>
        <v>0</v>
      </c>
      <c r="AX42" s="5">
        <f t="shared" si="43"/>
        <v>1</v>
      </c>
      <c r="AY42" s="5">
        <f t="shared" si="43"/>
        <v>0</v>
      </c>
      <c r="AZ42" s="5">
        <f t="shared" si="43"/>
        <v>0</v>
      </c>
      <c r="BA42" s="5">
        <f t="shared" si="43"/>
        <v>0</v>
      </c>
      <c r="BB42" s="5">
        <f t="shared" si="43"/>
        <v>0</v>
      </c>
    </row>
    <row r="43">
      <c r="A43" s="5">
        <v>351.0</v>
      </c>
      <c r="B43" s="4" t="s">
        <v>150</v>
      </c>
      <c r="C43" s="5">
        <v>9.1286097E7</v>
      </c>
      <c r="D43" s="4" t="s">
        <v>151</v>
      </c>
      <c r="E43" s="4" t="s">
        <v>152</v>
      </c>
      <c r="F43" s="5">
        <v>102.0</v>
      </c>
      <c r="G43" s="5">
        <v>35.0</v>
      </c>
      <c r="H43" s="5">
        <v>22.0</v>
      </c>
      <c r="I43" s="5">
        <v>0.0</v>
      </c>
      <c r="J43" s="5">
        <v>2.0</v>
      </c>
      <c r="K43" s="5">
        <v>92.0</v>
      </c>
      <c r="L43" s="5">
        <v>0.0</v>
      </c>
      <c r="M43" s="5">
        <v>10.0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  <c r="S43" s="5">
        <v>0.0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0.0</v>
      </c>
      <c r="Z43" s="5">
        <v>0.0</v>
      </c>
      <c r="AA43" s="5">
        <v>0.0</v>
      </c>
      <c r="AB43" s="5">
        <v>0.0</v>
      </c>
      <c r="AC43" s="5">
        <v>0.0</v>
      </c>
      <c r="AD43" s="5">
        <v>0.0</v>
      </c>
      <c r="AE43" s="5">
        <v>4.0</v>
      </c>
      <c r="AF43" s="7">
        <f t="shared" si="2"/>
        <v>0.2</v>
      </c>
      <c r="AG43" s="4" t="str">
        <f t="shared" si="3"/>
        <v>facturas,nota_credito,</v>
      </c>
      <c r="AH43" s="5">
        <f t="shared" si="4"/>
        <v>4</v>
      </c>
      <c r="AI43" s="5">
        <f t="shared" ref="AI43:BB43" si="44">IF(COUNTIF(K$3:K43,"&gt;0")&gt;0,1,0)</f>
        <v>1</v>
      </c>
      <c r="AJ43" s="5">
        <f t="shared" si="44"/>
        <v>0</v>
      </c>
      <c r="AK43" s="5">
        <f t="shared" si="44"/>
        <v>1</v>
      </c>
      <c r="AL43" s="5">
        <f t="shared" si="44"/>
        <v>1</v>
      </c>
      <c r="AM43" s="5">
        <f t="shared" si="44"/>
        <v>0</v>
      </c>
      <c r="AN43" s="5">
        <f t="shared" si="44"/>
        <v>0</v>
      </c>
      <c r="AO43" s="5">
        <f t="shared" si="44"/>
        <v>0</v>
      </c>
      <c r="AP43" s="5">
        <f t="shared" si="44"/>
        <v>0</v>
      </c>
      <c r="AQ43" s="5">
        <f t="shared" si="44"/>
        <v>0</v>
      </c>
      <c r="AR43" s="5">
        <f t="shared" si="44"/>
        <v>0</v>
      </c>
      <c r="AS43" s="5">
        <f t="shared" si="44"/>
        <v>0</v>
      </c>
      <c r="AT43" s="5">
        <f t="shared" si="44"/>
        <v>0</v>
      </c>
      <c r="AU43" s="5">
        <f t="shared" si="44"/>
        <v>0</v>
      </c>
      <c r="AV43" s="5">
        <f t="shared" si="44"/>
        <v>0</v>
      </c>
      <c r="AW43" s="5">
        <f t="shared" si="44"/>
        <v>0</v>
      </c>
      <c r="AX43" s="5">
        <f t="shared" si="44"/>
        <v>1</v>
      </c>
      <c r="AY43" s="5">
        <f t="shared" si="44"/>
        <v>0</v>
      </c>
      <c r="AZ43" s="5">
        <f t="shared" si="44"/>
        <v>0</v>
      </c>
      <c r="BA43" s="5">
        <f t="shared" si="44"/>
        <v>0</v>
      </c>
      <c r="BB43" s="5">
        <f t="shared" si="44"/>
        <v>0</v>
      </c>
    </row>
    <row r="44">
      <c r="A44" s="5">
        <v>569.0</v>
      </c>
      <c r="B44" s="4" t="s">
        <v>153</v>
      </c>
      <c r="C44" s="5">
        <v>9.01845544E8</v>
      </c>
      <c r="D44" s="4" t="s">
        <v>154</v>
      </c>
      <c r="E44" s="4" t="s">
        <v>137</v>
      </c>
      <c r="F44" s="5">
        <v>402.0</v>
      </c>
      <c r="G44" s="5">
        <v>121.0</v>
      </c>
      <c r="H44" s="5">
        <v>281.0</v>
      </c>
      <c r="I44" s="5">
        <v>5.0</v>
      </c>
      <c r="J44" s="5">
        <v>0.0</v>
      </c>
      <c r="K44" s="5">
        <v>391.0</v>
      </c>
      <c r="L44" s="5">
        <v>0.0</v>
      </c>
      <c r="M44" s="5">
        <v>11.0</v>
      </c>
      <c r="N44" s="5">
        <v>0.0</v>
      </c>
      <c r="O44" s="5">
        <v>0.0</v>
      </c>
      <c r="P44" s="5">
        <v>0.0</v>
      </c>
      <c r="Q44" s="5">
        <v>0.0</v>
      </c>
      <c r="R44" s="5">
        <v>0.0</v>
      </c>
      <c r="S44" s="5">
        <v>0.0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5">
        <v>0.0</v>
      </c>
      <c r="AA44" s="5">
        <v>0.0</v>
      </c>
      <c r="AB44" s="5">
        <v>0.0</v>
      </c>
      <c r="AC44" s="5">
        <v>0.0</v>
      </c>
      <c r="AD44" s="5">
        <v>0.0</v>
      </c>
      <c r="AE44" s="5">
        <v>4.0</v>
      </c>
      <c r="AF44" s="7">
        <f t="shared" si="2"/>
        <v>0.2</v>
      </c>
      <c r="AG44" s="4" t="str">
        <f t="shared" si="3"/>
        <v>facturas,nota_credito,</v>
      </c>
      <c r="AH44" s="5">
        <f t="shared" si="4"/>
        <v>4</v>
      </c>
      <c r="AI44" s="5">
        <f t="shared" ref="AI44:BB44" si="45">IF(COUNTIF(K$3:K44,"&gt;0")&gt;0,1,0)</f>
        <v>1</v>
      </c>
      <c r="AJ44" s="5">
        <f t="shared" si="45"/>
        <v>0</v>
      </c>
      <c r="AK44" s="5">
        <f t="shared" si="45"/>
        <v>1</v>
      </c>
      <c r="AL44" s="5">
        <f t="shared" si="45"/>
        <v>1</v>
      </c>
      <c r="AM44" s="5">
        <f t="shared" si="45"/>
        <v>0</v>
      </c>
      <c r="AN44" s="5">
        <f t="shared" si="45"/>
        <v>0</v>
      </c>
      <c r="AO44" s="5">
        <f t="shared" si="45"/>
        <v>0</v>
      </c>
      <c r="AP44" s="5">
        <f t="shared" si="45"/>
        <v>0</v>
      </c>
      <c r="AQ44" s="5">
        <f t="shared" si="45"/>
        <v>0</v>
      </c>
      <c r="AR44" s="5">
        <f t="shared" si="45"/>
        <v>0</v>
      </c>
      <c r="AS44" s="5">
        <f t="shared" si="45"/>
        <v>0</v>
      </c>
      <c r="AT44" s="5">
        <f t="shared" si="45"/>
        <v>0</v>
      </c>
      <c r="AU44" s="5">
        <f t="shared" si="45"/>
        <v>0</v>
      </c>
      <c r="AV44" s="5">
        <f t="shared" si="45"/>
        <v>0</v>
      </c>
      <c r="AW44" s="5">
        <f t="shared" si="45"/>
        <v>0</v>
      </c>
      <c r="AX44" s="5">
        <f t="shared" si="45"/>
        <v>1</v>
      </c>
      <c r="AY44" s="5">
        <f t="shared" si="45"/>
        <v>0</v>
      </c>
      <c r="AZ44" s="5">
        <f t="shared" si="45"/>
        <v>0</v>
      </c>
      <c r="BA44" s="5">
        <f t="shared" si="45"/>
        <v>0</v>
      </c>
      <c r="BB44" s="5">
        <f t="shared" si="45"/>
        <v>0</v>
      </c>
    </row>
    <row r="45">
      <c r="A45" s="5">
        <v>271.0</v>
      </c>
      <c r="B45" s="4" t="s">
        <v>155</v>
      </c>
      <c r="C45" s="5">
        <v>9.00765343E8</v>
      </c>
      <c r="D45" s="4" t="s">
        <v>156</v>
      </c>
      <c r="E45" s="4" t="s">
        <v>157</v>
      </c>
      <c r="F45" s="5">
        <v>353.0</v>
      </c>
      <c r="G45" s="5">
        <v>65.0</v>
      </c>
      <c r="H45" s="5">
        <v>58.0</v>
      </c>
      <c r="I45" s="5">
        <v>3.0</v>
      </c>
      <c r="J45" s="5">
        <v>5.0</v>
      </c>
      <c r="K45" s="5">
        <v>339.0</v>
      </c>
      <c r="L45" s="5">
        <v>0.0</v>
      </c>
      <c r="M45" s="5">
        <v>14.0</v>
      </c>
      <c r="N45" s="5">
        <v>0.0</v>
      </c>
      <c r="O45" s="5">
        <v>0.0</v>
      </c>
      <c r="P45" s="5">
        <v>0.0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0.0</v>
      </c>
      <c r="AA45" s="5">
        <v>0.0</v>
      </c>
      <c r="AB45" s="5">
        <v>0.0</v>
      </c>
      <c r="AC45" s="5">
        <v>0.0</v>
      </c>
      <c r="AD45" s="5">
        <v>0.0</v>
      </c>
      <c r="AE45" s="5">
        <v>4.0</v>
      </c>
      <c r="AF45" s="7">
        <f t="shared" si="2"/>
        <v>0.2</v>
      </c>
      <c r="AG45" s="4" t="str">
        <f t="shared" si="3"/>
        <v>facturas,nota_credito,</v>
      </c>
      <c r="AH45" s="5">
        <f t="shared" si="4"/>
        <v>4</v>
      </c>
      <c r="AI45" s="5">
        <f t="shared" ref="AI45:BB45" si="46">IF(COUNTIF(K$3:K45,"&gt;0")&gt;0,1,0)</f>
        <v>1</v>
      </c>
      <c r="AJ45" s="5">
        <f t="shared" si="46"/>
        <v>0</v>
      </c>
      <c r="AK45" s="5">
        <f t="shared" si="46"/>
        <v>1</v>
      </c>
      <c r="AL45" s="5">
        <f t="shared" si="46"/>
        <v>1</v>
      </c>
      <c r="AM45" s="5">
        <f t="shared" si="46"/>
        <v>0</v>
      </c>
      <c r="AN45" s="5">
        <f t="shared" si="46"/>
        <v>0</v>
      </c>
      <c r="AO45" s="5">
        <f t="shared" si="46"/>
        <v>0</v>
      </c>
      <c r="AP45" s="5">
        <f t="shared" si="46"/>
        <v>0</v>
      </c>
      <c r="AQ45" s="5">
        <f t="shared" si="46"/>
        <v>0</v>
      </c>
      <c r="AR45" s="5">
        <f t="shared" si="46"/>
        <v>0</v>
      </c>
      <c r="AS45" s="5">
        <f t="shared" si="46"/>
        <v>0</v>
      </c>
      <c r="AT45" s="5">
        <f t="shared" si="46"/>
        <v>0</v>
      </c>
      <c r="AU45" s="5">
        <f t="shared" si="46"/>
        <v>0</v>
      </c>
      <c r="AV45" s="5">
        <f t="shared" si="46"/>
        <v>0</v>
      </c>
      <c r="AW45" s="5">
        <f t="shared" si="46"/>
        <v>0</v>
      </c>
      <c r="AX45" s="5">
        <f t="shared" si="46"/>
        <v>1</v>
      </c>
      <c r="AY45" s="5">
        <f t="shared" si="46"/>
        <v>0</v>
      </c>
      <c r="AZ45" s="5">
        <f t="shared" si="46"/>
        <v>0</v>
      </c>
      <c r="BA45" s="5">
        <f t="shared" si="46"/>
        <v>0</v>
      </c>
      <c r="BB45" s="5">
        <f t="shared" si="46"/>
        <v>0</v>
      </c>
    </row>
    <row r="46">
      <c r="A46" s="5">
        <v>474.0</v>
      </c>
      <c r="B46" s="4" t="s">
        <v>158</v>
      </c>
      <c r="C46" s="5">
        <v>9.0135448E8</v>
      </c>
      <c r="D46" s="4" t="s">
        <v>159</v>
      </c>
      <c r="E46" s="4" t="s">
        <v>160</v>
      </c>
      <c r="F46" s="5">
        <v>228.0</v>
      </c>
      <c r="G46" s="5">
        <v>84.0</v>
      </c>
      <c r="H46" s="5">
        <v>82.0</v>
      </c>
      <c r="I46" s="5">
        <v>6.0</v>
      </c>
      <c r="J46" s="5">
        <v>9.0</v>
      </c>
      <c r="K46" s="5">
        <v>213.0</v>
      </c>
      <c r="L46" s="5">
        <v>0.0</v>
      </c>
      <c r="M46" s="5">
        <v>15.0</v>
      </c>
      <c r="N46" s="5">
        <v>0.0</v>
      </c>
      <c r="O46" s="5">
        <v>0.0</v>
      </c>
      <c r="P46" s="5">
        <v>0.0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0.0</v>
      </c>
      <c r="AA46" s="5">
        <v>0.0</v>
      </c>
      <c r="AB46" s="5">
        <v>0.0</v>
      </c>
      <c r="AC46" s="5">
        <v>0.0</v>
      </c>
      <c r="AD46" s="5">
        <v>0.0</v>
      </c>
      <c r="AE46" s="5">
        <v>4.0</v>
      </c>
      <c r="AF46" s="7">
        <f t="shared" si="2"/>
        <v>0.2</v>
      </c>
      <c r="AG46" s="4" t="str">
        <f t="shared" si="3"/>
        <v>facturas,nota_credito,</v>
      </c>
      <c r="AH46" s="5">
        <f t="shared" si="4"/>
        <v>4</v>
      </c>
      <c r="AI46" s="5">
        <f t="shared" ref="AI46:BB46" si="47">IF(COUNTIF(K$3:K46,"&gt;0")&gt;0,1,0)</f>
        <v>1</v>
      </c>
      <c r="AJ46" s="5">
        <f t="shared" si="47"/>
        <v>0</v>
      </c>
      <c r="AK46" s="5">
        <f t="shared" si="47"/>
        <v>1</v>
      </c>
      <c r="AL46" s="5">
        <f t="shared" si="47"/>
        <v>1</v>
      </c>
      <c r="AM46" s="5">
        <f t="shared" si="47"/>
        <v>0</v>
      </c>
      <c r="AN46" s="5">
        <f t="shared" si="47"/>
        <v>0</v>
      </c>
      <c r="AO46" s="5">
        <f t="shared" si="47"/>
        <v>0</v>
      </c>
      <c r="AP46" s="5">
        <f t="shared" si="47"/>
        <v>0</v>
      </c>
      <c r="AQ46" s="5">
        <f t="shared" si="47"/>
        <v>0</v>
      </c>
      <c r="AR46" s="5">
        <f t="shared" si="47"/>
        <v>0</v>
      </c>
      <c r="AS46" s="5">
        <f t="shared" si="47"/>
        <v>0</v>
      </c>
      <c r="AT46" s="5">
        <f t="shared" si="47"/>
        <v>0</v>
      </c>
      <c r="AU46" s="5">
        <f t="shared" si="47"/>
        <v>0</v>
      </c>
      <c r="AV46" s="5">
        <f t="shared" si="47"/>
        <v>0</v>
      </c>
      <c r="AW46" s="5">
        <f t="shared" si="47"/>
        <v>0</v>
      </c>
      <c r="AX46" s="5">
        <f t="shared" si="47"/>
        <v>1</v>
      </c>
      <c r="AY46" s="5">
        <f t="shared" si="47"/>
        <v>0</v>
      </c>
      <c r="AZ46" s="5">
        <f t="shared" si="47"/>
        <v>0</v>
      </c>
      <c r="BA46" s="5">
        <f t="shared" si="47"/>
        <v>0</v>
      </c>
      <c r="BB46" s="5">
        <f t="shared" si="47"/>
        <v>0</v>
      </c>
    </row>
    <row r="47">
      <c r="A47" s="5">
        <v>468.0</v>
      </c>
      <c r="B47" s="4" t="s">
        <v>161</v>
      </c>
      <c r="C47" s="5">
        <v>9.01681954E8</v>
      </c>
      <c r="D47" s="4" t="s">
        <v>162</v>
      </c>
      <c r="E47" s="4" t="s">
        <v>163</v>
      </c>
      <c r="F47" s="5">
        <v>1413.0</v>
      </c>
      <c r="G47" s="5">
        <v>466.0</v>
      </c>
      <c r="H47" s="5">
        <v>621.0</v>
      </c>
      <c r="I47" s="5">
        <v>29.0</v>
      </c>
      <c r="J47" s="5">
        <v>48.0</v>
      </c>
      <c r="K47" s="5">
        <v>1396.0</v>
      </c>
      <c r="L47" s="5">
        <v>0.0</v>
      </c>
      <c r="M47" s="5">
        <v>17.0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0.0</v>
      </c>
      <c r="AA47" s="5">
        <v>0.0</v>
      </c>
      <c r="AB47" s="5">
        <v>0.0</v>
      </c>
      <c r="AC47" s="5">
        <v>0.0</v>
      </c>
      <c r="AD47" s="5">
        <v>0.0</v>
      </c>
      <c r="AE47" s="5">
        <v>4.0</v>
      </c>
      <c r="AF47" s="7">
        <f t="shared" si="2"/>
        <v>0.2</v>
      </c>
      <c r="AG47" s="4" t="str">
        <f t="shared" si="3"/>
        <v>facturas,nota_credito,</v>
      </c>
      <c r="AH47" s="5">
        <f t="shared" si="4"/>
        <v>4</v>
      </c>
      <c r="AI47" s="5">
        <f t="shared" ref="AI47:BB47" si="48">IF(COUNTIF(K$3:K47,"&gt;0")&gt;0,1,0)</f>
        <v>1</v>
      </c>
      <c r="AJ47" s="5">
        <f t="shared" si="48"/>
        <v>0</v>
      </c>
      <c r="AK47" s="5">
        <f t="shared" si="48"/>
        <v>1</v>
      </c>
      <c r="AL47" s="5">
        <f t="shared" si="48"/>
        <v>1</v>
      </c>
      <c r="AM47" s="5">
        <f t="shared" si="48"/>
        <v>0</v>
      </c>
      <c r="AN47" s="5">
        <f t="shared" si="48"/>
        <v>0</v>
      </c>
      <c r="AO47" s="5">
        <f t="shared" si="48"/>
        <v>0</v>
      </c>
      <c r="AP47" s="5">
        <f t="shared" si="48"/>
        <v>0</v>
      </c>
      <c r="AQ47" s="5">
        <f t="shared" si="48"/>
        <v>0</v>
      </c>
      <c r="AR47" s="5">
        <f t="shared" si="48"/>
        <v>0</v>
      </c>
      <c r="AS47" s="5">
        <f t="shared" si="48"/>
        <v>0</v>
      </c>
      <c r="AT47" s="5">
        <f t="shared" si="48"/>
        <v>0</v>
      </c>
      <c r="AU47" s="5">
        <f t="shared" si="48"/>
        <v>0</v>
      </c>
      <c r="AV47" s="5">
        <f t="shared" si="48"/>
        <v>0</v>
      </c>
      <c r="AW47" s="5">
        <f t="shared" si="48"/>
        <v>0</v>
      </c>
      <c r="AX47" s="5">
        <f t="shared" si="48"/>
        <v>1</v>
      </c>
      <c r="AY47" s="5">
        <f t="shared" si="48"/>
        <v>0</v>
      </c>
      <c r="AZ47" s="5">
        <f t="shared" si="48"/>
        <v>0</v>
      </c>
      <c r="BA47" s="5">
        <f t="shared" si="48"/>
        <v>0</v>
      </c>
      <c r="BB47" s="5">
        <f t="shared" si="48"/>
        <v>0</v>
      </c>
    </row>
    <row r="48">
      <c r="A48" s="5">
        <v>306.0</v>
      </c>
      <c r="B48" s="4" t="s">
        <v>164</v>
      </c>
      <c r="C48" s="5">
        <v>9.00382124E8</v>
      </c>
      <c r="D48" s="4" t="s">
        <v>165</v>
      </c>
      <c r="E48" s="4" t="s">
        <v>166</v>
      </c>
      <c r="F48" s="5">
        <v>215.0</v>
      </c>
      <c r="G48" s="5">
        <v>29.0</v>
      </c>
      <c r="H48" s="5">
        <v>30.0</v>
      </c>
      <c r="I48" s="5">
        <v>2.0</v>
      </c>
      <c r="J48" s="5">
        <v>2.0</v>
      </c>
      <c r="K48" s="5">
        <v>196.0</v>
      </c>
      <c r="L48" s="5">
        <v>0.0</v>
      </c>
      <c r="M48" s="5">
        <v>19.0</v>
      </c>
      <c r="N48" s="5">
        <v>0.0</v>
      </c>
      <c r="O48" s="5">
        <v>0.0</v>
      </c>
      <c r="P48" s="5">
        <v>0.0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0.0</v>
      </c>
      <c r="AA48" s="5">
        <v>0.0</v>
      </c>
      <c r="AB48" s="5">
        <v>0.0</v>
      </c>
      <c r="AC48" s="5">
        <v>0.0</v>
      </c>
      <c r="AD48" s="5">
        <v>0.0</v>
      </c>
      <c r="AE48" s="5">
        <v>4.0</v>
      </c>
      <c r="AF48" s="7">
        <f t="shared" si="2"/>
        <v>0.2</v>
      </c>
      <c r="AG48" s="4" t="str">
        <f t="shared" si="3"/>
        <v>facturas,nota_credito,</v>
      </c>
      <c r="AH48" s="5">
        <f t="shared" si="4"/>
        <v>4</v>
      </c>
      <c r="AI48" s="5">
        <f t="shared" ref="AI48:BB48" si="49">IF(COUNTIF(K$3:K48,"&gt;0")&gt;0,1,0)</f>
        <v>1</v>
      </c>
      <c r="AJ48" s="5">
        <f t="shared" si="49"/>
        <v>0</v>
      </c>
      <c r="AK48" s="5">
        <f t="shared" si="49"/>
        <v>1</v>
      </c>
      <c r="AL48" s="5">
        <f t="shared" si="49"/>
        <v>1</v>
      </c>
      <c r="AM48" s="5">
        <f t="shared" si="49"/>
        <v>0</v>
      </c>
      <c r="AN48" s="5">
        <f t="shared" si="49"/>
        <v>0</v>
      </c>
      <c r="AO48" s="5">
        <f t="shared" si="49"/>
        <v>0</v>
      </c>
      <c r="AP48" s="5">
        <f t="shared" si="49"/>
        <v>0</v>
      </c>
      <c r="AQ48" s="5">
        <f t="shared" si="49"/>
        <v>0</v>
      </c>
      <c r="AR48" s="5">
        <f t="shared" si="49"/>
        <v>0</v>
      </c>
      <c r="AS48" s="5">
        <f t="shared" si="49"/>
        <v>0</v>
      </c>
      <c r="AT48" s="5">
        <f t="shared" si="49"/>
        <v>0</v>
      </c>
      <c r="AU48" s="5">
        <f t="shared" si="49"/>
        <v>0</v>
      </c>
      <c r="AV48" s="5">
        <f t="shared" si="49"/>
        <v>0</v>
      </c>
      <c r="AW48" s="5">
        <f t="shared" si="49"/>
        <v>0</v>
      </c>
      <c r="AX48" s="5">
        <f t="shared" si="49"/>
        <v>1</v>
      </c>
      <c r="AY48" s="5">
        <f t="shared" si="49"/>
        <v>0</v>
      </c>
      <c r="AZ48" s="5">
        <f t="shared" si="49"/>
        <v>0</v>
      </c>
      <c r="BA48" s="5">
        <f t="shared" si="49"/>
        <v>0</v>
      </c>
      <c r="BB48" s="5">
        <f t="shared" si="49"/>
        <v>0</v>
      </c>
    </row>
    <row r="49">
      <c r="A49" s="5">
        <v>227.0</v>
      </c>
      <c r="B49" s="4" t="s">
        <v>167</v>
      </c>
      <c r="C49" s="5">
        <v>7.5000583E7</v>
      </c>
      <c r="D49" s="4" t="s">
        <v>168</v>
      </c>
      <c r="E49" s="4" t="s">
        <v>169</v>
      </c>
      <c r="F49" s="5">
        <v>1912.0</v>
      </c>
      <c r="G49" s="5">
        <v>438.0</v>
      </c>
      <c r="H49" s="5">
        <v>281.0</v>
      </c>
      <c r="I49" s="5">
        <v>8.0</v>
      </c>
      <c r="J49" s="5">
        <v>29.0</v>
      </c>
      <c r="K49" s="5">
        <v>1888.0</v>
      </c>
      <c r="L49" s="5">
        <v>0.0</v>
      </c>
      <c r="M49" s="5">
        <v>24.0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  <c r="S49" s="5">
        <v>0.0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0.0</v>
      </c>
      <c r="AA49" s="5">
        <v>0.0</v>
      </c>
      <c r="AB49" s="5">
        <v>0.0</v>
      </c>
      <c r="AC49" s="5">
        <v>0.0</v>
      </c>
      <c r="AD49" s="5">
        <v>0.0</v>
      </c>
      <c r="AE49" s="5">
        <v>4.0</v>
      </c>
      <c r="AF49" s="7">
        <f t="shared" si="2"/>
        <v>0.2</v>
      </c>
      <c r="AG49" s="4" t="str">
        <f t="shared" si="3"/>
        <v>facturas,nota_credito,</v>
      </c>
      <c r="AH49" s="5">
        <f t="shared" si="4"/>
        <v>4</v>
      </c>
      <c r="AI49" s="5">
        <f t="shared" ref="AI49:BB49" si="50">IF(COUNTIF(K$3:K49,"&gt;0")&gt;0,1,0)</f>
        <v>1</v>
      </c>
      <c r="AJ49" s="5">
        <f t="shared" si="50"/>
        <v>0</v>
      </c>
      <c r="AK49" s="5">
        <f t="shared" si="50"/>
        <v>1</v>
      </c>
      <c r="AL49" s="5">
        <f t="shared" si="50"/>
        <v>1</v>
      </c>
      <c r="AM49" s="5">
        <f t="shared" si="50"/>
        <v>0</v>
      </c>
      <c r="AN49" s="5">
        <f t="shared" si="50"/>
        <v>0</v>
      </c>
      <c r="AO49" s="5">
        <f t="shared" si="50"/>
        <v>0</v>
      </c>
      <c r="AP49" s="5">
        <f t="shared" si="50"/>
        <v>0</v>
      </c>
      <c r="AQ49" s="5">
        <f t="shared" si="50"/>
        <v>0</v>
      </c>
      <c r="AR49" s="5">
        <f t="shared" si="50"/>
        <v>0</v>
      </c>
      <c r="AS49" s="5">
        <f t="shared" si="50"/>
        <v>0</v>
      </c>
      <c r="AT49" s="5">
        <f t="shared" si="50"/>
        <v>0</v>
      </c>
      <c r="AU49" s="5">
        <f t="shared" si="50"/>
        <v>0</v>
      </c>
      <c r="AV49" s="5">
        <f t="shared" si="50"/>
        <v>0</v>
      </c>
      <c r="AW49" s="5">
        <f t="shared" si="50"/>
        <v>0</v>
      </c>
      <c r="AX49" s="5">
        <f t="shared" si="50"/>
        <v>1</v>
      </c>
      <c r="AY49" s="5">
        <f t="shared" si="50"/>
        <v>0</v>
      </c>
      <c r="AZ49" s="5">
        <f t="shared" si="50"/>
        <v>0</v>
      </c>
      <c r="BA49" s="5">
        <f t="shared" si="50"/>
        <v>0</v>
      </c>
      <c r="BB49" s="5">
        <f t="shared" si="50"/>
        <v>0</v>
      </c>
    </row>
    <row r="50">
      <c r="A50" s="5">
        <v>452.0</v>
      </c>
      <c r="B50" s="4" t="s">
        <v>170</v>
      </c>
      <c r="C50" s="5">
        <v>7.9389205E7</v>
      </c>
      <c r="D50" s="4" t="s">
        <v>171</v>
      </c>
      <c r="E50" s="4" t="s">
        <v>172</v>
      </c>
      <c r="F50" s="5">
        <v>452.0</v>
      </c>
      <c r="G50" s="5">
        <v>68.0</v>
      </c>
      <c r="H50" s="5">
        <v>384.0</v>
      </c>
      <c r="I50" s="5">
        <v>13.0</v>
      </c>
      <c r="J50" s="5">
        <v>23.0</v>
      </c>
      <c r="K50" s="5">
        <v>427.0</v>
      </c>
      <c r="L50" s="5">
        <v>0.0</v>
      </c>
      <c r="M50" s="5">
        <v>25.0</v>
      </c>
      <c r="N50" s="5">
        <v>0.0</v>
      </c>
      <c r="O50" s="5">
        <v>0.0</v>
      </c>
      <c r="P50" s="5">
        <v>0.0</v>
      </c>
      <c r="Q50" s="5">
        <v>0.0</v>
      </c>
      <c r="R50" s="5">
        <v>0.0</v>
      </c>
      <c r="S50" s="5">
        <v>0.0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  <c r="AB50" s="5">
        <v>0.0</v>
      </c>
      <c r="AC50" s="5">
        <v>0.0</v>
      </c>
      <c r="AD50" s="5">
        <v>0.0</v>
      </c>
      <c r="AE50" s="5">
        <v>4.0</v>
      </c>
      <c r="AF50" s="7">
        <f t="shared" si="2"/>
        <v>0.2</v>
      </c>
      <c r="AG50" s="4" t="str">
        <f t="shared" si="3"/>
        <v>facturas,nota_credito,</v>
      </c>
      <c r="AH50" s="5">
        <f t="shared" si="4"/>
        <v>4</v>
      </c>
      <c r="AI50" s="5">
        <f t="shared" ref="AI50:BB50" si="51">IF(COUNTIF(K$3:K50,"&gt;0")&gt;0,1,0)</f>
        <v>1</v>
      </c>
      <c r="AJ50" s="5">
        <f t="shared" si="51"/>
        <v>0</v>
      </c>
      <c r="AK50" s="5">
        <f t="shared" si="51"/>
        <v>1</v>
      </c>
      <c r="AL50" s="5">
        <f t="shared" si="51"/>
        <v>1</v>
      </c>
      <c r="AM50" s="5">
        <f t="shared" si="51"/>
        <v>0</v>
      </c>
      <c r="AN50" s="5">
        <f t="shared" si="51"/>
        <v>0</v>
      </c>
      <c r="AO50" s="5">
        <f t="shared" si="51"/>
        <v>0</v>
      </c>
      <c r="AP50" s="5">
        <f t="shared" si="51"/>
        <v>0</v>
      </c>
      <c r="AQ50" s="5">
        <f t="shared" si="51"/>
        <v>0</v>
      </c>
      <c r="AR50" s="5">
        <f t="shared" si="51"/>
        <v>0</v>
      </c>
      <c r="AS50" s="5">
        <f t="shared" si="51"/>
        <v>0</v>
      </c>
      <c r="AT50" s="5">
        <f t="shared" si="51"/>
        <v>0</v>
      </c>
      <c r="AU50" s="5">
        <f t="shared" si="51"/>
        <v>0</v>
      </c>
      <c r="AV50" s="5">
        <f t="shared" si="51"/>
        <v>0</v>
      </c>
      <c r="AW50" s="5">
        <f t="shared" si="51"/>
        <v>0</v>
      </c>
      <c r="AX50" s="5">
        <f t="shared" si="51"/>
        <v>1</v>
      </c>
      <c r="AY50" s="5">
        <f t="shared" si="51"/>
        <v>0</v>
      </c>
      <c r="AZ50" s="5">
        <f t="shared" si="51"/>
        <v>0</v>
      </c>
      <c r="BA50" s="5">
        <f t="shared" si="51"/>
        <v>0</v>
      </c>
      <c r="BB50" s="5">
        <f t="shared" si="51"/>
        <v>0</v>
      </c>
    </row>
    <row r="51">
      <c r="A51" s="5">
        <v>280.0</v>
      </c>
      <c r="B51" s="4" t="s">
        <v>173</v>
      </c>
      <c r="C51" s="5">
        <v>9.00300017E8</v>
      </c>
      <c r="D51" s="4" t="s">
        <v>174</v>
      </c>
      <c r="E51" s="4" t="s">
        <v>175</v>
      </c>
      <c r="F51" s="5">
        <v>156.0</v>
      </c>
      <c r="G51" s="5">
        <v>33.0</v>
      </c>
      <c r="H51" s="5">
        <v>65.0</v>
      </c>
      <c r="I51" s="5">
        <v>3.0</v>
      </c>
      <c r="J51" s="5">
        <v>6.0</v>
      </c>
      <c r="K51" s="5">
        <v>155.0</v>
      </c>
      <c r="L51" s="5">
        <v>0.0</v>
      </c>
      <c r="M51" s="5">
        <v>1.0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5">
        <v>0.0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5.0</v>
      </c>
      <c r="AA51" s="5">
        <v>0.0</v>
      </c>
      <c r="AB51" s="5">
        <v>0.0</v>
      </c>
      <c r="AC51" s="5">
        <v>0.0</v>
      </c>
      <c r="AD51" s="5">
        <v>0.0</v>
      </c>
      <c r="AE51" s="5">
        <v>4.0</v>
      </c>
      <c r="AF51" s="7">
        <f t="shared" si="2"/>
        <v>0.2</v>
      </c>
      <c r="AG51" s="4" t="str">
        <f t="shared" si="3"/>
        <v>facturas,nota_credito,wildcards,</v>
      </c>
      <c r="AH51" s="5">
        <f t="shared" si="4"/>
        <v>4</v>
      </c>
      <c r="AI51" s="5">
        <f t="shared" ref="AI51:BB51" si="52">IF(COUNTIF(K$3:K51,"&gt;0")&gt;0,1,0)</f>
        <v>1</v>
      </c>
      <c r="AJ51" s="5">
        <f t="shared" si="52"/>
        <v>0</v>
      </c>
      <c r="AK51" s="5">
        <f t="shared" si="52"/>
        <v>1</v>
      </c>
      <c r="AL51" s="5">
        <f t="shared" si="52"/>
        <v>1</v>
      </c>
      <c r="AM51" s="5">
        <f t="shared" si="52"/>
        <v>0</v>
      </c>
      <c r="AN51" s="5">
        <f t="shared" si="52"/>
        <v>0</v>
      </c>
      <c r="AO51" s="5">
        <f t="shared" si="52"/>
        <v>0</v>
      </c>
      <c r="AP51" s="5">
        <f t="shared" si="52"/>
        <v>0</v>
      </c>
      <c r="AQ51" s="5">
        <f t="shared" si="52"/>
        <v>0</v>
      </c>
      <c r="AR51" s="5">
        <f t="shared" si="52"/>
        <v>0</v>
      </c>
      <c r="AS51" s="5">
        <f t="shared" si="52"/>
        <v>0</v>
      </c>
      <c r="AT51" s="5">
        <f t="shared" si="52"/>
        <v>0</v>
      </c>
      <c r="AU51" s="5">
        <f t="shared" si="52"/>
        <v>0</v>
      </c>
      <c r="AV51" s="5">
        <f t="shared" si="52"/>
        <v>0</v>
      </c>
      <c r="AW51" s="5">
        <f t="shared" si="52"/>
        <v>0</v>
      </c>
      <c r="AX51" s="5">
        <f t="shared" si="52"/>
        <v>1</v>
      </c>
      <c r="AY51" s="5">
        <f t="shared" si="52"/>
        <v>0</v>
      </c>
      <c r="AZ51" s="5">
        <f t="shared" si="52"/>
        <v>0</v>
      </c>
      <c r="BA51" s="5">
        <f t="shared" si="52"/>
        <v>0</v>
      </c>
      <c r="BB51" s="5">
        <f t="shared" si="52"/>
        <v>0</v>
      </c>
    </row>
    <row r="52">
      <c r="A52" s="5">
        <v>606.0</v>
      </c>
      <c r="B52" s="4" t="s">
        <v>176</v>
      </c>
      <c r="C52" s="5">
        <v>9.01281934E8</v>
      </c>
      <c r="D52" s="4" t="s">
        <v>177</v>
      </c>
      <c r="E52" s="4" t="s">
        <v>178</v>
      </c>
      <c r="F52" s="5">
        <v>2.0</v>
      </c>
      <c r="G52" s="5">
        <v>0.0</v>
      </c>
      <c r="H52" s="5">
        <v>2.0</v>
      </c>
      <c r="I52" s="5">
        <v>2.0</v>
      </c>
      <c r="J52" s="5">
        <v>0.0</v>
      </c>
      <c r="K52" s="5">
        <v>1.0</v>
      </c>
      <c r="L52" s="5">
        <v>0.0</v>
      </c>
      <c r="M52" s="5">
        <v>1.0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  <c r="S52" s="5">
        <v>0.0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2.0</v>
      </c>
      <c r="AA52" s="5">
        <v>0.0</v>
      </c>
      <c r="AB52" s="5">
        <v>0.0</v>
      </c>
      <c r="AC52" s="5">
        <v>0.0</v>
      </c>
      <c r="AD52" s="5">
        <v>0.0</v>
      </c>
      <c r="AE52" s="5">
        <v>4.0</v>
      </c>
      <c r="AF52" s="7">
        <f t="shared" si="2"/>
        <v>0.2</v>
      </c>
      <c r="AG52" s="4" t="str">
        <f t="shared" si="3"/>
        <v>facturas,nota_credito,wildcards,</v>
      </c>
      <c r="AH52" s="5">
        <f t="shared" si="4"/>
        <v>4</v>
      </c>
      <c r="AI52" s="5">
        <f t="shared" ref="AI52:BB52" si="53">IF(COUNTIF(K$3:K52,"&gt;0")&gt;0,1,0)</f>
        <v>1</v>
      </c>
      <c r="AJ52" s="5">
        <f t="shared" si="53"/>
        <v>0</v>
      </c>
      <c r="AK52" s="5">
        <f t="shared" si="53"/>
        <v>1</v>
      </c>
      <c r="AL52" s="5">
        <f t="shared" si="53"/>
        <v>1</v>
      </c>
      <c r="AM52" s="5">
        <f t="shared" si="53"/>
        <v>0</v>
      </c>
      <c r="AN52" s="5">
        <f t="shared" si="53"/>
        <v>0</v>
      </c>
      <c r="AO52" s="5">
        <f t="shared" si="53"/>
        <v>0</v>
      </c>
      <c r="AP52" s="5">
        <f t="shared" si="53"/>
        <v>0</v>
      </c>
      <c r="AQ52" s="5">
        <f t="shared" si="53"/>
        <v>0</v>
      </c>
      <c r="AR52" s="5">
        <f t="shared" si="53"/>
        <v>0</v>
      </c>
      <c r="AS52" s="5">
        <f t="shared" si="53"/>
        <v>0</v>
      </c>
      <c r="AT52" s="5">
        <f t="shared" si="53"/>
        <v>0</v>
      </c>
      <c r="AU52" s="5">
        <f t="shared" si="53"/>
        <v>0</v>
      </c>
      <c r="AV52" s="5">
        <f t="shared" si="53"/>
        <v>0</v>
      </c>
      <c r="AW52" s="5">
        <f t="shared" si="53"/>
        <v>0</v>
      </c>
      <c r="AX52" s="5">
        <f t="shared" si="53"/>
        <v>1</v>
      </c>
      <c r="AY52" s="5">
        <f t="shared" si="53"/>
        <v>0</v>
      </c>
      <c r="AZ52" s="5">
        <f t="shared" si="53"/>
        <v>0</v>
      </c>
      <c r="BA52" s="5">
        <f t="shared" si="53"/>
        <v>0</v>
      </c>
      <c r="BB52" s="5">
        <f t="shared" si="53"/>
        <v>0</v>
      </c>
    </row>
    <row r="53">
      <c r="A53" s="5">
        <v>570.0</v>
      </c>
      <c r="B53" s="4" t="s">
        <v>179</v>
      </c>
      <c r="C53" s="5">
        <v>9.00629527E8</v>
      </c>
      <c r="D53" s="4" t="s">
        <v>180</v>
      </c>
      <c r="E53" s="4" t="s">
        <v>181</v>
      </c>
      <c r="F53" s="5">
        <v>16.0</v>
      </c>
      <c r="G53" s="5">
        <v>8.0</v>
      </c>
      <c r="H53" s="5">
        <v>8.0</v>
      </c>
      <c r="I53" s="5">
        <v>0.0</v>
      </c>
      <c r="J53" s="5">
        <v>2.0</v>
      </c>
      <c r="K53" s="5">
        <v>10.0</v>
      </c>
      <c r="L53" s="5">
        <v>0.0</v>
      </c>
      <c r="M53" s="5">
        <v>6.0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5">
        <v>0.0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5.0</v>
      </c>
      <c r="AA53" s="5">
        <v>0.0</v>
      </c>
      <c r="AB53" s="5">
        <v>0.0</v>
      </c>
      <c r="AC53" s="5">
        <v>0.0</v>
      </c>
      <c r="AD53" s="5">
        <v>0.0</v>
      </c>
      <c r="AE53" s="5">
        <v>4.0</v>
      </c>
      <c r="AF53" s="7">
        <f t="shared" si="2"/>
        <v>0.2</v>
      </c>
      <c r="AG53" s="4" t="str">
        <f t="shared" si="3"/>
        <v>facturas,nota_credito,wildcards,</v>
      </c>
      <c r="AH53" s="5">
        <f t="shared" si="4"/>
        <v>4</v>
      </c>
      <c r="AI53" s="5">
        <f t="shared" ref="AI53:BB53" si="54">IF(COUNTIF(K$3:K53,"&gt;0")&gt;0,1,0)</f>
        <v>1</v>
      </c>
      <c r="AJ53" s="5">
        <f t="shared" si="54"/>
        <v>0</v>
      </c>
      <c r="AK53" s="5">
        <f t="shared" si="54"/>
        <v>1</v>
      </c>
      <c r="AL53" s="5">
        <f t="shared" si="54"/>
        <v>1</v>
      </c>
      <c r="AM53" s="5">
        <f t="shared" si="54"/>
        <v>0</v>
      </c>
      <c r="AN53" s="5">
        <f t="shared" si="54"/>
        <v>0</v>
      </c>
      <c r="AO53" s="5">
        <f t="shared" si="54"/>
        <v>0</v>
      </c>
      <c r="AP53" s="5">
        <f t="shared" si="54"/>
        <v>0</v>
      </c>
      <c r="AQ53" s="5">
        <f t="shared" si="54"/>
        <v>0</v>
      </c>
      <c r="AR53" s="5">
        <f t="shared" si="54"/>
        <v>0</v>
      </c>
      <c r="AS53" s="5">
        <f t="shared" si="54"/>
        <v>0</v>
      </c>
      <c r="AT53" s="5">
        <f t="shared" si="54"/>
        <v>0</v>
      </c>
      <c r="AU53" s="5">
        <f t="shared" si="54"/>
        <v>0</v>
      </c>
      <c r="AV53" s="5">
        <f t="shared" si="54"/>
        <v>0</v>
      </c>
      <c r="AW53" s="5">
        <f t="shared" si="54"/>
        <v>0</v>
      </c>
      <c r="AX53" s="5">
        <f t="shared" si="54"/>
        <v>1</v>
      </c>
      <c r="AY53" s="5">
        <f t="shared" si="54"/>
        <v>0</v>
      </c>
      <c r="AZ53" s="5">
        <f t="shared" si="54"/>
        <v>0</v>
      </c>
      <c r="BA53" s="5">
        <f t="shared" si="54"/>
        <v>0</v>
      </c>
      <c r="BB53" s="5">
        <f t="shared" si="54"/>
        <v>0</v>
      </c>
    </row>
    <row r="54">
      <c r="A54" s="5">
        <v>123.0</v>
      </c>
      <c r="B54" s="4" t="s">
        <v>182</v>
      </c>
      <c r="C54" s="5">
        <v>8.9020505E8</v>
      </c>
      <c r="D54" s="4" t="s">
        <v>183</v>
      </c>
      <c r="E54" s="4" t="s">
        <v>184</v>
      </c>
      <c r="F54" s="5">
        <v>139.0</v>
      </c>
      <c r="G54" s="5">
        <v>27.0</v>
      </c>
      <c r="H54" s="5">
        <v>17.0</v>
      </c>
      <c r="I54" s="5">
        <v>1.0</v>
      </c>
      <c r="J54" s="5">
        <v>2.0</v>
      </c>
      <c r="K54" s="5">
        <v>125.0</v>
      </c>
      <c r="L54" s="5">
        <v>0.0</v>
      </c>
      <c r="M54" s="5">
        <v>14.0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  <c r="S54" s="5">
        <v>0.0</v>
      </c>
      <c r="T54" s="5">
        <v>0.0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184.0</v>
      </c>
      <c r="AA54" s="5">
        <v>0.0</v>
      </c>
      <c r="AB54" s="5">
        <v>0.0</v>
      </c>
      <c r="AC54" s="5">
        <v>0.0</v>
      </c>
      <c r="AD54" s="5">
        <v>0.0</v>
      </c>
      <c r="AE54" s="5">
        <v>4.0</v>
      </c>
      <c r="AF54" s="7">
        <f t="shared" si="2"/>
        <v>0.2</v>
      </c>
      <c r="AG54" s="4" t="str">
        <f t="shared" si="3"/>
        <v>facturas,nota_credito,wildcards,</v>
      </c>
      <c r="AH54" s="5">
        <f t="shared" si="4"/>
        <v>4</v>
      </c>
      <c r="AI54" s="5">
        <f t="shared" ref="AI54:BB54" si="55">IF(COUNTIF(K$3:K54,"&gt;0")&gt;0,1,0)</f>
        <v>1</v>
      </c>
      <c r="AJ54" s="5">
        <f t="shared" si="55"/>
        <v>0</v>
      </c>
      <c r="AK54" s="5">
        <f t="shared" si="55"/>
        <v>1</v>
      </c>
      <c r="AL54" s="5">
        <f t="shared" si="55"/>
        <v>1</v>
      </c>
      <c r="AM54" s="5">
        <f t="shared" si="55"/>
        <v>0</v>
      </c>
      <c r="AN54" s="5">
        <f t="shared" si="55"/>
        <v>0</v>
      </c>
      <c r="AO54" s="5">
        <f t="shared" si="55"/>
        <v>0</v>
      </c>
      <c r="AP54" s="5">
        <f t="shared" si="55"/>
        <v>0</v>
      </c>
      <c r="AQ54" s="5">
        <f t="shared" si="55"/>
        <v>0</v>
      </c>
      <c r="AR54" s="5">
        <f t="shared" si="55"/>
        <v>0</v>
      </c>
      <c r="AS54" s="5">
        <f t="shared" si="55"/>
        <v>0</v>
      </c>
      <c r="AT54" s="5">
        <f t="shared" si="55"/>
        <v>0</v>
      </c>
      <c r="AU54" s="5">
        <f t="shared" si="55"/>
        <v>0</v>
      </c>
      <c r="AV54" s="5">
        <f t="shared" si="55"/>
        <v>0</v>
      </c>
      <c r="AW54" s="5">
        <f t="shared" si="55"/>
        <v>0</v>
      </c>
      <c r="AX54" s="5">
        <f t="shared" si="55"/>
        <v>1</v>
      </c>
      <c r="AY54" s="5">
        <f t="shared" si="55"/>
        <v>0</v>
      </c>
      <c r="AZ54" s="5">
        <f t="shared" si="55"/>
        <v>0</v>
      </c>
      <c r="BA54" s="5">
        <f t="shared" si="55"/>
        <v>0</v>
      </c>
      <c r="BB54" s="5">
        <f t="shared" si="55"/>
        <v>0</v>
      </c>
    </row>
    <row r="55">
      <c r="A55" s="5">
        <v>21.0</v>
      </c>
      <c r="B55" s="4" t="s">
        <v>185</v>
      </c>
      <c r="C55" s="5">
        <v>9.00545564E8</v>
      </c>
      <c r="D55" s="4" t="s">
        <v>186</v>
      </c>
      <c r="E55" s="4" t="s">
        <v>187</v>
      </c>
      <c r="F55" s="5">
        <v>605.0</v>
      </c>
      <c r="G55" s="5">
        <v>23.0</v>
      </c>
      <c r="H55" s="5">
        <v>127.0</v>
      </c>
      <c r="I55" s="5">
        <v>8.0</v>
      </c>
      <c r="J55" s="5">
        <v>9.0</v>
      </c>
      <c r="K55" s="5">
        <v>574.0</v>
      </c>
      <c r="L55" s="5">
        <v>0.0</v>
      </c>
      <c r="M55" s="5">
        <v>31.0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  <c r="S55" s="5">
        <v>0.0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3.0</v>
      </c>
      <c r="AA55" s="5">
        <v>0.0</v>
      </c>
      <c r="AB55" s="5">
        <v>0.0</v>
      </c>
      <c r="AC55" s="5">
        <v>0.0</v>
      </c>
      <c r="AD55" s="5">
        <v>0.0</v>
      </c>
      <c r="AE55" s="5">
        <v>4.0</v>
      </c>
      <c r="AF55" s="7">
        <f t="shared" si="2"/>
        <v>0.2</v>
      </c>
      <c r="AG55" s="4" t="str">
        <f t="shared" si="3"/>
        <v>facturas,nota_credito,wildcards,</v>
      </c>
      <c r="AH55" s="5">
        <f t="shared" si="4"/>
        <v>4</v>
      </c>
      <c r="AI55" s="5">
        <f t="shared" ref="AI55:BB55" si="56">IF(COUNTIF(K$3:K55,"&gt;0")&gt;0,1,0)</f>
        <v>1</v>
      </c>
      <c r="AJ55" s="5">
        <f t="shared" si="56"/>
        <v>0</v>
      </c>
      <c r="AK55" s="5">
        <f t="shared" si="56"/>
        <v>1</v>
      </c>
      <c r="AL55" s="5">
        <f t="shared" si="56"/>
        <v>1</v>
      </c>
      <c r="AM55" s="5">
        <f t="shared" si="56"/>
        <v>0</v>
      </c>
      <c r="AN55" s="5">
        <f t="shared" si="56"/>
        <v>0</v>
      </c>
      <c r="AO55" s="5">
        <f t="shared" si="56"/>
        <v>0</v>
      </c>
      <c r="AP55" s="5">
        <f t="shared" si="56"/>
        <v>0</v>
      </c>
      <c r="AQ55" s="5">
        <f t="shared" si="56"/>
        <v>0</v>
      </c>
      <c r="AR55" s="5">
        <f t="shared" si="56"/>
        <v>0</v>
      </c>
      <c r="AS55" s="5">
        <f t="shared" si="56"/>
        <v>0</v>
      </c>
      <c r="AT55" s="5">
        <f t="shared" si="56"/>
        <v>0</v>
      </c>
      <c r="AU55" s="5">
        <f t="shared" si="56"/>
        <v>0</v>
      </c>
      <c r="AV55" s="5">
        <f t="shared" si="56"/>
        <v>0</v>
      </c>
      <c r="AW55" s="5">
        <f t="shared" si="56"/>
        <v>0</v>
      </c>
      <c r="AX55" s="5">
        <f t="shared" si="56"/>
        <v>1</v>
      </c>
      <c r="AY55" s="5">
        <f t="shared" si="56"/>
        <v>0</v>
      </c>
      <c r="AZ55" s="5">
        <f t="shared" si="56"/>
        <v>0</v>
      </c>
      <c r="BA55" s="5">
        <f t="shared" si="56"/>
        <v>0</v>
      </c>
      <c r="BB55" s="5">
        <f t="shared" si="56"/>
        <v>0</v>
      </c>
    </row>
    <row r="56">
      <c r="A56" s="5">
        <v>550.0</v>
      </c>
      <c r="B56" s="4" t="s">
        <v>188</v>
      </c>
      <c r="C56" s="5">
        <v>9.01131317E8</v>
      </c>
      <c r="D56" s="4" t="s">
        <v>189</v>
      </c>
      <c r="E56" s="4" t="s">
        <v>190</v>
      </c>
      <c r="F56" s="5">
        <v>13939.0</v>
      </c>
      <c r="G56" s="5">
        <v>4955.0</v>
      </c>
      <c r="H56" s="5">
        <v>8984.0</v>
      </c>
      <c r="I56" s="5">
        <v>446.0</v>
      </c>
      <c r="J56" s="5">
        <v>1017.0</v>
      </c>
      <c r="K56" s="5">
        <v>2.0</v>
      </c>
      <c r="L56" s="5">
        <v>0.0</v>
      </c>
      <c r="M56" s="5">
        <v>13937.0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5.0</v>
      </c>
      <c r="AA56" s="5">
        <v>0.0</v>
      </c>
      <c r="AB56" s="5">
        <v>0.0</v>
      </c>
      <c r="AC56" s="5">
        <v>0.0</v>
      </c>
      <c r="AD56" s="5">
        <v>0.0</v>
      </c>
      <c r="AE56" s="5">
        <v>4.0</v>
      </c>
      <c r="AF56" s="7">
        <f t="shared" si="2"/>
        <v>0.2</v>
      </c>
      <c r="AG56" s="4" t="str">
        <f t="shared" si="3"/>
        <v>facturas,nota_credito,wildcards,</v>
      </c>
      <c r="AH56" s="5">
        <f t="shared" si="4"/>
        <v>4</v>
      </c>
      <c r="AI56" s="5">
        <f t="shared" ref="AI56:BB56" si="57">IF(COUNTIF(K$3:K56,"&gt;0")&gt;0,1,0)</f>
        <v>1</v>
      </c>
      <c r="AJ56" s="5">
        <f t="shared" si="57"/>
        <v>0</v>
      </c>
      <c r="AK56" s="5">
        <f t="shared" si="57"/>
        <v>1</v>
      </c>
      <c r="AL56" s="5">
        <f t="shared" si="57"/>
        <v>1</v>
      </c>
      <c r="AM56" s="5">
        <f t="shared" si="57"/>
        <v>0</v>
      </c>
      <c r="AN56" s="5">
        <f t="shared" si="57"/>
        <v>0</v>
      </c>
      <c r="AO56" s="5">
        <f t="shared" si="57"/>
        <v>0</v>
      </c>
      <c r="AP56" s="5">
        <f t="shared" si="57"/>
        <v>0</v>
      </c>
      <c r="AQ56" s="5">
        <f t="shared" si="57"/>
        <v>0</v>
      </c>
      <c r="AR56" s="5">
        <f t="shared" si="57"/>
        <v>0</v>
      </c>
      <c r="AS56" s="5">
        <f t="shared" si="57"/>
        <v>0</v>
      </c>
      <c r="AT56" s="5">
        <f t="shared" si="57"/>
        <v>0</v>
      </c>
      <c r="AU56" s="5">
        <f t="shared" si="57"/>
        <v>0</v>
      </c>
      <c r="AV56" s="5">
        <f t="shared" si="57"/>
        <v>0</v>
      </c>
      <c r="AW56" s="5">
        <f t="shared" si="57"/>
        <v>0</v>
      </c>
      <c r="AX56" s="5">
        <f t="shared" si="57"/>
        <v>1</v>
      </c>
      <c r="AY56" s="5">
        <f t="shared" si="57"/>
        <v>0</v>
      </c>
      <c r="AZ56" s="5">
        <f t="shared" si="57"/>
        <v>0</v>
      </c>
      <c r="BA56" s="5">
        <f t="shared" si="57"/>
        <v>0</v>
      </c>
      <c r="BB56" s="5">
        <f t="shared" si="57"/>
        <v>0</v>
      </c>
    </row>
    <row r="57">
      <c r="A57" s="5">
        <v>281.0</v>
      </c>
      <c r="B57" s="4" t="s">
        <v>191</v>
      </c>
      <c r="C57" s="5">
        <v>3.1907454E7</v>
      </c>
      <c r="D57" s="4" t="s">
        <v>192</v>
      </c>
      <c r="E57" s="4" t="s">
        <v>193</v>
      </c>
      <c r="F57" s="5">
        <v>1083.0</v>
      </c>
      <c r="G57" s="5">
        <v>207.0</v>
      </c>
      <c r="H57" s="5">
        <v>170.0</v>
      </c>
      <c r="I57" s="5">
        <v>9.0</v>
      </c>
      <c r="J57" s="5">
        <v>14.0</v>
      </c>
      <c r="K57" s="5">
        <v>1075.0</v>
      </c>
      <c r="L57" s="5">
        <v>1.0</v>
      </c>
      <c r="M57" s="5">
        <v>7.0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5">
        <v>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0.0</v>
      </c>
      <c r="AB57" s="5">
        <v>0.0</v>
      </c>
      <c r="AC57" s="5">
        <v>0.0</v>
      </c>
      <c r="AD57" s="5">
        <v>0.0</v>
      </c>
      <c r="AE57" s="5">
        <v>4.0</v>
      </c>
      <c r="AF57" s="7">
        <f t="shared" si="2"/>
        <v>0.25</v>
      </c>
      <c r="AG57" s="4" t="str">
        <f t="shared" si="3"/>
        <v>facturas,nota_debito,nota_credito,</v>
      </c>
      <c r="AH57" s="5">
        <f t="shared" si="4"/>
        <v>5</v>
      </c>
      <c r="AI57" s="5">
        <f t="shared" ref="AI57:BB57" si="58">IF(COUNTIF(K$3:K57,"&gt;0")&gt;0,1,0)</f>
        <v>1</v>
      </c>
      <c r="AJ57" s="5">
        <f t="shared" si="58"/>
        <v>1</v>
      </c>
      <c r="AK57" s="5">
        <f t="shared" si="58"/>
        <v>1</v>
      </c>
      <c r="AL57" s="5">
        <f t="shared" si="58"/>
        <v>1</v>
      </c>
      <c r="AM57" s="5">
        <f t="shared" si="58"/>
        <v>0</v>
      </c>
      <c r="AN57" s="5">
        <f t="shared" si="58"/>
        <v>0</v>
      </c>
      <c r="AO57" s="5">
        <f t="shared" si="58"/>
        <v>0</v>
      </c>
      <c r="AP57" s="5">
        <f t="shared" si="58"/>
        <v>0</v>
      </c>
      <c r="AQ57" s="5">
        <f t="shared" si="58"/>
        <v>0</v>
      </c>
      <c r="AR57" s="5">
        <f t="shared" si="58"/>
        <v>0</v>
      </c>
      <c r="AS57" s="5">
        <f t="shared" si="58"/>
        <v>0</v>
      </c>
      <c r="AT57" s="5">
        <f t="shared" si="58"/>
        <v>0</v>
      </c>
      <c r="AU57" s="5">
        <f t="shared" si="58"/>
        <v>0</v>
      </c>
      <c r="AV57" s="5">
        <f t="shared" si="58"/>
        <v>0</v>
      </c>
      <c r="AW57" s="5">
        <f t="shared" si="58"/>
        <v>0</v>
      </c>
      <c r="AX57" s="5">
        <f t="shared" si="58"/>
        <v>1</v>
      </c>
      <c r="AY57" s="5">
        <f t="shared" si="58"/>
        <v>0</v>
      </c>
      <c r="AZ57" s="5">
        <f t="shared" si="58"/>
        <v>0</v>
      </c>
      <c r="BA57" s="5">
        <f t="shared" si="58"/>
        <v>0</v>
      </c>
      <c r="BB57" s="5">
        <f t="shared" si="58"/>
        <v>0</v>
      </c>
    </row>
    <row r="58">
      <c r="A58" s="5">
        <v>491.0</v>
      </c>
      <c r="B58" s="4" t="s">
        <v>194</v>
      </c>
      <c r="C58" s="5">
        <v>5.18493E7</v>
      </c>
      <c r="D58" s="4" t="s">
        <v>195</v>
      </c>
      <c r="E58" s="4" t="s">
        <v>196</v>
      </c>
      <c r="F58" s="5">
        <v>103.0</v>
      </c>
      <c r="G58" s="5">
        <v>63.0</v>
      </c>
      <c r="H58" s="5">
        <v>29.0</v>
      </c>
      <c r="I58" s="5">
        <v>2.0</v>
      </c>
      <c r="J58" s="5">
        <v>5.0</v>
      </c>
      <c r="K58" s="5">
        <v>91.0</v>
      </c>
      <c r="L58" s="5">
        <v>1.0</v>
      </c>
      <c r="M58" s="5">
        <v>11.0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  <c r="S58" s="5">
        <v>0.0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0.0</v>
      </c>
      <c r="AA58" s="5">
        <v>0.0</v>
      </c>
      <c r="AB58" s="5">
        <v>0.0</v>
      </c>
      <c r="AC58" s="5">
        <v>0.0</v>
      </c>
      <c r="AD58" s="5">
        <v>0.0</v>
      </c>
      <c r="AE58" s="5">
        <v>4.0</v>
      </c>
      <c r="AF58" s="7">
        <f t="shared" si="2"/>
        <v>0.25</v>
      </c>
      <c r="AG58" s="4" t="str">
        <f t="shared" si="3"/>
        <v>facturas,nota_debito,nota_credito,</v>
      </c>
      <c r="AH58" s="5">
        <f t="shared" si="4"/>
        <v>5</v>
      </c>
      <c r="AI58" s="5">
        <f t="shared" ref="AI58:BB58" si="59">IF(COUNTIF(K$3:K58,"&gt;0")&gt;0,1,0)</f>
        <v>1</v>
      </c>
      <c r="AJ58" s="5">
        <f t="shared" si="59"/>
        <v>1</v>
      </c>
      <c r="AK58" s="5">
        <f t="shared" si="59"/>
        <v>1</v>
      </c>
      <c r="AL58" s="5">
        <f t="shared" si="59"/>
        <v>1</v>
      </c>
      <c r="AM58" s="5">
        <f t="shared" si="59"/>
        <v>0</v>
      </c>
      <c r="AN58" s="5">
        <f t="shared" si="59"/>
        <v>0</v>
      </c>
      <c r="AO58" s="5">
        <f t="shared" si="59"/>
        <v>0</v>
      </c>
      <c r="AP58" s="5">
        <f t="shared" si="59"/>
        <v>0</v>
      </c>
      <c r="AQ58" s="5">
        <f t="shared" si="59"/>
        <v>0</v>
      </c>
      <c r="AR58" s="5">
        <f t="shared" si="59"/>
        <v>0</v>
      </c>
      <c r="AS58" s="5">
        <f t="shared" si="59"/>
        <v>0</v>
      </c>
      <c r="AT58" s="5">
        <f t="shared" si="59"/>
        <v>0</v>
      </c>
      <c r="AU58" s="5">
        <f t="shared" si="59"/>
        <v>0</v>
      </c>
      <c r="AV58" s="5">
        <f t="shared" si="59"/>
        <v>0</v>
      </c>
      <c r="AW58" s="5">
        <f t="shared" si="59"/>
        <v>0</v>
      </c>
      <c r="AX58" s="5">
        <f t="shared" si="59"/>
        <v>1</v>
      </c>
      <c r="AY58" s="5">
        <f t="shared" si="59"/>
        <v>0</v>
      </c>
      <c r="AZ58" s="5">
        <f t="shared" si="59"/>
        <v>0</v>
      </c>
      <c r="BA58" s="5">
        <f t="shared" si="59"/>
        <v>0</v>
      </c>
      <c r="BB58" s="5">
        <f t="shared" si="59"/>
        <v>0</v>
      </c>
    </row>
    <row r="59">
      <c r="A59" s="5">
        <v>83.0</v>
      </c>
      <c r="B59" s="4" t="s">
        <v>197</v>
      </c>
      <c r="C59" s="5">
        <v>6.5630879E7</v>
      </c>
      <c r="D59" s="4" t="s">
        <v>198</v>
      </c>
      <c r="E59" s="4" t="s">
        <v>199</v>
      </c>
      <c r="F59" s="5">
        <v>869.0</v>
      </c>
      <c r="G59" s="5">
        <v>147.0</v>
      </c>
      <c r="H59" s="5">
        <v>189.0</v>
      </c>
      <c r="I59" s="5">
        <v>9.0</v>
      </c>
      <c r="J59" s="5">
        <v>16.0</v>
      </c>
      <c r="K59" s="5">
        <v>829.0</v>
      </c>
      <c r="L59" s="5">
        <v>1.0</v>
      </c>
      <c r="M59" s="5">
        <v>39.0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  <c r="S59" s="5">
        <v>0.0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0.0</v>
      </c>
      <c r="AB59" s="5">
        <v>0.0</v>
      </c>
      <c r="AC59" s="5">
        <v>0.0</v>
      </c>
      <c r="AD59" s="5">
        <v>0.0</v>
      </c>
      <c r="AE59" s="5">
        <v>4.0</v>
      </c>
      <c r="AF59" s="7">
        <f t="shared" si="2"/>
        <v>0.25</v>
      </c>
      <c r="AG59" s="4" t="str">
        <f t="shared" si="3"/>
        <v>facturas,nota_debito,nota_credito,</v>
      </c>
      <c r="AH59" s="5">
        <f t="shared" si="4"/>
        <v>5</v>
      </c>
      <c r="AI59" s="5">
        <f t="shared" ref="AI59:BB59" si="60">IF(COUNTIF(K$3:K59,"&gt;0")&gt;0,1,0)</f>
        <v>1</v>
      </c>
      <c r="AJ59" s="5">
        <f t="shared" si="60"/>
        <v>1</v>
      </c>
      <c r="AK59" s="5">
        <f t="shared" si="60"/>
        <v>1</v>
      </c>
      <c r="AL59" s="5">
        <f t="shared" si="60"/>
        <v>1</v>
      </c>
      <c r="AM59" s="5">
        <f t="shared" si="60"/>
        <v>0</v>
      </c>
      <c r="AN59" s="5">
        <f t="shared" si="60"/>
        <v>0</v>
      </c>
      <c r="AO59" s="5">
        <f t="shared" si="60"/>
        <v>0</v>
      </c>
      <c r="AP59" s="5">
        <f t="shared" si="60"/>
        <v>0</v>
      </c>
      <c r="AQ59" s="5">
        <f t="shared" si="60"/>
        <v>0</v>
      </c>
      <c r="AR59" s="5">
        <f t="shared" si="60"/>
        <v>0</v>
      </c>
      <c r="AS59" s="5">
        <f t="shared" si="60"/>
        <v>0</v>
      </c>
      <c r="AT59" s="5">
        <f t="shared" si="60"/>
        <v>0</v>
      </c>
      <c r="AU59" s="5">
        <f t="shared" si="60"/>
        <v>0</v>
      </c>
      <c r="AV59" s="5">
        <f t="shared" si="60"/>
        <v>0</v>
      </c>
      <c r="AW59" s="5">
        <f t="shared" si="60"/>
        <v>0</v>
      </c>
      <c r="AX59" s="5">
        <f t="shared" si="60"/>
        <v>1</v>
      </c>
      <c r="AY59" s="5">
        <f t="shared" si="60"/>
        <v>0</v>
      </c>
      <c r="AZ59" s="5">
        <f t="shared" si="60"/>
        <v>0</v>
      </c>
      <c r="BA59" s="5">
        <f t="shared" si="60"/>
        <v>0</v>
      </c>
      <c r="BB59" s="5">
        <f t="shared" si="60"/>
        <v>0</v>
      </c>
    </row>
    <row r="60">
      <c r="A60" s="5">
        <v>74.0</v>
      </c>
      <c r="B60" s="4" t="s">
        <v>200</v>
      </c>
      <c r="C60" s="5">
        <v>7.9510075E7</v>
      </c>
      <c r="D60" s="4" t="s">
        <v>201</v>
      </c>
      <c r="E60" s="4" t="s">
        <v>202</v>
      </c>
      <c r="F60" s="5">
        <v>1012.0</v>
      </c>
      <c r="G60" s="5">
        <v>176.0</v>
      </c>
      <c r="H60" s="5">
        <v>170.0</v>
      </c>
      <c r="I60" s="5">
        <v>0.0</v>
      </c>
      <c r="J60" s="5">
        <v>16.0</v>
      </c>
      <c r="K60" s="5">
        <v>962.0</v>
      </c>
      <c r="L60" s="5">
        <v>1.0</v>
      </c>
      <c r="M60" s="5">
        <v>49.0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  <c r="AB60" s="5">
        <v>0.0</v>
      </c>
      <c r="AC60" s="5">
        <v>0.0</v>
      </c>
      <c r="AD60" s="5">
        <v>0.0</v>
      </c>
      <c r="AE60" s="5">
        <v>4.0</v>
      </c>
      <c r="AF60" s="7">
        <f t="shared" si="2"/>
        <v>0.25</v>
      </c>
      <c r="AG60" s="4" t="str">
        <f t="shared" si="3"/>
        <v>facturas,nota_debito,nota_credito,</v>
      </c>
      <c r="AH60" s="5">
        <f t="shared" si="4"/>
        <v>5</v>
      </c>
      <c r="AI60" s="5">
        <f t="shared" ref="AI60:BB60" si="61">IF(COUNTIF(K$3:K60,"&gt;0")&gt;0,1,0)</f>
        <v>1</v>
      </c>
      <c r="AJ60" s="5">
        <f t="shared" si="61"/>
        <v>1</v>
      </c>
      <c r="AK60" s="5">
        <f t="shared" si="61"/>
        <v>1</v>
      </c>
      <c r="AL60" s="5">
        <f t="shared" si="61"/>
        <v>1</v>
      </c>
      <c r="AM60" s="5">
        <f t="shared" si="61"/>
        <v>0</v>
      </c>
      <c r="AN60" s="5">
        <f t="shared" si="61"/>
        <v>0</v>
      </c>
      <c r="AO60" s="5">
        <f t="shared" si="61"/>
        <v>0</v>
      </c>
      <c r="AP60" s="5">
        <f t="shared" si="61"/>
        <v>0</v>
      </c>
      <c r="AQ60" s="5">
        <f t="shared" si="61"/>
        <v>0</v>
      </c>
      <c r="AR60" s="5">
        <f t="shared" si="61"/>
        <v>0</v>
      </c>
      <c r="AS60" s="5">
        <f t="shared" si="61"/>
        <v>0</v>
      </c>
      <c r="AT60" s="5">
        <f t="shared" si="61"/>
        <v>0</v>
      </c>
      <c r="AU60" s="5">
        <f t="shared" si="61"/>
        <v>0</v>
      </c>
      <c r="AV60" s="5">
        <f t="shared" si="61"/>
        <v>0</v>
      </c>
      <c r="AW60" s="5">
        <f t="shared" si="61"/>
        <v>0</v>
      </c>
      <c r="AX60" s="5">
        <f t="shared" si="61"/>
        <v>1</v>
      </c>
      <c r="AY60" s="5">
        <f t="shared" si="61"/>
        <v>0</v>
      </c>
      <c r="AZ60" s="5">
        <f t="shared" si="61"/>
        <v>0</v>
      </c>
      <c r="BA60" s="5">
        <f t="shared" si="61"/>
        <v>0</v>
      </c>
      <c r="BB60" s="5">
        <f t="shared" si="61"/>
        <v>0</v>
      </c>
    </row>
    <row r="61">
      <c r="A61" s="5">
        <v>323.0</v>
      </c>
      <c r="B61" s="4" t="s">
        <v>203</v>
      </c>
      <c r="C61" s="5">
        <v>9.00853825E8</v>
      </c>
      <c r="D61" s="4" t="s">
        <v>204</v>
      </c>
      <c r="E61" s="4" t="s">
        <v>205</v>
      </c>
      <c r="F61" s="5">
        <v>4227.0</v>
      </c>
      <c r="G61" s="5">
        <v>896.0</v>
      </c>
      <c r="H61" s="5">
        <v>925.0</v>
      </c>
      <c r="I61" s="5">
        <v>9.0</v>
      </c>
      <c r="J61" s="5">
        <v>35.0</v>
      </c>
      <c r="K61" s="5">
        <v>4107.0</v>
      </c>
      <c r="L61" s="5">
        <v>2.0</v>
      </c>
      <c r="M61" s="5">
        <v>118.0</v>
      </c>
      <c r="N61" s="5">
        <v>0.0</v>
      </c>
      <c r="O61" s="5">
        <v>0.0</v>
      </c>
      <c r="P61" s="5">
        <v>0.0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0.0</v>
      </c>
      <c r="AA61" s="5">
        <v>0.0</v>
      </c>
      <c r="AB61" s="5">
        <v>0.0</v>
      </c>
      <c r="AC61" s="5">
        <v>0.0</v>
      </c>
      <c r="AD61" s="5">
        <v>0.0</v>
      </c>
      <c r="AE61" s="5">
        <v>4.0</v>
      </c>
      <c r="AF61" s="7">
        <f t="shared" si="2"/>
        <v>0.25</v>
      </c>
      <c r="AG61" s="4" t="str">
        <f t="shared" si="3"/>
        <v>facturas,nota_debito,nota_credito,</v>
      </c>
      <c r="AH61" s="5">
        <f t="shared" si="4"/>
        <v>5</v>
      </c>
      <c r="AI61" s="5">
        <f t="shared" ref="AI61:BB61" si="62">IF(COUNTIF(K$3:K61,"&gt;0")&gt;0,1,0)</f>
        <v>1</v>
      </c>
      <c r="AJ61" s="5">
        <f t="shared" si="62"/>
        <v>1</v>
      </c>
      <c r="AK61" s="5">
        <f t="shared" si="62"/>
        <v>1</v>
      </c>
      <c r="AL61" s="5">
        <f t="shared" si="62"/>
        <v>1</v>
      </c>
      <c r="AM61" s="5">
        <f t="shared" si="62"/>
        <v>0</v>
      </c>
      <c r="AN61" s="5">
        <f t="shared" si="62"/>
        <v>0</v>
      </c>
      <c r="AO61" s="5">
        <f t="shared" si="62"/>
        <v>0</v>
      </c>
      <c r="AP61" s="5">
        <f t="shared" si="62"/>
        <v>0</v>
      </c>
      <c r="AQ61" s="5">
        <f t="shared" si="62"/>
        <v>0</v>
      </c>
      <c r="AR61" s="5">
        <f t="shared" si="62"/>
        <v>0</v>
      </c>
      <c r="AS61" s="5">
        <f t="shared" si="62"/>
        <v>0</v>
      </c>
      <c r="AT61" s="5">
        <f t="shared" si="62"/>
        <v>0</v>
      </c>
      <c r="AU61" s="5">
        <f t="shared" si="62"/>
        <v>0</v>
      </c>
      <c r="AV61" s="5">
        <f t="shared" si="62"/>
        <v>0</v>
      </c>
      <c r="AW61" s="5">
        <f t="shared" si="62"/>
        <v>0</v>
      </c>
      <c r="AX61" s="5">
        <f t="shared" si="62"/>
        <v>1</v>
      </c>
      <c r="AY61" s="5">
        <f t="shared" si="62"/>
        <v>0</v>
      </c>
      <c r="AZ61" s="5">
        <f t="shared" si="62"/>
        <v>0</v>
      </c>
      <c r="BA61" s="5">
        <f t="shared" si="62"/>
        <v>0</v>
      </c>
      <c r="BB61" s="5">
        <f t="shared" si="62"/>
        <v>0</v>
      </c>
    </row>
    <row r="62">
      <c r="A62" s="5">
        <v>542.0</v>
      </c>
      <c r="B62" s="4" t="s">
        <v>206</v>
      </c>
      <c r="C62" s="5">
        <v>9.00644625E8</v>
      </c>
      <c r="D62" s="4" t="s">
        <v>207</v>
      </c>
      <c r="E62" s="4" t="s">
        <v>208</v>
      </c>
      <c r="F62" s="5">
        <v>2010.0</v>
      </c>
      <c r="G62" s="5">
        <v>867.0</v>
      </c>
      <c r="H62" s="5">
        <v>1143.0</v>
      </c>
      <c r="I62" s="5">
        <v>47.0</v>
      </c>
      <c r="J62" s="5">
        <v>69.0</v>
      </c>
      <c r="K62" s="5">
        <v>1871.0</v>
      </c>
      <c r="L62" s="5">
        <v>4.0</v>
      </c>
      <c r="M62" s="5">
        <v>135.0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  <c r="S62" s="5">
        <v>0.0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0.0</v>
      </c>
      <c r="AB62" s="5">
        <v>0.0</v>
      </c>
      <c r="AC62" s="5">
        <v>0.0</v>
      </c>
      <c r="AD62" s="5">
        <v>0.0</v>
      </c>
      <c r="AE62" s="5">
        <v>4.0</v>
      </c>
      <c r="AF62" s="7">
        <f t="shared" si="2"/>
        <v>0.25</v>
      </c>
      <c r="AG62" s="4" t="str">
        <f t="shared" si="3"/>
        <v>facturas,nota_debito,nota_credito,</v>
      </c>
      <c r="AH62" s="5">
        <f t="shared" si="4"/>
        <v>5</v>
      </c>
      <c r="AI62" s="5">
        <f t="shared" ref="AI62:BB62" si="63">IF(COUNTIF(K$3:K62,"&gt;0")&gt;0,1,0)</f>
        <v>1</v>
      </c>
      <c r="AJ62" s="5">
        <f t="shared" si="63"/>
        <v>1</v>
      </c>
      <c r="AK62" s="5">
        <f t="shared" si="63"/>
        <v>1</v>
      </c>
      <c r="AL62" s="5">
        <f t="shared" si="63"/>
        <v>1</v>
      </c>
      <c r="AM62" s="5">
        <f t="shared" si="63"/>
        <v>0</v>
      </c>
      <c r="AN62" s="5">
        <f t="shared" si="63"/>
        <v>0</v>
      </c>
      <c r="AO62" s="5">
        <f t="shared" si="63"/>
        <v>0</v>
      </c>
      <c r="AP62" s="5">
        <f t="shared" si="63"/>
        <v>0</v>
      </c>
      <c r="AQ62" s="5">
        <f t="shared" si="63"/>
        <v>0</v>
      </c>
      <c r="AR62" s="5">
        <f t="shared" si="63"/>
        <v>0</v>
      </c>
      <c r="AS62" s="5">
        <f t="shared" si="63"/>
        <v>0</v>
      </c>
      <c r="AT62" s="5">
        <f t="shared" si="63"/>
        <v>0</v>
      </c>
      <c r="AU62" s="5">
        <f t="shared" si="63"/>
        <v>0</v>
      </c>
      <c r="AV62" s="5">
        <f t="shared" si="63"/>
        <v>0</v>
      </c>
      <c r="AW62" s="5">
        <f t="shared" si="63"/>
        <v>0</v>
      </c>
      <c r="AX62" s="5">
        <f t="shared" si="63"/>
        <v>1</v>
      </c>
      <c r="AY62" s="5">
        <f t="shared" si="63"/>
        <v>0</v>
      </c>
      <c r="AZ62" s="5">
        <f t="shared" si="63"/>
        <v>0</v>
      </c>
      <c r="BA62" s="5">
        <f t="shared" si="63"/>
        <v>0</v>
      </c>
      <c r="BB62" s="5">
        <f t="shared" si="63"/>
        <v>0</v>
      </c>
    </row>
    <row r="63">
      <c r="A63" s="5">
        <v>396.0</v>
      </c>
      <c r="B63" s="4" t="s">
        <v>209</v>
      </c>
      <c r="C63" s="5">
        <v>9.00184686E8</v>
      </c>
      <c r="D63" s="4" t="s">
        <v>210</v>
      </c>
      <c r="E63" s="4" t="s">
        <v>211</v>
      </c>
      <c r="F63" s="5">
        <v>3952.0</v>
      </c>
      <c r="G63" s="5">
        <v>1204.0</v>
      </c>
      <c r="H63" s="5">
        <v>1165.0</v>
      </c>
      <c r="I63" s="5">
        <v>50.0</v>
      </c>
      <c r="J63" s="5">
        <v>53.0</v>
      </c>
      <c r="K63" s="5">
        <v>0.0</v>
      </c>
      <c r="L63" s="5">
        <v>0.0</v>
      </c>
      <c r="M63" s="5">
        <v>0.0</v>
      </c>
      <c r="N63" s="5">
        <v>3939.0</v>
      </c>
      <c r="O63" s="5">
        <v>13.0</v>
      </c>
      <c r="P63" s="5">
        <v>0.0</v>
      </c>
      <c r="Q63" s="5">
        <v>0.0</v>
      </c>
      <c r="R63" s="5">
        <v>0.0</v>
      </c>
      <c r="S63" s="5">
        <v>0.0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5">
        <v>0.0</v>
      </c>
      <c r="AA63" s="5">
        <v>0.0</v>
      </c>
      <c r="AB63" s="5">
        <v>0.0</v>
      </c>
      <c r="AC63" s="5">
        <v>0.0</v>
      </c>
      <c r="AD63" s="5">
        <v>0.0</v>
      </c>
      <c r="AE63" s="5">
        <v>5.0</v>
      </c>
      <c r="AF63" s="7">
        <f t="shared" si="2"/>
        <v>0.3</v>
      </c>
      <c r="AG63" s="4" t="str">
        <f t="shared" si="3"/>
        <v>documento_soporte,nota_doc_soporte,</v>
      </c>
      <c r="AH63" s="5">
        <f t="shared" si="4"/>
        <v>6</v>
      </c>
      <c r="AI63" s="5">
        <f t="shared" ref="AI63:BB63" si="64">IF(COUNTIF(K$3:K63,"&gt;0")&gt;0,1,0)</f>
        <v>1</v>
      </c>
      <c r="AJ63" s="5">
        <f t="shared" si="64"/>
        <v>1</v>
      </c>
      <c r="AK63" s="5">
        <f t="shared" si="64"/>
        <v>1</v>
      </c>
      <c r="AL63" s="5">
        <f t="shared" si="64"/>
        <v>1</v>
      </c>
      <c r="AM63" s="5">
        <f t="shared" si="64"/>
        <v>1</v>
      </c>
      <c r="AN63" s="5">
        <f t="shared" si="64"/>
        <v>0</v>
      </c>
      <c r="AO63" s="5">
        <f t="shared" si="64"/>
        <v>0</v>
      </c>
      <c r="AP63" s="5">
        <f t="shared" si="64"/>
        <v>0</v>
      </c>
      <c r="AQ63" s="5">
        <f t="shared" si="64"/>
        <v>0</v>
      </c>
      <c r="AR63" s="5">
        <f t="shared" si="64"/>
        <v>0</v>
      </c>
      <c r="AS63" s="5">
        <f t="shared" si="64"/>
        <v>0</v>
      </c>
      <c r="AT63" s="5">
        <f t="shared" si="64"/>
        <v>0</v>
      </c>
      <c r="AU63" s="5">
        <f t="shared" si="64"/>
        <v>0</v>
      </c>
      <c r="AV63" s="5">
        <f t="shared" si="64"/>
        <v>0</v>
      </c>
      <c r="AW63" s="5">
        <f t="shared" si="64"/>
        <v>0</v>
      </c>
      <c r="AX63" s="5">
        <f t="shared" si="64"/>
        <v>1</v>
      </c>
      <c r="AY63" s="5">
        <f t="shared" si="64"/>
        <v>0</v>
      </c>
      <c r="AZ63" s="5">
        <f t="shared" si="64"/>
        <v>0</v>
      </c>
      <c r="BA63" s="5">
        <f t="shared" si="64"/>
        <v>0</v>
      </c>
      <c r="BB63" s="5">
        <f t="shared" si="64"/>
        <v>0</v>
      </c>
    </row>
    <row r="64">
      <c r="A64" s="5">
        <v>381.0</v>
      </c>
      <c r="B64" s="4" t="s">
        <v>212</v>
      </c>
      <c r="C64" s="5">
        <v>9.00897386E8</v>
      </c>
      <c r="D64" s="4" t="s">
        <v>213</v>
      </c>
      <c r="E64" s="4" t="s">
        <v>214</v>
      </c>
      <c r="F64" s="5">
        <v>1033.0</v>
      </c>
      <c r="G64" s="5">
        <v>344.0</v>
      </c>
      <c r="H64" s="5">
        <v>309.0</v>
      </c>
      <c r="I64" s="5">
        <v>15.0</v>
      </c>
      <c r="J64" s="5">
        <v>20.0</v>
      </c>
      <c r="K64" s="5">
        <v>0.0</v>
      </c>
      <c r="L64" s="5">
        <v>0.0</v>
      </c>
      <c r="M64" s="5">
        <v>0.0</v>
      </c>
      <c r="N64" s="5">
        <v>1029.0</v>
      </c>
      <c r="O64" s="5">
        <v>4.0</v>
      </c>
      <c r="P64" s="5">
        <v>0.0</v>
      </c>
      <c r="Q64" s="5">
        <v>0.0</v>
      </c>
      <c r="R64" s="5">
        <v>0.0</v>
      </c>
      <c r="S64" s="5">
        <v>0.0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0.0</v>
      </c>
      <c r="AA64" s="5">
        <v>0.0</v>
      </c>
      <c r="AB64" s="5">
        <v>0.0</v>
      </c>
      <c r="AC64" s="5">
        <v>0.0</v>
      </c>
      <c r="AD64" s="5">
        <v>0.0</v>
      </c>
      <c r="AE64" s="5">
        <v>5.0</v>
      </c>
      <c r="AF64" s="7">
        <f t="shared" si="2"/>
        <v>0.3</v>
      </c>
      <c r="AG64" s="4" t="str">
        <f t="shared" si="3"/>
        <v>documento_soporte,nota_doc_soporte,</v>
      </c>
      <c r="AH64" s="5">
        <f t="shared" si="4"/>
        <v>6</v>
      </c>
      <c r="AI64" s="5">
        <f t="shared" ref="AI64:BB64" si="65">IF(COUNTIF(K$3:K64,"&gt;0")&gt;0,1,0)</f>
        <v>1</v>
      </c>
      <c r="AJ64" s="5">
        <f t="shared" si="65"/>
        <v>1</v>
      </c>
      <c r="AK64" s="5">
        <f t="shared" si="65"/>
        <v>1</v>
      </c>
      <c r="AL64" s="5">
        <f t="shared" si="65"/>
        <v>1</v>
      </c>
      <c r="AM64" s="5">
        <f t="shared" si="65"/>
        <v>1</v>
      </c>
      <c r="AN64" s="5">
        <f t="shared" si="65"/>
        <v>0</v>
      </c>
      <c r="AO64" s="5">
        <f t="shared" si="65"/>
        <v>0</v>
      </c>
      <c r="AP64" s="5">
        <f t="shared" si="65"/>
        <v>0</v>
      </c>
      <c r="AQ64" s="5">
        <f t="shared" si="65"/>
        <v>0</v>
      </c>
      <c r="AR64" s="5">
        <f t="shared" si="65"/>
        <v>0</v>
      </c>
      <c r="AS64" s="5">
        <f t="shared" si="65"/>
        <v>0</v>
      </c>
      <c r="AT64" s="5">
        <f t="shared" si="65"/>
        <v>0</v>
      </c>
      <c r="AU64" s="5">
        <f t="shared" si="65"/>
        <v>0</v>
      </c>
      <c r="AV64" s="5">
        <f t="shared" si="65"/>
        <v>0</v>
      </c>
      <c r="AW64" s="5">
        <f t="shared" si="65"/>
        <v>0</v>
      </c>
      <c r="AX64" s="5">
        <f t="shared" si="65"/>
        <v>1</v>
      </c>
      <c r="AY64" s="5">
        <f t="shared" si="65"/>
        <v>0</v>
      </c>
      <c r="AZ64" s="5">
        <f t="shared" si="65"/>
        <v>0</v>
      </c>
      <c r="BA64" s="5">
        <f t="shared" si="65"/>
        <v>0</v>
      </c>
      <c r="BB64" s="5">
        <f t="shared" si="65"/>
        <v>0</v>
      </c>
    </row>
    <row r="65">
      <c r="A65" s="5">
        <v>427.0</v>
      </c>
      <c r="B65" s="4" t="s">
        <v>215</v>
      </c>
      <c r="C65" s="5">
        <v>8.30143447E8</v>
      </c>
      <c r="D65" s="4" t="s">
        <v>216</v>
      </c>
      <c r="E65" s="4" t="s">
        <v>217</v>
      </c>
      <c r="F65" s="5">
        <v>529.0</v>
      </c>
      <c r="G65" s="5">
        <v>199.0</v>
      </c>
      <c r="H65" s="5">
        <v>185.0</v>
      </c>
      <c r="I65" s="5">
        <v>3.0</v>
      </c>
      <c r="J65" s="5">
        <v>15.0</v>
      </c>
      <c r="K65" s="5">
        <v>0.0</v>
      </c>
      <c r="L65" s="5">
        <v>0.0</v>
      </c>
      <c r="M65" s="5">
        <v>0.0</v>
      </c>
      <c r="N65" s="5">
        <v>521.0</v>
      </c>
      <c r="O65" s="5">
        <v>8.0</v>
      </c>
      <c r="P65" s="5">
        <v>0.0</v>
      </c>
      <c r="Q65" s="5">
        <v>0.0</v>
      </c>
      <c r="R65" s="5">
        <v>0.0</v>
      </c>
      <c r="S65" s="5">
        <v>0.0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0.0</v>
      </c>
      <c r="AA65" s="5">
        <v>0.0</v>
      </c>
      <c r="AB65" s="5">
        <v>0.0</v>
      </c>
      <c r="AC65" s="5">
        <v>0.0</v>
      </c>
      <c r="AD65" s="5">
        <v>0.0</v>
      </c>
      <c r="AE65" s="5">
        <v>5.0</v>
      </c>
      <c r="AF65" s="7">
        <f t="shared" si="2"/>
        <v>0.3</v>
      </c>
      <c r="AG65" s="4" t="str">
        <f t="shared" si="3"/>
        <v>documento_soporte,nota_doc_soporte,</v>
      </c>
      <c r="AH65" s="5">
        <f t="shared" si="4"/>
        <v>6</v>
      </c>
      <c r="AI65" s="5">
        <f t="shared" ref="AI65:BB65" si="66">IF(COUNTIF(K$3:K65,"&gt;0")&gt;0,1,0)</f>
        <v>1</v>
      </c>
      <c r="AJ65" s="5">
        <f t="shared" si="66"/>
        <v>1</v>
      </c>
      <c r="AK65" s="5">
        <f t="shared" si="66"/>
        <v>1</v>
      </c>
      <c r="AL65" s="5">
        <f t="shared" si="66"/>
        <v>1</v>
      </c>
      <c r="AM65" s="5">
        <f t="shared" si="66"/>
        <v>1</v>
      </c>
      <c r="AN65" s="5">
        <f t="shared" si="66"/>
        <v>0</v>
      </c>
      <c r="AO65" s="5">
        <f t="shared" si="66"/>
        <v>0</v>
      </c>
      <c r="AP65" s="5">
        <f t="shared" si="66"/>
        <v>0</v>
      </c>
      <c r="AQ65" s="5">
        <f t="shared" si="66"/>
        <v>0</v>
      </c>
      <c r="AR65" s="5">
        <f t="shared" si="66"/>
        <v>0</v>
      </c>
      <c r="AS65" s="5">
        <f t="shared" si="66"/>
        <v>0</v>
      </c>
      <c r="AT65" s="5">
        <f t="shared" si="66"/>
        <v>0</v>
      </c>
      <c r="AU65" s="5">
        <f t="shared" si="66"/>
        <v>0</v>
      </c>
      <c r="AV65" s="5">
        <f t="shared" si="66"/>
        <v>0</v>
      </c>
      <c r="AW65" s="5">
        <f t="shared" si="66"/>
        <v>0</v>
      </c>
      <c r="AX65" s="5">
        <f t="shared" si="66"/>
        <v>1</v>
      </c>
      <c r="AY65" s="5">
        <f t="shared" si="66"/>
        <v>0</v>
      </c>
      <c r="AZ65" s="5">
        <f t="shared" si="66"/>
        <v>0</v>
      </c>
      <c r="BA65" s="5">
        <f t="shared" si="66"/>
        <v>0</v>
      </c>
      <c r="BB65" s="5">
        <f t="shared" si="66"/>
        <v>0</v>
      </c>
    </row>
    <row r="66">
      <c r="A66" s="5">
        <v>438.0</v>
      </c>
      <c r="B66" s="4" t="s">
        <v>218</v>
      </c>
      <c r="C66" s="5">
        <v>8.60522164E8</v>
      </c>
      <c r="D66" s="4" t="s">
        <v>219</v>
      </c>
      <c r="E66" s="4" t="s">
        <v>220</v>
      </c>
      <c r="F66" s="5">
        <v>2279.0</v>
      </c>
      <c r="G66" s="5">
        <v>542.0</v>
      </c>
      <c r="H66" s="5">
        <v>597.0</v>
      </c>
      <c r="I66" s="5">
        <v>1.0</v>
      </c>
      <c r="J66" s="5">
        <v>76.0</v>
      </c>
      <c r="K66" s="5">
        <v>0.0</v>
      </c>
      <c r="L66" s="5">
        <v>0.0</v>
      </c>
      <c r="M66" s="5">
        <v>0.0</v>
      </c>
      <c r="N66" s="5">
        <v>2190.0</v>
      </c>
      <c r="O66" s="5">
        <v>89.0</v>
      </c>
      <c r="P66" s="5">
        <v>0.0</v>
      </c>
      <c r="Q66" s="5">
        <v>0.0</v>
      </c>
      <c r="R66" s="5">
        <v>0.0</v>
      </c>
      <c r="S66" s="5">
        <v>0.0</v>
      </c>
      <c r="T66" s="5">
        <v>0.0</v>
      </c>
      <c r="U66" s="5">
        <v>0.0</v>
      </c>
      <c r="V66" s="5">
        <v>0.0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  <c r="AC66" s="5">
        <v>0.0</v>
      </c>
      <c r="AD66" s="5">
        <v>0.0</v>
      </c>
      <c r="AE66" s="5">
        <v>5.0</v>
      </c>
      <c r="AF66" s="7">
        <f t="shared" si="2"/>
        <v>0.3</v>
      </c>
      <c r="AG66" s="4" t="str">
        <f t="shared" si="3"/>
        <v>documento_soporte,nota_doc_soporte,</v>
      </c>
      <c r="AH66" s="5">
        <f t="shared" si="4"/>
        <v>6</v>
      </c>
      <c r="AI66" s="5">
        <f t="shared" ref="AI66:BB66" si="67">IF(COUNTIF(K$3:K66,"&gt;0")&gt;0,1,0)</f>
        <v>1</v>
      </c>
      <c r="AJ66" s="5">
        <f t="shared" si="67"/>
        <v>1</v>
      </c>
      <c r="AK66" s="5">
        <f t="shared" si="67"/>
        <v>1</v>
      </c>
      <c r="AL66" s="5">
        <f t="shared" si="67"/>
        <v>1</v>
      </c>
      <c r="AM66" s="5">
        <f t="shared" si="67"/>
        <v>1</v>
      </c>
      <c r="AN66" s="5">
        <f t="shared" si="67"/>
        <v>0</v>
      </c>
      <c r="AO66" s="5">
        <f t="shared" si="67"/>
        <v>0</v>
      </c>
      <c r="AP66" s="5">
        <f t="shared" si="67"/>
        <v>0</v>
      </c>
      <c r="AQ66" s="5">
        <f t="shared" si="67"/>
        <v>0</v>
      </c>
      <c r="AR66" s="5">
        <f t="shared" si="67"/>
        <v>0</v>
      </c>
      <c r="AS66" s="5">
        <f t="shared" si="67"/>
        <v>0</v>
      </c>
      <c r="AT66" s="5">
        <f t="shared" si="67"/>
        <v>0</v>
      </c>
      <c r="AU66" s="5">
        <f t="shared" si="67"/>
        <v>0</v>
      </c>
      <c r="AV66" s="5">
        <f t="shared" si="67"/>
        <v>0</v>
      </c>
      <c r="AW66" s="5">
        <f t="shared" si="67"/>
        <v>0</v>
      </c>
      <c r="AX66" s="5">
        <f t="shared" si="67"/>
        <v>1</v>
      </c>
      <c r="AY66" s="5">
        <f t="shared" si="67"/>
        <v>0</v>
      </c>
      <c r="AZ66" s="5">
        <f t="shared" si="67"/>
        <v>0</v>
      </c>
      <c r="BA66" s="5">
        <f t="shared" si="67"/>
        <v>0</v>
      </c>
      <c r="BB66" s="5">
        <f t="shared" si="67"/>
        <v>0</v>
      </c>
    </row>
    <row r="67">
      <c r="A67" s="5">
        <v>435.0</v>
      </c>
      <c r="B67" s="4" t="s">
        <v>221</v>
      </c>
      <c r="C67" s="5">
        <v>9.00504184E8</v>
      </c>
      <c r="D67" s="4" t="s">
        <v>222</v>
      </c>
      <c r="E67" s="4" t="s">
        <v>223</v>
      </c>
      <c r="F67" s="5">
        <v>1649.0</v>
      </c>
      <c r="G67" s="5">
        <v>579.0</v>
      </c>
      <c r="H67" s="5">
        <v>364.0</v>
      </c>
      <c r="I67" s="5">
        <v>1.0</v>
      </c>
      <c r="J67" s="5">
        <v>51.0</v>
      </c>
      <c r="K67" s="5">
        <v>0.0</v>
      </c>
      <c r="L67" s="5">
        <v>0.0</v>
      </c>
      <c r="M67" s="5">
        <v>0.0</v>
      </c>
      <c r="N67" s="5">
        <v>1634.0</v>
      </c>
      <c r="O67" s="5">
        <v>15.0</v>
      </c>
      <c r="P67" s="5">
        <v>0.0</v>
      </c>
      <c r="Q67" s="5">
        <v>0.0</v>
      </c>
      <c r="R67" s="5">
        <v>0.0</v>
      </c>
      <c r="S67" s="5">
        <v>0.0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0.0</v>
      </c>
      <c r="AA67" s="5">
        <v>0.0</v>
      </c>
      <c r="AB67" s="5">
        <v>0.0</v>
      </c>
      <c r="AC67" s="5">
        <v>0.0</v>
      </c>
      <c r="AD67" s="5">
        <v>0.0</v>
      </c>
      <c r="AE67" s="5">
        <v>5.0</v>
      </c>
      <c r="AF67" s="7">
        <f t="shared" si="2"/>
        <v>0.3</v>
      </c>
      <c r="AG67" s="4" t="str">
        <f t="shared" si="3"/>
        <v>documento_soporte,nota_doc_soporte,</v>
      </c>
      <c r="AH67" s="5">
        <f t="shared" si="4"/>
        <v>6</v>
      </c>
      <c r="AI67" s="5">
        <f t="shared" ref="AI67:BB67" si="68">IF(COUNTIF(K$3:K67,"&gt;0")&gt;0,1,0)</f>
        <v>1</v>
      </c>
      <c r="AJ67" s="5">
        <f t="shared" si="68"/>
        <v>1</v>
      </c>
      <c r="AK67" s="5">
        <f t="shared" si="68"/>
        <v>1</v>
      </c>
      <c r="AL67" s="5">
        <f t="shared" si="68"/>
        <v>1</v>
      </c>
      <c r="AM67" s="5">
        <f t="shared" si="68"/>
        <v>1</v>
      </c>
      <c r="AN67" s="5">
        <f t="shared" si="68"/>
        <v>0</v>
      </c>
      <c r="AO67" s="5">
        <f t="shared" si="68"/>
        <v>0</v>
      </c>
      <c r="AP67" s="5">
        <f t="shared" si="68"/>
        <v>0</v>
      </c>
      <c r="AQ67" s="5">
        <f t="shared" si="68"/>
        <v>0</v>
      </c>
      <c r="AR67" s="5">
        <f t="shared" si="68"/>
        <v>0</v>
      </c>
      <c r="AS67" s="5">
        <f t="shared" si="68"/>
        <v>0</v>
      </c>
      <c r="AT67" s="5">
        <f t="shared" si="68"/>
        <v>0</v>
      </c>
      <c r="AU67" s="5">
        <f t="shared" si="68"/>
        <v>0</v>
      </c>
      <c r="AV67" s="5">
        <f t="shared" si="68"/>
        <v>0</v>
      </c>
      <c r="AW67" s="5">
        <f t="shared" si="68"/>
        <v>0</v>
      </c>
      <c r="AX67" s="5">
        <f t="shared" si="68"/>
        <v>1</v>
      </c>
      <c r="AY67" s="5">
        <f t="shared" si="68"/>
        <v>0</v>
      </c>
      <c r="AZ67" s="5">
        <f t="shared" si="68"/>
        <v>0</v>
      </c>
      <c r="BA67" s="5">
        <f t="shared" si="68"/>
        <v>0</v>
      </c>
      <c r="BB67" s="5">
        <f t="shared" si="68"/>
        <v>0</v>
      </c>
    </row>
    <row r="68">
      <c r="A68" s="5">
        <v>434.0</v>
      </c>
      <c r="B68" s="4" t="s">
        <v>224</v>
      </c>
      <c r="C68" s="5">
        <v>9.00981985E8</v>
      </c>
      <c r="D68" s="4" t="s">
        <v>225</v>
      </c>
      <c r="E68" s="4" t="s">
        <v>226</v>
      </c>
      <c r="F68" s="5">
        <v>80.0</v>
      </c>
      <c r="G68" s="5">
        <v>23.0</v>
      </c>
      <c r="H68" s="5">
        <v>26.0</v>
      </c>
      <c r="I68" s="5">
        <v>0.0</v>
      </c>
      <c r="J68" s="5">
        <v>3.0</v>
      </c>
      <c r="K68" s="5">
        <v>0.0</v>
      </c>
      <c r="L68" s="5">
        <v>0.0</v>
      </c>
      <c r="M68" s="5">
        <v>0.0</v>
      </c>
      <c r="N68" s="5">
        <v>79.0</v>
      </c>
      <c r="O68" s="5">
        <v>1.0</v>
      </c>
      <c r="P68" s="5">
        <v>0.0</v>
      </c>
      <c r="Q68" s="5">
        <v>0.0</v>
      </c>
      <c r="R68" s="5">
        <v>0.0</v>
      </c>
      <c r="S68" s="5">
        <v>0.0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  <c r="AC68" s="5">
        <v>0.0</v>
      </c>
      <c r="AD68" s="5">
        <v>0.0</v>
      </c>
      <c r="AE68" s="5">
        <v>5.0</v>
      </c>
      <c r="AF68" s="7">
        <f t="shared" si="2"/>
        <v>0.3</v>
      </c>
      <c r="AG68" s="4" t="str">
        <f t="shared" si="3"/>
        <v>documento_soporte,nota_doc_soporte,</v>
      </c>
      <c r="AH68" s="5">
        <f t="shared" si="4"/>
        <v>6</v>
      </c>
      <c r="AI68" s="5">
        <f t="shared" ref="AI68:BB68" si="69">IF(COUNTIF(K$3:K68,"&gt;0")&gt;0,1,0)</f>
        <v>1</v>
      </c>
      <c r="AJ68" s="5">
        <f t="shared" si="69"/>
        <v>1</v>
      </c>
      <c r="AK68" s="5">
        <f t="shared" si="69"/>
        <v>1</v>
      </c>
      <c r="AL68" s="5">
        <f t="shared" si="69"/>
        <v>1</v>
      </c>
      <c r="AM68" s="5">
        <f t="shared" si="69"/>
        <v>1</v>
      </c>
      <c r="AN68" s="5">
        <f t="shared" si="69"/>
        <v>0</v>
      </c>
      <c r="AO68" s="5">
        <f t="shared" si="69"/>
        <v>0</v>
      </c>
      <c r="AP68" s="5">
        <f t="shared" si="69"/>
        <v>0</v>
      </c>
      <c r="AQ68" s="5">
        <f t="shared" si="69"/>
        <v>0</v>
      </c>
      <c r="AR68" s="5">
        <f t="shared" si="69"/>
        <v>0</v>
      </c>
      <c r="AS68" s="5">
        <f t="shared" si="69"/>
        <v>0</v>
      </c>
      <c r="AT68" s="5">
        <f t="shared" si="69"/>
        <v>0</v>
      </c>
      <c r="AU68" s="5">
        <f t="shared" si="69"/>
        <v>0</v>
      </c>
      <c r="AV68" s="5">
        <f t="shared" si="69"/>
        <v>0</v>
      </c>
      <c r="AW68" s="5">
        <f t="shared" si="69"/>
        <v>0</v>
      </c>
      <c r="AX68" s="5">
        <f t="shared" si="69"/>
        <v>1</v>
      </c>
      <c r="AY68" s="5">
        <f t="shared" si="69"/>
        <v>0</v>
      </c>
      <c r="AZ68" s="5">
        <f t="shared" si="69"/>
        <v>0</v>
      </c>
      <c r="BA68" s="5">
        <f t="shared" si="69"/>
        <v>0</v>
      </c>
      <c r="BB68" s="5">
        <f t="shared" si="69"/>
        <v>0</v>
      </c>
    </row>
    <row r="69">
      <c r="A69" s="5">
        <v>433.0</v>
      </c>
      <c r="B69" s="4" t="s">
        <v>227</v>
      </c>
      <c r="C69" s="5">
        <v>8.30505144E8</v>
      </c>
      <c r="D69" s="4" t="s">
        <v>228</v>
      </c>
      <c r="E69" s="4" t="s">
        <v>229</v>
      </c>
      <c r="F69" s="5">
        <v>531.0</v>
      </c>
      <c r="G69" s="5">
        <v>161.0</v>
      </c>
      <c r="H69" s="5">
        <v>103.0</v>
      </c>
      <c r="I69" s="5">
        <v>0.0</v>
      </c>
      <c r="J69" s="5">
        <v>7.0</v>
      </c>
      <c r="K69" s="5">
        <v>0.0</v>
      </c>
      <c r="L69" s="5">
        <v>0.0</v>
      </c>
      <c r="M69" s="5">
        <v>0.0</v>
      </c>
      <c r="N69" s="5">
        <v>525.0</v>
      </c>
      <c r="O69" s="5">
        <v>6.0</v>
      </c>
      <c r="P69" s="5">
        <v>0.0</v>
      </c>
      <c r="Q69" s="5">
        <v>0.0</v>
      </c>
      <c r="R69" s="5">
        <v>0.0</v>
      </c>
      <c r="S69" s="5">
        <v>0.0</v>
      </c>
      <c r="T69" s="5">
        <v>0.0</v>
      </c>
      <c r="U69" s="5">
        <v>0.0</v>
      </c>
      <c r="V69" s="5">
        <v>0.0</v>
      </c>
      <c r="W69" s="5">
        <v>0.0</v>
      </c>
      <c r="X69" s="5">
        <v>0.0</v>
      </c>
      <c r="Y69" s="5">
        <v>0.0</v>
      </c>
      <c r="Z69" s="5">
        <v>0.0</v>
      </c>
      <c r="AA69" s="5">
        <v>0.0</v>
      </c>
      <c r="AB69" s="5">
        <v>0.0</v>
      </c>
      <c r="AC69" s="5">
        <v>0.0</v>
      </c>
      <c r="AD69" s="5">
        <v>0.0</v>
      </c>
      <c r="AE69" s="5">
        <v>5.0</v>
      </c>
      <c r="AF69" s="7">
        <f t="shared" si="2"/>
        <v>0.3</v>
      </c>
      <c r="AG69" s="4" t="str">
        <f t="shared" si="3"/>
        <v>documento_soporte,nota_doc_soporte,</v>
      </c>
      <c r="AH69" s="5">
        <f t="shared" si="4"/>
        <v>6</v>
      </c>
      <c r="AI69" s="5">
        <f t="shared" ref="AI69:BB69" si="70">IF(COUNTIF(K$3:K69,"&gt;0")&gt;0,1,0)</f>
        <v>1</v>
      </c>
      <c r="AJ69" s="5">
        <f t="shared" si="70"/>
        <v>1</v>
      </c>
      <c r="AK69" s="5">
        <f t="shared" si="70"/>
        <v>1</v>
      </c>
      <c r="AL69" s="5">
        <f t="shared" si="70"/>
        <v>1</v>
      </c>
      <c r="AM69" s="5">
        <f t="shared" si="70"/>
        <v>1</v>
      </c>
      <c r="AN69" s="5">
        <f t="shared" si="70"/>
        <v>0</v>
      </c>
      <c r="AO69" s="5">
        <f t="shared" si="70"/>
        <v>0</v>
      </c>
      <c r="AP69" s="5">
        <f t="shared" si="70"/>
        <v>0</v>
      </c>
      <c r="AQ69" s="5">
        <f t="shared" si="70"/>
        <v>0</v>
      </c>
      <c r="AR69" s="5">
        <f t="shared" si="70"/>
        <v>0</v>
      </c>
      <c r="AS69" s="5">
        <f t="shared" si="70"/>
        <v>0</v>
      </c>
      <c r="AT69" s="5">
        <f t="shared" si="70"/>
        <v>0</v>
      </c>
      <c r="AU69" s="5">
        <f t="shared" si="70"/>
        <v>0</v>
      </c>
      <c r="AV69" s="5">
        <f t="shared" si="70"/>
        <v>0</v>
      </c>
      <c r="AW69" s="5">
        <f t="shared" si="70"/>
        <v>0</v>
      </c>
      <c r="AX69" s="5">
        <f t="shared" si="70"/>
        <v>1</v>
      </c>
      <c r="AY69" s="5">
        <f t="shared" si="70"/>
        <v>0</v>
      </c>
      <c r="AZ69" s="5">
        <f t="shared" si="70"/>
        <v>0</v>
      </c>
      <c r="BA69" s="5">
        <f t="shared" si="70"/>
        <v>0</v>
      </c>
      <c r="BB69" s="5">
        <f t="shared" si="70"/>
        <v>0</v>
      </c>
    </row>
    <row r="70">
      <c r="A70" s="5">
        <v>13.0</v>
      </c>
      <c r="B70" s="4" t="s">
        <v>230</v>
      </c>
      <c r="C70" s="5">
        <v>5892696.0</v>
      </c>
      <c r="D70" s="4" t="s">
        <v>231</v>
      </c>
      <c r="E70" s="4" t="s">
        <v>232</v>
      </c>
      <c r="F70" s="5">
        <v>161.0</v>
      </c>
      <c r="G70" s="5">
        <v>32.0</v>
      </c>
      <c r="H70" s="5">
        <v>52.0</v>
      </c>
      <c r="I70" s="5">
        <v>0.0</v>
      </c>
      <c r="J70" s="5">
        <v>3.0</v>
      </c>
      <c r="K70" s="5">
        <v>121.0</v>
      </c>
      <c r="L70" s="5">
        <v>0.0</v>
      </c>
      <c r="M70" s="5">
        <v>3.0</v>
      </c>
      <c r="N70" s="5">
        <v>37.0</v>
      </c>
      <c r="O70" s="5">
        <v>0.0</v>
      </c>
      <c r="P70" s="5">
        <v>0.0</v>
      </c>
      <c r="Q70" s="5">
        <v>0.0</v>
      </c>
      <c r="R70" s="5">
        <v>0.0</v>
      </c>
      <c r="S70" s="5">
        <v>0.0</v>
      </c>
      <c r="T70" s="5">
        <v>0.0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0.0</v>
      </c>
      <c r="AA70" s="5">
        <v>0.0</v>
      </c>
      <c r="AB70" s="5">
        <v>0.0</v>
      </c>
      <c r="AC70" s="5">
        <v>0.0</v>
      </c>
      <c r="AD70" s="5">
        <v>0.0</v>
      </c>
      <c r="AE70" s="5">
        <v>6.0</v>
      </c>
      <c r="AF70" s="7">
        <f t="shared" si="2"/>
        <v>0.3</v>
      </c>
      <c r="AG70" s="4" t="str">
        <f t="shared" si="3"/>
        <v>facturas,nota_credito,documento_soporte,</v>
      </c>
      <c r="AH70" s="5">
        <f t="shared" si="4"/>
        <v>6</v>
      </c>
      <c r="AI70" s="5">
        <f t="shared" ref="AI70:BB70" si="71">IF(COUNTIF(K$3:K70,"&gt;0")&gt;0,1,0)</f>
        <v>1</v>
      </c>
      <c r="AJ70" s="5">
        <f t="shared" si="71"/>
        <v>1</v>
      </c>
      <c r="AK70" s="5">
        <f t="shared" si="71"/>
        <v>1</v>
      </c>
      <c r="AL70" s="5">
        <f t="shared" si="71"/>
        <v>1</v>
      </c>
      <c r="AM70" s="5">
        <f t="shared" si="71"/>
        <v>1</v>
      </c>
      <c r="AN70" s="5">
        <f t="shared" si="71"/>
        <v>0</v>
      </c>
      <c r="AO70" s="5">
        <f t="shared" si="71"/>
        <v>0</v>
      </c>
      <c r="AP70" s="5">
        <f t="shared" si="71"/>
        <v>0</v>
      </c>
      <c r="AQ70" s="5">
        <f t="shared" si="71"/>
        <v>0</v>
      </c>
      <c r="AR70" s="5">
        <f t="shared" si="71"/>
        <v>0</v>
      </c>
      <c r="AS70" s="5">
        <f t="shared" si="71"/>
        <v>0</v>
      </c>
      <c r="AT70" s="5">
        <f t="shared" si="71"/>
        <v>0</v>
      </c>
      <c r="AU70" s="5">
        <f t="shared" si="71"/>
        <v>0</v>
      </c>
      <c r="AV70" s="5">
        <f t="shared" si="71"/>
        <v>0</v>
      </c>
      <c r="AW70" s="5">
        <f t="shared" si="71"/>
        <v>0</v>
      </c>
      <c r="AX70" s="5">
        <f t="shared" si="71"/>
        <v>1</v>
      </c>
      <c r="AY70" s="5">
        <f t="shared" si="71"/>
        <v>0</v>
      </c>
      <c r="AZ70" s="5">
        <f t="shared" si="71"/>
        <v>0</v>
      </c>
      <c r="BA70" s="5">
        <f t="shared" si="71"/>
        <v>0</v>
      </c>
      <c r="BB70" s="5">
        <f t="shared" si="71"/>
        <v>0</v>
      </c>
    </row>
    <row r="71">
      <c r="A71" s="5">
        <v>357.0</v>
      </c>
      <c r="B71" s="4" t="s">
        <v>233</v>
      </c>
      <c r="C71" s="5">
        <v>9.00816787E8</v>
      </c>
      <c r="D71" s="4" t="s">
        <v>234</v>
      </c>
      <c r="E71" s="4" t="s">
        <v>235</v>
      </c>
      <c r="F71" s="5">
        <v>209.0</v>
      </c>
      <c r="G71" s="5">
        <v>30.0</v>
      </c>
      <c r="H71" s="5">
        <v>27.0</v>
      </c>
      <c r="I71" s="5">
        <v>2.0</v>
      </c>
      <c r="J71" s="5">
        <v>2.0</v>
      </c>
      <c r="K71" s="5">
        <v>190.0</v>
      </c>
      <c r="L71" s="5">
        <v>0.0</v>
      </c>
      <c r="M71" s="5">
        <v>11.0</v>
      </c>
      <c r="N71" s="5">
        <v>8.0</v>
      </c>
      <c r="O71" s="5">
        <v>0.0</v>
      </c>
      <c r="P71" s="5">
        <v>0.0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  <c r="AC71" s="5">
        <v>0.0</v>
      </c>
      <c r="AD71" s="5">
        <v>0.0</v>
      </c>
      <c r="AE71" s="5">
        <v>6.0</v>
      </c>
      <c r="AF71" s="7">
        <f t="shared" si="2"/>
        <v>0.3</v>
      </c>
      <c r="AG71" s="4" t="str">
        <f t="shared" si="3"/>
        <v>facturas,nota_credito,documento_soporte,</v>
      </c>
      <c r="AH71" s="5">
        <f t="shared" si="4"/>
        <v>6</v>
      </c>
      <c r="AI71" s="5">
        <f t="shared" ref="AI71:BB71" si="72">IF(COUNTIF(K$3:K71,"&gt;0")&gt;0,1,0)</f>
        <v>1</v>
      </c>
      <c r="AJ71" s="5">
        <f t="shared" si="72"/>
        <v>1</v>
      </c>
      <c r="AK71" s="5">
        <f t="shared" si="72"/>
        <v>1</v>
      </c>
      <c r="AL71" s="5">
        <f t="shared" si="72"/>
        <v>1</v>
      </c>
      <c r="AM71" s="5">
        <f t="shared" si="72"/>
        <v>1</v>
      </c>
      <c r="AN71" s="5">
        <f t="shared" si="72"/>
        <v>0</v>
      </c>
      <c r="AO71" s="5">
        <f t="shared" si="72"/>
        <v>0</v>
      </c>
      <c r="AP71" s="5">
        <f t="shared" si="72"/>
        <v>0</v>
      </c>
      <c r="AQ71" s="5">
        <f t="shared" si="72"/>
        <v>0</v>
      </c>
      <c r="AR71" s="5">
        <f t="shared" si="72"/>
        <v>0</v>
      </c>
      <c r="AS71" s="5">
        <f t="shared" si="72"/>
        <v>0</v>
      </c>
      <c r="AT71" s="5">
        <f t="shared" si="72"/>
        <v>0</v>
      </c>
      <c r="AU71" s="5">
        <f t="shared" si="72"/>
        <v>0</v>
      </c>
      <c r="AV71" s="5">
        <f t="shared" si="72"/>
        <v>0</v>
      </c>
      <c r="AW71" s="5">
        <f t="shared" si="72"/>
        <v>0</v>
      </c>
      <c r="AX71" s="5">
        <f t="shared" si="72"/>
        <v>1</v>
      </c>
      <c r="AY71" s="5">
        <f t="shared" si="72"/>
        <v>0</v>
      </c>
      <c r="AZ71" s="5">
        <f t="shared" si="72"/>
        <v>0</v>
      </c>
      <c r="BA71" s="5">
        <f t="shared" si="72"/>
        <v>0</v>
      </c>
      <c r="BB71" s="5">
        <f t="shared" si="72"/>
        <v>0</v>
      </c>
    </row>
    <row r="72">
      <c r="A72" s="5">
        <v>387.0</v>
      </c>
      <c r="B72" s="4" t="s">
        <v>236</v>
      </c>
      <c r="C72" s="5">
        <v>8.30038054E8</v>
      </c>
      <c r="D72" s="4" t="s">
        <v>237</v>
      </c>
      <c r="E72" s="4" t="s">
        <v>238</v>
      </c>
      <c r="F72" s="5">
        <v>216.0</v>
      </c>
      <c r="G72" s="5">
        <v>61.0</v>
      </c>
      <c r="H72" s="5">
        <v>139.0</v>
      </c>
      <c r="I72" s="5">
        <v>7.0</v>
      </c>
      <c r="J72" s="5">
        <v>11.0</v>
      </c>
      <c r="K72" s="5">
        <v>159.0</v>
      </c>
      <c r="L72" s="5">
        <v>0.0</v>
      </c>
      <c r="M72" s="5">
        <v>13.0</v>
      </c>
      <c r="N72" s="5">
        <v>44.0</v>
      </c>
      <c r="O72" s="5">
        <v>0.0</v>
      </c>
      <c r="P72" s="5">
        <v>0.0</v>
      </c>
      <c r="Q72" s="5">
        <v>0.0</v>
      </c>
      <c r="R72" s="5">
        <v>0.0</v>
      </c>
      <c r="S72" s="5">
        <v>0.0</v>
      </c>
      <c r="T72" s="5">
        <v>0.0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5">
        <v>0.0</v>
      </c>
      <c r="AA72" s="5">
        <v>0.0</v>
      </c>
      <c r="AB72" s="5">
        <v>0.0</v>
      </c>
      <c r="AC72" s="5">
        <v>0.0</v>
      </c>
      <c r="AD72" s="5">
        <v>0.0</v>
      </c>
      <c r="AE72" s="5">
        <v>6.0</v>
      </c>
      <c r="AF72" s="7">
        <f t="shared" si="2"/>
        <v>0.3</v>
      </c>
      <c r="AG72" s="4" t="str">
        <f t="shared" si="3"/>
        <v>facturas,nota_credito,documento_soporte,</v>
      </c>
      <c r="AH72" s="5">
        <f t="shared" si="4"/>
        <v>6</v>
      </c>
      <c r="AI72" s="5">
        <f t="shared" ref="AI72:BB72" si="73">IF(COUNTIF(K$3:K72,"&gt;0")&gt;0,1,0)</f>
        <v>1</v>
      </c>
      <c r="AJ72" s="5">
        <f t="shared" si="73"/>
        <v>1</v>
      </c>
      <c r="AK72" s="5">
        <f t="shared" si="73"/>
        <v>1</v>
      </c>
      <c r="AL72" s="5">
        <f t="shared" si="73"/>
        <v>1</v>
      </c>
      <c r="AM72" s="5">
        <f t="shared" si="73"/>
        <v>1</v>
      </c>
      <c r="AN72" s="5">
        <f t="shared" si="73"/>
        <v>0</v>
      </c>
      <c r="AO72" s="5">
        <f t="shared" si="73"/>
        <v>0</v>
      </c>
      <c r="AP72" s="5">
        <f t="shared" si="73"/>
        <v>0</v>
      </c>
      <c r="AQ72" s="5">
        <f t="shared" si="73"/>
        <v>0</v>
      </c>
      <c r="AR72" s="5">
        <f t="shared" si="73"/>
        <v>0</v>
      </c>
      <c r="AS72" s="5">
        <f t="shared" si="73"/>
        <v>0</v>
      </c>
      <c r="AT72" s="5">
        <f t="shared" si="73"/>
        <v>0</v>
      </c>
      <c r="AU72" s="5">
        <f t="shared" si="73"/>
        <v>0</v>
      </c>
      <c r="AV72" s="5">
        <f t="shared" si="73"/>
        <v>0</v>
      </c>
      <c r="AW72" s="5">
        <f t="shared" si="73"/>
        <v>0</v>
      </c>
      <c r="AX72" s="5">
        <f t="shared" si="73"/>
        <v>1</v>
      </c>
      <c r="AY72" s="5">
        <f t="shared" si="73"/>
        <v>0</v>
      </c>
      <c r="AZ72" s="5">
        <f t="shared" si="73"/>
        <v>0</v>
      </c>
      <c r="BA72" s="5">
        <f t="shared" si="73"/>
        <v>0</v>
      </c>
      <c r="BB72" s="5">
        <f t="shared" si="73"/>
        <v>0</v>
      </c>
    </row>
    <row r="73">
      <c r="A73" s="5">
        <v>403.0</v>
      </c>
      <c r="B73" s="4" t="s">
        <v>239</v>
      </c>
      <c r="C73" s="5">
        <v>1.3809704E7</v>
      </c>
      <c r="D73" s="4" t="s">
        <v>240</v>
      </c>
      <c r="E73" s="4" t="s">
        <v>241</v>
      </c>
      <c r="F73" s="5">
        <v>656.0</v>
      </c>
      <c r="G73" s="5">
        <v>160.0</v>
      </c>
      <c r="H73" s="5">
        <v>144.0</v>
      </c>
      <c r="I73" s="5">
        <v>6.0</v>
      </c>
      <c r="J73" s="5">
        <v>9.0</v>
      </c>
      <c r="K73" s="5">
        <v>641.0</v>
      </c>
      <c r="L73" s="5">
        <v>0.0</v>
      </c>
      <c r="M73" s="5">
        <v>14.0</v>
      </c>
      <c r="N73" s="5">
        <v>1.0</v>
      </c>
      <c r="O73" s="5">
        <v>0.0</v>
      </c>
      <c r="P73" s="5">
        <v>0.0</v>
      </c>
      <c r="Q73" s="5">
        <v>0.0</v>
      </c>
      <c r="R73" s="5">
        <v>0.0</v>
      </c>
      <c r="S73" s="5">
        <v>0.0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0.0</v>
      </c>
      <c r="AA73" s="5">
        <v>0.0</v>
      </c>
      <c r="AB73" s="5">
        <v>0.0</v>
      </c>
      <c r="AC73" s="5">
        <v>0.0</v>
      </c>
      <c r="AD73" s="5">
        <v>0.0</v>
      </c>
      <c r="AE73" s="5">
        <v>6.0</v>
      </c>
      <c r="AF73" s="7">
        <f t="shared" si="2"/>
        <v>0.3</v>
      </c>
      <c r="AG73" s="4" t="str">
        <f t="shared" si="3"/>
        <v>facturas,nota_credito,documento_soporte,</v>
      </c>
      <c r="AH73" s="5">
        <f t="shared" si="4"/>
        <v>6</v>
      </c>
      <c r="AI73" s="5">
        <f t="shared" ref="AI73:BB73" si="74">IF(COUNTIF(K$3:K73,"&gt;0")&gt;0,1,0)</f>
        <v>1</v>
      </c>
      <c r="AJ73" s="5">
        <f t="shared" si="74"/>
        <v>1</v>
      </c>
      <c r="AK73" s="5">
        <f t="shared" si="74"/>
        <v>1</v>
      </c>
      <c r="AL73" s="5">
        <f t="shared" si="74"/>
        <v>1</v>
      </c>
      <c r="AM73" s="5">
        <f t="shared" si="74"/>
        <v>1</v>
      </c>
      <c r="AN73" s="5">
        <f t="shared" si="74"/>
        <v>0</v>
      </c>
      <c r="AO73" s="5">
        <f t="shared" si="74"/>
        <v>0</v>
      </c>
      <c r="AP73" s="5">
        <f t="shared" si="74"/>
        <v>0</v>
      </c>
      <c r="AQ73" s="5">
        <f t="shared" si="74"/>
        <v>0</v>
      </c>
      <c r="AR73" s="5">
        <f t="shared" si="74"/>
        <v>0</v>
      </c>
      <c r="AS73" s="5">
        <f t="shared" si="74"/>
        <v>0</v>
      </c>
      <c r="AT73" s="5">
        <f t="shared" si="74"/>
        <v>0</v>
      </c>
      <c r="AU73" s="5">
        <f t="shared" si="74"/>
        <v>0</v>
      </c>
      <c r="AV73" s="5">
        <f t="shared" si="74"/>
        <v>0</v>
      </c>
      <c r="AW73" s="5">
        <f t="shared" si="74"/>
        <v>0</v>
      </c>
      <c r="AX73" s="5">
        <f t="shared" si="74"/>
        <v>1</v>
      </c>
      <c r="AY73" s="5">
        <f t="shared" si="74"/>
        <v>0</v>
      </c>
      <c r="AZ73" s="5">
        <f t="shared" si="74"/>
        <v>0</v>
      </c>
      <c r="BA73" s="5">
        <f t="shared" si="74"/>
        <v>0</v>
      </c>
      <c r="BB73" s="5">
        <f t="shared" si="74"/>
        <v>0</v>
      </c>
    </row>
    <row r="74">
      <c r="A74" s="5">
        <v>401.0</v>
      </c>
      <c r="B74" s="4" t="s">
        <v>242</v>
      </c>
      <c r="C74" s="5">
        <v>9.01543195E8</v>
      </c>
      <c r="D74" s="4" t="s">
        <v>243</v>
      </c>
      <c r="E74" s="4" t="s">
        <v>244</v>
      </c>
      <c r="F74" s="5">
        <v>250.0</v>
      </c>
      <c r="G74" s="5">
        <v>71.0</v>
      </c>
      <c r="H74" s="5">
        <v>53.0</v>
      </c>
      <c r="I74" s="5">
        <v>2.0</v>
      </c>
      <c r="J74" s="5">
        <v>6.0</v>
      </c>
      <c r="K74" s="5">
        <v>226.0</v>
      </c>
      <c r="L74" s="5">
        <v>0.0</v>
      </c>
      <c r="M74" s="5">
        <v>23.0</v>
      </c>
      <c r="N74" s="5">
        <v>1.0</v>
      </c>
      <c r="O74" s="5">
        <v>0.0</v>
      </c>
      <c r="P74" s="5">
        <v>0.0</v>
      </c>
      <c r="Q74" s="5">
        <v>0.0</v>
      </c>
      <c r="R74" s="5">
        <v>0.0</v>
      </c>
      <c r="S74" s="5">
        <v>0.0</v>
      </c>
      <c r="T74" s="5">
        <v>0.0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0.0</v>
      </c>
      <c r="AA74" s="5">
        <v>0.0</v>
      </c>
      <c r="AB74" s="5">
        <v>0.0</v>
      </c>
      <c r="AC74" s="5">
        <v>0.0</v>
      </c>
      <c r="AD74" s="5">
        <v>0.0</v>
      </c>
      <c r="AE74" s="5">
        <v>6.0</v>
      </c>
      <c r="AF74" s="7">
        <f t="shared" si="2"/>
        <v>0.3</v>
      </c>
      <c r="AG74" s="4" t="str">
        <f t="shared" si="3"/>
        <v>facturas,nota_credito,documento_soporte,</v>
      </c>
      <c r="AH74" s="5">
        <f t="shared" si="4"/>
        <v>6</v>
      </c>
      <c r="AI74" s="5">
        <f t="shared" ref="AI74:BB74" si="75">IF(COUNTIF(K$3:K74,"&gt;0")&gt;0,1,0)</f>
        <v>1</v>
      </c>
      <c r="AJ74" s="5">
        <f t="shared" si="75"/>
        <v>1</v>
      </c>
      <c r="AK74" s="5">
        <f t="shared" si="75"/>
        <v>1</v>
      </c>
      <c r="AL74" s="5">
        <f t="shared" si="75"/>
        <v>1</v>
      </c>
      <c r="AM74" s="5">
        <f t="shared" si="75"/>
        <v>1</v>
      </c>
      <c r="AN74" s="5">
        <f t="shared" si="75"/>
        <v>0</v>
      </c>
      <c r="AO74" s="5">
        <f t="shared" si="75"/>
        <v>0</v>
      </c>
      <c r="AP74" s="5">
        <f t="shared" si="75"/>
        <v>0</v>
      </c>
      <c r="AQ74" s="5">
        <f t="shared" si="75"/>
        <v>0</v>
      </c>
      <c r="AR74" s="5">
        <f t="shared" si="75"/>
        <v>0</v>
      </c>
      <c r="AS74" s="5">
        <f t="shared" si="75"/>
        <v>0</v>
      </c>
      <c r="AT74" s="5">
        <f t="shared" si="75"/>
        <v>0</v>
      </c>
      <c r="AU74" s="5">
        <f t="shared" si="75"/>
        <v>0</v>
      </c>
      <c r="AV74" s="5">
        <f t="shared" si="75"/>
        <v>0</v>
      </c>
      <c r="AW74" s="5">
        <f t="shared" si="75"/>
        <v>0</v>
      </c>
      <c r="AX74" s="5">
        <f t="shared" si="75"/>
        <v>1</v>
      </c>
      <c r="AY74" s="5">
        <f t="shared" si="75"/>
        <v>0</v>
      </c>
      <c r="AZ74" s="5">
        <f t="shared" si="75"/>
        <v>0</v>
      </c>
      <c r="BA74" s="5">
        <f t="shared" si="75"/>
        <v>0</v>
      </c>
      <c r="BB74" s="5">
        <f t="shared" si="75"/>
        <v>0</v>
      </c>
    </row>
    <row r="75">
      <c r="A75" s="5">
        <v>431.0</v>
      </c>
      <c r="B75" s="4" t="s">
        <v>245</v>
      </c>
      <c r="C75" s="5">
        <v>8.30068056E8</v>
      </c>
      <c r="D75" s="4" t="s">
        <v>246</v>
      </c>
      <c r="E75" s="4" t="s">
        <v>247</v>
      </c>
      <c r="F75" s="5">
        <v>253.0</v>
      </c>
      <c r="G75" s="5">
        <v>91.0</v>
      </c>
      <c r="H75" s="5">
        <v>110.0</v>
      </c>
      <c r="I75" s="5">
        <v>0.0</v>
      </c>
      <c r="J75" s="5">
        <v>8.0</v>
      </c>
      <c r="K75" s="5">
        <v>0.0</v>
      </c>
      <c r="L75" s="5">
        <v>0.0</v>
      </c>
      <c r="M75" s="5">
        <v>171.0</v>
      </c>
      <c r="N75" s="5">
        <v>81.0</v>
      </c>
      <c r="O75" s="5">
        <v>1.0</v>
      </c>
      <c r="P75" s="5">
        <v>0.0</v>
      </c>
      <c r="Q75" s="5">
        <v>0.0</v>
      </c>
      <c r="R75" s="5">
        <v>0.0</v>
      </c>
      <c r="S75" s="5">
        <v>0.0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0.0</v>
      </c>
      <c r="AA75" s="5">
        <v>0.0</v>
      </c>
      <c r="AB75" s="5">
        <v>0.0</v>
      </c>
      <c r="AC75" s="5">
        <v>0.0</v>
      </c>
      <c r="AD75" s="5">
        <v>0.0</v>
      </c>
      <c r="AE75" s="5">
        <v>6.0</v>
      </c>
      <c r="AF75" s="7">
        <f t="shared" si="2"/>
        <v>0.3</v>
      </c>
      <c r="AG75" s="4" t="str">
        <f t="shared" si="3"/>
        <v>nota_credito,documento_soporte,nota_doc_soporte,</v>
      </c>
      <c r="AH75" s="5">
        <f t="shared" si="4"/>
        <v>6</v>
      </c>
      <c r="AI75" s="5">
        <f t="shared" ref="AI75:BB75" si="76">IF(COUNTIF(K$3:K75,"&gt;0")&gt;0,1,0)</f>
        <v>1</v>
      </c>
      <c r="AJ75" s="5">
        <f t="shared" si="76"/>
        <v>1</v>
      </c>
      <c r="AK75" s="5">
        <f t="shared" si="76"/>
        <v>1</v>
      </c>
      <c r="AL75" s="5">
        <f t="shared" si="76"/>
        <v>1</v>
      </c>
      <c r="AM75" s="5">
        <f t="shared" si="76"/>
        <v>1</v>
      </c>
      <c r="AN75" s="5">
        <f t="shared" si="76"/>
        <v>0</v>
      </c>
      <c r="AO75" s="5">
        <f t="shared" si="76"/>
        <v>0</v>
      </c>
      <c r="AP75" s="5">
        <f t="shared" si="76"/>
        <v>0</v>
      </c>
      <c r="AQ75" s="5">
        <f t="shared" si="76"/>
        <v>0</v>
      </c>
      <c r="AR75" s="5">
        <f t="shared" si="76"/>
        <v>0</v>
      </c>
      <c r="AS75" s="5">
        <f t="shared" si="76"/>
        <v>0</v>
      </c>
      <c r="AT75" s="5">
        <f t="shared" si="76"/>
        <v>0</v>
      </c>
      <c r="AU75" s="5">
        <f t="shared" si="76"/>
        <v>0</v>
      </c>
      <c r="AV75" s="5">
        <f t="shared" si="76"/>
        <v>0</v>
      </c>
      <c r="AW75" s="5">
        <f t="shared" si="76"/>
        <v>0</v>
      </c>
      <c r="AX75" s="5">
        <f t="shared" si="76"/>
        <v>1</v>
      </c>
      <c r="AY75" s="5">
        <f t="shared" si="76"/>
        <v>0</v>
      </c>
      <c r="AZ75" s="5">
        <f t="shared" si="76"/>
        <v>0</v>
      </c>
      <c r="BA75" s="5">
        <f t="shared" si="76"/>
        <v>0</v>
      </c>
      <c r="BB75" s="5">
        <f t="shared" si="76"/>
        <v>0</v>
      </c>
    </row>
    <row r="76">
      <c r="A76" s="5">
        <v>104.0</v>
      </c>
      <c r="B76" s="4" t="s">
        <v>248</v>
      </c>
      <c r="C76" s="5">
        <v>9.00475811E8</v>
      </c>
      <c r="D76" s="4" t="s">
        <v>249</v>
      </c>
      <c r="E76" s="4" t="s">
        <v>250</v>
      </c>
      <c r="F76" s="5">
        <v>1133.0</v>
      </c>
      <c r="G76" s="5">
        <v>275.0</v>
      </c>
      <c r="H76" s="5">
        <v>219.0</v>
      </c>
      <c r="I76" s="5">
        <v>21.0</v>
      </c>
      <c r="J76" s="5">
        <v>32.0</v>
      </c>
      <c r="K76" s="5">
        <v>816.0</v>
      </c>
      <c r="L76" s="5">
        <v>0.0</v>
      </c>
      <c r="M76" s="5">
        <v>17.0</v>
      </c>
      <c r="N76" s="5">
        <v>300.0</v>
      </c>
      <c r="O76" s="5">
        <v>0.0</v>
      </c>
      <c r="P76" s="5">
        <v>0.0</v>
      </c>
      <c r="Q76" s="5">
        <v>0.0</v>
      </c>
      <c r="R76" s="5">
        <v>0.0</v>
      </c>
      <c r="S76" s="5">
        <v>0.0</v>
      </c>
      <c r="T76" s="5">
        <v>0.0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5">
        <v>3.0</v>
      </c>
      <c r="AA76" s="5">
        <v>0.0</v>
      </c>
      <c r="AB76" s="5">
        <v>0.0</v>
      </c>
      <c r="AC76" s="5">
        <v>0.0</v>
      </c>
      <c r="AD76" s="5">
        <v>0.0</v>
      </c>
      <c r="AE76" s="5">
        <v>6.0</v>
      </c>
      <c r="AF76" s="7">
        <f t="shared" si="2"/>
        <v>0.3</v>
      </c>
      <c r="AG76" s="4" t="str">
        <f t="shared" si="3"/>
        <v>facturas,nota_credito,documento_soporte,wildcards,</v>
      </c>
      <c r="AH76" s="5">
        <f t="shared" si="4"/>
        <v>6</v>
      </c>
      <c r="AI76" s="5">
        <f t="shared" ref="AI76:BB76" si="77">IF(COUNTIF(K$3:K76,"&gt;0")&gt;0,1,0)</f>
        <v>1</v>
      </c>
      <c r="AJ76" s="5">
        <f t="shared" si="77"/>
        <v>1</v>
      </c>
      <c r="AK76" s="5">
        <f t="shared" si="77"/>
        <v>1</v>
      </c>
      <c r="AL76" s="5">
        <f t="shared" si="77"/>
        <v>1</v>
      </c>
      <c r="AM76" s="5">
        <f t="shared" si="77"/>
        <v>1</v>
      </c>
      <c r="AN76" s="5">
        <f t="shared" si="77"/>
        <v>0</v>
      </c>
      <c r="AO76" s="5">
        <f t="shared" si="77"/>
        <v>0</v>
      </c>
      <c r="AP76" s="5">
        <f t="shared" si="77"/>
        <v>0</v>
      </c>
      <c r="AQ76" s="5">
        <f t="shared" si="77"/>
        <v>0</v>
      </c>
      <c r="AR76" s="5">
        <f t="shared" si="77"/>
        <v>0</v>
      </c>
      <c r="AS76" s="5">
        <f t="shared" si="77"/>
        <v>0</v>
      </c>
      <c r="AT76" s="5">
        <f t="shared" si="77"/>
        <v>0</v>
      </c>
      <c r="AU76" s="5">
        <f t="shared" si="77"/>
        <v>0</v>
      </c>
      <c r="AV76" s="5">
        <f t="shared" si="77"/>
        <v>0</v>
      </c>
      <c r="AW76" s="5">
        <f t="shared" si="77"/>
        <v>0</v>
      </c>
      <c r="AX76" s="5">
        <f t="shared" si="77"/>
        <v>1</v>
      </c>
      <c r="AY76" s="5">
        <f t="shared" si="77"/>
        <v>0</v>
      </c>
      <c r="AZ76" s="5">
        <f t="shared" si="77"/>
        <v>0</v>
      </c>
      <c r="BA76" s="5">
        <f t="shared" si="77"/>
        <v>0</v>
      </c>
      <c r="BB76" s="5">
        <f t="shared" si="77"/>
        <v>0</v>
      </c>
    </row>
    <row r="77">
      <c r="A77" s="5">
        <v>296.0</v>
      </c>
      <c r="B77" s="4" t="s">
        <v>251</v>
      </c>
      <c r="C77" s="5">
        <v>9.00310361E8</v>
      </c>
      <c r="D77" s="4" t="s">
        <v>252</v>
      </c>
      <c r="E77" s="4" t="s">
        <v>253</v>
      </c>
      <c r="F77" s="5">
        <v>1014.0</v>
      </c>
      <c r="G77" s="5">
        <v>195.0</v>
      </c>
      <c r="H77" s="5">
        <v>233.0</v>
      </c>
      <c r="I77" s="5">
        <v>24.0</v>
      </c>
      <c r="J77" s="5">
        <v>17.0</v>
      </c>
      <c r="K77" s="5">
        <v>951.0</v>
      </c>
      <c r="L77" s="5">
        <v>3.0</v>
      </c>
      <c r="M77" s="5">
        <v>12.0</v>
      </c>
      <c r="N77" s="5">
        <v>48.0</v>
      </c>
      <c r="O77" s="5">
        <v>0.0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0.0</v>
      </c>
      <c r="AA77" s="5">
        <v>0.0</v>
      </c>
      <c r="AB77" s="5">
        <v>0.0</v>
      </c>
      <c r="AC77" s="5">
        <v>0.0</v>
      </c>
      <c r="AD77" s="5">
        <v>0.0</v>
      </c>
      <c r="AE77" s="5">
        <v>6.0</v>
      </c>
      <c r="AF77" s="7">
        <f t="shared" si="2"/>
        <v>0.3</v>
      </c>
      <c r="AG77" s="4" t="str">
        <f t="shared" si="3"/>
        <v>facturas,nota_debito,nota_credito,documento_soporte,</v>
      </c>
      <c r="AH77" s="5">
        <f t="shared" si="4"/>
        <v>6</v>
      </c>
      <c r="AI77" s="5">
        <f t="shared" ref="AI77:BB77" si="78">IF(COUNTIF(K$3:K77,"&gt;0")&gt;0,1,0)</f>
        <v>1</v>
      </c>
      <c r="AJ77" s="5">
        <f t="shared" si="78"/>
        <v>1</v>
      </c>
      <c r="AK77" s="5">
        <f t="shared" si="78"/>
        <v>1</v>
      </c>
      <c r="AL77" s="5">
        <f t="shared" si="78"/>
        <v>1</v>
      </c>
      <c r="AM77" s="5">
        <f t="shared" si="78"/>
        <v>1</v>
      </c>
      <c r="AN77" s="5">
        <f t="shared" si="78"/>
        <v>0</v>
      </c>
      <c r="AO77" s="5">
        <f t="shared" si="78"/>
        <v>0</v>
      </c>
      <c r="AP77" s="5">
        <f t="shared" si="78"/>
        <v>0</v>
      </c>
      <c r="AQ77" s="5">
        <f t="shared" si="78"/>
        <v>0</v>
      </c>
      <c r="AR77" s="5">
        <f t="shared" si="78"/>
        <v>0</v>
      </c>
      <c r="AS77" s="5">
        <f t="shared" si="78"/>
        <v>0</v>
      </c>
      <c r="AT77" s="5">
        <f t="shared" si="78"/>
        <v>0</v>
      </c>
      <c r="AU77" s="5">
        <f t="shared" si="78"/>
        <v>0</v>
      </c>
      <c r="AV77" s="5">
        <f t="shared" si="78"/>
        <v>0</v>
      </c>
      <c r="AW77" s="5">
        <f t="shared" si="78"/>
        <v>0</v>
      </c>
      <c r="AX77" s="5">
        <f t="shared" si="78"/>
        <v>1</v>
      </c>
      <c r="AY77" s="5">
        <f t="shared" si="78"/>
        <v>0</v>
      </c>
      <c r="AZ77" s="5">
        <f t="shared" si="78"/>
        <v>0</v>
      </c>
      <c r="BA77" s="5">
        <f t="shared" si="78"/>
        <v>0</v>
      </c>
      <c r="BB77" s="5">
        <f t="shared" si="78"/>
        <v>0</v>
      </c>
    </row>
    <row r="78">
      <c r="A78" s="5">
        <v>416.0</v>
      </c>
      <c r="B78" s="4" t="s">
        <v>254</v>
      </c>
      <c r="C78" s="5">
        <v>9.01575854E8</v>
      </c>
      <c r="D78" s="4" t="s">
        <v>255</v>
      </c>
      <c r="E78" s="4" t="s">
        <v>256</v>
      </c>
      <c r="F78" s="5">
        <v>431.0</v>
      </c>
      <c r="G78" s="5">
        <v>110.0</v>
      </c>
      <c r="H78" s="5">
        <v>44.0</v>
      </c>
      <c r="I78" s="5">
        <v>2.0</v>
      </c>
      <c r="J78" s="5">
        <v>6.0</v>
      </c>
      <c r="K78" s="5">
        <v>368.0</v>
      </c>
      <c r="L78" s="5">
        <v>1.0</v>
      </c>
      <c r="M78" s="5">
        <v>46.0</v>
      </c>
      <c r="N78" s="5">
        <v>16.0</v>
      </c>
      <c r="O78" s="5">
        <v>0.0</v>
      </c>
      <c r="P78" s="5">
        <v>0.0</v>
      </c>
      <c r="Q78" s="5">
        <v>0.0</v>
      </c>
      <c r="R78" s="5">
        <v>0.0</v>
      </c>
      <c r="S78" s="5">
        <v>0.0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0.0</v>
      </c>
      <c r="AA78" s="5">
        <v>0.0</v>
      </c>
      <c r="AB78" s="5">
        <v>0.0</v>
      </c>
      <c r="AC78" s="5">
        <v>0.0</v>
      </c>
      <c r="AD78" s="5">
        <v>0.0</v>
      </c>
      <c r="AE78" s="5">
        <v>6.0</v>
      </c>
      <c r="AF78" s="7">
        <f t="shared" si="2"/>
        <v>0.3</v>
      </c>
      <c r="AG78" s="4" t="str">
        <f t="shared" si="3"/>
        <v>facturas,nota_debito,nota_credito,documento_soporte,</v>
      </c>
      <c r="AH78" s="5">
        <f t="shared" si="4"/>
        <v>6</v>
      </c>
      <c r="AI78" s="5">
        <f t="shared" ref="AI78:BB78" si="79">IF(COUNTIF(K$3:K78,"&gt;0")&gt;0,1,0)</f>
        <v>1</v>
      </c>
      <c r="AJ78" s="5">
        <f t="shared" si="79"/>
        <v>1</v>
      </c>
      <c r="AK78" s="5">
        <f t="shared" si="79"/>
        <v>1</v>
      </c>
      <c r="AL78" s="5">
        <f t="shared" si="79"/>
        <v>1</v>
      </c>
      <c r="AM78" s="5">
        <f t="shared" si="79"/>
        <v>1</v>
      </c>
      <c r="AN78" s="5">
        <f t="shared" si="79"/>
        <v>0</v>
      </c>
      <c r="AO78" s="5">
        <f t="shared" si="79"/>
        <v>0</v>
      </c>
      <c r="AP78" s="5">
        <f t="shared" si="79"/>
        <v>0</v>
      </c>
      <c r="AQ78" s="5">
        <f t="shared" si="79"/>
        <v>0</v>
      </c>
      <c r="AR78" s="5">
        <f t="shared" si="79"/>
        <v>0</v>
      </c>
      <c r="AS78" s="5">
        <f t="shared" si="79"/>
        <v>0</v>
      </c>
      <c r="AT78" s="5">
        <f t="shared" si="79"/>
        <v>0</v>
      </c>
      <c r="AU78" s="5">
        <f t="shared" si="79"/>
        <v>0</v>
      </c>
      <c r="AV78" s="5">
        <f t="shared" si="79"/>
        <v>0</v>
      </c>
      <c r="AW78" s="5">
        <f t="shared" si="79"/>
        <v>0</v>
      </c>
      <c r="AX78" s="5">
        <f t="shared" si="79"/>
        <v>1</v>
      </c>
      <c r="AY78" s="5">
        <f t="shared" si="79"/>
        <v>0</v>
      </c>
      <c r="AZ78" s="5">
        <f t="shared" si="79"/>
        <v>0</v>
      </c>
      <c r="BA78" s="5">
        <f t="shared" si="79"/>
        <v>0</v>
      </c>
      <c r="BB78" s="5">
        <f t="shared" si="79"/>
        <v>0</v>
      </c>
    </row>
    <row r="79">
      <c r="A79" s="5">
        <v>121.0</v>
      </c>
      <c r="B79" s="4" t="s">
        <v>257</v>
      </c>
      <c r="C79" s="5">
        <v>8.90204969E8</v>
      </c>
      <c r="D79" s="4" t="s">
        <v>258</v>
      </c>
      <c r="E79" s="4" t="s">
        <v>259</v>
      </c>
      <c r="F79" s="5">
        <v>182.0</v>
      </c>
      <c r="G79" s="5">
        <v>28.0</v>
      </c>
      <c r="H79" s="5">
        <v>19.0</v>
      </c>
      <c r="I79" s="5">
        <v>2.0</v>
      </c>
      <c r="J79" s="5">
        <v>1.0</v>
      </c>
      <c r="K79" s="5">
        <v>150.0</v>
      </c>
      <c r="L79" s="5">
        <v>1.0</v>
      </c>
      <c r="M79" s="5">
        <v>31.0</v>
      </c>
      <c r="N79" s="5">
        <v>0.0</v>
      </c>
      <c r="O79" s="5">
        <v>0.0</v>
      </c>
      <c r="P79" s="5">
        <v>0.0</v>
      </c>
      <c r="Q79" s="5">
        <v>0.0</v>
      </c>
      <c r="R79" s="5">
        <v>0.0</v>
      </c>
      <c r="S79" s="5">
        <v>0.0</v>
      </c>
      <c r="T79" s="5">
        <v>0.0</v>
      </c>
      <c r="U79" s="5">
        <v>0.0</v>
      </c>
      <c r="V79" s="5">
        <v>0.0</v>
      </c>
      <c r="W79" s="5">
        <v>0.0</v>
      </c>
      <c r="X79" s="5">
        <v>0.0</v>
      </c>
      <c r="Y79" s="5">
        <v>0.0</v>
      </c>
      <c r="Z79" s="5">
        <v>92.0</v>
      </c>
      <c r="AA79" s="5">
        <v>0.0</v>
      </c>
      <c r="AB79" s="5">
        <v>0.0</v>
      </c>
      <c r="AC79" s="5">
        <v>0.0</v>
      </c>
      <c r="AD79" s="5">
        <v>0.0</v>
      </c>
      <c r="AE79" s="5">
        <v>7.0</v>
      </c>
      <c r="AF79" s="7">
        <f t="shared" si="2"/>
        <v>0.3</v>
      </c>
      <c r="AG79" s="4" t="str">
        <f t="shared" si="3"/>
        <v>facturas,nota_debito,nota_credito,wildcards,</v>
      </c>
      <c r="AH79" s="5">
        <f t="shared" si="4"/>
        <v>6</v>
      </c>
      <c r="AI79" s="5">
        <f t="shared" ref="AI79:BB79" si="80">IF(COUNTIF(K$3:K79,"&gt;0")&gt;0,1,0)</f>
        <v>1</v>
      </c>
      <c r="AJ79" s="5">
        <f t="shared" si="80"/>
        <v>1</v>
      </c>
      <c r="AK79" s="5">
        <f t="shared" si="80"/>
        <v>1</v>
      </c>
      <c r="AL79" s="5">
        <f t="shared" si="80"/>
        <v>1</v>
      </c>
      <c r="AM79" s="5">
        <f t="shared" si="80"/>
        <v>1</v>
      </c>
      <c r="AN79" s="5">
        <f t="shared" si="80"/>
        <v>0</v>
      </c>
      <c r="AO79" s="5">
        <f t="shared" si="80"/>
        <v>0</v>
      </c>
      <c r="AP79" s="5">
        <f t="shared" si="80"/>
        <v>0</v>
      </c>
      <c r="AQ79" s="5">
        <f t="shared" si="80"/>
        <v>0</v>
      </c>
      <c r="AR79" s="5">
        <f t="shared" si="80"/>
        <v>0</v>
      </c>
      <c r="AS79" s="5">
        <f t="shared" si="80"/>
        <v>0</v>
      </c>
      <c r="AT79" s="5">
        <f t="shared" si="80"/>
        <v>0</v>
      </c>
      <c r="AU79" s="5">
        <f t="shared" si="80"/>
        <v>0</v>
      </c>
      <c r="AV79" s="5">
        <f t="shared" si="80"/>
        <v>0</v>
      </c>
      <c r="AW79" s="5">
        <f t="shared" si="80"/>
        <v>0</v>
      </c>
      <c r="AX79" s="5">
        <f t="shared" si="80"/>
        <v>1</v>
      </c>
      <c r="AY79" s="5">
        <f t="shared" si="80"/>
        <v>0</v>
      </c>
      <c r="AZ79" s="5">
        <f t="shared" si="80"/>
        <v>0</v>
      </c>
      <c r="BA79" s="5">
        <f t="shared" si="80"/>
        <v>0</v>
      </c>
      <c r="BB79" s="5">
        <f t="shared" si="80"/>
        <v>0</v>
      </c>
    </row>
    <row r="80">
      <c r="A80" s="5">
        <v>15.0</v>
      </c>
      <c r="B80" s="4" t="s">
        <v>260</v>
      </c>
      <c r="C80" s="5">
        <v>9.0122904E8</v>
      </c>
      <c r="D80" s="4" t="s">
        <v>261</v>
      </c>
      <c r="E80" s="4" t="s">
        <v>262</v>
      </c>
      <c r="F80" s="5">
        <v>506.0</v>
      </c>
      <c r="G80" s="5">
        <v>78.0</v>
      </c>
      <c r="H80" s="5">
        <v>45.0</v>
      </c>
      <c r="I80" s="5">
        <v>0.0</v>
      </c>
      <c r="J80" s="5">
        <v>4.0</v>
      </c>
      <c r="K80" s="5">
        <v>465.0</v>
      </c>
      <c r="L80" s="5">
        <v>4.0</v>
      </c>
      <c r="M80" s="5">
        <v>37.0</v>
      </c>
      <c r="N80" s="5">
        <v>0.0</v>
      </c>
      <c r="O80" s="5">
        <v>0.0</v>
      </c>
      <c r="P80" s="5">
        <v>0.0</v>
      </c>
      <c r="Q80" s="5">
        <v>0.0</v>
      </c>
      <c r="R80" s="5">
        <v>0.0</v>
      </c>
      <c r="S80" s="5">
        <v>0.0</v>
      </c>
      <c r="T80" s="5">
        <v>0.0</v>
      </c>
      <c r="U80" s="5">
        <v>0.0</v>
      </c>
      <c r="V80" s="5">
        <v>0.0</v>
      </c>
      <c r="W80" s="5">
        <v>0.0</v>
      </c>
      <c r="X80" s="5">
        <v>0.0</v>
      </c>
      <c r="Y80" s="5">
        <v>0.0</v>
      </c>
      <c r="Z80" s="5">
        <v>512.0</v>
      </c>
      <c r="AA80" s="5">
        <v>0.0</v>
      </c>
      <c r="AB80" s="5">
        <v>0.0</v>
      </c>
      <c r="AC80" s="5">
        <v>0.0</v>
      </c>
      <c r="AD80" s="5">
        <v>0.0</v>
      </c>
      <c r="AE80" s="5">
        <v>7.0</v>
      </c>
      <c r="AF80" s="7">
        <f t="shared" si="2"/>
        <v>0.3</v>
      </c>
      <c r="AG80" s="4" t="str">
        <f t="shared" si="3"/>
        <v>facturas,nota_debito,nota_credito,wildcards,</v>
      </c>
      <c r="AH80" s="5">
        <f t="shared" si="4"/>
        <v>6</v>
      </c>
      <c r="AI80" s="5">
        <f t="shared" ref="AI80:BB80" si="81">IF(COUNTIF(K$3:K80,"&gt;0")&gt;0,1,0)</f>
        <v>1</v>
      </c>
      <c r="AJ80" s="5">
        <f t="shared" si="81"/>
        <v>1</v>
      </c>
      <c r="AK80" s="5">
        <f t="shared" si="81"/>
        <v>1</v>
      </c>
      <c r="AL80" s="5">
        <f t="shared" si="81"/>
        <v>1</v>
      </c>
      <c r="AM80" s="5">
        <f t="shared" si="81"/>
        <v>1</v>
      </c>
      <c r="AN80" s="5">
        <f t="shared" si="81"/>
        <v>0</v>
      </c>
      <c r="AO80" s="5">
        <f t="shared" si="81"/>
        <v>0</v>
      </c>
      <c r="AP80" s="5">
        <f t="shared" si="81"/>
        <v>0</v>
      </c>
      <c r="AQ80" s="5">
        <f t="shared" si="81"/>
        <v>0</v>
      </c>
      <c r="AR80" s="5">
        <f t="shared" si="81"/>
        <v>0</v>
      </c>
      <c r="AS80" s="5">
        <f t="shared" si="81"/>
        <v>0</v>
      </c>
      <c r="AT80" s="5">
        <f t="shared" si="81"/>
        <v>0</v>
      </c>
      <c r="AU80" s="5">
        <f t="shared" si="81"/>
        <v>0</v>
      </c>
      <c r="AV80" s="5">
        <f t="shared" si="81"/>
        <v>0</v>
      </c>
      <c r="AW80" s="5">
        <f t="shared" si="81"/>
        <v>0</v>
      </c>
      <c r="AX80" s="5">
        <f t="shared" si="81"/>
        <v>1</v>
      </c>
      <c r="AY80" s="5">
        <f t="shared" si="81"/>
        <v>0</v>
      </c>
      <c r="AZ80" s="5">
        <f t="shared" si="81"/>
        <v>0</v>
      </c>
      <c r="BA80" s="5">
        <f t="shared" si="81"/>
        <v>0</v>
      </c>
      <c r="BB80" s="5">
        <f t="shared" si="81"/>
        <v>0</v>
      </c>
    </row>
    <row r="81">
      <c r="A81" s="5">
        <v>205.0</v>
      </c>
      <c r="B81" s="4" t="s">
        <v>263</v>
      </c>
      <c r="C81" s="5">
        <v>9.00939273E8</v>
      </c>
      <c r="D81" s="4" t="s">
        <v>264</v>
      </c>
      <c r="E81" s="4" t="s">
        <v>265</v>
      </c>
      <c r="F81" s="5">
        <v>2939.0</v>
      </c>
      <c r="G81" s="5">
        <v>791.0</v>
      </c>
      <c r="H81" s="5">
        <v>702.0</v>
      </c>
      <c r="I81" s="5">
        <v>16.0</v>
      </c>
      <c r="J81" s="5">
        <v>54.0</v>
      </c>
      <c r="K81" s="5">
        <v>2756.0</v>
      </c>
      <c r="L81" s="5">
        <v>3.0</v>
      </c>
      <c r="M81" s="5">
        <v>180.0</v>
      </c>
      <c r="N81" s="5">
        <v>0.0</v>
      </c>
      <c r="O81" s="5">
        <v>0.0</v>
      </c>
      <c r="P81" s="5">
        <v>0.0</v>
      </c>
      <c r="Q81" s="5">
        <v>0.0</v>
      </c>
      <c r="R81" s="5">
        <v>0.0</v>
      </c>
      <c r="S81" s="5">
        <v>0.0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95.0</v>
      </c>
      <c r="AA81" s="5">
        <v>0.0</v>
      </c>
      <c r="AB81" s="5">
        <v>0.0</v>
      </c>
      <c r="AC81" s="5">
        <v>0.0</v>
      </c>
      <c r="AD81" s="5">
        <v>0.0</v>
      </c>
      <c r="AE81" s="5">
        <v>7.0</v>
      </c>
      <c r="AF81" s="7">
        <f t="shared" si="2"/>
        <v>0.3</v>
      </c>
      <c r="AG81" s="4" t="str">
        <f t="shared" si="3"/>
        <v>facturas,nota_debito,nota_credito,wildcards,</v>
      </c>
      <c r="AH81" s="5">
        <f t="shared" si="4"/>
        <v>6</v>
      </c>
      <c r="AI81" s="5">
        <f t="shared" ref="AI81:BB81" si="82">IF(COUNTIF(K$3:K81,"&gt;0")&gt;0,1,0)</f>
        <v>1</v>
      </c>
      <c r="AJ81" s="5">
        <f t="shared" si="82"/>
        <v>1</v>
      </c>
      <c r="AK81" s="5">
        <f t="shared" si="82"/>
        <v>1</v>
      </c>
      <c r="AL81" s="5">
        <f t="shared" si="82"/>
        <v>1</v>
      </c>
      <c r="AM81" s="5">
        <f t="shared" si="82"/>
        <v>1</v>
      </c>
      <c r="AN81" s="5">
        <f t="shared" si="82"/>
        <v>0</v>
      </c>
      <c r="AO81" s="5">
        <f t="shared" si="82"/>
        <v>0</v>
      </c>
      <c r="AP81" s="5">
        <f t="shared" si="82"/>
        <v>0</v>
      </c>
      <c r="AQ81" s="5">
        <f t="shared" si="82"/>
        <v>0</v>
      </c>
      <c r="AR81" s="5">
        <f t="shared" si="82"/>
        <v>0</v>
      </c>
      <c r="AS81" s="5">
        <f t="shared" si="82"/>
        <v>0</v>
      </c>
      <c r="AT81" s="5">
        <f t="shared" si="82"/>
        <v>0</v>
      </c>
      <c r="AU81" s="5">
        <f t="shared" si="82"/>
        <v>0</v>
      </c>
      <c r="AV81" s="5">
        <f t="shared" si="82"/>
        <v>0</v>
      </c>
      <c r="AW81" s="5">
        <f t="shared" si="82"/>
        <v>0</v>
      </c>
      <c r="AX81" s="5">
        <f t="shared" si="82"/>
        <v>1</v>
      </c>
      <c r="AY81" s="5">
        <f t="shared" si="82"/>
        <v>0</v>
      </c>
      <c r="AZ81" s="5">
        <f t="shared" si="82"/>
        <v>0</v>
      </c>
      <c r="BA81" s="5">
        <f t="shared" si="82"/>
        <v>0</v>
      </c>
      <c r="BB81" s="5">
        <f t="shared" si="82"/>
        <v>0</v>
      </c>
    </row>
    <row r="82">
      <c r="A82" s="5">
        <v>481.0</v>
      </c>
      <c r="B82" s="4" t="s">
        <v>266</v>
      </c>
      <c r="C82" s="5">
        <v>9.00065938E8</v>
      </c>
      <c r="D82" s="4" t="s">
        <v>267</v>
      </c>
      <c r="E82" s="4" t="s">
        <v>268</v>
      </c>
      <c r="F82" s="5">
        <v>91.0</v>
      </c>
      <c r="G82" s="5">
        <v>39.0</v>
      </c>
      <c r="H82" s="5">
        <v>38.0</v>
      </c>
      <c r="I82" s="5">
        <v>1.0</v>
      </c>
      <c r="J82" s="5">
        <v>4.0</v>
      </c>
      <c r="K82" s="5">
        <v>89.0</v>
      </c>
      <c r="L82" s="5">
        <v>0.0</v>
      </c>
      <c r="M82" s="5">
        <v>2.0</v>
      </c>
      <c r="N82" s="5">
        <v>0.0</v>
      </c>
      <c r="O82" s="5">
        <v>0.0</v>
      </c>
      <c r="P82" s="5">
        <v>0.0</v>
      </c>
      <c r="Q82" s="5">
        <v>0.0</v>
      </c>
      <c r="R82" s="5">
        <v>0.0</v>
      </c>
      <c r="S82" s="5">
        <v>0.0</v>
      </c>
      <c r="T82" s="5">
        <v>60.0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94.0</v>
      </c>
      <c r="AA82" s="5">
        <v>0.0</v>
      </c>
      <c r="AB82" s="5">
        <v>0.0</v>
      </c>
      <c r="AC82" s="5">
        <v>0.0</v>
      </c>
      <c r="AD82" s="5">
        <v>0.0</v>
      </c>
      <c r="AE82" s="5">
        <v>7.0</v>
      </c>
      <c r="AF82" s="7">
        <f t="shared" si="2"/>
        <v>0.35</v>
      </c>
      <c r="AG82" s="4" t="str">
        <f t="shared" si="3"/>
        <v>facturas,nota_credito,maneja_adjunto,wildcards,</v>
      </c>
      <c r="AH82" s="5">
        <f t="shared" si="4"/>
        <v>7</v>
      </c>
      <c r="AI82" s="5">
        <f t="shared" ref="AI82:BB82" si="83">IF(COUNTIF(K$3:K82,"&gt;0")&gt;0,1,0)</f>
        <v>1</v>
      </c>
      <c r="AJ82" s="5">
        <f t="shared" si="83"/>
        <v>1</v>
      </c>
      <c r="AK82" s="5">
        <f t="shared" si="83"/>
        <v>1</v>
      </c>
      <c r="AL82" s="5">
        <f t="shared" si="83"/>
        <v>1</v>
      </c>
      <c r="AM82" s="5">
        <f t="shared" si="83"/>
        <v>1</v>
      </c>
      <c r="AN82" s="5">
        <f t="shared" si="83"/>
        <v>0</v>
      </c>
      <c r="AO82" s="5">
        <f t="shared" si="83"/>
        <v>0</v>
      </c>
      <c r="AP82" s="5">
        <f t="shared" si="83"/>
        <v>0</v>
      </c>
      <c r="AQ82" s="5">
        <f t="shared" si="83"/>
        <v>0</v>
      </c>
      <c r="AR82" s="5">
        <f t="shared" si="83"/>
        <v>1</v>
      </c>
      <c r="AS82" s="5">
        <f t="shared" si="83"/>
        <v>0</v>
      </c>
      <c r="AT82" s="5">
        <f t="shared" si="83"/>
        <v>0</v>
      </c>
      <c r="AU82" s="5">
        <f t="shared" si="83"/>
        <v>0</v>
      </c>
      <c r="AV82" s="5">
        <f t="shared" si="83"/>
        <v>0</v>
      </c>
      <c r="AW82" s="5">
        <f t="shared" si="83"/>
        <v>0</v>
      </c>
      <c r="AX82" s="5">
        <f t="shared" si="83"/>
        <v>1</v>
      </c>
      <c r="AY82" s="5">
        <f t="shared" si="83"/>
        <v>0</v>
      </c>
      <c r="AZ82" s="5">
        <f t="shared" si="83"/>
        <v>0</v>
      </c>
      <c r="BA82" s="5">
        <f t="shared" si="83"/>
        <v>0</v>
      </c>
      <c r="BB82" s="5">
        <f t="shared" si="83"/>
        <v>0</v>
      </c>
    </row>
    <row r="83">
      <c r="A83" s="5">
        <v>487.0</v>
      </c>
      <c r="B83" s="4" t="s">
        <v>269</v>
      </c>
      <c r="C83" s="5">
        <v>1.2107769E7</v>
      </c>
      <c r="D83" s="4" t="s">
        <v>270</v>
      </c>
      <c r="E83" s="4" t="s">
        <v>271</v>
      </c>
      <c r="F83" s="5">
        <v>321.0</v>
      </c>
      <c r="G83" s="5">
        <v>159.0</v>
      </c>
      <c r="H83" s="5">
        <v>124.0</v>
      </c>
      <c r="I83" s="5">
        <v>4.0</v>
      </c>
      <c r="J83" s="5">
        <v>11.0</v>
      </c>
      <c r="K83" s="5">
        <v>298.0</v>
      </c>
      <c r="L83" s="5">
        <v>0.0</v>
      </c>
      <c r="M83" s="5">
        <v>23.0</v>
      </c>
      <c r="N83" s="5">
        <v>0.0</v>
      </c>
      <c r="O83" s="5">
        <v>0.0</v>
      </c>
      <c r="P83" s="5">
        <v>0.0</v>
      </c>
      <c r="Q83" s="5">
        <v>0.0</v>
      </c>
      <c r="R83" s="5">
        <v>0.0</v>
      </c>
      <c r="S83" s="5">
        <v>0.0</v>
      </c>
      <c r="T83" s="5">
        <v>1.0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5">
        <v>286.0</v>
      </c>
      <c r="AA83" s="5">
        <v>0.0</v>
      </c>
      <c r="AB83" s="5">
        <v>0.0</v>
      </c>
      <c r="AC83" s="5">
        <v>0.0</v>
      </c>
      <c r="AD83" s="5">
        <v>0.0</v>
      </c>
      <c r="AE83" s="5">
        <v>7.0</v>
      </c>
      <c r="AF83" s="7">
        <f t="shared" si="2"/>
        <v>0.35</v>
      </c>
      <c r="AG83" s="4" t="str">
        <f t="shared" si="3"/>
        <v>facturas,nota_credito,maneja_adjunto,wildcards,</v>
      </c>
      <c r="AH83" s="5">
        <f t="shared" si="4"/>
        <v>7</v>
      </c>
      <c r="AI83" s="5">
        <f t="shared" ref="AI83:BB83" si="84">IF(COUNTIF(K$3:K83,"&gt;0")&gt;0,1,0)</f>
        <v>1</v>
      </c>
      <c r="AJ83" s="5">
        <f t="shared" si="84"/>
        <v>1</v>
      </c>
      <c r="AK83" s="5">
        <f t="shared" si="84"/>
        <v>1</v>
      </c>
      <c r="AL83" s="5">
        <f t="shared" si="84"/>
        <v>1</v>
      </c>
      <c r="AM83" s="5">
        <f t="shared" si="84"/>
        <v>1</v>
      </c>
      <c r="AN83" s="5">
        <f t="shared" si="84"/>
        <v>0</v>
      </c>
      <c r="AO83" s="5">
        <f t="shared" si="84"/>
        <v>0</v>
      </c>
      <c r="AP83" s="5">
        <f t="shared" si="84"/>
        <v>0</v>
      </c>
      <c r="AQ83" s="5">
        <f t="shared" si="84"/>
        <v>0</v>
      </c>
      <c r="AR83" s="5">
        <f t="shared" si="84"/>
        <v>1</v>
      </c>
      <c r="AS83" s="5">
        <f t="shared" si="84"/>
        <v>0</v>
      </c>
      <c r="AT83" s="5">
        <f t="shared" si="84"/>
        <v>0</v>
      </c>
      <c r="AU83" s="5">
        <f t="shared" si="84"/>
        <v>0</v>
      </c>
      <c r="AV83" s="5">
        <f t="shared" si="84"/>
        <v>0</v>
      </c>
      <c r="AW83" s="5">
        <f t="shared" si="84"/>
        <v>0</v>
      </c>
      <c r="AX83" s="5">
        <f t="shared" si="84"/>
        <v>1</v>
      </c>
      <c r="AY83" s="5">
        <f t="shared" si="84"/>
        <v>0</v>
      </c>
      <c r="AZ83" s="5">
        <f t="shared" si="84"/>
        <v>0</v>
      </c>
      <c r="BA83" s="5">
        <f t="shared" si="84"/>
        <v>0</v>
      </c>
      <c r="BB83" s="5">
        <f t="shared" si="84"/>
        <v>0</v>
      </c>
    </row>
    <row r="84">
      <c r="A84" s="5">
        <v>235.0</v>
      </c>
      <c r="B84" s="4" t="s">
        <v>272</v>
      </c>
      <c r="C84" s="5">
        <v>9.01159618E8</v>
      </c>
      <c r="D84" s="4" t="s">
        <v>273</v>
      </c>
      <c r="E84" s="4" t="s">
        <v>274</v>
      </c>
      <c r="F84" s="5">
        <v>548.0</v>
      </c>
      <c r="G84" s="5">
        <v>147.0</v>
      </c>
      <c r="H84" s="5">
        <v>83.0</v>
      </c>
      <c r="I84" s="5">
        <v>2.0</v>
      </c>
      <c r="J84" s="5">
        <v>5.0</v>
      </c>
      <c r="K84" s="5">
        <v>513.0</v>
      </c>
      <c r="L84" s="5">
        <v>0.0</v>
      </c>
      <c r="M84" s="5">
        <v>35.0</v>
      </c>
      <c r="N84" s="5">
        <v>0.0</v>
      </c>
      <c r="O84" s="5">
        <v>0.0</v>
      </c>
      <c r="P84" s="5">
        <v>1.0</v>
      </c>
      <c r="Q84" s="5">
        <v>0.0</v>
      </c>
      <c r="R84" s="5">
        <v>0.0</v>
      </c>
      <c r="S84" s="5">
        <v>0.0</v>
      </c>
      <c r="T84" s="5">
        <v>0.0</v>
      </c>
      <c r="U84" s="5">
        <v>0.0</v>
      </c>
      <c r="V84" s="5">
        <v>0.0</v>
      </c>
      <c r="W84" s="5">
        <v>0.0</v>
      </c>
      <c r="X84" s="5">
        <v>0.0</v>
      </c>
      <c r="Y84" s="5">
        <v>0.0</v>
      </c>
      <c r="Z84" s="5">
        <v>0.0</v>
      </c>
      <c r="AA84" s="5">
        <v>0.0</v>
      </c>
      <c r="AB84" s="5">
        <v>0.0</v>
      </c>
      <c r="AC84" s="5">
        <v>0.0</v>
      </c>
      <c r="AD84" s="5">
        <v>0.0</v>
      </c>
      <c r="AE84" s="5">
        <v>7.0</v>
      </c>
      <c r="AF84" s="7">
        <f t="shared" si="2"/>
        <v>0.4</v>
      </c>
      <c r="AG84" s="4" t="str">
        <f t="shared" si="3"/>
        <v>facturas,nota_credito,usa_Linea_CargoDescuento,</v>
      </c>
      <c r="AH84" s="5">
        <f t="shared" si="4"/>
        <v>8</v>
      </c>
      <c r="AI84" s="5">
        <f t="shared" ref="AI84:BB84" si="85">IF(COUNTIF(K$3:K84,"&gt;0")&gt;0,1,0)</f>
        <v>1</v>
      </c>
      <c r="AJ84" s="5">
        <f t="shared" si="85"/>
        <v>1</v>
      </c>
      <c r="AK84" s="5">
        <f t="shared" si="85"/>
        <v>1</v>
      </c>
      <c r="AL84" s="5">
        <f t="shared" si="85"/>
        <v>1</v>
      </c>
      <c r="AM84" s="5">
        <f t="shared" si="85"/>
        <v>1</v>
      </c>
      <c r="AN84" s="5">
        <f t="shared" si="85"/>
        <v>1</v>
      </c>
      <c r="AO84" s="5">
        <f t="shared" si="85"/>
        <v>0</v>
      </c>
      <c r="AP84" s="5">
        <f t="shared" si="85"/>
        <v>0</v>
      </c>
      <c r="AQ84" s="5">
        <f t="shared" si="85"/>
        <v>0</v>
      </c>
      <c r="AR84" s="5">
        <f t="shared" si="85"/>
        <v>1</v>
      </c>
      <c r="AS84" s="5">
        <f t="shared" si="85"/>
        <v>0</v>
      </c>
      <c r="AT84" s="5">
        <f t="shared" si="85"/>
        <v>0</v>
      </c>
      <c r="AU84" s="5">
        <f t="shared" si="85"/>
        <v>0</v>
      </c>
      <c r="AV84" s="5">
        <f t="shared" si="85"/>
        <v>0</v>
      </c>
      <c r="AW84" s="5">
        <f t="shared" si="85"/>
        <v>0</v>
      </c>
      <c r="AX84" s="5">
        <f t="shared" si="85"/>
        <v>1</v>
      </c>
      <c r="AY84" s="5">
        <f t="shared" si="85"/>
        <v>0</v>
      </c>
      <c r="AZ84" s="5">
        <f t="shared" si="85"/>
        <v>0</v>
      </c>
      <c r="BA84" s="5">
        <f t="shared" si="85"/>
        <v>0</v>
      </c>
      <c r="BB84" s="5">
        <f t="shared" si="85"/>
        <v>0</v>
      </c>
    </row>
    <row r="85">
      <c r="A85" s="5">
        <v>6.0</v>
      </c>
      <c r="B85" s="4" t="s">
        <v>275</v>
      </c>
      <c r="C85" s="5">
        <v>8.90909034E8</v>
      </c>
      <c r="D85" s="4" t="s">
        <v>276</v>
      </c>
      <c r="E85" s="4" t="s">
        <v>277</v>
      </c>
      <c r="F85" s="5">
        <v>189.0</v>
      </c>
      <c r="G85" s="5">
        <v>50.0</v>
      </c>
      <c r="H85" s="5">
        <v>65.0</v>
      </c>
      <c r="I85" s="5">
        <v>8.0</v>
      </c>
      <c r="J85" s="5">
        <v>6.0</v>
      </c>
      <c r="K85" s="5">
        <v>181.0</v>
      </c>
      <c r="L85" s="5">
        <v>0.0</v>
      </c>
      <c r="M85" s="5">
        <v>8.0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  <c r="S85" s="5">
        <v>0.0</v>
      </c>
      <c r="T85" s="5">
        <v>0.0</v>
      </c>
      <c r="U85" s="5">
        <v>0.0</v>
      </c>
      <c r="V85" s="5">
        <v>0.0</v>
      </c>
      <c r="W85" s="5">
        <v>0.0</v>
      </c>
      <c r="X85" s="5">
        <v>0.0</v>
      </c>
      <c r="Y85" s="5">
        <v>0.0</v>
      </c>
      <c r="Z85" s="5">
        <v>0.0</v>
      </c>
      <c r="AA85" s="5">
        <v>4.0</v>
      </c>
      <c r="AB85" s="5">
        <v>0.0</v>
      </c>
      <c r="AC85" s="5">
        <v>0.0</v>
      </c>
      <c r="AD85" s="5">
        <v>0.0</v>
      </c>
      <c r="AE85" s="5">
        <v>8.0</v>
      </c>
      <c r="AF85" s="7">
        <f t="shared" si="2"/>
        <v>0.45</v>
      </c>
      <c r="AG85" s="4" t="str">
        <f t="shared" si="3"/>
        <v>facturas,nota_credito,encabezado_referencias_documento,</v>
      </c>
      <c r="AH85" s="5">
        <f t="shared" si="4"/>
        <v>9</v>
      </c>
      <c r="AI85" s="5">
        <f t="shared" ref="AI85:BB85" si="86">IF(COUNTIF(K$3:K85,"&gt;0")&gt;0,1,0)</f>
        <v>1</v>
      </c>
      <c r="AJ85" s="5">
        <f t="shared" si="86"/>
        <v>1</v>
      </c>
      <c r="AK85" s="5">
        <f t="shared" si="86"/>
        <v>1</v>
      </c>
      <c r="AL85" s="5">
        <f t="shared" si="86"/>
        <v>1</v>
      </c>
      <c r="AM85" s="5">
        <f t="shared" si="86"/>
        <v>1</v>
      </c>
      <c r="AN85" s="5">
        <f t="shared" si="86"/>
        <v>1</v>
      </c>
      <c r="AO85" s="5">
        <f t="shared" si="86"/>
        <v>0</v>
      </c>
      <c r="AP85" s="5">
        <f t="shared" si="86"/>
        <v>0</v>
      </c>
      <c r="AQ85" s="5">
        <f t="shared" si="86"/>
        <v>0</v>
      </c>
      <c r="AR85" s="5">
        <f t="shared" si="86"/>
        <v>1</v>
      </c>
      <c r="AS85" s="5">
        <f t="shared" si="86"/>
        <v>0</v>
      </c>
      <c r="AT85" s="5">
        <f t="shared" si="86"/>
        <v>0</v>
      </c>
      <c r="AU85" s="5">
        <f t="shared" si="86"/>
        <v>0</v>
      </c>
      <c r="AV85" s="5">
        <f t="shared" si="86"/>
        <v>0</v>
      </c>
      <c r="AW85" s="5">
        <f t="shared" si="86"/>
        <v>0</v>
      </c>
      <c r="AX85" s="5">
        <f t="shared" si="86"/>
        <v>1</v>
      </c>
      <c r="AY85" s="5">
        <f t="shared" si="86"/>
        <v>1</v>
      </c>
      <c r="AZ85" s="5">
        <f t="shared" si="86"/>
        <v>0</v>
      </c>
      <c r="BA85" s="5">
        <f t="shared" si="86"/>
        <v>0</v>
      </c>
      <c r="BB85" s="5">
        <f t="shared" si="86"/>
        <v>0</v>
      </c>
    </row>
    <row r="86">
      <c r="A86" s="5">
        <v>340.0</v>
      </c>
      <c r="B86" s="4" t="s">
        <v>278</v>
      </c>
      <c r="C86" s="5">
        <v>9.00852473E8</v>
      </c>
      <c r="D86" s="4" t="s">
        <v>279</v>
      </c>
      <c r="E86" s="4" t="s">
        <v>280</v>
      </c>
      <c r="F86" s="5">
        <v>118.0</v>
      </c>
      <c r="G86" s="5">
        <v>10.0</v>
      </c>
      <c r="H86" s="5">
        <v>32.0</v>
      </c>
      <c r="I86" s="5">
        <v>1.0</v>
      </c>
      <c r="J86" s="5">
        <v>6.0</v>
      </c>
      <c r="K86" s="5">
        <v>100.0</v>
      </c>
      <c r="L86" s="5">
        <v>0.0</v>
      </c>
      <c r="M86" s="5">
        <v>18.0</v>
      </c>
      <c r="N86" s="5">
        <v>0.0</v>
      </c>
      <c r="O86" s="5">
        <v>0.0</v>
      </c>
      <c r="P86" s="5">
        <v>0.0</v>
      </c>
      <c r="Q86" s="5">
        <v>0.0</v>
      </c>
      <c r="R86" s="5">
        <v>0.0</v>
      </c>
      <c r="S86" s="5">
        <v>0.0</v>
      </c>
      <c r="T86" s="5">
        <v>0.0</v>
      </c>
      <c r="U86" s="5">
        <v>0.0</v>
      </c>
      <c r="V86" s="5">
        <v>0.0</v>
      </c>
      <c r="W86" s="5">
        <v>0.0</v>
      </c>
      <c r="X86" s="5">
        <v>0.0</v>
      </c>
      <c r="Y86" s="5">
        <v>0.0</v>
      </c>
      <c r="Z86" s="5">
        <v>0.0</v>
      </c>
      <c r="AA86" s="5">
        <v>3.0</v>
      </c>
      <c r="AB86" s="5">
        <v>0.0</v>
      </c>
      <c r="AC86" s="5">
        <v>0.0</v>
      </c>
      <c r="AD86" s="5">
        <v>0.0</v>
      </c>
      <c r="AE86" s="5">
        <v>8.0</v>
      </c>
      <c r="AF86" s="7">
        <f t="shared" si="2"/>
        <v>0.45</v>
      </c>
      <c r="AG86" s="4" t="str">
        <f t="shared" si="3"/>
        <v>facturas,nota_credito,encabezado_referencias_documento,</v>
      </c>
      <c r="AH86" s="5">
        <f t="shared" si="4"/>
        <v>9</v>
      </c>
      <c r="AI86" s="5">
        <f t="shared" ref="AI86:BB86" si="87">IF(COUNTIF(K$3:K86,"&gt;0")&gt;0,1,0)</f>
        <v>1</v>
      </c>
      <c r="AJ86" s="5">
        <f t="shared" si="87"/>
        <v>1</v>
      </c>
      <c r="AK86" s="5">
        <f t="shared" si="87"/>
        <v>1</v>
      </c>
      <c r="AL86" s="5">
        <f t="shared" si="87"/>
        <v>1</v>
      </c>
      <c r="AM86" s="5">
        <f t="shared" si="87"/>
        <v>1</v>
      </c>
      <c r="AN86" s="5">
        <f t="shared" si="87"/>
        <v>1</v>
      </c>
      <c r="AO86" s="5">
        <f t="shared" si="87"/>
        <v>0</v>
      </c>
      <c r="AP86" s="5">
        <f t="shared" si="87"/>
        <v>0</v>
      </c>
      <c r="AQ86" s="5">
        <f t="shared" si="87"/>
        <v>0</v>
      </c>
      <c r="AR86" s="5">
        <f t="shared" si="87"/>
        <v>1</v>
      </c>
      <c r="AS86" s="5">
        <f t="shared" si="87"/>
        <v>0</v>
      </c>
      <c r="AT86" s="5">
        <f t="shared" si="87"/>
        <v>0</v>
      </c>
      <c r="AU86" s="5">
        <f t="shared" si="87"/>
        <v>0</v>
      </c>
      <c r="AV86" s="5">
        <f t="shared" si="87"/>
        <v>0</v>
      </c>
      <c r="AW86" s="5">
        <f t="shared" si="87"/>
        <v>0</v>
      </c>
      <c r="AX86" s="5">
        <f t="shared" si="87"/>
        <v>1</v>
      </c>
      <c r="AY86" s="5">
        <f t="shared" si="87"/>
        <v>1</v>
      </c>
      <c r="AZ86" s="5">
        <f t="shared" si="87"/>
        <v>0</v>
      </c>
      <c r="BA86" s="5">
        <f t="shared" si="87"/>
        <v>0</v>
      </c>
      <c r="BB86" s="5">
        <f t="shared" si="87"/>
        <v>0</v>
      </c>
    </row>
    <row r="87">
      <c r="A87" s="5">
        <v>384.0</v>
      </c>
      <c r="B87" s="4" t="s">
        <v>281</v>
      </c>
      <c r="C87" s="5">
        <v>9.01527939E8</v>
      </c>
      <c r="D87" s="4" t="s">
        <v>282</v>
      </c>
      <c r="E87" s="4" t="s">
        <v>283</v>
      </c>
      <c r="F87" s="5">
        <v>295.0</v>
      </c>
      <c r="G87" s="5">
        <v>78.0</v>
      </c>
      <c r="H87" s="5">
        <v>72.0</v>
      </c>
      <c r="I87" s="5">
        <v>4.0</v>
      </c>
      <c r="J87" s="5">
        <v>5.0</v>
      </c>
      <c r="K87" s="5">
        <v>272.0</v>
      </c>
      <c r="L87" s="5">
        <v>0.0</v>
      </c>
      <c r="M87" s="5">
        <v>23.0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  <c r="S87" s="5">
        <v>0.0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0.0</v>
      </c>
      <c r="AA87" s="5">
        <v>117.0</v>
      </c>
      <c r="AB87" s="5">
        <v>0.0</v>
      </c>
      <c r="AC87" s="5">
        <v>0.0</v>
      </c>
      <c r="AD87" s="5">
        <v>0.0</v>
      </c>
      <c r="AE87" s="5">
        <v>8.0</v>
      </c>
      <c r="AF87" s="7">
        <f t="shared" si="2"/>
        <v>0.45</v>
      </c>
      <c r="AG87" s="4" t="str">
        <f t="shared" si="3"/>
        <v>facturas,nota_credito,encabezado_referencias_documento,</v>
      </c>
      <c r="AH87" s="5">
        <f t="shared" si="4"/>
        <v>9</v>
      </c>
      <c r="AI87" s="5">
        <f t="shared" ref="AI87:BB87" si="88">IF(COUNTIF(K$3:K87,"&gt;0")&gt;0,1,0)</f>
        <v>1</v>
      </c>
      <c r="AJ87" s="5">
        <f t="shared" si="88"/>
        <v>1</v>
      </c>
      <c r="AK87" s="5">
        <f t="shared" si="88"/>
        <v>1</v>
      </c>
      <c r="AL87" s="5">
        <f t="shared" si="88"/>
        <v>1</v>
      </c>
      <c r="AM87" s="5">
        <f t="shared" si="88"/>
        <v>1</v>
      </c>
      <c r="AN87" s="5">
        <f t="shared" si="88"/>
        <v>1</v>
      </c>
      <c r="AO87" s="5">
        <f t="shared" si="88"/>
        <v>0</v>
      </c>
      <c r="AP87" s="5">
        <f t="shared" si="88"/>
        <v>0</v>
      </c>
      <c r="AQ87" s="5">
        <f t="shared" si="88"/>
        <v>0</v>
      </c>
      <c r="AR87" s="5">
        <f t="shared" si="88"/>
        <v>1</v>
      </c>
      <c r="AS87" s="5">
        <f t="shared" si="88"/>
        <v>0</v>
      </c>
      <c r="AT87" s="5">
        <f t="shared" si="88"/>
        <v>0</v>
      </c>
      <c r="AU87" s="5">
        <f t="shared" si="88"/>
        <v>0</v>
      </c>
      <c r="AV87" s="5">
        <f t="shared" si="88"/>
        <v>0</v>
      </c>
      <c r="AW87" s="5">
        <f t="shared" si="88"/>
        <v>0</v>
      </c>
      <c r="AX87" s="5">
        <f t="shared" si="88"/>
        <v>1</v>
      </c>
      <c r="AY87" s="5">
        <f t="shared" si="88"/>
        <v>1</v>
      </c>
      <c r="AZ87" s="5">
        <f t="shared" si="88"/>
        <v>0</v>
      </c>
      <c r="BA87" s="5">
        <f t="shared" si="88"/>
        <v>0</v>
      </c>
      <c r="BB87" s="5">
        <f t="shared" si="88"/>
        <v>0</v>
      </c>
    </row>
    <row r="88">
      <c r="A88" s="5">
        <v>115.0</v>
      </c>
      <c r="B88" s="4" t="s">
        <v>284</v>
      </c>
      <c r="C88" s="5">
        <v>9.00650769E8</v>
      </c>
      <c r="D88" s="4" t="s">
        <v>285</v>
      </c>
      <c r="E88" s="4" t="s">
        <v>286</v>
      </c>
      <c r="F88" s="5">
        <v>1001.0</v>
      </c>
      <c r="G88" s="5">
        <v>194.0</v>
      </c>
      <c r="H88" s="5">
        <v>191.0</v>
      </c>
      <c r="I88" s="5">
        <v>9.0</v>
      </c>
      <c r="J88" s="5">
        <v>22.0</v>
      </c>
      <c r="K88" s="5">
        <v>930.0</v>
      </c>
      <c r="L88" s="5">
        <v>0.0</v>
      </c>
      <c r="M88" s="5">
        <v>71.0</v>
      </c>
      <c r="N88" s="5">
        <v>0.0</v>
      </c>
      <c r="O88" s="5">
        <v>0.0</v>
      </c>
      <c r="P88" s="5">
        <v>0.0</v>
      </c>
      <c r="Q88" s="5">
        <v>0.0</v>
      </c>
      <c r="R88" s="5">
        <v>0.0</v>
      </c>
      <c r="S88" s="5">
        <v>0.0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0.0</v>
      </c>
      <c r="AA88" s="5">
        <v>251.0</v>
      </c>
      <c r="AB88" s="5">
        <v>0.0</v>
      </c>
      <c r="AC88" s="5">
        <v>0.0</v>
      </c>
      <c r="AD88" s="5">
        <v>0.0</v>
      </c>
      <c r="AE88" s="5">
        <v>8.0</v>
      </c>
      <c r="AF88" s="7">
        <f t="shared" si="2"/>
        <v>0.45</v>
      </c>
      <c r="AG88" s="4" t="str">
        <f t="shared" si="3"/>
        <v>facturas,nota_credito,encabezado_referencias_documento,</v>
      </c>
      <c r="AH88" s="5">
        <f t="shared" si="4"/>
        <v>9</v>
      </c>
      <c r="AI88" s="5">
        <f t="shared" ref="AI88:BB88" si="89">IF(COUNTIF(K$3:K88,"&gt;0")&gt;0,1,0)</f>
        <v>1</v>
      </c>
      <c r="AJ88" s="5">
        <f t="shared" si="89"/>
        <v>1</v>
      </c>
      <c r="AK88" s="5">
        <f t="shared" si="89"/>
        <v>1</v>
      </c>
      <c r="AL88" s="5">
        <f t="shared" si="89"/>
        <v>1</v>
      </c>
      <c r="AM88" s="5">
        <f t="shared" si="89"/>
        <v>1</v>
      </c>
      <c r="AN88" s="5">
        <f t="shared" si="89"/>
        <v>1</v>
      </c>
      <c r="AO88" s="5">
        <f t="shared" si="89"/>
        <v>0</v>
      </c>
      <c r="AP88" s="5">
        <f t="shared" si="89"/>
        <v>0</v>
      </c>
      <c r="AQ88" s="5">
        <f t="shared" si="89"/>
        <v>0</v>
      </c>
      <c r="AR88" s="5">
        <f t="shared" si="89"/>
        <v>1</v>
      </c>
      <c r="AS88" s="5">
        <f t="shared" si="89"/>
        <v>0</v>
      </c>
      <c r="AT88" s="5">
        <f t="shared" si="89"/>
        <v>0</v>
      </c>
      <c r="AU88" s="5">
        <f t="shared" si="89"/>
        <v>0</v>
      </c>
      <c r="AV88" s="5">
        <f t="shared" si="89"/>
        <v>0</v>
      </c>
      <c r="AW88" s="5">
        <f t="shared" si="89"/>
        <v>0</v>
      </c>
      <c r="AX88" s="5">
        <f t="shared" si="89"/>
        <v>1</v>
      </c>
      <c r="AY88" s="5">
        <f t="shared" si="89"/>
        <v>1</v>
      </c>
      <c r="AZ88" s="5">
        <f t="shared" si="89"/>
        <v>0</v>
      </c>
      <c r="BA88" s="5">
        <f t="shared" si="89"/>
        <v>0</v>
      </c>
      <c r="BB88" s="5">
        <f t="shared" si="89"/>
        <v>0</v>
      </c>
    </row>
    <row r="89">
      <c r="A89" s="5">
        <v>572.0</v>
      </c>
      <c r="B89" s="4" t="s">
        <v>287</v>
      </c>
      <c r="C89" s="5">
        <v>9.00778735E8</v>
      </c>
      <c r="D89" s="4" t="s">
        <v>288</v>
      </c>
      <c r="E89" s="4" t="s">
        <v>289</v>
      </c>
      <c r="F89" s="5">
        <v>96.0</v>
      </c>
      <c r="G89" s="5">
        <v>20.0</v>
      </c>
      <c r="H89" s="5">
        <v>76.0</v>
      </c>
      <c r="I89" s="5">
        <v>1.0</v>
      </c>
      <c r="J89" s="5">
        <v>4.0</v>
      </c>
      <c r="K89" s="5">
        <v>77.0</v>
      </c>
      <c r="L89" s="5">
        <v>0.0</v>
      </c>
      <c r="M89" s="5">
        <v>19.0</v>
      </c>
      <c r="N89" s="5">
        <v>0.0</v>
      </c>
      <c r="O89" s="5">
        <v>0.0</v>
      </c>
      <c r="P89" s="5">
        <v>0.0</v>
      </c>
      <c r="Q89" s="5">
        <v>0.0</v>
      </c>
      <c r="R89" s="5">
        <v>75.0</v>
      </c>
      <c r="S89" s="5">
        <v>0.0</v>
      </c>
      <c r="T89" s="5">
        <v>0.0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5">
        <v>0.0</v>
      </c>
      <c r="AA89" s="5">
        <v>0.0</v>
      </c>
      <c r="AB89" s="5">
        <v>0.0</v>
      </c>
      <c r="AC89" s="5">
        <v>0.0</v>
      </c>
      <c r="AD89" s="5">
        <v>0.0</v>
      </c>
      <c r="AE89" s="5">
        <v>9.0</v>
      </c>
      <c r="AF89" s="7">
        <f t="shared" si="2"/>
        <v>0.5</v>
      </c>
      <c r="AG89" s="4" t="str">
        <f t="shared" si="3"/>
        <v>facturas,nota_credito,usa_Total_Remesas,</v>
      </c>
      <c r="AH89" s="5">
        <f t="shared" si="4"/>
        <v>10</v>
      </c>
      <c r="AI89" s="5">
        <f t="shared" ref="AI89:BB89" si="90">IF(COUNTIF(K$3:K89,"&gt;0")&gt;0,1,0)</f>
        <v>1</v>
      </c>
      <c r="AJ89" s="5">
        <f t="shared" si="90"/>
        <v>1</v>
      </c>
      <c r="AK89" s="5">
        <f t="shared" si="90"/>
        <v>1</v>
      </c>
      <c r="AL89" s="5">
        <f t="shared" si="90"/>
        <v>1</v>
      </c>
      <c r="AM89" s="5">
        <f t="shared" si="90"/>
        <v>1</v>
      </c>
      <c r="AN89" s="5">
        <f t="shared" si="90"/>
        <v>1</v>
      </c>
      <c r="AO89" s="5">
        <f t="shared" si="90"/>
        <v>0</v>
      </c>
      <c r="AP89" s="5">
        <f t="shared" si="90"/>
        <v>1</v>
      </c>
      <c r="AQ89" s="5">
        <f t="shared" si="90"/>
        <v>0</v>
      </c>
      <c r="AR89" s="5">
        <f t="shared" si="90"/>
        <v>1</v>
      </c>
      <c r="AS89" s="5">
        <f t="shared" si="90"/>
        <v>0</v>
      </c>
      <c r="AT89" s="5">
        <f t="shared" si="90"/>
        <v>0</v>
      </c>
      <c r="AU89" s="5">
        <f t="shared" si="90"/>
        <v>0</v>
      </c>
      <c r="AV89" s="5">
        <f t="shared" si="90"/>
        <v>0</v>
      </c>
      <c r="AW89" s="5">
        <f t="shared" si="90"/>
        <v>0</v>
      </c>
      <c r="AX89" s="5">
        <f t="shared" si="90"/>
        <v>1</v>
      </c>
      <c r="AY89" s="5">
        <f t="shared" si="90"/>
        <v>1</v>
      </c>
      <c r="AZ89" s="5">
        <f t="shared" si="90"/>
        <v>0</v>
      </c>
      <c r="BA89" s="5">
        <f t="shared" si="90"/>
        <v>0</v>
      </c>
      <c r="BB89" s="5">
        <f t="shared" si="90"/>
        <v>0</v>
      </c>
    </row>
    <row r="90">
      <c r="A90" s="5">
        <v>18.0</v>
      </c>
      <c r="B90" s="4" t="s">
        <v>290</v>
      </c>
      <c r="C90" s="5">
        <v>9.01002064E8</v>
      </c>
      <c r="D90" s="4" t="s">
        <v>291</v>
      </c>
      <c r="E90" s="4" t="s">
        <v>292</v>
      </c>
      <c r="F90" s="5">
        <v>404.0</v>
      </c>
      <c r="G90" s="5">
        <v>11.0</v>
      </c>
      <c r="H90" s="5">
        <v>27.0</v>
      </c>
      <c r="I90" s="5">
        <v>1.0</v>
      </c>
      <c r="J90" s="5">
        <v>0.0</v>
      </c>
      <c r="K90" s="5">
        <v>379.0</v>
      </c>
      <c r="L90" s="5">
        <v>0.0</v>
      </c>
      <c r="M90" s="5">
        <v>25.0</v>
      </c>
      <c r="N90" s="5">
        <v>0.0</v>
      </c>
      <c r="O90" s="5">
        <v>0.0</v>
      </c>
      <c r="P90" s="5">
        <v>0.0</v>
      </c>
      <c r="Q90" s="5">
        <v>0.0</v>
      </c>
      <c r="R90" s="5">
        <v>0.0</v>
      </c>
      <c r="S90" s="5">
        <v>0.0</v>
      </c>
      <c r="T90" s="5">
        <v>0.0</v>
      </c>
      <c r="U90" s="5">
        <v>0.0</v>
      </c>
      <c r="V90" s="5">
        <v>1.0</v>
      </c>
      <c r="W90" s="5">
        <v>0.0</v>
      </c>
      <c r="X90" s="5">
        <v>0.0</v>
      </c>
      <c r="Y90" s="5">
        <v>0.0</v>
      </c>
      <c r="Z90" s="5">
        <v>0.0</v>
      </c>
      <c r="AA90" s="5">
        <v>0.0</v>
      </c>
      <c r="AB90" s="5">
        <v>0.0</v>
      </c>
      <c r="AC90" s="5">
        <v>0.0</v>
      </c>
      <c r="AD90" s="5">
        <v>0.0</v>
      </c>
      <c r="AE90" s="5">
        <v>9.0</v>
      </c>
      <c r="AF90" s="7">
        <f t="shared" si="2"/>
        <v>0.55</v>
      </c>
      <c r="AG90" s="4" t="str">
        <f t="shared" si="3"/>
        <v>facturas,nota_credito,en_tercero_mandante,</v>
      </c>
      <c r="AH90" s="5">
        <f t="shared" si="4"/>
        <v>11</v>
      </c>
      <c r="AI90" s="5">
        <f t="shared" ref="AI90:BB90" si="91">IF(COUNTIF(K$3:K90,"&gt;0")&gt;0,1,0)</f>
        <v>1</v>
      </c>
      <c r="AJ90" s="5">
        <f t="shared" si="91"/>
        <v>1</v>
      </c>
      <c r="AK90" s="5">
        <f t="shared" si="91"/>
        <v>1</v>
      </c>
      <c r="AL90" s="5">
        <f t="shared" si="91"/>
        <v>1</v>
      </c>
      <c r="AM90" s="5">
        <f t="shared" si="91"/>
        <v>1</v>
      </c>
      <c r="AN90" s="5">
        <f t="shared" si="91"/>
        <v>1</v>
      </c>
      <c r="AO90" s="5">
        <f t="shared" si="91"/>
        <v>0</v>
      </c>
      <c r="AP90" s="5">
        <f t="shared" si="91"/>
        <v>1</v>
      </c>
      <c r="AQ90" s="5">
        <f t="shared" si="91"/>
        <v>0</v>
      </c>
      <c r="AR90" s="5">
        <f t="shared" si="91"/>
        <v>1</v>
      </c>
      <c r="AS90" s="5">
        <f t="shared" si="91"/>
        <v>0</v>
      </c>
      <c r="AT90" s="5">
        <f t="shared" si="91"/>
        <v>1</v>
      </c>
      <c r="AU90" s="5">
        <f t="shared" si="91"/>
        <v>0</v>
      </c>
      <c r="AV90" s="5">
        <f t="shared" si="91"/>
        <v>0</v>
      </c>
      <c r="AW90" s="5">
        <f t="shared" si="91"/>
        <v>0</v>
      </c>
      <c r="AX90" s="5">
        <f t="shared" si="91"/>
        <v>1</v>
      </c>
      <c r="AY90" s="5">
        <f t="shared" si="91"/>
        <v>1</v>
      </c>
      <c r="AZ90" s="5">
        <f t="shared" si="91"/>
        <v>0</v>
      </c>
      <c r="BA90" s="5">
        <f t="shared" si="91"/>
        <v>0</v>
      </c>
      <c r="BB90" s="5">
        <f t="shared" si="91"/>
        <v>0</v>
      </c>
    </row>
    <row r="91">
      <c r="A91" s="5">
        <v>492.0</v>
      </c>
      <c r="B91" s="4" t="s">
        <v>293</v>
      </c>
      <c r="C91" s="5">
        <v>9.00477056E8</v>
      </c>
      <c r="D91" s="4" t="s">
        <v>294</v>
      </c>
      <c r="E91" s="4" t="s">
        <v>295</v>
      </c>
      <c r="F91" s="5">
        <v>430.0</v>
      </c>
      <c r="G91" s="5">
        <v>202.0</v>
      </c>
      <c r="H91" s="5">
        <v>179.0</v>
      </c>
      <c r="I91" s="5">
        <v>6.0</v>
      </c>
      <c r="J91" s="5">
        <v>23.0</v>
      </c>
      <c r="K91" s="5">
        <v>380.0</v>
      </c>
      <c r="L91" s="5">
        <v>0.0</v>
      </c>
      <c r="M91" s="5">
        <v>50.0</v>
      </c>
      <c r="N91" s="5">
        <v>0.0</v>
      </c>
      <c r="O91" s="5">
        <v>0.0</v>
      </c>
      <c r="P91" s="5">
        <v>0.0</v>
      </c>
      <c r="Q91" s="5">
        <v>0.0</v>
      </c>
      <c r="R91" s="5">
        <v>0.0</v>
      </c>
      <c r="S91" s="5">
        <v>0.0</v>
      </c>
      <c r="T91" s="5">
        <v>0.0</v>
      </c>
      <c r="U91" s="5">
        <v>0.0</v>
      </c>
      <c r="V91" s="5">
        <v>2.0</v>
      </c>
      <c r="W91" s="5">
        <v>0.0</v>
      </c>
      <c r="X91" s="5">
        <v>0.0</v>
      </c>
      <c r="Y91" s="5">
        <v>0.0</v>
      </c>
      <c r="Z91" s="5">
        <v>0.0</v>
      </c>
      <c r="AA91" s="5">
        <v>0.0</v>
      </c>
      <c r="AB91" s="5">
        <v>0.0</v>
      </c>
      <c r="AC91" s="5">
        <v>0.0</v>
      </c>
      <c r="AD91" s="5">
        <v>0.0</v>
      </c>
      <c r="AE91" s="5">
        <v>9.0</v>
      </c>
      <c r="AF91" s="7">
        <f t="shared" si="2"/>
        <v>0.55</v>
      </c>
      <c r="AG91" s="4" t="str">
        <f t="shared" si="3"/>
        <v>facturas,nota_credito,en_tercero_mandante,</v>
      </c>
      <c r="AH91" s="5">
        <f t="shared" si="4"/>
        <v>11</v>
      </c>
      <c r="AI91" s="5">
        <f t="shared" ref="AI91:BB91" si="92">IF(COUNTIF(K$3:K91,"&gt;0")&gt;0,1,0)</f>
        <v>1</v>
      </c>
      <c r="AJ91" s="5">
        <f t="shared" si="92"/>
        <v>1</v>
      </c>
      <c r="AK91" s="5">
        <f t="shared" si="92"/>
        <v>1</v>
      </c>
      <c r="AL91" s="5">
        <f t="shared" si="92"/>
        <v>1</v>
      </c>
      <c r="AM91" s="5">
        <f t="shared" si="92"/>
        <v>1</v>
      </c>
      <c r="AN91" s="5">
        <f t="shared" si="92"/>
        <v>1</v>
      </c>
      <c r="AO91" s="5">
        <f t="shared" si="92"/>
        <v>0</v>
      </c>
      <c r="AP91" s="5">
        <f t="shared" si="92"/>
        <v>1</v>
      </c>
      <c r="AQ91" s="5">
        <f t="shared" si="92"/>
        <v>0</v>
      </c>
      <c r="AR91" s="5">
        <f t="shared" si="92"/>
        <v>1</v>
      </c>
      <c r="AS91" s="5">
        <f t="shared" si="92"/>
        <v>0</v>
      </c>
      <c r="AT91" s="5">
        <f t="shared" si="92"/>
        <v>1</v>
      </c>
      <c r="AU91" s="5">
        <f t="shared" si="92"/>
        <v>0</v>
      </c>
      <c r="AV91" s="5">
        <f t="shared" si="92"/>
        <v>0</v>
      </c>
      <c r="AW91" s="5">
        <f t="shared" si="92"/>
        <v>0</v>
      </c>
      <c r="AX91" s="5">
        <f t="shared" si="92"/>
        <v>1</v>
      </c>
      <c r="AY91" s="5">
        <f t="shared" si="92"/>
        <v>1</v>
      </c>
      <c r="AZ91" s="5">
        <f t="shared" si="92"/>
        <v>0</v>
      </c>
      <c r="BA91" s="5">
        <f t="shared" si="92"/>
        <v>0</v>
      </c>
      <c r="BB91" s="5">
        <f t="shared" si="92"/>
        <v>0</v>
      </c>
    </row>
    <row r="92">
      <c r="A92" s="5">
        <v>451.0</v>
      </c>
      <c r="B92" s="4" t="s">
        <v>296</v>
      </c>
      <c r="C92" s="5">
        <v>9.0098507E8</v>
      </c>
      <c r="D92" s="4" t="s">
        <v>297</v>
      </c>
      <c r="E92" s="4" t="s">
        <v>298</v>
      </c>
      <c r="F92" s="5">
        <v>1259.0</v>
      </c>
      <c r="G92" s="5">
        <v>24.0</v>
      </c>
      <c r="H92" s="5">
        <v>1204.0</v>
      </c>
      <c r="I92" s="5">
        <v>111.0</v>
      </c>
      <c r="J92" s="5">
        <v>214.0</v>
      </c>
      <c r="K92" s="5">
        <v>79.0</v>
      </c>
      <c r="L92" s="5">
        <v>0.0</v>
      </c>
      <c r="M92" s="5">
        <v>0.0</v>
      </c>
      <c r="N92" s="5">
        <v>1177.0</v>
      </c>
      <c r="O92" s="5">
        <v>3.0</v>
      </c>
      <c r="P92" s="5">
        <v>0.0</v>
      </c>
      <c r="Q92" s="5">
        <v>0.0</v>
      </c>
      <c r="R92" s="5">
        <v>0.0</v>
      </c>
      <c r="S92" s="5">
        <v>0.0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5">
        <v>0.0</v>
      </c>
      <c r="AA92" s="5">
        <v>0.0</v>
      </c>
      <c r="AB92" s="5">
        <v>0.0</v>
      </c>
      <c r="AC92" s="5">
        <v>0.0</v>
      </c>
      <c r="AD92" s="5">
        <v>0.0</v>
      </c>
      <c r="AE92" s="5">
        <v>9.0</v>
      </c>
      <c r="AF92" s="7">
        <f t="shared" si="2"/>
        <v>0.55</v>
      </c>
      <c r="AG92" s="4" t="str">
        <f t="shared" si="3"/>
        <v>facturas,documento_soporte,nota_doc_soporte,</v>
      </c>
      <c r="AH92" s="5">
        <f t="shared" si="4"/>
        <v>11</v>
      </c>
      <c r="AI92" s="5">
        <f t="shared" ref="AI92:BB92" si="93">IF(COUNTIF(K$3:K92,"&gt;0")&gt;0,1,0)</f>
        <v>1</v>
      </c>
      <c r="AJ92" s="5">
        <f t="shared" si="93"/>
        <v>1</v>
      </c>
      <c r="AK92" s="5">
        <f t="shared" si="93"/>
        <v>1</v>
      </c>
      <c r="AL92" s="5">
        <f t="shared" si="93"/>
        <v>1</v>
      </c>
      <c r="AM92" s="5">
        <f t="shared" si="93"/>
        <v>1</v>
      </c>
      <c r="AN92" s="5">
        <f t="shared" si="93"/>
        <v>1</v>
      </c>
      <c r="AO92" s="5">
        <f t="shared" si="93"/>
        <v>0</v>
      </c>
      <c r="AP92" s="5">
        <f t="shared" si="93"/>
        <v>1</v>
      </c>
      <c r="AQ92" s="5">
        <f t="shared" si="93"/>
        <v>0</v>
      </c>
      <c r="AR92" s="5">
        <f t="shared" si="93"/>
        <v>1</v>
      </c>
      <c r="AS92" s="5">
        <f t="shared" si="93"/>
        <v>0</v>
      </c>
      <c r="AT92" s="5">
        <f t="shared" si="93"/>
        <v>1</v>
      </c>
      <c r="AU92" s="5">
        <f t="shared" si="93"/>
        <v>0</v>
      </c>
      <c r="AV92" s="5">
        <f t="shared" si="93"/>
        <v>0</v>
      </c>
      <c r="AW92" s="5">
        <f t="shared" si="93"/>
        <v>0</v>
      </c>
      <c r="AX92" s="5">
        <f t="shared" si="93"/>
        <v>1</v>
      </c>
      <c r="AY92" s="5">
        <f t="shared" si="93"/>
        <v>1</v>
      </c>
      <c r="AZ92" s="5">
        <f t="shared" si="93"/>
        <v>0</v>
      </c>
      <c r="BA92" s="5">
        <f t="shared" si="93"/>
        <v>0</v>
      </c>
      <c r="BB92" s="5">
        <f t="shared" si="93"/>
        <v>0</v>
      </c>
    </row>
    <row r="93">
      <c r="A93" s="5">
        <v>225.0</v>
      </c>
      <c r="B93" s="4" t="s">
        <v>299</v>
      </c>
      <c r="C93" s="5">
        <v>7.9334466E7</v>
      </c>
      <c r="D93" s="4" t="s">
        <v>300</v>
      </c>
      <c r="E93" s="4" t="s">
        <v>301</v>
      </c>
      <c r="F93" s="5">
        <v>246.0</v>
      </c>
      <c r="G93" s="5">
        <v>53.0</v>
      </c>
      <c r="H93" s="5">
        <v>27.0</v>
      </c>
      <c r="I93" s="5">
        <v>1.0</v>
      </c>
      <c r="J93" s="5">
        <v>0.0</v>
      </c>
      <c r="K93" s="5">
        <v>235.0</v>
      </c>
      <c r="L93" s="5">
        <v>0.0</v>
      </c>
      <c r="M93" s="5">
        <v>11.0</v>
      </c>
      <c r="N93" s="5">
        <v>0.0</v>
      </c>
      <c r="O93" s="5">
        <v>0.0</v>
      </c>
      <c r="P93" s="5">
        <v>0.0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  <c r="V93" s="5">
        <v>0.0</v>
      </c>
      <c r="W93" s="5">
        <v>2.0</v>
      </c>
      <c r="X93" s="5">
        <v>0.0</v>
      </c>
      <c r="Y93" s="5">
        <v>0.0</v>
      </c>
      <c r="Z93" s="5">
        <v>0.0</v>
      </c>
      <c r="AA93" s="5">
        <v>0.0</v>
      </c>
      <c r="AB93" s="5">
        <v>0.0</v>
      </c>
      <c r="AC93" s="5">
        <v>0.0</v>
      </c>
      <c r="AD93" s="5">
        <v>0.0</v>
      </c>
      <c r="AE93" s="5">
        <v>10.0</v>
      </c>
      <c r="AF93" s="7">
        <f t="shared" si="2"/>
        <v>0.6</v>
      </c>
      <c r="AG93" s="4" t="str">
        <f t="shared" si="3"/>
        <v>facturas,nota_credito,linea_tercero_mandante,</v>
      </c>
      <c r="AH93" s="5">
        <f t="shared" si="4"/>
        <v>12</v>
      </c>
      <c r="AI93" s="5">
        <f t="shared" ref="AI93:BB93" si="94">IF(COUNTIF(K$3:K93,"&gt;0")&gt;0,1,0)</f>
        <v>1</v>
      </c>
      <c r="AJ93" s="5">
        <f t="shared" si="94"/>
        <v>1</v>
      </c>
      <c r="AK93" s="5">
        <f t="shared" si="94"/>
        <v>1</v>
      </c>
      <c r="AL93" s="5">
        <f t="shared" si="94"/>
        <v>1</v>
      </c>
      <c r="AM93" s="5">
        <f t="shared" si="94"/>
        <v>1</v>
      </c>
      <c r="AN93" s="5">
        <f t="shared" si="94"/>
        <v>1</v>
      </c>
      <c r="AO93" s="5">
        <f t="shared" si="94"/>
        <v>0</v>
      </c>
      <c r="AP93" s="5">
        <f t="shared" si="94"/>
        <v>1</v>
      </c>
      <c r="AQ93" s="5">
        <f t="shared" si="94"/>
        <v>0</v>
      </c>
      <c r="AR93" s="5">
        <f t="shared" si="94"/>
        <v>1</v>
      </c>
      <c r="AS93" s="5">
        <f t="shared" si="94"/>
        <v>0</v>
      </c>
      <c r="AT93" s="5">
        <f t="shared" si="94"/>
        <v>1</v>
      </c>
      <c r="AU93" s="5">
        <f t="shared" si="94"/>
        <v>1</v>
      </c>
      <c r="AV93" s="5">
        <f t="shared" si="94"/>
        <v>0</v>
      </c>
      <c r="AW93" s="5">
        <f t="shared" si="94"/>
        <v>0</v>
      </c>
      <c r="AX93" s="5">
        <f t="shared" si="94"/>
        <v>1</v>
      </c>
      <c r="AY93" s="5">
        <f t="shared" si="94"/>
        <v>1</v>
      </c>
      <c r="AZ93" s="5">
        <f t="shared" si="94"/>
        <v>0</v>
      </c>
      <c r="BA93" s="5">
        <f t="shared" si="94"/>
        <v>0</v>
      </c>
      <c r="BB93" s="5">
        <f t="shared" si="94"/>
        <v>0</v>
      </c>
    </row>
    <row r="94">
      <c r="A94" s="5">
        <v>475.0</v>
      </c>
      <c r="B94" s="4" t="s">
        <v>302</v>
      </c>
      <c r="C94" s="5">
        <v>1.3746451E7</v>
      </c>
      <c r="D94" s="4" t="s">
        <v>303</v>
      </c>
      <c r="E94" s="4" t="s">
        <v>304</v>
      </c>
      <c r="F94" s="5">
        <v>113.0</v>
      </c>
      <c r="G94" s="5">
        <v>27.0</v>
      </c>
      <c r="H94" s="5">
        <v>75.0</v>
      </c>
      <c r="I94" s="5">
        <v>6.0</v>
      </c>
      <c r="J94" s="5">
        <v>3.0</v>
      </c>
      <c r="K94" s="5">
        <v>111.0</v>
      </c>
      <c r="L94" s="5">
        <v>0.0</v>
      </c>
      <c r="M94" s="5">
        <v>2.0</v>
      </c>
      <c r="N94" s="5">
        <v>0.0</v>
      </c>
      <c r="O94" s="5">
        <v>0.0</v>
      </c>
      <c r="P94" s="5">
        <v>0.0</v>
      </c>
      <c r="Q94" s="5">
        <v>0.0</v>
      </c>
      <c r="R94" s="5">
        <v>0.0</v>
      </c>
      <c r="S94" s="5">
        <v>0.0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1.0</v>
      </c>
      <c r="AA94" s="5">
        <v>0.0</v>
      </c>
      <c r="AB94" s="5">
        <v>0.0</v>
      </c>
      <c r="AC94" s="5">
        <v>8.0</v>
      </c>
      <c r="AD94" s="5">
        <v>0.0</v>
      </c>
      <c r="AE94" s="5">
        <v>10.0</v>
      </c>
      <c r="AF94" s="7">
        <f t="shared" si="2"/>
        <v>0.65</v>
      </c>
      <c r="AG94" s="4" t="str">
        <f t="shared" si="3"/>
        <v>facturas,nota_credito,wildcards,maneja_anticipo,</v>
      </c>
      <c r="AH94" s="5">
        <f t="shared" si="4"/>
        <v>13</v>
      </c>
      <c r="AI94" s="5">
        <f t="shared" ref="AI94:BB94" si="95">IF(COUNTIF(K$3:K94,"&gt;0")&gt;0,1,0)</f>
        <v>1</v>
      </c>
      <c r="AJ94" s="5">
        <f t="shared" si="95"/>
        <v>1</v>
      </c>
      <c r="AK94" s="5">
        <f t="shared" si="95"/>
        <v>1</v>
      </c>
      <c r="AL94" s="5">
        <f t="shared" si="95"/>
        <v>1</v>
      </c>
      <c r="AM94" s="5">
        <f t="shared" si="95"/>
        <v>1</v>
      </c>
      <c r="AN94" s="5">
        <f t="shared" si="95"/>
        <v>1</v>
      </c>
      <c r="AO94" s="5">
        <f t="shared" si="95"/>
        <v>0</v>
      </c>
      <c r="AP94" s="5">
        <f t="shared" si="95"/>
        <v>1</v>
      </c>
      <c r="AQ94" s="5">
        <f t="shared" si="95"/>
        <v>0</v>
      </c>
      <c r="AR94" s="5">
        <f t="shared" si="95"/>
        <v>1</v>
      </c>
      <c r="AS94" s="5">
        <f t="shared" si="95"/>
        <v>0</v>
      </c>
      <c r="AT94" s="5">
        <f t="shared" si="95"/>
        <v>1</v>
      </c>
      <c r="AU94" s="5">
        <f t="shared" si="95"/>
        <v>1</v>
      </c>
      <c r="AV94" s="5">
        <f t="shared" si="95"/>
        <v>0</v>
      </c>
      <c r="AW94" s="5">
        <f t="shared" si="95"/>
        <v>0</v>
      </c>
      <c r="AX94" s="5">
        <f t="shared" si="95"/>
        <v>1</v>
      </c>
      <c r="AY94" s="5">
        <f t="shared" si="95"/>
        <v>1</v>
      </c>
      <c r="AZ94" s="5">
        <f t="shared" si="95"/>
        <v>0</v>
      </c>
      <c r="BA94" s="5">
        <f t="shared" si="95"/>
        <v>1</v>
      </c>
      <c r="BB94" s="5">
        <f t="shared" si="95"/>
        <v>0</v>
      </c>
    </row>
    <row r="95">
      <c r="A95" s="5">
        <v>512.0</v>
      </c>
      <c r="B95" s="4" t="s">
        <v>305</v>
      </c>
      <c r="C95" s="5">
        <v>9.00294608E8</v>
      </c>
      <c r="D95" s="4" t="s">
        <v>306</v>
      </c>
      <c r="E95" s="4" t="s">
        <v>307</v>
      </c>
      <c r="F95" s="5">
        <v>95.0</v>
      </c>
      <c r="G95" s="5">
        <v>0.0</v>
      </c>
      <c r="H95" s="5">
        <v>95.0</v>
      </c>
      <c r="I95" s="5">
        <v>6.0</v>
      </c>
      <c r="J95" s="5">
        <v>9.0</v>
      </c>
      <c r="K95" s="5">
        <v>71.0</v>
      </c>
      <c r="L95" s="5">
        <v>0.0</v>
      </c>
      <c r="M95" s="5">
        <v>24.0</v>
      </c>
      <c r="N95" s="5">
        <v>0.0</v>
      </c>
      <c r="O95" s="5">
        <v>0.0</v>
      </c>
      <c r="P95" s="5">
        <v>0.0</v>
      </c>
      <c r="Q95" s="5">
        <v>0.0</v>
      </c>
      <c r="R95" s="5">
        <v>208081.0</v>
      </c>
      <c r="S95" s="5">
        <v>0.0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5">
        <v>83.0</v>
      </c>
      <c r="AA95" s="5">
        <v>0.0</v>
      </c>
      <c r="AB95" s="5">
        <v>0.0</v>
      </c>
      <c r="AC95" s="5">
        <v>0.0</v>
      </c>
      <c r="AD95" s="5">
        <v>0.0</v>
      </c>
      <c r="AE95" s="5">
        <v>10.0</v>
      </c>
      <c r="AF95" s="7">
        <f t="shared" si="2"/>
        <v>0.65</v>
      </c>
      <c r="AG95" s="4" t="str">
        <f t="shared" si="3"/>
        <v>facturas,nota_credito,usa_Total_Remesas,wildcards,</v>
      </c>
      <c r="AH95" s="5">
        <f t="shared" si="4"/>
        <v>13</v>
      </c>
      <c r="AI95" s="5">
        <f t="shared" ref="AI95:BB95" si="96">IF(COUNTIF(K$3:K95,"&gt;0")&gt;0,1,0)</f>
        <v>1</v>
      </c>
      <c r="AJ95" s="5">
        <f t="shared" si="96"/>
        <v>1</v>
      </c>
      <c r="AK95" s="5">
        <f t="shared" si="96"/>
        <v>1</v>
      </c>
      <c r="AL95" s="5">
        <f t="shared" si="96"/>
        <v>1</v>
      </c>
      <c r="AM95" s="5">
        <f t="shared" si="96"/>
        <v>1</v>
      </c>
      <c r="AN95" s="5">
        <f t="shared" si="96"/>
        <v>1</v>
      </c>
      <c r="AO95" s="5">
        <f t="shared" si="96"/>
        <v>0</v>
      </c>
      <c r="AP95" s="5">
        <f t="shared" si="96"/>
        <v>1</v>
      </c>
      <c r="AQ95" s="5">
        <f t="shared" si="96"/>
        <v>0</v>
      </c>
      <c r="AR95" s="5">
        <f t="shared" si="96"/>
        <v>1</v>
      </c>
      <c r="AS95" s="5">
        <f t="shared" si="96"/>
        <v>0</v>
      </c>
      <c r="AT95" s="5">
        <f t="shared" si="96"/>
        <v>1</v>
      </c>
      <c r="AU95" s="5">
        <f t="shared" si="96"/>
        <v>1</v>
      </c>
      <c r="AV95" s="5">
        <f t="shared" si="96"/>
        <v>0</v>
      </c>
      <c r="AW95" s="5">
        <f t="shared" si="96"/>
        <v>0</v>
      </c>
      <c r="AX95" s="5">
        <f t="shared" si="96"/>
        <v>1</v>
      </c>
      <c r="AY95" s="5">
        <f t="shared" si="96"/>
        <v>1</v>
      </c>
      <c r="AZ95" s="5">
        <f t="shared" si="96"/>
        <v>0</v>
      </c>
      <c r="BA95" s="5">
        <f t="shared" si="96"/>
        <v>1</v>
      </c>
      <c r="BB95" s="5">
        <f t="shared" si="96"/>
        <v>0</v>
      </c>
    </row>
    <row r="96">
      <c r="A96" s="5">
        <v>582.0</v>
      </c>
      <c r="B96" s="4" t="s">
        <v>308</v>
      </c>
      <c r="C96" s="5">
        <v>9.0148346E8</v>
      </c>
      <c r="D96" s="4" t="s">
        <v>309</v>
      </c>
      <c r="E96" s="4" t="s">
        <v>310</v>
      </c>
      <c r="F96" s="5">
        <v>92.0</v>
      </c>
      <c r="G96" s="5">
        <v>11.0</v>
      </c>
      <c r="H96" s="5">
        <v>81.0</v>
      </c>
      <c r="I96" s="5">
        <v>6.0</v>
      </c>
      <c r="J96" s="5">
        <v>4.0</v>
      </c>
      <c r="K96" s="5">
        <v>79.0</v>
      </c>
      <c r="L96" s="5">
        <v>1.0</v>
      </c>
      <c r="M96" s="5">
        <v>12.0</v>
      </c>
      <c r="N96" s="5">
        <v>0.0</v>
      </c>
      <c r="O96" s="5">
        <v>0.0</v>
      </c>
      <c r="P96" s="5">
        <v>0.0</v>
      </c>
      <c r="Q96" s="5">
        <v>0.0</v>
      </c>
      <c r="R96" s="5">
        <v>33.0</v>
      </c>
      <c r="S96" s="5">
        <v>0.0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0.0</v>
      </c>
      <c r="AA96" s="5">
        <v>0.0</v>
      </c>
      <c r="AB96" s="5">
        <v>0.0</v>
      </c>
      <c r="AC96" s="5">
        <v>0.0</v>
      </c>
      <c r="AD96" s="5">
        <v>0.0</v>
      </c>
      <c r="AE96" s="5">
        <v>10.0</v>
      </c>
      <c r="AF96" s="7">
        <f t="shared" si="2"/>
        <v>0.65</v>
      </c>
      <c r="AG96" s="4" t="str">
        <f t="shared" si="3"/>
        <v>facturas,nota_debito,nota_credito,usa_Total_Remesas,</v>
      </c>
      <c r="AH96" s="5">
        <f t="shared" si="4"/>
        <v>13</v>
      </c>
      <c r="AI96" s="5">
        <f t="shared" ref="AI96:BB96" si="97">IF(COUNTIF(K$3:K96,"&gt;0")&gt;0,1,0)</f>
        <v>1</v>
      </c>
      <c r="AJ96" s="5">
        <f t="shared" si="97"/>
        <v>1</v>
      </c>
      <c r="AK96" s="5">
        <f t="shared" si="97"/>
        <v>1</v>
      </c>
      <c r="AL96" s="5">
        <f t="shared" si="97"/>
        <v>1</v>
      </c>
      <c r="AM96" s="5">
        <f t="shared" si="97"/>
        <v>1</v>
      </c>
      <c r="AN96" s="5">
        <f t="shared" si="97"/>
        <v>1</v>
      </c>
      <c r="AO96" s="5">
        <f t="shared" si="97"/>
        <v>0</v>
      </c>
      <c r="AP96" s="5">
        <f t="shared" si="97"/>
        <v>1</v>
      </c>
      <c r="AQ96" s="5">
        <f t="shared" si="97"/>
        <v>0</v>
      </c>
      <c r="AR96" s="5">
        <f t="shared" si="97"/>
        <v>1</v>
      </c>
      <c r="AS96" s="5">
        <f t="shared" si="97"/>
        <v>0</v>
      </c>
      <c r="AT96" s="5">
        <f t="shared" si="97"/>
        <v>1</v>
      </c>
      <c r="AU96" s="5">
        <f t="shared" si="97"/>
        <v>1</v>
      </c>
      <c r="AV96" s="5">
        <f t="shared" si="97"/>
        <v>0</v>
      </c>
      <c r="AW96" s="5">
        <f t="shared" si="97"/>
        <v>0</v>
      </c>
      <c r="AX96" s="5">
        <f t="shared" si="97"/>
        <v>1</v>
      </c>
      <c r="AY96" s="5">
        <f t="shared" si="97"/>
        <v>1</v>
      </c>
      <c r="AZ96" s="5">
        <f t="shared" si="97"/>
        <v>0</v>
      </c>
      <c r="BA96" s="5">
        <f t="shared" si="97"/>
        <v>1</v>
      </c>
      <c r="BB96" s="5">
        <f t="shared" si="97"/>
        <v>0</v>
      </c>
    </row>
    <row r="97">
      <c r="A97" s="5">
        <v>581.0</v>
      </c>
      <c r="B97" s="4" t="s">
        <v>311</v>
      </c>
      <c r="C97" s="5">
        <v>8.07004703E8</v>
      </c>
      <c r="D97" s="4" t="s">
        <v>312</v>
      </c>
      <c r="E97" s="4" t="s">
        <v>310</v>
      </c>
      <c r="F97" s="5">
        <v>894.0</v>
      </c>
      <c r="G97" s="5">
        <v>171.0</v>
      </c>
      <c r="H97" s="5">
        <v>723.0</v>
      </c>
      <c r="I97" s="5">
        <v>8.0</v>
      </c>
      <c r="J97" s="5">
        <v>48.0</v>
      </c>
      <c r="K97" s="5">
        <v>850.0</v>
      </c>
      <c r="L97" s="5">
        <v>1.0</v>
      </c>
      <c r="M97" s="5">
        <v>43.0</v>
      </c>
      <c r="N97" s="5">
        <v>0.0</v>
      </c>
      <c r="O97" s="5">
        <v>0.0</v>
      </c>
      <c r="P97" s="5">
        <v>0.0</v>
      </c>
      <c r="Q97" s="5">
        <v>0.0</v>
      </c>
      <c r="R97" s="5">
        <v>33.0</v>
      </c>
      <c r="S97" s="5">
        <v>0.0</v>
      </c>
      <c r="T97" s="5">
        <v>0.0</v>
      </c>
      <c r="U97" s="5">
        <v>0.0</v>
      </c>
      <c r="V97" s="5">
        <v>0.0</v>
      </c>
      <c r="W97" s="5">
        <v>0.0</v>
      </c>
      <c r="X97" s="5">
        <v>0.0</v>
      </c>
      <c r="Y97" s="5">
        <v>0.0</v>
      </c>
      <c r="Z97" s="5">
        <v>0.0</v>
      </c>
      <c r="AA97" s="5">
        <v>0.0</v>
      </c>
      <c r="AB97" s="5">
        <v>0.0</v>
      </c>
      <c r="AC97" s="5">
        <v>0.0</v>
      </c>
      <c r="AD97" s="5">
        <v>0.0</v>
      </c>
      <c r="AE97" s="5">
        <v>10.0</v>
      </c>
      <c r="AF97" s="7">
        <f t="shared" si="2"/>
        <v>0.65</v>
      </c>
      <c r="AG97" s="4" t="str">
        <f t="shared" si="3"/>
        <v>facturas,nota_debito,nota_credito,usa_Total_Remesas,</v>
      </c>
      <c r="AH97" s="5">
        <f t="shared" si="4"/>
        <v>13</v>
      </c>
      <c r="AI97" s="5">
        <f t="shared" ref="AI97:BB97" si="98">IF(COUNTIF(K$3:K97,"&gt;0")&gt;0,1,0)</f>
        <v>1</v>
      </c>
      <c r="AJ97" s="5">
        <f t="shared" si="98"/>
        <v>1</v>
      </c>
      <c r="AK97" s="5">
        <f t="shared" si="98"/>
        <v>1</v>
      </c>
      <c r="AL97" s="5">
        <f t="shared" si="98"/>
        <v>1</v>
      </c>
      <c r="AM97" s="5">
        <f t="shared" si="98"/>
        <v>1</v>
      </c>
      <c r="AN97" s="5">
        <f t="shared" si="98"/>
        <v>1</v>
      </c>
      <c r="AO97" s="5">
        <f t="shared" si="98"/>
        <v>0</v>
      </c>
      <c r="AP97" s="5">
        <f t="shared" si="98"/>
        <v>1</v>
      </c>
      <c r="AQ97" s="5">
        <f t="shared" si="98"/>
        <v>0</v>
      </c>
      <c r="AR97" s="5">
        <f t="shared" si="98"/>
        <v>1</v>
      </c>
      <c r="AS97" s="5">
        <f t="shared" si="98"/>
        <v>0</v>
      </c>
      <c r="AT97" s="5">
        <f t="shared" si="98"/>
        <v>1</v>
      </c>
      <c r="AU97" s="5">
        <f t="shared" si="98"/>
        <v>1</v>
      </c>
      <c r="AV97" s="5">
        <f t="shared" si="98"/>
        <v>0</v>
      </c>
      <c r="AW97" s="5">
        <f t="shared" si="98"/>
        <v>0</v>
      </c>
      <c r="AX97" s="5">
        <f t="shared" si="98"/>
        <v>1</v>
      </c>
      <c r="AY97" s="5">
        <f t="shared" si="98"/>
        <v>1</v>
      </c>
      <c r="AZ97" s="5">
        <f t="shared" si="98"/>
        <v>0</v>
      </c>
      <c r="BA97" s="5">
        <f t="shared" si="98"/>
        <v>1</v>
      </c>
      <c r="BB97" s="5">
        <f t="shared" si="98"/>
        <v>0</v>
      </c>
    </row>
    <row r="98">
      <c r="A98" s="5">
        <v>562.0</v>
      </c>
      <c r="B98" s="4" t="s">
        <v>313</v>
      </c>
      <c r="C98" s="5">
        <v>9.01232842E8</v>
      </c>
      <c r="D98" s="4" t="s">
        <v>314</v>
      </c>
      <c r="E98" s="4" t="s">
        <v>315</v>
      </c>
      <c r="F98" s="5">
        <v>134.0</v>
      </c>
      <c r="G98" s="5">
        <v>60.0</v>
      </c>
      <c r="H98" s="5">
        <v>74.0</v>
      </c>
      <c r="I98" s="5">
        <v>0.0</v>
      </c>
      <c r="J98" s="5">
        <v>5.0</v>
      </c>
      <c r="K98" s="5">
        <v>119.0</v>
      </c>
      <c r="L98" s="5">
        <v>0.0</v>
      </c>
      <c r="M98" s="5">
        <v>15.0</v>
      </c>
      <c r="N98" s="5">
        <v>0.0</v>
      </c>
      <c r="O98" s="5">
        <v>0.0</v>
      </c>
      <c r="P98" s="5">
        <v>0.0</v>
      </c>
      <c r="Q98" s="5">
        <v>0.0</v>
      </c>
      <c r="R98" s="5">
        <v>0.0</v>
      </c>
      <c r="S98" s="5">
        <v>0.0</v>
      </c>
      <c r="T98" s="5">
        <v>0.0</v>
      </c>
      <c r="U98" s="5">
        <v>0.0</v>
      </c>
      <c r="V98" s="5">
        <v>0.0</v>
      </c>
      <c r="W98" s="5">
        <v>0.0</v>
      </c>
      <c r="X98" s="5">
        <v>0.0</v>
      </c>
      <c r="Y98" s="5">
        <v>312.0</v>
      </c>
      <c r="Z98" s="5">
        <v>165.0</v>
      </c>
      <c r="AA98" s="5">
        <v>0.0</v>
      </c>
      <c r="AB98" s="5">
        <v>0.0</v>
      </c>
      <c r="AC98" s="5">
        <v>0.0</v>
      </c>
      <c r="AD98" s="5">
        <v>0.0</v>
      </c>
      <c r="AE98" s="5">
        <v>11.0</v>
      </c>
      <c r="AF98" s="7">
        <f t="shared" si="2"/>
        <v>0.7</v>
      </c>
      <c r="AG98" s="4" t="str">
        <f t="shared" si="3"/>
        <v>facturas,nota_credito,multiples_accionistas,wildcards,</v>
      </c>
      <c r="AH98" s="5">
        <f t="shared" si="4"/>
        <v>14</v>
      </c>
      <c r="AI98" s="5">
        <f t="shared" ref="AI98:BB98" si="99">IF(COUNTIF(K$3:K98,"&gt;0")&gt;0,1,0)</f>
        <v>1</v>
      </c>
      <c r="AJ98" s="5">
        <f t="shared" si="99"/>
        <v>1</v>
      </c>
      <c r="AK98" s="5">
        <f t="shared" si="99"/>
        <v>1</v>
      </c>
      <c r="AL98" s="5">
        <f t="shared" si="99"/>
        <v>1</v>
      </c>
      <c r="AM98" s="5">
        <f t="shared" si="99"/>
        <v>1</v>
      </c>
      <c r="AN98" s="5">
        <f t="shared" si="99"/>
        <v>1</v>
      </c>
      <c r="AO98" s="5">
        <f t="shared" si="99"/>
        <v>0</v>
      </c>
      <c r="AP98" s="5">
        <f t="shared" si="99"/>
        <v>1</v>
      </c>
      <c r="AQ98" s="5">
        <f t="shared" si="99"/>
        <v>0</v>
      </c>
      <c r="AR98" s="5">
        <f t="shared" si="99"/>
        <v>1</v>
      </c>
      <c r="AS98" s="5">
        <f t="shared" si="99"/>
        <v>0</v>
      </c>
      <c r="AT98" s="5">
        <f t="shared" si="99"/>
        <v>1</v>
      </c>
      <c r="AU98" s="5">
        <f t="shared" si="99"/>
        <v>1</v>
      </c>
      <c r="AV98" s="5">
        <f t="shared" si="99"/>
        <v>0</v>
      </c>
      <c r="AW98" s="5">
        <f t="shared" si="99"/>
        <v>1</v>
      </c>
      <c r="AX98" s="5">
        <f t="shared" si="99"/>
        <v>1</v>
      </c>
      <c r="AY98" s="5">
        <f t="shared" si="99"/>
        <v>1</v>
      </c>
      <c r="AZ98" s="5">
        <f t="shared" si="99"/>
        <v>0</v>
      </c>
      <c r="BA98" s="5">
        <f t="shared" si="99"/>
        <v>1</v>
      </c>
      <c r="BB98" s="5">
        <f t="shared" si="99"/>
        <v>0</v>
      </c>
    </row>
    <row r="99">
      <c r="A99" s="5">
        <v>369.0</v>
      </c>
      <c r="B99" s="4" t="s">
        <v>316</v>
      </c>
      <c r="C99" s="5">
        <v>9.00672023E8</v>
      </c>
      <c r="D99" s="4" t="s">
        <v>317</v>
      </c>
      <c r="E99" s="4" t="s">
        <v>318</v>
      </c>
      <c r="F99" s="5">
        <v>487.0</v>
      </c>
      <c r="G99" s="5">
        <v>137.0</v>
      </c>
      <c r="H99" s="5">
        <v>188.0</v>
      </c>
      <c r="I99" s="5">
        <v>3.0</v>
      </c>
      <c r="J99" s="5">
        <v>14.0</v>
      </c>
      <c r="K99" s="5">
        <v>0.0</v>
      </c>
      <c r="L99" s="5">
        <v>0.0</v>
      </c>
      <c r="M99" s="5">
        <v>0.0</v>
      </c>
      <c r="N99" s="5">
        <v>486.0</v>
      </c>
      <c r="O99" s="5">
        <v>1.0</v>
      </c>
      <c r="P99" s="5">
        <v>0.0</v>
      </c>
      <c r="Q99" s="5">
        <v>0.0</v>
      </c>
      <c r="R99" s="5">
        <v>0.0</v>
      </c>
      <c r="S99" s="5">
        <v>0.0</v>
      </c>
      <c r="T99" s="5">
        <v>0.0</v>
      </c>
      <c r="U99" s="5">
        <v>0.0</v>
      </c>
      <c r="V99" s="5">
        <v>1.0</v>
      </c>
      <c r="W99" s="5">
        <v>0.0</v>
      </c>
      <c r="X99" s="5">
        <v>0.0</v>
      </c>
      <c r="Y99" s="5">
        <v>0.0</v>
      </c>
      <c r="Z99" s="5">
        <v>0.0</v>
      </c>
      <c r="AA99" s="5">
        <v>0.0</v>
      </c>
      <c r="AB99" s="5">
        <v>0.0</v>
      </c>
      <c r="AC99" s="5">
        <v>0.0</v>
      </c>
      <c r="AD99" s="5">
        <v>0.0</v>
      </c>
      <c r="AE99" s="5">
        <v>11.0</v>
      </c>
      <c r="AF99" s="7">
        <f t="shared" si="2"/>
        <v>0.7</v>
      </c>
      <c r="AG99" s="4" t="str">
        <f t="shared" si="3"/>
        <v>documento_soporte,nota_doc_soporte,en_tercero_mandante,</v>
      </c>
      <c r="AH99" s="5">
        <f t="shared" si="4"/>
        <v>14</v>
      </c>
      <c r="AI99" s="5">
        <f t="shared" ref="AI99:BB99" si="100">IF(COUNTIF(K$3:K99,"&gt;0")&gt;0,1,0)</f>
        <v>1</v>
      </c>
      <c r="AJ99" s="5">
        <f t="shared" si="100"/>
        <v>1</v>
      </c>
      <c r="AK99" s="5">
        <f t="shared" si="100"/>
        <v>1</v>
      </c>
      <c r="AL99" s="5">
        <f t="shared" si="100"/>
        <v>1</v>
      </c>
      <c r="AM99" s="5">
        <f t="shared" si="100"/>
        <v>1</v>
      </c>
      <c r="AN99" s="5">
        <f t="shared" si="100"/>
        <v>1</v>
      </c>
      <c r="AO99" s="5">
        <f t="shared" si="100"/>
        <v>0</v>
      </c>
      <c r="AP99" s="5">
        <f t="shared" si="100"/>
        <v>1</v>
      </c>
      <c r="AQ99" s="5">
        <f t="shared" si="100"/>
        <v>0</v>
      </c>
      <c r="AR99" s="5">
        <f t="shared" si="100"/>
        <v>1</v>
      </c>
      <c r="AS99" s="5">
        <f t="shared" si="100"/>
        <v>0</v>
      </c>
      <c r="AT99" s="5">
        <f t="shared" si="100"/>
        <v>1</v>
      </c>
      <c r="AU99" s="5">
        <f t="shared" si="100"/>
        <v>1</v>
      </c>
      <c r="AV99" s="5">
        <f t="shared" si="100"/>
        <v>0</v>
      </c>
      <c r="AW99" s="5">
        <f t="shared" si="100"/>
        <v>1</v>
      </c>
      <c r="AX99" s="5">
        <f t="shared" si="100"/>
        <v>1</v>
      </c>
      <c r="AY99" s="5">
        <f t="shared" si="100"/>
        <v>1</v>
      </c>
      <c r="AZ99" s="5">
        <f t="shared" si="100"/>
        <v>0</v>
      </c>
      <c r="BA99" s="5">
        <f t="shared" si="100"/>
        <v>1</v>
      </c>
      <c r="BB99" s="5">
        <f t="shared" si="100"/>
        <v>0</v>
      </c>
    </row>
    <row r="100">
      <c r="A100" s="5">
        <v>262.0</v>
      </c>
      <c r="B100" s="4" t="s">
        <v>319</v>
      </c>
      <c r="C100" s="5">
        <v>9.00462908E8</v>
      </c>
      <c r="D100" s="4" t="s">
        <v>320</v>
      </c>
      <c r="E100" s="4" t="s">
        <v>321</v>
      </c>
      <c r="F100" s="5">
        <v>2380.0</v>
      </c>
      <c r="G100" s="5">
        <v>411.0</v>
      </c>
      <c r="H100" s="5">
        <v>326.0</v>
      </c>
      <c r="I100" s="5">
        <v>6.0</v>
      </c>
      <c r="J100" s="5">
        <v>28.0</v>
      </c>
      <c r="K100" s="5">
        <v>1864.0</v>
      </c>
      <c r="L100" s="5">
        <v>40.0</v>
      </c>
      <c r="M100" s="5">
        <v>476.0</v>
      </c>
      <c r="N100" s="5">
        <v>0.0</v>
      </c>
      <c r="O100" s="5">
        <v>0.0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  <c r="V100" s="5">
        <v>0.0</v>
      </c>
      <c r="W100" s="5">
        <v>0.0</v>
      </c>
      <c r="X100" s="5">
        <v>1.0</v>
      </c>
      <c r="Y100" s="5">
        <v>0.0</v>
      </c>
      <c r="Z100" s="5">
        <v>0.0</v>
      </c>
      <c r="AA100" s="5">
        <v>0.0</v>
      </c>
      <c r="AB100" s="5">
        <v>0.0</v>
      </c>
      <c r="AC100" s="5">
        <v>0.0</v>
      </c>
      <c r="AD100" s="5">
        <v>0.0</v>
      </c>
      <c r="AE100" s="5">
        <v>12.0</v>
      </c>
      <c r="AF100" s="7">
        <f t="shared" si="2"/>
        <v>0.75</v>
      </c>
      <c r="AG100" s="4" t="str">
        <f t="shared" si="3"/>
        <v>facturas,nota_debito,nota_credito,multiples_compradores,</v>
      </c>
      <c r="AH100" s="5">
        <f t="shared" si="4"/>
        <v>15</v>
      </c>
      <c r="AI100" s="5">
        <f t="shared" ref="AI100:BB100" si="101">IF(COUNTIF(K$3:K100,"&gt;0")&gt;0,1,0)</f>
        <v>1</v>
      </c>
      <c r="AJ100" s="5">
        <f t="shared" si="101"/>
        <v>1</v>
      </c>
      <c r="AK100" s="5">
        <f t="shared" si="101"/>
        <v>1</v>
      </c>
      <c r="AL100" s="5">
        <f t="shared" si="101"/>
        <v>1</v>
      </c>
      <c r="AM100" s="5">
        <f t="shared" si="101"/>
        <v>1</v>
      </c>
      <c r="AN100" s="5">
        <f t="shared" si="101"/>
        <v>1</v>
      </c>
      <c r="AO100" s="5">
        <f t="shared" si="101"/>
        <v>0</v>
      </c>
      <c r="AP100" s="5">
        <f t="shared" si="101"/>
        <v>1</v>
      </c>
      <c r="AQ100" s="5">
        <f t="shared" si="101"/>
        <v>0</v>
      </c>
      <c r="AR100" s="5">
        <f t="shared" si="101"/>
        <v>1</v>
      </c>
      <c r="AS100" s="5">
        <f t="shared" si="101"/>
        <v>0</v>
      </c>
      <c r="AT100" s="5">
        <f t="shared" si="101"/>
        <v>1</v>
      </c>
      <c r="AU100" s="5">
        <f t="shared" si="101"/>
        <v>1</v>
      </c>
      <c r="AV100" s="5">
        <f t="shared" si="101"/>
        <v>1</v>
      </c>
      <c r="AW100" s="5">
        <f t="shared" si="101"/>
        <v>1</v>
      </c>
      <c r="AX100" s="5">
        <f t="shared" si="101"/>
        <v>1</v>
      </c>
      <c r="AY100" s="5">
        <f t="shared" si="101"/>
        <v>1</v>
      </c>
      <c r="AZ100" s="5">
        <f t="shared" si="101"/>
        <v>0</v>
      </c>
      <c r="BA100" s="5">
        <f t="shared" si="101"/>
        <v>1</v>
      </c>
      <c r="BB100" s="5">
        <f t="shared" si="101"/>
        <v>0</v>
      </c>
    </row>
    <row r="101">
      <c r="A101" s="5">
        <v>295.0</v>
      </c>
      <c r="B101" s="4" t="s">
        <v>322</v>
      </c>
      <c r="C101" s="5">
        <v>1.9173523E7</v>
      </c>
      <c r="D101" s="4" t="s">
        <v>323</v>
      </c>
      <c r="E101" s="4" t="s">
        <v>324</v>
      </c>
      <c r="F101" s="5">
        <v>88.0</v>
      </c>
      <c r="G101" s="5">
        <v>27.0</v>
      </c>
      <c r="H101" s="5">
        <v>28.0</v>
      </c>
      <c r="I101" s="5">
        <v>3.0</v>
      </c>
      <c r="J101" s="5">
        <v>4.0</v>
      </c>
      <c r="K101" s="5">
        <v>84.0</v>
      </c>
      <c r="L101" s="5">
        <v>0.0</v>
      </c>
      <c r="M101" s="5">
        <v>1.0</v>
      </c>
      <c r="N101" s="5">
        <v>2.0</v>
      </c>
      <c r="O101" s="5">
        <v>1.0</v>
      </c>
      <c r="P101" s="5">
        <v>0.0</v>
      </c>
      <c r="Q101" s="5">
        <v>0.0</v>
      </c>
      <c r="R101" s="5">
        <v>0.0</v>
      </c>
      <c r="S101" s="5">
        <v>0.0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0.0</v>
      </c>
      <c r="AA101" s="5">
        <v>0.0</v>
      </c>
      <c r="AB101" s="5">
        <v>0.0</v>
      </c>
      <c r="AC101" s="5">
        <v>0.0</v>
      </c>
      <c r="AD101" s="5">
        <v>0.0</v>
      </c>
      <c r="AE101" s="5">
        <v>12.0</v>
      </c>
      <c r="AF101" s="7">
        <f t="shared" si="2"/>
        <v>0.75</v>
      </c>
      <c r="AG101" s="4" t="str">
        <f t="shared" si="3"/>
        <v>facturas,nota_credito,documento_soporte,nota_doc_soporte,</v>
      </c>
      <c r="AH101" s="5">
        <f t="shared" si="4"/>
        <v>15</v>
      </c>
      <c r="AI101" s="5">
        <f t="shared" ref="AI101:BB101" si="102">IF(COUNTIF(K$3:K101,"&gt;0")&gt;0,1,0)</f>
        <v>1</v>
      </c>
      <c r="AJ101" s="5">
        <f t="shared" si="102"/>
        <v>1</v>
      </c>
      <c r="AK101" s="5">
        <f t="shared" si="102"/>
        <v>1</v>
      </c>
      <c r="AL101" s="5">
        <f t="shared" si="102"/>
        <v>1</v>
      </c>
      <c r="AM101" s="5">
        <f t="shared" si="102"/>
        <v>1</v>
      </c>
      <c r="AN101" s="5">
        <f t="shared" si="102"/>
        <v>1</v>
      </c>
      <c r="AO101" s="5">
        <f t="shared" si="102"/>
        <v>0</v>
      </c>
      <c r="AP101" s="5">
        <f t="shared" si="102"/>
        <v>1</v>
      </c>
      <c r="AQ101" s="5">
        <f t="shared" si="102"/>
        <v>0</v>
      </c>
      <c r="AR101" s="5">
        <f t="shared" si="102"/>
        <v>1</v>
      </c>
      <c r="AS101" s="5">
        <f t="shared" si="102"/>
        <v>0</v>
      </c>
      <c r="AT101" s="5">
        <f t="shared" si="102"/>
        <v>1</v>
      </c>
      <c r="AU101" s="5">
        <f t="shared" si="102"/>
        <v>1</v>
      </c>
      <c r="AV101" s="5">
        <f t="shared" si="102"/>
        <v>1</v>
      </c>
      <c r="AW101" s="5">
        <f t="shared" si="102"/>
        <v>1</v>
      </c>
      <c r="AX101" s="5">
        <f t="shared" si="102"/>
        <v>1</v>
      </c>
      <c r="AY101" s="5">
        <f t="shared" si="102"/>
        <v>1</v>
      </c>
      <c r="AZ101" s="5">
        <f t="shared" si="102"/>
        <v>0</v>
      </c>
      <c r="BA101" s="5">
        <f t="shared" si="102"/>
        <v>1</v>
      </c>
      <c r="BB101" s="5">
        <f t="shared" si="102"/>
        <v>0</v>
      </c>
    </row>
    <row r="102">
      <c r="A102" s="5">
        <v>484.0</v>
      </c>
      <c r="B102" s="4" t="s">
        <v>325</v>
      </c>
      <c r="C102" s="5">
        <v>9.01486912E8</v>
      </c>
      <c r="D102" s="4" t="s">
        <v>326</v>
      </c>
      <c r="E102" s="4" t="s">
        <v>327</v>
      </c>
      <c r="F102" s="5">
        <v>88.0</v>
      </c>
      <c r="G102" s="5">
        <v>50.0</v>
      </c>
      <c r="H102" s="5">
        <v>28.0</v>
      </c>
      <c r="I102" s="5">
        <v>0.0</v>
      </c>
      <c r="J102" s="5">
        <v>0.0</v>
      </c>
      <c r="K102" s="5">
        <v>73.0</v>
      </c>
      <c r="L102" s="5">
        <v>0.0</v>
      </c>
      <c r="M102" s="5">
        <v>11.0</v>
      </c>
      <c r="N102" s="5">
        <v>3.0</v>
      </c>
      <c r="O102" s="5">
        <v>1.0</v>
      </c>
      <c r="P102" s="5">
        <v>0.0</v>
      </c>
      <c r="Q102" s="5">
        <v>0.0</v>
      </c>
      <c r="R102" s="5">
        <v>0.0</v>
      </c>
      <c r="S102" s="5">
        <v>0.0</v>
      </c>
      <c r="T102" s="5">
        <v>0.0</v>
      </c>
      <c r="U102" s="5">
        <v>0.0</v>
      </c>
      <c r="V102" s="5">
        <v>0.0</v>
      </c>
      <c r="W102" s="5">
        <v>0.0</v>
      </c>
      <c r="X102" s="5">
        <v>0.0</v>
      </c>
      <c r="Y102" s="5">
        <v>0.0</v>
      </c>
      <c r="Z102" s="5">
        <v>0.0</v>
      </c>
      <c r="AA102" s="5">
        <v>0.0</v>
      </c>
      <c r="AB102" s="5">
        <v>0.0</v>
      </c>
      <c r="AC102" s="5">
        <v>0.0</v>
      </c>
      <c r="AD102" s="5">
        <v>0.0</v>
      </c>
      <c r="AE102" s="5">
        <v>12.0</v>
      </c>
      <c r="AF102" s="7">
        <f t="shared" si="2"/>
        <v>0.75</v>
      </c>
      <c r="AG102" s="4" t="str">
        <f t="shared" si="3"/>
        <v>facturas,nota_credito,documento_soporte,nota_doc_soporte,</v>
      </c>
      <c r="AH102" s="5">
        <f t="shared" si="4"/>
        <v>15</v>
      </c>
      <c r="AI102" s="5">
        <f t="shared" ref="AI102:BB102" si="103">IF(COUNTIF(K$3:K102,"&gt;0")&gt;0,1,0)</f>
        <v>1</v>
      </c>
      <c r="AJ102" s="5">
        <f t="shared" si="103"/>
        <v>1</v>
      </c>
      <c r="AK102" s="5">
        <f t="shared" si="103"/>
        <v>1</v>
      </c>
      <c r="AL102" s="5">
        <f t="shared" si="103"/>
        <v>1</v>
      </c>
      <c r="AM102" s="5">
        <f t="shared" si="103"/>
        <v>1</v>
      </c>
      <c r="AN102" s="5">
        <f t="shared" si="103"/>
        <v>1</v>
      </c>
      <c r="AO102" s="5">
        <f t="shared" si="103"/>
        <v>0</v>
      </c>
      <c r="AP102" s="5">
        <f t="shared" si="103"/>
        <v>1</v>
      </c>
      <c r="AQ102" s="5">
        <f t="shared" si="103"/>
        <v>0</v>
      </c>
      <c r="AR102" s="5">
        <f t="shared" si="103"/>
        <v>1</v>
      </c>
      <c r="AS102" s="5">
        <f t="shared" si="103"/>
        <v>0</v>
      </c>
      <c r="AT102" s="5">
        <f t="shared" si="103"/>
        <v>1</v>
      </c>
      <c r="AU102" s="5">
        <f t="shared" si="103"/>
        <v>1</v>
      </c>
      <c r="AV102" s="5">
        <f t="shared" si="103"/>
        <v>1</v>
      </c>
      <c r="AW102" s="5">
        <f t="shared" si="103"/>
        <v>1</v>
      </c>
      <c r="AX102" s="5">
        <f t="shared" si="103"/>
        <v>1</v>
      </c>
      <c r="AY102" s="5">
        <f t="shared" si="103"/>
        <v>1</v>
      </c>
      <c r="AZ102" s="5">
        <f t="shared" si="103"/>
        <v>0</v>
      </c>
      <c r="BA102" s="5">
        <f t="shared" si="103"/>
        <v>1</v>
      </c>
      <c r="BB102" s="5">
        <f t="shared" si="103"/>
        <v>0</v>
      </c>
    </row>
    <row r="103">
      <c r="A103" s="5">
        <v>456.0</v>
      </c>
      <c r="B103" s="4" t="s">
        <v>328</v>
      </c>
      <c r="C103" s="5">
        <v>9.01080113E8</v>
      </c>
      <c r="D103" s="4" t="s">
        <v>329</v>
      </c>
      <c r="E103" s="4" t="s">
        <v>244</v>
      </c>
      <c r="F103" s="5">
        <v>101.0</v>
      </c>
      <c r="G103" s="5">
        <v>28.0</v>
      </c>
      <c r="H103" s="5">
        <v>49.0</v>
      </c>
      <c r="I103" s="5">
        <v>3.0</v>
      </c>
      <c r="J103" s="5">
        <v>5.0</v>
      </c>
      <c r="K103" s="5">
        <v>0.0</v>
      </c>
      <c r="L103" s="5">
        <v>0.0</v>
      </c>
      <c r="M103" s="5">
        <v>0.0</v>
      </c>
      <c r="N103" s="5">
        <v>99.0</v>
      </c>
      <c r="O103" s="5">
        <v>2.0</v>
      </c>
      <c r="P103" s="5">
        <v>0.0</v>
      </c>
      <c r="Q103" s="5">
        <v>0.0</v>
      </c>
      <c r="R103" s="5">
        <v>0.0</v>
      </c>
      <c r="S103" s="5">
        <v>0.0</v>
      </c>
      <c r="T103" s="5">
        <v>0.0</v>
      </c>
      <c r="U103" s="5">
        <v>5.0</v>
      </c>
      <c r="V103" s="5">
        <v>0.0</v>
      </c>
      <c r="W103" s="5">
        <v>0.0</v>
      </c>
      <c r="X103" s="5">
        <v>0.0</v>
      </c>
      <c r="Y103" s="5">
        <v>0.0</v>
      </c>
      <c r="Z103" s="5">
        <v>0.0</v>
      </c>
      <c r="AA103" s="5">
        <v>0.0</v>
      </c>
      <c r="AB103" s="5">
        <v>0.0</v>
      </c>
      <c r="AC103" s="5">
        <v>0.0</v>
      </c>
      <c r="AD103" s="5">
        <v>0.0</v>
      </c>
      <c r="AE103" s="5">
        <v>13.0</v>
      </c>
      <c r="AF103" s="7">
        <f t="shared" si="2"/>
        <v>0.8</v>
      </c>
      <c r="AG103" s="4" t="str">
        <f t="shared" si="3"/>
        <v>documento_soporte,nota_doc_soporte,en_tercero_mandatario,</v>
      </c>
      <c r="AH103" s="5">
        <f t="shared" si="4"/>
        <v>16</v>
      </c>
      <c r="AI103" s="5">
        <f t="shared" ref="AI103:BB103" si="104">IF(COUNTIF(K$3:K103,"&gt;0")&gt;0,1,0)</f>
        <v>1</v>
      </c>
      <c r="AJ103" s="5">
        <f t="shared" si="104"/>
        <v>1</v>
      </c>
      <c r="AK103" s="5">
        <f t="shared" si="104"/>
        <v>1</v>
      </c>
      <c r="AL103" s="5">
        <f t="shared" si="104"/>
        <v>1</v>
      </c>
      <c r="AM103" s="5">
        <f t="shared" si="104"/>
        <v>1</v>
      </c>
      <c r="AN103" s="5">
        <f t="shared" si="104"/>
        <v>1</v>
      </c>
      <c r="AO103" s="5">
        <f t="shared" si="104"/>
        <v>0</v>
      </c>
      <c r="AP103" s="5">
        <f t="shared" si="104"/>
        <v>1</v>
      </c>
      <c r="AQ103" s="5">
        <f t="shared" si="104"/>
        <v>0</v>
      </c>
      <c r="AR103" s="5">
        <f t="shared" si="104"/>
        <v>1</v>
      </c>
      <c r="AS103" s="5">
        <f t="shared" si="104"/>
        <v>1</v>
      </c>
      <c r="AT103" s="5">
        <f t="shared" si="104"/>
        <v>1</v>
      </c>
      <c r="AU103" s="5">
        <f t="shared" si="104"/>
        <v>1</v>
      </c>
      <c r="AV103" s="5">
        <f t="shared" si="104"/>
        <v>1</v>
      </c>
      <c r="AW103" s="5">
        <f t="shared" si="104"/>
        <v>1</v>
      </c>
      <c r="AX103" s="5">
        <f t="shared" si="104"/>
        <v>1</v>
      </c>
      <c r="AY103" s="5">
        <f t="shared" si="104"/>
        <v>1</v>
      </c>
      <c r="AZ103" s="5">
        <f t="shared" si="104"/>
        <v>0</v>
      </c>
      <c r="BA103" s="5">
        <f t="shared" si="104"/>
        <v>1</v>
      </c>
      <c r="BB103" s="5">
        <f t="shared" si="104"/>
        <v>0</v>
      </c>
    </row>
    <row r="104">
      <c r="A104" s="5">
        <v>458.0</v>
      </c>
      <c r="B104" s="4" t="s">
        <v>330</v>
      </c>
      <c r="C104" s="5">
        <v>9.00870354E8</v>
      </c>
      <c r="D104" s="4" t="s">
        <v>331</v>
      </c>
      <c r="E104" s="4" t="s">
        <v>332</v>
      </c>
      <c r="F104" s="5">
        <v>69.0</v>
      </c>
      <c r="G104" s="5">
        <v>17.0</v>
      </c>
      <c r="H104" s="5">
        <v>37.0</v>
      </c>
      <c r="I104" s="5">
        <v>2.0</v>
      </c>
      <c r="J104" s="5">
        <v>1.0</v>
      </c>
      <c r="K104" s="5">
        <v>50.0</v>
      </c>
      <c r="L104" s="5">
        <v>0.0</v>
      </c>
      <c r="M104" s="5">
        <v>5.0</v>
      </c>
      <c r="N104" s="5">
        <v>14.0</v>
      </c>
      <c r="O104" s="5">
        <v>0.0</v>
      </c>
      <c r="P104" s="5">
        <v>0.0</v>
      </c>
      <c r="Q104" s="5">
        <v>0.0</v>
      </c>
      <c r="R104" s="5">
        <v>0.0</v>
      </c>
      <c r="S104" s="5">
        <v>0.0</v>
      </c>
      <c r="T104" s="5">
        <v>0.0</v>
      </c>
      <c r="U104" s="5">
        <v>0.0</v>
      </c>
      <c r="V104" s="5">
        <v>0.0</v>
      </c>
      <c r="W104" s="5">
        <v>1.0</v>
      </c>
      <c r="X104" s="5">
        <v>0.0</v>
      </c>
      <c r="Y104" s="5">
        <v>0.0</v>
      </c>
      <c r="Z104" s="5">
        <v>0.0</v>
      </c>
      <c r="AA104" s="5">
        <v>0.0</v>
      </c>
      <c r="AB104" s="5">
        <v>0.0</v>
      </c>
      <c r="AC104" s="5">
        <v>0.0</v>
      </c>
      <c r="AD104" s="5">
        <v>0.0</v>
      </c>
      <c r="AE104" s="5">
        <v>13.0</v>
      </c>
      <c r="AF104" s="7">
        <f t="shared" si="2"/>
        <v>0.8</v>
      </c>
      <c r="AG104" s="4" t="str">
        <f t="shared" si="3"/>
        <v>facturas,nota_credito,documento_soporte,linea_tercero_mandante,</v>
      </c>
      <c r="AH104" s="5">
        <f t="shared" si="4"/>
        <v>16</v>
      </c>
      <c r="AI104" s="5">
        <f t="shared" ref="AI104:BB104" si="105">IF(COUNTIF(K$3:K104,"&gt;0")&gt;0,1,0)</f>
        <v>1</v>
      </c>
      <c r="AJ104" s="5">
        <f t="shared" si="105"/>
        <v>1</v>
      </c>
      <c r="AK104" s="5">
        <f t="shared" si="105"/>
        <v>1</v>
      </c>
      <c r="AL104" s="5">
        <f t="shared" si="105"/>
        <v>1</v>
      </c>
      <c r="AM104" s="5">
        <f t="shared" si="105"/>
        <v>1</v>
      </c>
      <c r="AN104" s="5">
        <f t="shared" si="105"/>
        <v>1</v>
      </c>
      <c r="AO104" s="5">
        <f t="shared" si="105"/>
        <v>0</v>
      </c>
      <c r="AP104" s="5">
        <f t="shared" si="105"/>
        <v>1</v>
      </c>
      <c r="AQ104" s="5">
        <f t="shared" si="105"/>
        <v>0</v>
      </c>
      <c r="AR104" s="5">
        <f t="shared" si="105"/>
        <v>1</v>
      </c>
      <c r="AS104" s="5">
        <f t="shared" si="105"/>
        <v>1</v>
      </c>
      <c r="AT104" s="5">
        <f t="shared" si="105"/>
        <v>1</v>
      </c>
      <c r="AU104" s="5">
        <f t="shared" si="105"/>
        <v>1</v>
      </c>
      <c r="AV104" s="5">
        <f t="shared" si="105"/>
        <v>1</v>
      </c>
      <c r="AW104" s="5">
        <f t="shared" si="105"/>
        <v>1</v>
      </c>
      <c r="AX104" s="5">
        <f t="shared" si="105"/>
        <v>1</v>
      </c>
      <c r="AY104" s="5">
        <f t="shared" si="105"/>
        <v>1</v>
      </c>
      <c r="AZ104" s="5">
        <f t="shared" si="105"/>
        <v>0</v>
      </c>
      <c r="BA104" s="5">
        <f t="shared" si="105"/>
        <v>1</v>
      </c>
      <c r="BB104" s="5">
        <f t="shared" si="105"/>
        <v>0</v>
      </c>
    </row>
    <row r="105">
      <c r="A105" s="5">
        <v>379.0</v>
      </c>
      <c r="B105" s="4" t="s">
        <v>333</v>
      </c>
      <c r="C105" s="5">
        <v>9.01368404E8</v>
      </c>
      <c r="D105" s="4" t="s">
        <v>334</v>
      </c>
      <c r="E105" s="4" t="s">
        <v>335</v>
      </c>
      <c r="F105" s="5">
        <v>12.0</v>
      </c>
      <c r="G105" s="5">
        <v>0.0</v>
      </c>
      <c r="H105" s="5">
        <v>12.0</v>
      </c>
      <c r="I105" s="5">
        <v>1.0</v>
      </c>
      <c r="J105" s="5">
        <v>4.0</v>
      </c>
      <c r="K105" s="5">
        <v>11.0</v>
      </c>
      <c r="L105" s="5">
        <v>0.0</v>
      </c>
      <c r="M105" s="5">
        <v>1.0</v>
      </c>
      <c r="N105" s="5">
        <v>0.0</v>
      </c>
      <c r="O105" s="5">
        <v>0.0</v>
      </c>
      <c r="P105" s="5">
        <v>0.0</v>
      </c>
      <c r="Q105" s="5">
        <v>0.0</v>
      </c>
      <c r="R105" s="5">
        <v>0.0</v>
      </c>
      <c r="S105" s="5">
        <v>0.0</v>
      </c>
      <c r="T105" s="5">
        <v>0.0</v>
      </c>
      <c r="U105" s="5">
        <v>0.0</v>
      </c>
      <c r="V105" s="5">
        <v>0.0</v>
      </c>
      <c r="W105" s="5">
        <v>0.0</v>
      </c>
      <c r="X105" s="5">
        <v>0.0</v>
      </c>
      <c r="Y105" s="5">
        <v>0.0</v>
      </c>
      <c r="Z105" s="5">
        <v>7.0</v>
      </c>
      <c r="AA105" s="5">
        <v>24.0</v>
      </c>
      <c r="AB105" s="5">
        <v>0.0</v>
      </c>
      <c r="AC105" s="5">
        <v>0.0</v>
      </c>
      <c r="AD105" s="5">
        <v>0.0</v>
      </c>
      <c r="AE105" s="5">
        <v>13.0</v>
      </c>
      <c r="AF105" s="7">
        <f t="shared" si="2"/>
        <v>0.8</v>
      </c>
      <c r="AG105" s="4" t="str">
        <f t="shared" si="3"/>
        <v>facturas,nota_credito,wildcards,encabezado_referencias_documento,</v>
      </c>
      <c r="AH105" s="5">
        <f t="shared" si="4"/>
        <v>16</v>
      </c>
      <c r="AI105" s="5">
        <f t="shared" ref="AI105:BB105" si="106">IF(COUNTIF(K$3:K105,"&gt;0")&gt;0,1,0)</f>
        <v>1</v>
      </c>
      <c r="AJ105" s="5">
        <f t="shared" si="106"/>
        <v>1</v>
      </c>
      <c r="AK105" s="5">
        <f t="shared" si="106"/>
        <v>1</v>
      </c>
      <c r="AL105" s="5">
        <f t="shared" si="106"/>
        <v>1</v>
      </c>
      <c r="AM105" s="5">
        <f t="shared" si="106"/>
        <v>1</v>
      </c>
      <c r="AN105" s="5">
        <f t="shared" si="106"/>
        <v>1</v>
      </c>
      <c r="AO105" s="5">
        <f t="shared" si="106"/>
        <v>0</v>
      </c>
      <c r="AP105" s="5">
        <f t="shared" si="106"/>
        <v>1</v>
      </c>
      <c r="AQ105" s="5">
        <f t="shared" si="106"/>
        <v>0</v>
      </c>
      <c r="AR105" s="5">
        <f t="shared" si="106"/>
        <v>1</v>
      </c>
      <c r="AS105" s="5">
        <f t="shared" si="106"/>
        <v>1</v>
      </c>
      <c r="AT105" s="5">
        <f t="shared" si="106"/>
        <v>1</v>
      </c>
      <c r="AU105" s="5">
        <f t="shared" si="106"/>
        <v>1</v>
      </c>
      <c r="AV105" s="5">
        <f t="shared" si="106"/>
        <v>1</v>
      </c>
      <c r="AW105" s="5">
        <f t="shared" si="106"/>
        <v>1</v>
      </c>
      <c r="AX105" s="5">
        <f t="shared" si="106"/>
        <v>1</v>
      </c>
      <c r="AY105" s="5">
        <f t="shared" si="106"/>
        <v>1</v>
      </c>
      <c r="AZ105" s="5">
        <f t="shared" si="106"/>
        <v>0</v>
      </c>
      <c r="BA105" s="5">
        <f t="shared" si="106"/>
        <v>1</v>
      </c>
      <c r="BB105" s="5">
        <f t="shared" si="106"/>
        <v>0</v>
      </c>
    </row>
    <row r="106">
      <c r="A106" s="5">
        <v>135.0</v>
      </c>
      <c r="B106" s="4" t="s">
        <v>336</v>
      </c>
      <c r="C106" s="5">
        <v>9.00161966E8</v>
      </c>
      <c r="D106" s="4" t="s">
        <v>337</v>
      </c>
      <c r="E106" s="4" t="s">
        <v>338</v>
      </c>
      <c r="F106" s="5">
        <v>263.0</v>
      </c>
      <c r="G106" s="5">
        <v>24.0</v>
      </c>
      <c r="H106" s="5">
        <v>23.0</v>
      </c>
      <c r="I106" s="5">
        <v>2.0</v>
      </c>
      <c r="J106" s="5">
        <v>3.0</v>
      </c>
      <c r="K106" s="5">
        <v>248.0</v>
      </c>
      <c r="L106" s="5">
        <v>0.0</v>
      </c>
      <c r="M106" s="5">
        <v>15.0</v>
      </c>
      <c r="N106" s="5">
        <v>0.0</v>
      </c>
      <c r="O106" s="5">
        <v>0.0</v>
      </c>
      <c r="P106" s="5">
        <v>0.0</v>
      </c>
      <c r="Q106" s="5">
        <v>0.0</v>
      </c>
      <c r="R106" s="5">
        <v>0.0</v>
      </c>
      <c r="S106" s="5">
        <v>0.0</v>
      </c>
      <c r="T106" s="5">
        <v>0.0</v>
      </c>
      <c r="U106" s="5">
        <v>0.0</v>
      </c>
      <c r="V106" s="5">
        <v>0.0</v>
      </c>
      <c r="W106" s="5">
        <v>0.0</v>
      </c>
      <c r="X106" s="5">
        <v>0.0</v>
      </c>
      <c r="Y106" s="5">
        <v>0.0</v>
      </c>
      <c r="Z106" s="5">
        <v>85.0</v>
      </c>
      <c r="AA106" s="5">
        <v>241.0</v>
      </c>
      <c r="AB106" s="5">
        <v>0.0</v>
      </c>
      <c r="AC106" s="5">
        <v>0.0</v>
      </c>
      <c r="AD106" s="5">
        <v>0.0</v>
      </c>
      <c r="AE106" s="5">
        <v>13.0</v>
      </c>
      <c r="AF106" s="7">
        <f t="shared" si="2"/>
        <v>0.8</v>
      </c>
      <c r="AG106" s="4" t="str">
        <f t="shared" si="3"/>
        <v>facturas,nota_credito,wildcards,encabezado_referencias_documento,</v>
      </c>
      <c r="AH106" s="5">
        <f t="shared" si="4"/>
        <v>16</v>
      </c>
      <c r="AI106" s="5">
        <f t="shared" ref="AI106:BB106" si="107">IF(COUNTIF(K$3:K106,"&gt;0")&gt;0,1,0)</f>
        <v>1</v>
      </c>
      <c r="AJ106" s="5">
        <f t="shared" si="107"/>
        <v>1</v>
      </c>
      <c r="AK106" s="5">
        <f t="shared" si="107"/>
        <v>1</v>
      </c>
      <c r="AL106" s="5">
        <f t="shared" si="107"/>
        <v>1</v>
      </c>
      <c r="AM106" s="5">
        <f t="shared" si="107"/>
        <v>1</v>
      </c>
      <c r="AN106" s="5">
        <f t="shared" si="107"/>
        <v>1</v>
      </c>
      <c r="AO106" s="5">
        <f t="shared" si="107"/>
        <v>0</v>
      </c>
      <c r="AP106" s="5">
        <f t="shared" si="107"/>
        <v>1</v>
      </c>
      <c r="AQ106" s="5">
        <f t="shared" si="107"/>
        <v>0</v>
      </c>
      <c r="AR106" s="5">
        <f t="shared" si="107"/>
        <v>1</v>
      </c>
      <c r="AS106" s="5">
        <f t="shared" si="107"/>
        <v>1</v>
      </c>
      <c r="AT106" s="5">
        <f t="shared" si="107"/>
        <v>1</v>
      </c>
      <c r="AU106" s="5">
        <f t="shared" si="107"/>
        <v>1</v>
      </c>
      <c r="AV106" s="5">
        <f t="shared" si="107"/>
        <v>1</v>
      </c>
      <c r="AW106" s="5">
        <f t="shared" si="107"/>
        <v>1</v>
      </c>
      <c r="AX106" s="5">
        <f t="shared" si="107"/>
        <v>1</v>
      </c>
      <c r="AY106" s="5">
        <f t="shared" si="107"/>
        <v>1</v>
      </c>
      <c r="AZ106" s="5">
        <f t="shared" si="107"/>
        <v>0</v>
      </c>
      <c r="BA106" s="5">
        <f t="shared" si="107"/>
        <v>1</v>
      </c>
      <c r="BB106" s="5">
        <f t="shared" si="107"/>
        <v>0</v>
      </c>
    </row>
    <row r="107">
      <c r="A107" s="5">
        <v>543.0</v>
      </c>
      <c r="B107" s="4" t="s">
        <v>339</v>
      </c>
      <c r="C107" s="5">
        <v>9.0148874E8</v>
      </c>
      <c r="D107" s="4" t="s">
        <v>340</v>
      </c>
      <c r="E107" s="4" t="s">
        <v>341</v>
      </c>
      <c r="F107" s="5">
        <v>113.0</v>
      </c>
      <c r="G107" s="5">
        <v>73.0</v>
      </c>
      <c r="H107" s="5">
        <v>40.0</v>
      </c>
      <c r="I107" s="5">
        <v>4.0</v>
      </c>
      <c r="J107" s="5">
        <v>2.0</v>
      </c>
      <c r="K107" s="5">
        <v>94.0</v>
      </c>
      <c r="L107" s="5">
        <v>0.0</v>
      </c>
      <c r="M107" s="5">
        <v>19.0</v>
      </c>
      <c r="N107" s="5">
        <v>0.0</v>
      </c>
      <c r="O107" s="5">
        <v>0.0</v>
      </c>
      <c r="P107" s="5">
        <v>0.0</v>
      </c>
      <c r="Q107" s="5">
        <v>0.0</v>
      </c>
      <c r="R107" s="5">
        <v>0.0</v>
      </c>
      <c r="S107" s="5">
        <v>0.0</v>
      </c>
      <c r="T107" s="5">
        <v>0.0</v>
      </c>
      <c r="U107" s="5">
        <v>0.0</v>
      </c>
      <c r="V107" s="5">
        <v>0.0</v>
      </c>
      <c r="W107" s="5">
        <v>0.0</v>
      </c>
      <c r="X107" s="5">
        <v>0.0</v>
      </c>
      <c r="Y107" s="5">
        <v>0.0</v>
      </c>
      <c r="Z107" s="5">
        <v>110.0</v>
      </c>
      <c r="AA107" s="5">
        <v>3.0</v>
      </c>
      <c r="AB107" s="5">
        <v>0.0</v>
      </c>
      <c r="AC107" s="5">
        <v>0.0</v>
      </c>
      <c r="AD107" s="5">
        <v>0.0</v>
      </c>
      <c r="AE107" s="5">
        <v>13.0</v>
      </c>
      <c r="AF107" s="7">
        <f t="shared" si="2"/>
        <v>0.8</v>
      </c>
      <c r="AG107" s="4" t="str">
        <f t="shared" si="3"/>
        <v>facturas,nota_credito,wildcards,encabezado_referencias_documento,</v>
      </c>
      <c r="AH107" s="5">
        <f t="shared" si="4"/>
        <v>16</v>
      </c>
      <c r="AI107" s="5">
        <f t="shared" ref="AI107:BB107" si="108">IF(COUNTIF(K$3:K107,"&gt;0")&gt;0,1,0)</f>
        <v>1</v>
      </c>
      <c r="AJ107" s="5">
        <f t="shared" si="108"/>
        <v>1</v>
      </c>
      <c r="AK107" s="5">
        <f t="shared" si="108"/>
        <v>1</v>
      </c>
      <c r="AL107" s="5">
        <f t="shared" si="108"/>
        <v>1</v>
      </c>
      <c r="AM107" s="5">
        <f t="shared" si="108"/>
        <v>1</v>
      </c>
      <c r="AN107" s="5">
        <f t="shared" si="108"/>
        <v>1</v>
      </c>
      <c r="AO107" s="5">
        <f t="shared" si="108"/>
        <v>0</v>
      </c>
      <c r="AP107" s="5">
        <f t="shared" si="108"/>
        <v>1</v>
      </c>
      <c r="AQ107" s="5">
        <f t="shared" si="108"/>
        <v>0</v>
      </c>
      <c r="AR107" s="5">
        <f t="shared" si="108"/>
        <v>1</v>
      </c>
      <c r="AS107" s="5">
        <f t="shared" si="108"/>
        <v>1</v>
      </c>
      <c r="AT107" s="5">
        <f t="shared" si="108"/>
        <v>1</v>
      </c>
      <c r="AU107" s="5">
        <f t="shared" si="108"/>
        <v>1</v>
      </c>
      <c r="AV107" s="5">
        <f t="shared" si="108"/>
        <v>1</v>
      </c>
      <c r="AW107" s="5">
        <f t="shared" si="108"/>
        <v>1</v>
      </c>
      <c r="AX107" s="5">
        <f t="shared" si="108"/>
        <v>1</v>
      </c>
      <c r="AY107" s="5">
        <f t="shared" si="108"/>
        <v>1</v>
      </c>
      <c r="AZ107" s="5">
        <f t="shared" si="108"/>
        <v>0</v>
      </c>
      <c r="BA107" s="5">
        <f t="shared" si="108"/>
        <v>1</v>
      </c>
      <c r="BB107" s="5">
        <f t="shared" si="108"/>
        <v>0</v>
      </c>
    </row>
    <row r="108">
      <c r="A108" s="5">
        <v>308.0</v>
      </c>
      <c r="B108" s="4" t="s">
        <v>342</v>
      </c>
      <c r="C108" s="5">
        <v>9.00317803E8</v>
      </c>
      <c r="D108" s="4" t="s">
        <v>343</v>
      </c>
      <c r="E108" s="4" t="s">
        <v>344</v>
      </c>
      <c r="F108" s="5">
        <v>255.0</v>
      </c>
      <c r="G108" s="5">
        <v>36.0</v>
      </c>
      <c r="H108" s="5">
        <v>43.0</v>
      </c>
      <c r="I108" s="5">
        <v>0.0</v>
      </c>
      <c r="J108" s="5">
        <v>6.0</v>
      </c>
      <c r="K108" s="5">
        <v>234.0</v>
      </c>
      <c r="L108" s="5">
        <v>0.0</v>
      </c>
      <c r="M108" s="5">
        <v>21.0</v>
      </c>
      <c r="N108" s="5">
        <v>0.0</v>
      </c>
      <c r="O108" s="5">
        <v>0.0</v>
      </c>
      <c r="P108" s="5">
        <v>0.0</v>
      </c>
      <c r="Q108" s="5">
        <v>0.0</v>
      </c>
      <c r="R108" s="5">
        <v>0.0</v>
      </c>
      <c r="S108" s="5">
        <v>0.0</v>
      </c>
      <c r="T108" s="5">
        <v>0.0</v>
      </c>
      <c r="U108" s="5">
        <v>0.0</v>
      </c>
      <c r="V108" s="5">
        <v>0.0</v>
      </c>
      <c r="W108" s="5">
        <v>0.0</v>
      </c>
      <c r="X108" s="5">
        <v>0.0</v>
      </c>
      <c r="Y108" s="5">
        <v>0.0</v>
      </c>
      <c r="Z108" s="5">
        <v>162.0</v>
      </c>
      <c r="AA108" s="5">
        <v>1.0</v>
      </c>
      <c r="AB108" s="5">
        <v>0.0</v>
      </c>
      <c r="AC108" s="5">
        <v>0.0</v>
      </c>
      <c r="AD108" s="5">
        <v>0.0</v>
      </c>
      <c r="AE108" s="5">
        <v>13.0</v>
      </c>
      <c r="AF108" s="7">
        <f t="shared" si="2"/>
        <v>0.8</v>
      </c>
      <c r="AG108" s="4" t="str">
        <f t="shared" si="3"/>
        <v>facturas,nota_credito,wildcards,encabezado_referencias_documento,</v>
      </c>
      <c r="AH108" s="5">
        <f t="shared" si="4"/>
        <v>16</v>
      </c>
      <c r="AI108" s="5">
        <f t="shared" ref="AI108:BB108" si="109">IF(COUNTIF(K$3:K108,"&gt;0")&gt;0,1,0)</f>
        <v>1</v>
      </c>
      <c r="AJ108" s="5">
        <f t="shared" si="109"/>
        <v>1</v>
      </c>
      <c r="AK108" s="5">
        <f t="shared" si="109"/>
        <v>1</v>
      </c>
      <c r="AL108" s="5">
        <f t="shared" si="109"/>
        <v>1</v>
      </c>
      <c r="AM108" s="5">
        <f t="shared" si="109"/>
        <v>1</v>
      </c>
      <c r="AN108" s="5">
        <f t="shared" si="109"/>
        <v>1</v>
      </c>
      <c r="AO108" s="5">
        <f t="shared" si="109"/>
        <v>0</v>
      </c>
      <c r="AP108" s="5">
        <f t="shared" si="109"/>
        <v>1</v>
      </c>
      <c r="AQ108" s="5">
        <f t="shared" si="109"/>
        <v>0</v>
      </c>
      <c r="AR108" s="5">
        <f t="shared" si="109"/>
        <v>1</v>
      </c>
      <c r="AS108" s="5">
        <f t="shared" si="109"/>
        <v>1</v>
      </c>
      <c r="AT108" s="5">
        <f t="shared" si="109"/>
        <v>1</v>
      </c>
      <c r="AU108" s="5">
        <f t="shared" si="109"/>
        <v>1</v>
      </c>
      <c r="AV108" s="5">
        <f t="shared" si="109"/>
        <v>1</v>
      </c>
      <c r="AW108" s="5">
        <f t="shared" si="109"/>
        <v>1</v>
      </c>
      <c r="AX108" s="5">
        <f t="shared" si="109"/>
        <v>1</v>
      </c>
      <c r="AY108" s="5">
        <f t="shared" si="109"/>
        <v>1</v>
      </c>
      <c r="AZ108" s="5">
        <f t="shared" si="109"/>
        <v>0</v>
      </c>
      <c r="BA108" s="5">
        <f t="shared" si="109"/>
        <v>1</v>
      </c>
      <c r="BB108" s="5">
        <f t="shared" si="109"/>
        <v>0</v>
      </c>
    </row>
    <row r="109">
      <c r="A109" s="5">
        <v>197.0</v>
      </c>
      <c r="B109" s="4" t="s">
        <v>345</v>
      </c>
      <c r="C109" s="5">
        <v>9.00245367E8</v>
      </c>
      <c r="D109" s="4" t="s">
        <v>346</v>
      </c>
      <c r="E109" s="4" t="s">
        <v>347</v>
      </c>
      <c r="F109" s="5">
        <v>1344.0</v>
      </c>
      <c r="G109" s="5">
        <v>233.0</v>
      </c>
      <c r="H109" s="5">
        <v>227.0</v>
      </c>
      <c r="I109" s="5">
        <v>8.0</v>
      </c>
      <c r="J109" s="5">
        <v>14.0</v>
      </c>
      <c r="K109" s="5">
        <v>1262.0</v>
      </c>
      <c r="L109" s="5">
        <v>0.0</v>
      </c>
      <c r="M109" s="5">
        <v>82.0</v>
      </c>
      <c r="N109" s="5">
        <v>0.0</v>
      </c>
      <c r="O109" s="5">
        <v>0.0</v>
      </c>
      <c r="P109" s="5">
        <v>0.0</v>
      </c>
      <c r="Q109" s="5">
        <v>0.0</v>
      </c>
      <c r="R109" s="5">
        <v>0.0</v>
      </c>
      <c r="S109" s="5">
        <v>0.0</v>
      </c>
      <c r="T109" s="5">
        <v>0.0</v>
      </c>
      <c r="U109" s="5">
        <v>0.0</v>
      </c>
      <c r="V109" s="5">
        <v>0.0</v>
      </c>
      <c r="W109" s="5">
        <v>0.0</v>
      </c>
      <c r="X109" s="5">
        <v>0.0</v>
      </c>
      <c r="Y109" s="5">
        <v>0.0</v>
      </c>
      <c r="Z109" s="5">
        <v>595.0</v>
      </c>
      <c r="AA109" s="5">
        <v>1347.0</v>
      </c>
      <c r="AB109" s="5">
        <v>0.0</v>
      </c>
      <c r="AC109" s="5">
        <v>0.0</v>
      </c>
      <c r="AD109" s="5">
        <v>0.0</v>
      </c>
      <c r="AE109" s="5">
        <v>13.0</v>
      </c>
      <c r="AF109" s="7">
        <f t="shared" si="2"/>
        <v>0.8</v>
      </c>
      <c r="AG109" s="4" t="str">
        <f t="shared" si="3"/>
        <v>facturas,nota_credito,wildcards,encabezado_referencias_documento,</v>
      </c>
      <c r="AH109" s="5">
        <f t="shared" si="4"/>
        <v>16</v>
      </c>
      <c r="AI109" s="5">
        <f t="shared" ref="AI109:BB109" si="110">IF(COUNTIF(K$3:K109,"&gt;0")&gt;0,1,0)</f>
        <v>1</v>
      </c>
      <c r="AJ109" s="5">
        <f t="shared" si="110"/>
        <v>1</v>
      </c>
      <c r="AK109" s="5">
        <f t="shared" si="110"/>
        <v>1</v>
      </c>
      <c r="AL109" s="5">
        <f t="shared" si="110"/>
        <v>1</v>
      </c>
      <c r="AM109" s="5">
        <f t="shared" si="110"/>
        <v>1</v>
      </c>
      <c r="AN109" s="5">
        <f t="shared" si="110"/>
        <v>1</v>
      </c>
      <c r="AO109" s="5">
        <f t="shared" si="110"/>
        <v>0</v>
      </c>
      <c r="AP109" s="5">
        <f t="shared" si="110"/>
        <v>1</v>
      </c>
      <c r="AQ109" s="5">
        <f t="shared" si="110"/>
        <v>0</v>
      </c>
      <c r="AR109" s="5">
        <f t="shared" si="110"/>
        <v>1</v>
      </c>
      <c r="AS109" s="5">
        <f t="shared" si="110"/>
        <v>1</v>
      </c>
      <c r="AT109" s="5">
        <f t="shared" si="110"/>
        <v>1</v>
      </c>
      <c r="AU109" s="5">
        <f t="shared" si="110"/>
        <v>1</v>
      </c>
      <c r="AV109" s="5">
        <f t="shared" si="110"/>
        <v>1</v>
      </c>
      <c r="AW109" s="5">
        <f t="shared" si="110"/>
        <v>1</v>
      </c>
      <c r="AX109" s="5">
        <f t="shared" si="110"/>
        <v>1</v>
      </c>
      <c r="AY109" s="5">
        <f t="shared" si="110"/>
        <v>1</v>
      </c>
      <c r="AZ109" s="5">
        <f t="shared" si="110"/>
        <v>0</v>
      </c>
      <c r="BA109" s="5">
        <f t="shared" si="110"/>
        <v>1</v>
      </c>
      <c r="BB109" s="5">
        <f t="shared" si="110"/>
        <v>0</v>
      </c>
    </row>
    <row r="110">
      <c r="A110" s="5">
        <v>119.0</v>
      </c>
      <c r="B110" s="4" t="s">
        <v>348</v>
      </c>
      <c r="C110" s="5">
        <v>9.01213082E8</v>
      </c>
      <c r="D110" s="4" t="s">
        <v>349</v>
      </c>
      <c r="E110" s="4" t="s">
        <v>350</v>
      </c>
      <c r="F110" s="5">
        <v>1064.0</v>
      </c>
      <c r="G110" s="5">
        <v>283.0</v>
      </c>
      <c r="H110" s="5">
        <v>270.0</v>
      </c>
      <c r="I110" s="5">
        <v>79.0</v>
      </c>
      <c r="J110" s="5">
        <v>83.0</v>
      </c>
      <c r="K110" s="5">
        <v>548.0</v>
      </c>
      <c r="L110" s="5">
        <v>0.0</v>
      </c>
      <c r="M110" s="5">
        <v>6.0</v>
      </c>
      <c r="N110" s="5">
        <v>500.0</v>
      </c>
      <c r="O110" s="5">
        <v>10.0</v>
      </c>
      <c r="P110" s="5">
        <v>0.0</v>
      </c>
      <c r="Q110" s="5">
        <v>0.0</v>
      </c>
      <c r="R110" s="5">
        <v>0.0</v>
      </c>
      <c r="S110" s="5">
        <v>0.0</v>
      </c>
      <c r="T110" s="5">
        <v>0.0</v>
      </c>
      <c r="U110" s="5">
        <v>0.0</v>
      </c>
      <c r="V110" s="5">
        <v>0.0</v>
      </c>
      <c r="W110" s="5">
        <v>0.0</v>
      </c>
      <c r="X110" s="5">
        <v>0.0</v>
      </c>
      <c r="Y110" s="5">
        <v>0.0</v>
      </c>
      <c r="Z110" s="5">
        <v>3.0</v>
      </c>
      <c r="AA110" s="5">
        <v>0.0</v>
      </c>
      <c r="AB110" s="5">
        <v>0.0</v>
      </c>
      <c r="AC110" s="5">
        <v>0.0</v>
      </c>
      <c r="AD110" s="5">
        <v>0.0</v>
      </c>
      <c r="AE110" s="5">
        <v>13.0</v>
      </c>
      <c r="AF110" s="7">
        <f t="shared" si="2"/>
        <v>0.8</v>
      </c>
      <c r="AG110" s="4" t="str">
        <f t="shared" si="3"/>
        <v>facturas,nota_credito,documento_soporte,nota_doc_soporte,wildcards,</v>
      </c>
      <c r="AH110" s="5">
        <f t="shared" si="4"/>
        <v>16</v>
      </c>
      <c r="AI110" s="5">
        <f t="shared" ref="AI110:BB110" si="111">IF(COUNTIF(K$3:K110,"&gt;0")&gt;0,1,0)</f>
        <v>1</v>
      </c>
      <c r="AJ110" s="5">
        <f t="shared" si="111"/>
        <v>1</v>
      </c>
      <c r="AK110" s="5">
        <f t="shared" si="111"/>
        <v>1</v>
      </c>
      <c r="AL110" s="5">
        <f t="shared" si="111"/>
        <v>1</v>
      </c>
      <c r="AM110" s="5">
        <f t="shared" si="111"/>
        <v>1</v>
      </c>
      <c r="AN110" s="5">
        <f t="shared" si="111"/>
        <v>1</v>
      </c>
      <c r="AO110" s="5">
        <f t="shared" si="111"/>
        <v>0</v>
      </c>
      <c r="AP110" s="5">
        <f t="shared" si="111"/>
        <v>1</v>
      </c>
      <c r="AQ110" s="5">
        <f t="shared" si="111"/>
        <v>0</v>
      </c>
      <c r="AR110" s="5">
        <f t="shared" si="111"/>
        <v>1</v>
      </c>
      <c r="AS110" s="5">
        <f t="shared" si="111"/>
        <v>1</v>
      </c>
      <c r="AT110" s="5">
        <f t="shared" si="111"/>
        <v>1</v>
      </c>
      <c r="AU110" s="5">
        <f t="shared" si="111"/>
        <v>1</v>
      </c>
      <c r="AV110" s="5">
        <f t="shared" si="111"/>
        <v>1</v>
      </c>
      <c r="AW110" s="5">
        <f t="shared" si="111"/>
        <v>1</v>
      </c>
      <c r="AX110" s="5">
        <f t="shared" si="111"/>
        <v>1</v>
      </c>
      <c r="AY110" s="5">
        <f t="shared" si="111"/>
        <v>1</v>
      </c>
      <c r="AZ110" s="5">
        <f t="shared" si="111"/>
        <v>0</v>
      </c>
      <c r="BA110" s="5">
        <f t="shared" si="111"/>
        <v>1</v>
      </c>
      <c r="BB110" s="5">
        <f t="shared" si="111"/>
        <v>0</v>
      </c>
    </row>
    <row r="111">
      <c r="A111" s="5">
        <v>242.0</v>
      </c>
      <c r="B111" s="4" t="s">
        <v>351</v>
      </c>
      <c r="C111" s="5">
        <v>9.01269094E8</v>
      </c>
      <c r="D111" s="4" t="s">
        <v>352</v>
      </c>
      <c r="E111" s="4" t="s">
        <v>353</v>
      </c>
      <c r="F111" s="5">
        <v>1116.0</v>
      </c>
      <c r="G111" s="5">
        <v>270.0</v>
      </c>
      <c r="H111" s="5">
        <v>252.0</v>
      </c>
      <c r="I111" s="5">
        <v>10.0</v>
      </c>
      <c r="J111" s="5">
        <v>25.0</v>
      </c>
      <c r="K111" s="5">
        <v>1104.0</v>
      </c>
      <c r="L111" s="5">
        <v>1.0</v>
      </c>
      <c r="M111" s="5">
        <v>11.0</v>
      </c>
      <c r="N111" s="5">
        <v>0.0</v>
      </c>
      <c r="O111" s="5">
        <v>0.0</v>
      </c>
      <c r="P111" s="5">
        <v>0.0</v>
      </c>
      <c r="Q111" s="5">
        <v>0.0</v>
      </c>
      <c r="R111" s="5">
        <v>0.0</v>
      </c>
      <c r="S111" s="5">
        <v>0.0</v>
      </c>
      <c r="T111" s="5">
        <v>0.0</v>
      </c>
      <c r="U111" s="5">
        <v>0.0</v>
      </c>
      <c r="V111" s="5">
        <v>0.0</v>
      </c>
      <c r="W111" s="5">
        <v>0.0</v>
      </c>
      <c r="X111" s="5">
        <v>0.0</v>
      </c>
      <c r="Y111" s="5">
        <v>0.0</v>
      </c>
      <c r="Z111" s="5">
        <v>0.0</v>
      </c>
      <c r="AA111" s="5">
        <v>45.0</v>
      </c>
      <c r="AB111" s="5">
        <v>0.0</v>
      </c>
      <c r="AC111" s="5">
        <v>0.0</v>
      </c>
      <c r="AD111" s="5">
        <v>0.0</v>
      </c>
      <c r="AE111" s="5">
        <v>13.0</v>
      </c>
      <c r="AF111" s="7">
        <f t="shared" si="2"/>
        <v>0.8</v>
      </c>
      <c r="AG111" s="4" t="str">
        <f t="shared" si="3"/>
        <v>facturas,nota_debito,nota_credito,encabezado_referencias_documento,</v>
      </c>
      <c r="AH111" s="5">
        <f t="shared" si="4"/>
        <v>16</v>
      </c>
      <c r="AI111" s="5">
        <f t="shared" ref="AI111:BB111" si="112">IF(COUNTIF(K$3:K111,"&gt;0")&gt;0,1,0)</f>
        <v>1</v>
      </c>
      <c r="AJ111" s="5">
        <f t="shared" si="112"/>
        <v>1</v>
      </c>
      <c r="AK111" s="5">
        <f t="shared" si="112"/>
        <v>1</v>
      </c>
      <c r="AL111" s="5">
        <f t="shared" si="112"/>
        <v>1</v>
      </c>
      <c r="AM111" s="5">
        <f t="shared" si="112"/>
        <v>1</v>
      </c>
      <c r="AN111" s="5">
        <f t="shared" si="112"/>
        <v>1</v>
      </c>
      <c r="AO111" s="5">
        <f t="shared" si="112"/>
        <v>0</v>
      </c>
      <c r="AP111" s="5">
        <f t="shared" si="112"/>
        <v>1</v>
      </c>
      <c r="AQ111" s="5">
        <f t="shared" si="112"/>
        <v>0</v>
      </c>
      <c r="AR111" s="5">
        <f t="shared" si="112"/>
        <v>1</v>
      </c>
      <c r="AS111" s="5">
        <f t="shared" si="112"/>
        <v>1</v>
      </c>
      <c r="AT111" s="5">
        <f t="shared" si="112"/>
        <v>1</v>
      </c>
      <c r="AU111" s="5">
        <f t="shared" si="112"/>
        <v>1</v>
      </c>
      <c r="AV111" s="5">
        <f t="shared" si="112"/>
        <v>1</v>
      </c>
      <c r="AW111" s="5">
        <f t="shared" si="112"/>
        <v>1</v>
      </c>
      <c r="AX111" s="5">
        <f t="shared" si="112"/>
        <v>1</v>
      </c>
      <c r="AY111" s="5">
        <f t="shared" si="112"/>
        <v>1</v>
      </c>
      <c r="AZ111" s="5">
        <f t="shared" si="112"/>
        <v>0</v>
      </c>
      <c r="BA111" s="5">
        <f t="shared" si="112"/>
        <v>1</v>
      </c>
      <c r="BB111" s="5">
        <f t="shared" si="112"/>
        <v>0</v>
      </c>
    </row>
    <row r="112">
      <c r="A112" s="5">
        <v>469.0</v>
      </c>
      <c r="B112" s="4" t="s">
        <v>354</v>
      </c>
      <c r="C112" s="5">
        <v>8.30128286E8</v>
      </c>
      <c r="D112" s="4" t="s">
        <v>355</v>
      </c>
      <c r="E112" s="4" t="s">
        <v>356</v>
      </c>
      <c r="F112" s="5">
        <v>1547.0</v>
      </c>
      <c r="G112" s="5">
        <v>456.0</v>
      </c>
      <c r="H112" s="5">
        <v>648.0</v>
      </c>
      <c r="I112" s="5">
        <v>24.0</v>
      </c>
      <c r="J112" s="5">
        <v>68.0</v>
      </c>
      <c r="K112" s="5">
        <v>485.0</v>
      </c>
      <c r="L112" s="5">
        <v>0.0</v>
      </c>
      <c r="M112" s="5">
        <v>40.0</v>
      </c>
      <c r="N112" s="5">
        <v>1018.0</v>
      </c>
      <c r="O112" s="5">
        <v>4.0</v>
      </c>
      <c r="P112" s="5">
        <v>0.0</v>
      </c>
      <c r="Q112" s="5">
        <v>0.0</v>
      </c>
      <c r="R112" s="5">
        <v>0.0</v>
      </c>
      <c r="S112" s="5">
        <v>0.0</v>
      </c>
      <c r="T112" s="5">
        <v>0.0</v>
      </c>
      <c r="U112" s="5">
        <v>0.0</v>
      </c>
      <c r="V112" s="5">
        <v>0.0</v>
      </c>
      <c r="W112" s="5">
        <v>0.0</v>
      </c>
      <c r="X112" s="5">
        <v>0.0</v>
      </c>
      <c r="Y112" s="5">
        <v>0.0</v>
      </c>
      <c r="Z112" s="5">
        <v>672.0</v>
      </c>
      <c r="AA112" s="5">
        <v>0.0</v>
      </c>
      <c r="AB112" s="5">
        <v>0.0</v>
      </c>
      <c r="AC112" s="5">
        <v>0.0</v>
      </c>
      <c r="AD112" s="5">
        <v>0.0</v>
      </c>
      <c r="AE112" s="5">
        <v>13.0</v>
      </c>
      <c r="AF112" s="7">
        <f t="shared" si="2"/>
        <v>0.8</v>
      </c>
      <c r="AG112" s="4" t="str">
        <f t="shared" si="3"/>
        <v>facturas,nota_credito,documento_soporte,nota_doc_soporte,wildcards,</v>
      </c>
      <c r="AH112" s="5">
        <f t="shared" si="4"/>
        <v>16</v>
      </c>
      <c r="AI112" s="5">
        <f t="shared" ref="AI112:BB112" si="113">IF(COUNTIF(K$3:K112,"&gt;0")&gt;0,1,0)</f>
        <v>1</v>
      </c>
      <c r="AJ112" s="5">
        <f t="shared" si="113"/>
        <v>1</v>
      </c>
      <c r="AK112" s="5">
        <f t="shared" si="113"/>
        <v>1</v>
      </c>
      <c r="AL112" s="5">
        <f t="shared" si="113"/>
        <v>1</v>
      </c>
      <c r="AM112" s="5">
        <f t="shared" si="113"/>
        <v>1</v>
      </c>
      <c r="AN112" s="5">
        <f t="shared" si="113"/>
        <v>1</v>
      </c>
      <c r="AO112" s="5">
        <f t="shared" si="113"/>
        <v>0</v>
      </c>
      <c r="AP112" s="5">
        <f t="shared" si="113"/>
        <v>1</v>
      </c>
      <c r="AQ112" s="5">
        <f t="shared" si="113"/>
        <v>0</v>
      </c>
      <c r="AR112" s="5">
        <f t="shared" si="113"/>
        <v>1</v>
      </c>
      <c r="AS112" s="5">
        <f t="shared" si="113"/>
        <v>1</v>
      </c>
      <c r="AT112" s="5">
        <f t="shared" si="113"/>
        <v>1</v>
      </c>
      <c r="AU112" s="5">
        <f t="shared" si="113"/>
        <v>1</v>
      </c>
      <c r="AV112" s="5">
        <f t="shared" si="113"/>
        <v>1</v>
      </c>
      <c r="AW112" s="5">
        <f t="shared" si="113"/>
        <v>1</v>
      </c>
      <c r="AX112" s="5">
        <f t="shared" si="113"/>
        <v>1</v>
      </c>
      <c r="AY112" s="5">
        <f t="shared" si="113"/>
        <v>1</v>
      </c>
      <c r="AZ112" s="5">
        <f t="shared" si="113"/>
        <v>0</v>
      </c>
      <c r="BA112" s="5">
        <f t="shared" si="113"/>
        <v>1</v>
      </c>
      <c r="BB112" s="5">
        <f t="shared" si="113"/>
        <v>0</v>
      </c>
    </row>
    <row r="113">
      <c r="A113" s="5">
        <v>87.0</v>
      </c>
      <c r="B113" s="4" t="s">
        <v>357</v>
      </c>
      <c r="C113" s="5">
        <v>9.00702491E8</v>
      </c>
      <c r="D113" s="4" t="s">
        <v>358</v>
      </c>
      <c r="E113" s="4" t="s">
        <v>359</v>
      </c>
      <c r="F113" s="5">
        <v>488.0</v>
      </c>
      <c r="G113" s="5">
        <v>72.0</v>
      </c>
      <c r="H113" s="5">
        <v>62.0</v>
      </c>
      <c r="I113" s="5">
        <v>0.0</v>
      </c>
      <c r="J113" s="5">
        <v>1.0</v>
      </c>
      <c r="K113" s="5">
        <v>388.0</v>
      </c>
      <c r="L113" s="5">
        <v>1.0</v>
      </c>
      <c r="M113" s="5">
        <v>99.0</v>
      </c>
      <c r="N113" s="5">
        <v>0.0</v>
      </c>
      <c r="O113" s="5">
        <v>0.0</v>
      </c>
      <c r="P113" s="5">
        <v>0.0</v>
      </c>
      <c r="Q113" s="5">
        <v>0.0</v>
      </c>
      <c r="R113" s="5">
        <v>0.0</v>
      </c>
      <c r="S113" s="5">
        <v>0.0</v>
      </c>
      <c r="T113" s="5">
        <v>0.0</v>
      </c>
      <c r="U113" s="5">
        <v>0.0</v>
      </c>
      <c r="V113" s="5">
        <v>0.0</v>
      </c>
      <c r="W113" s="5">
        <v>0.0</v>
      </c>
      <c r="X113" s="5">
        <v>0.0</v>
      </c>
      <c r="Y113" s="5">
        <v>0.0</v>
      </c>
      <c r="Z113" s="5">
        <v>0.0</v>
      </c>
      <c r="AA113" s="5">
        <v>424.0</v>
      </c>
      <c r="AB113" s="5">
        <v>0.0</v>
      </c>
      <c r="AC113" s="5">
        <v>0.0</v>
      </c>
      <c r="AD113" s="5">
        <v>0.0</v>
      </c>
      <c r="AE113" s="5">
        <v>13.0</v>
      </c>
      <c r="AF113" s="7">
        <f t="shared" si="2"/>
        <v>0.8</v>
      </c>
      <c r="AG113" s="4" t="str">
        <f t="shared" si="3"/>
        <v>facturas,nota_debito,nota_credito,encabezado_referencias_documento,</v>
      </c>
      <c r="AH113" s="5">
        <f t="shared" si="4"/>
        <v>16</v>
      </c>
      <c r="AI113" s="5">
        <f t="shared" ref="AI113:BB113" si="114">IF(COUNTIF(K$3:K113,"&gt;0")&gt;0,1,0)</f>
        <v>1</v>
      </c>
      <c r="AJ113" s="5">
        <f t="shared" si="114"/>
        <v>1</v>
      </c>
      <c r="AK113" s="5">
        <f t="shared" si="114"/>
        <v>1</v>
      </c>
      <c r="AL113" s="5">
        <f t="shared" si="114"/>
        <v>1</v>
      </c>
      <c r="AM113" s="5">
        <f t="shared" si="114"/>
        <v>1</v>
      </c>
      <c r="AN113" s="5">
        <f t="shared" si="114"/>
        <v>1</v>
      </c>
      <c r="AO113" s="5">
        <f t="shared" si="114"/>
        <v>0</v>
      </c>
      <c r="AP113" s="5">
        <f t="shared" si="114"/>
        <v>1</v>
      </c>
      <c r="AQ113" s="5">
        <f t="shared" si="114"/>
        <v>0</v>
      </c>
      <c r="AR113" s="5">
        <f t="shared" si="114"/>
        <v>1</v>
      </c>
      <c r="AS113" s="5">
        <f t="shared" si="114"/>
        <v>1</v>
      </c>
      <c r="AT113" s="5">
        <f t="shared" si="114"/>
        <v>1</v>
      </c>
      <c r="AU113" s="5">
        <f t="shared" si="114"/>
        <v>1</v>
      </c>
      <c r="AV113" s="5">
        <f t="shared" si="114"/>
        <v>1</v>
      </c>
      <c r="AW113" s="5">
        <f t="shared" si="114"/>
        <v>1</v>
      </c>
      <c r="AX113" s="5">
        <f t="shared" si="114"/>
        <v>1</v>
      </c>
      <c r="AY113" s="5">
        <f t="shared" si="114"/>
        <v>1</v>
      </c>
      <c r="AZ113" s="5">
        <f t="shared" si="114"/>
        <v>0</v>
      </c>
      <c r="BA113" s="5">
        <f t="shared" si="114"/>
        <v>1</v>
      </c>
      <c r="BB113" s="5">
        <f t="shared" si="114"/>
        <v>0</v>
      </c>
    </row>
    <row r="114">
      <c r="A114" s="5">
        <v>91.0</v>
      </c>
      <c r="B114" s="4" t="s">
        <v>360</v>
      </c>
      <c r="C114" s="5">
        <v>9.00162352E8</v>
      </c>
      <c r="D114" s="4" t="s">
        <v>361</v>
      </c>
      <c r="E114" s="4" t="s">
        <v>362</v>
      </c>
      <c r="F114" s="5">
        <v>1004.0</v>
      </c>
      <c r="G114" s="5">
        <v>181.0</v>
      </c>
      <c r="H114" s="5">
        <v>153.0</v>
      </c>
      <c r="I114" s="5">
        <v>6.0</v>
      </c>
      <c r="J114" s="5">
        <v>9.0</v>
      </c>
      <c r="K114" s="5">
        <v>767.0</v>
      </c>
      <c r="L114" s="5">
        <v>2.0</v>
      </c>
      <c r="M114" s="5">
        <v>235.0</v>
      </c>
      <c r="N114" s="5">
        <v>0.0</v>
      </c>
      <c r="O114" s="5">
        <v>0.0</v>
      </c>
      <c r="P114" s="5">
        <v>0.0</v>
      </c>
      <c r="Q114" s="5">
        <v>0.0</v>
      </c>
      <c r="R114" s="5">
        <v>0.0</v>
      </c>
      <c r="S114" s="5">
        <v>0.0</v>
      </c>
      <c r="T114" s="5">
        <v>0.0</v>
      </c>
      <c r="U114" s="5">
        <v>0.0</v>
      </c>
      <c r="V114" s="5">
        <v>0.0</v>
      </c>
      <c r="W114" s="5">
        <v>0.0</v>
      </c>
      <c r="X114" s="5">
        <v>0.0</v>
      </c>
      <c r="Y114" s="5">
        <v>0.0</v>
      </c>
      <c r="Z114" s="5">
        <v>0.0</v>
      </c>
      <c r="AA114" s="5">
        <v>580.0</v>
      </c>
      <c r="AB114" s="5">
        <v>0.0</v>
      </c>
      <c r="AC114" s="5">
        <v>0.0</v>
      </c>
      <c r="AD114" s="5">
        <v>0.0</v>
      </c>
      <c r="AE114" s="5">
        <v>13.0</v>
      </c>
      <c r="AF114" s="7">
        <f t="shared" si="2"/>
        <v>0.8</v>
      </c>
      <c r="AG114" s="4" t="str">
        <f t="shared" si="3"/>
        <v>facturas,nota_debito,nota_credito,encabezado_referencias_documento,</v>
      </c>
      <c r="AH114" s="5">
        <f t="shared" si="4"/>
        <v>16</v>
      </c>
      <c r="AI114" s="5">
        <f t="shared" ref="AI114:BB114" si="115">IF(COUNTIF(K$3:K114,"&gt;0")&gt;0,1,0)</f>
        <v>1</v>
      </c>
      <c r="AJ114" s="5">
        <f t="shared" si="115"/>
        <v>1</v>
      </c>
      <c r="AK114" s="5">
        <f t="shared" si="115"/>
        <v>1</v>
      </c>
      <c r="AL114" s="5">
        <f t="shared" si="115"/>
        <v>1</v>
      </c>
      <c r="AM114" s="5">
        <f t="shared" si="115"/>
        <v>1</v>
      </c>
      <c r="AN114" s="5">
        <f t="shared" si="115"/>
        <v>1</v>
      </c>
      <c r="AO114" s="5">
        <f t="shared" si="115"/>
        <v>0</v>
      </c>
      <c r="AP114" s="5">
        <f t="shared" si="115"/>
        <v>1</v>
      </c>
      <c r="AQ114" s="5">
        <f t="shared" si="115"/>
        <v>0</v>
      </c>
      <c r="AR114" s="5">
        <f t="shared" si="115"/>
        <v>1</v>
      </c>
      <c r="AS114" s="5">
        <f t="shared" si="115"/>
        <v>1</v>
      </c>
      <c r="AT114" s="5">
        <f t="shared" si="115"/>
        <v>1</v>
      </c>
      <c r="AU114" s="5">
        <f t="shared" si="115"/>
        <v>1</v>
      </c>
      <c r="AV114" s="5">
        <f t="shared" si="115"/>
        <v>1</v>
      </c>
      <c r="AW114" s="5">
        <f t="shared" si="115"/>
        <v>1</v>
      </c>
      <c r="AX114" s="5">
        <f t="shared" si="115"/>
        <v>1</v>
      </c>
      <c r="AY114" s="5">
        <f t="shared" si="115"/>
        <v>1</v>
      </c>
      <c r="AZ114" s="5">
        <f t="shared" si="115"/>
        <v>0</v>
      </c>
      <c r="BA114" s="5">
        <f t="shared" si="115"/>
        <v>1</v>
      </c>
      <c r="BB114" s="5">
        <f t="shared" si="115"/>
        <v>0</v>
      </c>
    </row>
    <row r="115">
      <c r="A115" s="5">
        <v>437.0</v>
      </c>
      <c r="B115" s="4" t="s">
        <v>363</v>
      </c>
      <c r="C115" s="5">
        <v>8.92099499E8</v>
      </c>
      <c r="D115" s="4" t="s">
        <v>364</v>
      </c>
      <c r="E115" s="4" t="s">
        <v>244</v>
      </c>
      <c r="F115" s="5">
        <v>6419.0</v>
      </c>
      <c r="G115" s="5">
        <v>1917.0</v>
      </c>
      <c r="H115" s="5">
        <v>1806.0</v>
      </c>
      <c r="I115" s="5">
        <v>125.0</v>
      </c>
      <c r="J115" s="5">
        <v>95.0</v>
      </c>
      <c r="K115" s="5">
        <v>19.0</v>
      </c>
      <c r="L115" s="5">
        <v>6.0</v>
      </c>
      <c r="M115" s="5">
        <v>16.0</v>
      </c>
      <c r="N115" s="5">
        <v>6296.0</v>
      </c>
      <c r="O115" s="5">
        <v>82.0</v>
      </c>
      <c r="P115" s="5">
        <v>0.0</v>
      </c>
      <c r="Q115" s="5">
        <v>0.0</v>
      </c>
      <c r="R115" s="5">
        <v>0.0</v>
      </c>
      <c r="S115" s="5">
        <v>0.0</v>
      </c>
      <c r="T115" s="5">
        <v>0.0</v>
      </c>
      <c r="U115" s="5">
        <v>0.0</v>
      </c>
      <c r="V115" s="5">
        <v>0.0</v>
      </c>
      <c r="W115" s="5">
        <v>0.0</v>
      </c>
      <c r="X115" s="5">
        <v>0.0</v>
      </c>
      <c r="Y115" s="5">
        <v>0.0</v>
      </c>
      <c r="Z115" s="5">
        <v>0.0</v>
      </c>
      <c r="AA115" s="5">
        <v>0.0</v>
      </c>
      <c r="AB115" s="5">
        <v>0.0</v>
      </c>
      <c r="AC115" s="5">
        <v>0.0</v>
      </c>
      <c r="AD115" s="5">
        <v>0.0</v>
      </c>
      <c r="AE115" s="5">
        <v>13.0</v>
      </c>
      <c r="AF115" s="7">
        <f t="shared" si="2"/>
        <v>0.8</v>
      </c>
      <c r="AG115" s="4" t="str">
        <f t="shared" si="3"/>
        <v>facturas,nota_debito,nota_credito,documento_soporte,nota_doc_soporte,</v>
      </c>
      <c r="AH115" s="5">
        <f t="shared" si="4"/>
        <v>16</v>
      </c>
      <c r="AI115" s="5">
        <f t="shared" ref="AI115:BB115" si="116">IF(COUNTIF(K$3:K115,"&gt;0")&gt;0,1,0)</f>
        <v>1</v>
      </c>
      <c r="AJ115" s="5">
        <f t="shared" si="116"/>
        <v>1</v>
      </c>
      <c r="AK115" s="5">
        <f t="shared" si="116"/>
        <v>1</v>
      </c>
      <c r="AL115" s="5">
        <f t="shared" si="116"/>
        <v>1</v>
      </c>
      <c r="AM115" s="5">
        <f t="shared" si="116"/>
        <v>1</v>
      </c>
      <c r="AN115" s="5">
        <f t="shared" si="116"/>
        <v>1</v>
      </c>
      <c r="AO115" s="5">
        <f t="shared" si="116"/>
        <v>0</v>
      </c>
      <c r="AP115" s="5">
        <f t="shared" si="116"/>
        <v>1</v>
      </c>
      <c r="AQ115" s="5">
        <f t="shared" si="116"/>
        <v>0</v>
      </c>
      <c r="AR115" s="5">
        <f t="shared" si="116"/>
        <v>1</v>
      </c>
      <c r="AS115" s="5">
        <f t="shared" si="116"/>
        <v>1</v>
      </c>
      <c r="AT115" s="5">
        <f t="shared" si="116"/>
        <v>1</v>
      </c>
      <c r="AU115" s="5">
        <f t="shared" si="116"/>
        <v>1</v>
      </c>
      <c r="AV115" s="5">
        <f t="shared" si="116"/>
        <v>1</v>
      </c>
      <c r="AW115" s="5">
        <f t="shared" si="116"/>
        <v>1</v>
      </c>
      <c r="AX115" s="5">
        <f t="shared" si="116"/>
        <v>1</v>
      </c>
      <c r="AY115" s="5">
        <f t="shared" si="116"/>
        <v>1</v>
      </c>
      <c r="AZ115" s="5">
        <f t="shared" si="116"/>
        <v>0</v>
      </c>
      <c r="BA115" s="5">
        <f t="shared" si="116"/>
        <v>1</v>
      </c>
      <c r="BB115" s="5">
        <f t="shared" si="116"/>
        <v>0</v>
      </c>
    </row>
    <row r="116">
      <c r="A116" s="5">
        <v>313.0</v>
      </c>
      <c r="B116" s="4" t="s">
        <v>365</v>
      </c>
      <c r="C116" s="5">
        <v>9.01379313E8</v>
      </c>
      <c r="D116" s="4" t="s">
        <v>366</v>
      </c>
      <c r="E116" s="4" t="s">
        <v>367</v>
      </c>
      <c r="F116" s="5">
        <v>804.0</v>
      </c>
      <c r="G116" s="5">
        <v>134.0</v>
      </c>
      <c r="H116" s="5">
        <v>181.0</v>
      </c>
      <c r="I116" s="5">
        <v>21.0</v>
      </c>
      <c r="J116" s="5">
        <v>43.0</v>
      </c>
      <c r="K116" s="5">
        <v>775.0</v>
      </c>
      <c r="L116" s="5">
        <v>1.0</v>
      </c>
      <c r="M116" s="5">
        <v>28.0</v>
      </c>
      <c r="N116" s="5">
        <v>0.0</v>
      </c>
      <c r="O116" s="5">
        <v>0.0</v>
      </c>
      <c r="P116" s="5">
        <v>0.0</v>
      </c>
      <c r="Q116" s="5">
        <v>4.0</v>
      </c>
      <c r="R116" s="5">
        <v>0.0</v>
      </c>
      <c r="S116" s="5">
        <v>0.0</v>
      </c>
      <c r="T116" s="5">
        <v>0.0</v>
      </c>
      <c r="U116" s="5">
        <v>0.0</v>
      </c>
      <c r="V116" s="5">
        <v>0.0</v>
      </c>
      <c r="W116" s="5">
        <v>0.0</v>
      </c>
      <c r="X116" s="5">
        <v>0.0</v>
      </c>
      <c r="Y116" s="5">
        <v>0.0</v>
      </c>
      <c r="Z116" s="5">
        <v>820.0</v>
      </c>
      <c r="AA116" s="5">
        <v>0.0</v>
      </c>
      <c r="AB116" s="5">
        <v>0.0</v>
      </c>
      <c r="AC116" s="5">
        <v>0.0</v>
      </c>
      <c r="AD116" s="5">
        <v>0.0</v>
      </c>
      <c r="AE116" s="5">
        <v>14.0</v>
      </c>
      <c r="AF116" s="7">
        <f t="shared" si="2"/>
        <v>0.85</v>
      </c>
      <c r="AG116" s="4" t="str">
        <f t="shared" si="3"/>
        <v>facturas,nota_debito,nota_credito,usa_Total_CargoDescuento,wildcards,</v>
      </c>
      <c r="AH116" s="5">
        <f t="shared" si="4"/>
        <v>17</v>
      </c>
      <c r="AI116" s="5">
        <f t="shared" ref="AI116:BB116" si="117">IF(COUNTIF(K$3:K116,"&gt;0")&gt;0,1,0)</f>
        <v>1</v>
      </c>
      <c r="AJ116" s="5">
        <f t="shared" si="117"/>
        <v>1</v>
      </c>
      <c r="AK116" s="5">
        <f t="shared" si="117"/>
        <v>1</v>
      </c>
      <c r="AL116" s="5">
        <f t="shared" si="117"/>
        <v>1</v>
      </c>
      <c r="AM116" s="5">
        <f t="shared" si="117"/>
        <v>1</v>
      </c>
      <c r="AN116" s="5">
        <f t="shared" si="117"/>
        <v>1</v>
      </c>
      <c r="AO116" s="5">
        <f t="shared" si="117"/>
        <v>1</v>
      </c>
      <c r="AP116" s="5">
        <f t="shared" si="117"/>
        <v>1</v>
      </c>
      <c r="AQ116" s="5">
        <f t="shared" si="117"/>
        <v>0</v>
      </c>
      <c r="AR116" s="5">
        <f t="shared" si="117"/>
        <v>1</v>
      </c>
      <c r="AS116" s="5">
        <f t="shared" si="117"/>
        <v>1</v>
      </c>
      <c r="AT116" s="5">
        <f t="shared" si="117"/>
        <v>1</v>
      </c>
      <c r="AU116" s="5">
        <f t="shared" si="117"/>
        <v>1</v>
      </c>
      <c r="AV116" s="5">
        <f t="shared" si="117"/>
        <v>1</v>
      </c>
      <c r="AW116" s="5">
        <f t="shared" si="117"/>
        <v>1</v>
      </c>
      <c r="AX116" s="5">
        <f t="shared" si="117"/>
        <v>1</v>
      </c>
      <c r="AY116" s="5">
        <f t="shared" si="117"/>
        <v>1</v>
      </c>
      <c r="AZ116" s="5">
        <f t="shared" si="117"/>
        <v>0</v>
      </c>
      <c r="BA116" s="5">
        <f t="shared" si="117"/>
        <v>1</v>
      </c>
      <c r="BB116" s="5">
        <f t="shared" si="117"/>
        <v>0</v>
      </c>
    </row>
    <row r="117">
      <c r="A117" s="5">
        <v>94.0</v>
      </c>
      <c r="B117" s="4" t="s">
        <v>368</v>
      </c>
      <c r="C117" s="5">
        <v>9.00731559E8</v>
      </c>
      <c r="D117" s="4" t="s">
        <v>369</v>
      </c>
      <c r="E117" s="4" t="s">
        <v>370</v>
      </c>
      <c r="F117" s="5">
        <v>193.0</v>
      </c>
      <c r="G117" s="5">
        <v>33.0</v>
      </c>
      <c r="H117" s="5">
        <v>34.0</v>
      </c>
      <c r="I117" s="5">
        <v>3.0</v>
      </c>
      <c r="J117" s="5">
        <v>4.0</v>
      </c>
      <c r="K117" s="5">
        <v>140.0</v>
      </c>
      <c r="L117" s="5">
        <v>0.0</v>
      </c>
      <c r="M117" s="5">
        <v>0.0</v>
      </c>
      <c r="N117" s="5">
        <v>53.0</v>
      </c>
      <c r="O117" s="5">
        <v>0.0</v>
      </c>
      <c r="P117" s="5">
        <v>0.0</v>
      </c>
      <c r="Q117" s="5">
        <v>0.0</v>
      </c>
      <c r="R117" s="5">
        <v>0.0</v>
      </c>
      <c r="S117" s="5">
        <v>0.0</v>
      </c>
      <c r="T117" s="5">
        <v>0.0</v>
      </c>
      <c r="U117" s="5">
        <v>0.0</v>
      </c>
      <c r="V117" s="5">
        <v>0.0</v>
      </c>
      <c r="W117" s="5">
        <v>0.0</v>
      </c>
      <c r="X117" s="5">
        <v>0.0</v>
      </c>
      <c r="Y117" s="5">
        <v>0.0</v>
      </c>
      <c r="Z117" s="5">
        <v>6.0</v>
      </c>
      <c r="AA117" s="5">
        <v>31.0</v>
      </c>
      <c r="AB117" s="5">
        <v>0.0</v>
      </c>
      <c r="AC117" s="5">
        <v>0.0</v>
      </c>
      <c r="AD117" s="5">
        <v>0.0</v>
      </c>
      <c r="AE117" s="5">
        <v>14.0</v>
      </c>
      <c r="AF117" s="7">
        <f t="shared" si="2"/>
        <v>0.85</v>
      </c>
      <c r="AG117" s="4" t="str">
        <f t="shared" si="3"/>
        <v>facturas,documento_soporte,wildcards,encabezado_referencias_documento,</v>
      </c>
      <c r="AH117" s="5">
        <f t="shared" si="4"/>
        <v>17</v>
      </c>
      <c r="AI117" s="5">
        <f t="shared" ref="AI117:BB117" si="118">IF(COUNTIF(K$3:K117,"&gt;0")&gt;0,1,0)</f>
        <v>1</v>
      </c>
      <c r="AJ117" s="5">
        <f t="shared" si="118"/>
        <v>1</v>
      </c>
      <c r="AK117" s="5">
        <f t="shared" si="118"/>
        <v>1</v>
      </c>
      <c r="AL117" s="5">
        <f t="shared" si="118"/>
        <v>1</v>
      </c>
      <c r="AM117" s="5">
        <f t="shared" si="118"/>
        <v>1</v>
      </c>
      <c r="AN117" s="5">
        <f t="shared" si="118"/>
        <v>1</v>
      </c>
      <c r="AO117" s="5">
        <f t="shared" si="118"/>
        <v>1</v>
      </c>
      <c r="AP117" s="5">
        <f t="shared" si="118"/>
        <v>1</v>
      </c>
      <c r="AQ117" s="5">
        <f t="shared" si="118"/>
        <v>0</v>
      </c>
      <c r="AR117" s="5">
        <f t="shared" si="118"/>
        <v>1</v>
      </c>
      <c r="AS117" s="5">
        <f t="shared" si="118"/>
        <v>1</v>
      </c>
      <c r="AT117" s="5">
        <f t="shared" si="118"/>
        <v>1</v>
      </c>
      <c r="AU117" s="5">
        <f t="shared" si="118"/>
        <v>1</v>
      </c>
      <c r="AV117" s="5">
        <f t="shared" si="118"/>
        <v>1</v>
      </c>
      <c r="AW117" s="5">
        <f t="shared" si="118"/>
        <v>1</v>
      </c>
      <c r="AX117" s="5">
        <f t="shared" si="118"/>
        <v>1</v>
      </c>
      <c r="AY117" s="5">
        <f t="shared" si="118"/>
        <v>1</v>
      </c>
      <c r="AZ117" s="5">
        <f t="shared" si="118"/>
        <v>0</v>
      </c>
      <c r="BA117" s="5">
        <f t="shared" si="118"/>
        <v>1</v>
      </c>
      <c r="BB117" s="5">
        <f t="shared" si="118"/>
        <v>0</v>
      </c>
    </row>
    <row r="118">
      <c r="A118" s="5">
        <v>520.0</v>
      </c>
      <c r="B118" s="4" t="s">
        <v>371</v>
      </c>
      <c r="C118" s="5">
        <v>8.0005556E8</v>
      </c>
      <c r="D118" s="4" t="s">
        <v>372</v>
      </c>
      <c r="E118" s="4" t="s">
        <v>373</v>
      </c>
      <c r="F118" s="5">
        <v>94.0</v>
      </c>
      <c r="G118" s="5">
        <v>43.0</v>
      </c>
      <c r="H118" s="5">
        <v>51.0</v>
      </c>
      <c r="I118" s="5">
        <v>5.0</v>
      </c>
      <c r="J118" s="5">
        <v>3.0</v>
      </c>
      <c r="K118" s="5">
        <v>91.0</v>
      </c>
      <c r="L118" s="5">
        <v>0.0</v>
      </c>
      <c r="M118" s="5">
        <v>3.0</v>
      </c>
      <c r="N118" s="5">
        <v>0.0</v>
      </c>
      <c r="O118" s="5">
        <v>0.0</v>
      </c>
      <c r="P118" s="5">
        <v>0.0</v>
      </c>
      <c r="Q118" s="5">
        <v>0.0</v>
      </c>
      <c r="R118" s="5">
        <v>0.0</v>
      </c>
      <c r="S118" s="5">
        <v>0.0</v>
      </c>
      <c r="T118" s="5">
        <v>7.0</v>
      </c>
      <c r="U118" s="5">
        <v>0.0</v>
      </c>
      <c r="V118" s="5">
        <v>0.0</v>
      </c>
      <c r="W118" s="5">
        <v>0.0</v>
      </c>
      <c r="X118" s="5">
        <v>0.0</v>
      </c>
      <c r="Y118" s="5">
        <v>0.0</v>
      </c>
      <c r="Z118" s="5">
        <v>0.0</v>
      </c>
      <c r="AA118" s="5">
        <v>10.0</v>
      </c>
      <c r="AB118" s="5">
        <v>0.0</v>
      </c>
      <c r="AC118" s="5">
        <v>0.0</v>
      </c>
      <c r="AD118" s="5">
        <v>0.0</v>
      </c>
      <c r="AE118" s="5">
        <v>14.0</v>
      </c>
      <c r="AF118" s="7">
        <f t="shared" si="2"/>
        <v>0.85</v>
      </c>
      <c r="AG118" s="4" t="str">
        <f t="shared" si="3"/>
        <v>facturas,nota_credito,maneja_adjunto,encabezado_referencias_documento,</v>
      </c>
      <c r="AH118" s="5">
        <f t="shared" si="4"/>
        <v>17</v>
      </c>
      <c r="AI118" s="5">
        <f t="shared" ref="AI118:BB118" si="119">IF(COUNTIF(K$3:K118,"&gt;0")&gt;0,1,0)</f>
        <v>1</v>
      </c>
      <c r="AJ118" s="5">
        <f t="shared" si="119"/>
        <v>1</v>
      </c>
      <c r="AK118" s="5">
        <f t="shared" si="119"/>
        <v>1</v>
      </c>
      <c r="AL118" s="5">
        <f t="shared" si="119"/>
        <v>1</v>
      </c>
      <c r="AM118" s="5">
        <f t="shared" si="119"/>
        <v>1</v>
      </c>
      <c r="AN118" s="5">
        <f t="shared" si="119"/>
        <v>1</v>
      </c>
      <c r="AO118" s="5">
        <f t="shared" si="119"/>
        <v>1</v>
      </c>
      <c r="AP118" s="5">
        <f t="shared" si="119"/>
        <v>1</v>
      </c>
      <c r="AQ118" s="5">
        <f t="shared" si="119"/>
        <v>0</v>
      </c>
      <c r="AR118" s="5">
        <f t="shared" si="119"/>
        <v>1</v>
      </c>
      <c r="AS118" s="5">
        <f t="shared" si="119"/>
        <v>1</v>
      </c>
      <c r="AT118" s="5">
        <f t="shared" si="119"/>
        <v>1</v>
      </c>
      <c r="AU118" s="5">
        <f t="shared" si="119"/>
        <v>1</v>
      </c>
      <c r="AV118" s="5">
        <f t="shared" si="119"/>
        <v>1</v>
      </c>
      <c r="AW118" s="5">
        <f t="shared" si="119"/>
        <v>1</v>
      </c>
      <c r="AX118" s="5">
        <f t="shared" si="119"/>
        <v>1</v>
      </c>
      <c r="AY118" s="5">
        <f t="shared" si="119"/>
        <v>1</v>
      </c>
      <c r="AZ118" s="5">
        <f t="shared" si="119"/>
        <v>0</v>
      </c>
      <c r="BA118" s="5">
        <f t="shared" si="119"/>
        <v>1</v>
      </c>
      <c r="BB118" s="5">
        <f t="shared" si="119"/>
        <v>0</v>
      </c>
    </row>
    <row r="119">
      <c r="A119" s="5">
        <v>501.0</v>
      </c>
      <c r="B119" s="4" t="s">
        <v>374</v>
      </c>
      <c r="C119" s="5">
        <v>9.01711918E8</v>
      </c>
      <c r="D119" s="4" t="s">
        <v>375</v>
      </c>
      <c r="E119" s="4" t="s">
        <v>376</v>
      </c>
      <c r="F119" s="5">
        <v>62.0</v>
      </c>
      <c r="G119" s="5">
        <v>6.0</v>
      </c>
      <c r="H119" s="5">
        <v>55.0</v>
      </c>
      <c r="I119" s="5">
        <v>0.0</v>
      </c>
      <c r="J119" s="5">
        <v>0.0</v>
      </c>
      <c r="K119" s="5">
        <v>56.0</v>
      </c>
      <c r="L119" s="5">
        <v>0.0</v>
      </c>
      <c r="M119" s="5">
        <v>6.0</v>
      </c>
      <c r="N119" s="5">
        <v>0.0</v>
      </c>
      <c r="O119" s="5">
        <v>0.0</v>
      </c>
      <c r="P119" s="5">
        <v>0.0</v>
      </c>
      <c r="Q119" s="5">
        <v>0.0</v>
      </c>
      <c r="R119" s="5">
        <v>0.0</v>
      </c>
      <c r="S119" s="5">
        <v>0.0</v>
      </c>
      <c r="T119" s="5">
        <v>1.0</v>
      </c>
      <c r="U119" s="5">
        <v>0.0</v>
      </c>
      <c r="V119" s="5">
        <v>0.0</v>
      </c>
      <c r="W119" s="5">
        <v>0.0</v>
      </c>
      <c r="X119" s="5">
        <v>0.0</v>
      </c>
      <c r="Y119" s="5">
        <v>0.0</v>
      </c>
      <c r="Z119" s="5">
        <v>0.0</v>
      </c>
      <c r="AA119" s="5">
        <v>1.0</v>
      </c>
      <c r="AB119" s="5">
        <v>0.0</v>
      </c>
      <c r="AC119" s="5">
        <v>0.0</v>
      </c>
      <c r="AD119" s="5">
        <v>0.0</v>
      </c>
      <c r="AE119" s="5">
        <v>14.0</v>
      </c>
      <c r="AF119" s="7">
        <f t="shared" si="2"/>
        <v>0.85</v>
      </c>
      <c r="AG119" s="4" t="str">
        <f t="shared" si="3"/>
        <v>facturas,nota_credito,maneja_adjunto,encabezado_referencias_documento,</v>
      </c>
      <c r="AH119" s="5">
        <f t="shared" si="4"/>
        <v>17</v>
      </c>
      <c r="AI119" s="5">
        <f t="shared" ref="AI119:BB119" si="120">IF(COUNTIF(K$3:K119,"&gt;0")&gt;0,1,0)</f>
        <v>1</v>
      </c>
      <c r="AJ119" s="5">
        <f t="shared" si="120"/>
        <v>1</v>
      </c>
      <c r="AK119" s="5">
        <f t="shared" si="120"/>
        <v>1</v>
      </c>
      <c r="AL119" s="5">
        <f t="shared" si="120"/>
        <v>1</v>
      </c>
      <c r="AM119" s="5">
        <f t="shared" si="120"/>
        <v>1</v>
      </c>
      <c r="AN119" s="5">
        <f t="shared" si="120"/>
        <v>1</v>
      </c>
      <c r="AO119" s="5">
        <f t="shared" si="120"/>
        <v>1</v>
      </c>
      <c r="AP119" s="5">
        <f t="shared" si="120"/>
        <v>1</v>
      </c>
      <c r="AQ119" s="5">
        <f t="shared" si="120"/>
        <v>0</v>
      </c>
      <c r="AR119" s="5">
        <f t="shared" si="120"/>
        <v>1</v>
      </c>
      <c r="AS119" s="5">
        <f t="shared" si="120"/>
        <v>1</v>
      </c>
      <c r="AT119" s="5">
        <f t="shared" si="120"/>
        <v>1</v>
      </c>
      <c r="AU119" s="5">
        <f t="shared" si="120"/>
        <v>1</v>
      </c>
      <c r="AV119" s="5">
        <f t="shared" si="120"/>
        <v>1</v>
      </c>
      <c r="AW119" s="5">
        <f t="shared" si="120"/>
        <v>1</v>
      </c>
      <c r="AX119" s="5">
        <f t="shared" si="120"/>
        <v>1</v>
      </c>
      <c r="AY119" s="5">
        <f t="shared" si="120"/>
        <v>1</v>
      </c>
      <c r="AZ119" s="5">
        <f t="shared" si="120"/>
        <v>0</v>
      </c>
      <c r="BA119" s="5">
        <f t="shared" si="120"/>
        <v>1</v>
      </c>
      <c r="BB119" s="5">
        <f t="shared" si="120"/>
        <v>0</v>
      </c>
    </row>
    <row r="120">
      <c r="A120" s="5">
        <v>275.0</v>
      </c>
      <c r="B120" s="4" t="s">
        <v>377</v>
      </c>
      <c r="C120" s="5">
        <v>1.9381973E7</v>
      </c>
      <c r="D120" s="4" t="s">
        <v>378</v>
      </c>
      <c r="E120" s="4" t="s">
        <v>379</v>
      </c>
      <c r="F120" s="5">
        <v>449.0</v>
      </c>
      <c r="G120" s="5">
        <v>83.0</v>
      </c>
      <c r="H120" s="5">
        <v>78.0</v>
      </c>
      <c r="I120" s="5">
        <v>4.0</v>
      </c>
      <c r="J120" s="5">
        <v>10.0</v>
      </c>
      <c r="K120" s="5">
        <v>442.0</v>
      </c>
      <c r="L120" s="5">
        <v>0.0</v>
      </c>
      <c r="M120" s="5">
        <v>7.0</v>
      </c>
      <c r="N120" s="5">
        <v>0.0</v>
      </c>
      <c r="O120" s="5">
        <v>0.0</v>
      </c>
      <c r="P120" s="5">
        <v>0.0</v>
      </c>
      <c r="Q120" s="5">
        <v>0.0</v>
      </c>
      <c r="R120" s="5">
        <v>0.0</v>
      </c>
      <c r="S120" s="5">
        <v>0.0</v>
      </c>
      <c r="T120" s="5">
        <v>43.0</v>
      </c>
      <c r="U120" s="5">
        <v>0.0</v>
      </c>
      <c r="V120" s="5">
        <v>0.0</v>
      </c>
      <c r="W120" s="5">
        <v>0.0</v>
      </c>
      <c r="X120" s="5">
        <v>0.0</v>
      </c>
      <c r="Y120" s="5">
        <v>0.0</v>
      </c>
      <c r="Z120" s="5">
        <v>0.0</v>
      </c>
      <c r="AA120" s="5">
        <v>180.0</v>
      </c>
      <c r="AB120" s="5">
        <v>0.0</v>
      </c>
      <c r="AC120" s="5">
        <v>0.0</v>
      </c>
      <c r="AD120" s="5">
        <v>0.0</v>
      </c>
      <c r="AE120" s="5">
        <v>14.0</v>
      </c>
      <c r="AF120" s="7">
        <f t="shared" si="2"/>
        <v>0.85</v>
      </c>
      <c r="AG120" s="4" t="str">
        <f t="shared" si="3"/>
        <v>facturas,nota_credito,maneja_adjunto,encabezado_referencias_documento,</v>
      </c>
      <c r="AH120" s="5">
        <f t="shared" si="4"/>
        <v>17</v>
      </c>
      <c r="AI120" s="5">
        <f t="shared" ref="AI120:BB120" si="121">IF(COUNTIF(K$3:K120,"&gt;0")&gt;0,1,0)</f>
        <v>1</v>
      </c>
      <c r="AJ120" s="5">
        <f t="shared" si="121"/>
        <v>1</v>
      </c>
      <c r="AK120" s="5">
        <f t="shared" si="121"/>
        <v>1</v>
      </c>
      <c r="AL120" s="5">
        <f t="shared" si="121"/>
        <v>1</v>
      </c>
      <c r="AM120" s="5">
        <f t="shared" si="121"/>
        <v>1</v>
      </c>
      <c r="AN120" s="5">
        <f t="shared" si="121"/>
        <v>1</v>
      </c>
      <c r="AO120" s="5">
        <f t="shared" si="121"/>
        <v>1</v>
      </c>
      <c r="AP120" s="5">
        <f t="shared" si="121"/>
        <v>1</v>
      </c>
      <c r="AQ120" s="5">
        <f t="shared" si="121"/>
        <v>0</v>
      </c>
      <c r="AR120" s="5">
        <f t="shared" si="121"/>
        <v>1</v>
      </c>
      <c r="AS120" s="5">
        <f t="shared" si="121"/>
        <v>1</v>
      </c>
      <c r="AT120" s="5">
        <f t="shared" si="121"/>
        <v>1</v>
      </c>
      <c r="AU120" s="5">
        <f t="shared" si="121"/>
        <v>1</v>
      </c>
      <c r="AV120" s="5">
        <f t="shared" si="121"/>
        <v>1</v>
      </c>
      <c r="AW120" s="5">
        <f t="shared" si="121"/>
        <v>1</v>
      </c>
      <c r="AX120" s="5">
        <f t="shared" si="121"/>
        <v>1</v>
      </c>
      <c r="AY120" s="5">
        <f t="shared" si="121"/>
        <v>1</v>
      </c>
      <c r="AZ120" s="5">
        <f t="shared" si="121"/>
        <v>0</v>
      </c>
      <c r="BA120" s="5">
        <f t="shared" si="121"/>
        <v>1</v>
      </c>
      <c r="BB120" s="5">
        <f t="shared" si="121"/>
        <v>0</v>
      </c>
    </row>
    <row r="121">
      <c r="A121" s="5">
        <v>16.0</v>
      </c>
      <c r="B121" s="4" t="s">
        <v>380</v>
      </c>
      <c r="C121" s="5">
        <v>8.30092535E8</v>
      </c>
      <c r="D121" s="4" t="s">
        <v>381</v>
      </c>
      <c r="E121" s="4" t="s">
        <v>382</v>
      </c>
      <c r="F121" s="5">
        <v>2133.0</v>
      </c>
      <c r="G121" s="5">
        <v>368.0</v>
      </c>
      <c r="H121" s="5">
        <v>332.0</v>
      </c>
      <c r="I121" s="5">
        <v>22.0</v>
      </c>
      <c r="J121" s="5">
        <v>26.0</v>
      </c>
      <c r="K121" s="5">
        <v>2106.0</v>
      </c>
      <c r="L121" s="5">
        <v>0.0</v>
      </c>
      <c r="M121" s="5">
        <v>27.0</v>
      </c>
      <c r="N121" s="5">
        <v>0.0</v>
      </c>
      <c r="O121" s="5">
        <v>0.0</v>
      </c>
      <c r="P121" s="5">
        <v>0.0</v>
      </c>
      <c r="Q121" s="5">
        <v>0.0</v>
      </c>
      <c r="R121" s="5">
        <v>0.0</v>
      </c>
      <c r="S121" s="5">
        <v>0.0</v>
      </c>
      <c r="T121" s="5">
        <v>125.0</v>
      </c>
      <c r="U121" s="5">
        <v>0.0</v>
      </c>
      <c r="V121" s="5">
        <v>0.0</v>
      </c>
      <c r="W121" s="5">
        <v>0.0</v>
      </c>
      <c r="X121" s="5">
        <v>0.0</v>
      </c>
      <c r="Y121" s="5">
        <v>0.0</v>
      </c>
      <c r="Z121" s="5">
        <v>0.0</v>
      </c>
      <c r="AA121" s="5">
        <v>335.0</v>
      </c>
      <c r="AB121" s="5">
        <v>0.0</v>
      </c>
      <c r="AC121" s="5">
        <v>0.0</v>
      </c>
      <c r="AD121" s="5">
        <v>0.0</v>
      </c>
      <c r="AE121" s="5">
        <v>14.0</v>
      </c>
      <c r="AF121" s="7">
        <f t="shared" si="2"/>
        <v>0.85</v>
      </c>
      <c r="AG121" s="4" t="str">
        <f t="shared" si="3"/>
        <v>facturas,nota_credito,maneja_adjunto,encabezado_referencias_documento,</v>
      </c>
      <c r="AH121" s="5">
        <f t="shared" si="4"/>
        <v>17</v>
      </c>
      <c r="AI121" s="5">
        <f t="shared" ref="AI121:BB121" si="122">IF(COUNTIF(K$3:K121,"&gt;0")&gt;0,1,0)</f>
        <v>1</v>
      </c>
      <c r="AJ121" s="5">
        <f t="shared" si="122"/>
        <v>1</v>
      </c>
      <c r="AK121" s="5">
        <f t="shared" si="122"/>
        <v>1</v>
      </c>
      <c r="AL121" s="5">
        <f t="shared" si="122"/>
        <v>1</v>
      </c>
      <c r="AM121" s="5">
        <f t="shared" si="122"/>
        <v>1</v>
      </c>
      <c r="AN121" s="5">
        <f t="shared" si="122"/>
        <v>1</v>
      </c>
      <c r="AO121" s="5">
        <f t="shared" si="122"/>
        <v>1</v>
      </c>
      <c r="AP121" s="5">
        <f t="shared" si="122"/>
        <v>1</v>
      </c>
      <c r="AQ121" s="5">
        <f t="shared" si="122"/>
        <v>0</v>
      </c>
      <c r="AR121" s="5">
        <f t="shared" si="122"/>
        <v>1</v>
      </c>
      <c r="AS121" s="5">
        <f t="shared" si="122"/>
        <v>1</v>
      </c>
      <c r="AT121" s="5">
        <f t="shared" si="122"/>
        <v>1</v>
      </c>
      <c r="AU121" s="5">
        <f t="shared" si="122"/>
        <v>1</v>
      </c>
      <c r="AV121" s="5">
        <f t="shared" si="122"/>
        <v>1</v>
      </c>
      <c r="AW121" s="5">
        <f t="shared" si="122"/>
        <v>1</v>
      </c>
      <c r="AX121" s="5">
        <f t="shared" si="122"/>
        <v>1</v>
      </c>
      <c r="AY121" s="5">
        <f t="shared" si="122"/>
        <v>1</v>
      </c>
      <c r="AZ121" s="5">
        <f t="shared" si="122"/>
        <v>0</v>
      </c>
      <c r="BA121" s="5">
        <f t="shared" si="122"/>
        <v>1</v>
      </c>
      <c r="BB121" s="5">
        <f t="shared" si="122"/>
        <v>0</v>
      </c>
    </row>
    <row r="122">
      <c r="A122" s="5">
        <v>462.0</v>
      </c>
      <c r="B122" s="4" t="s">
        <v>383</v>
      </c>
      <c r="C122" s="5">
        <v>9.01667654E8</v>
      </c>
      <c r="D122" s="4" t="s">
        <v>384</v>
      </c>
      <c r="E122" s="4" t="s">
        <v>385</v>
      </c>
      <c r="F122" s="5">
        <v>558.0</v>
      </c>
      <c r="G122" s="5">
        <v>161.0</v>
      </c>
      <c r="H122" s="5">
        <v>190.0</v>
      </c>
      <c r="I122" s="5">
        <v>1.0</v>
      </c>
      <c r="J122" s="5">
        <v>14.0</v>
      </c>
      <c r="K122" s="5">
        <v>520.0</v>
      </c>
      <c r="L122" s="5">
        <v>0.0</v>
      </c>
      <c r="M122" s="5">
        <v>38.0</v>
      </c>
      <c r="N122" s="5">
        <v>0.0</v>
      </c>
      <c r="O122" s="5">
        <v>0.0</v>
      </c>
      <c r="P122" s="5">
        <v>0.0</v>
      </c>
      <c r="Q122" s="5">
        <v>0.0</v>
      </c>
      <c r="R122" s="5">
        <v>0.0</v>
      </c>
      <c r="S122" s="5">
        <v>0.0</v>
      </c>
      <c r="T122" s="5">
        <v>1.0</v>
      </c>
      <c r="U122" s="5">
        <v>0.0</v>
      </c>
      <c r="V122" s="5">
        <v>0.0</v>
      </c>
      <c r="W122" s="5">
        <v>2.0</v>
      </c>
      <c r="X122" s="5">
        <v>0.0</v>
      </c>
      <c r="Y122" s="5">
        <v>0.0</v>
      </c>
      <c r="Z122" s="5">
        <v>9.0</v>
      </c>
      <c r="AA122" s="5">
        <v>0.0</v>
      </c>
      <c r="AB122" s="5">
        <v>0.0</v>
      </c>
      <c r="AC122" s="5">
        <v>0.0</v>
      </c>
      <c r="AD122" s="5">
        <v>0.0</v>
      </c>
      <c r="AE122" s="5">
        <v>14.0</v>
      </c>
      <c r="AF122" s="7">
        <f t="shared" si="2"/>
        <v>0.85</v>
      </c>
      <c r="AG122" s="4" t="str">
        <f t="shared" si="3"/>
        <v>facturas,nota_credito,maneja_adjunto,linea_tercero_mandante,wildcards,</v>
      </c>
      <c r="AH122" s="5">
        <f t="shared" si="4"/>
        <v>17</v>
      </c>
      <c r="AI122" s="5">
        <f t="shared" ref="AI122:BB122" si="123">IF(COUNTIF(K$3:K122,"&gt;0")&gt;0,1,0)</f>
        <v>1</v>
      </c>
      <c r="AJ122" s="5">
        <f t="shared" si="123"/>
        <v>1</v>
      </c>
      <c r="AK122" s="5">
        <f t="shared" si="123"/>
        <v>1</v>
      </c>
      <c r="AL122" s="5">
        <f t="shared" si="123"/>
        <v>1</v>
      </c>
      <c r="AM122" s="5">
        <f t="shared" si="123"/>
        <v>1</v>
      </c>
      <c r="AN122" s="5">
        <f t="shared" si="123"/>
        <v>1</v>
      </c>
      <c r="AO122" s="5">
        <f t="shared" si="123"/>
        <v>1</v>
      </c>
      <c r="AP122" s="5">
        <f t="shared" si="123"/>
        <v>1</v>
      </c>
      <c r="AQ122" s="5">
        <f t="shared" si="123"/>
        <v>0</v>
      </c>
      <c r="AR122" s="5">
        <f t="shared" si="123"/>
        <v>1</v>
      </c>
      <c r="AS122" s="5">
        <f t="shared" si="123"/>
        <v>1</v>
      </c>
      <c r="AT122" s="5">
        <f t="shared" si="123"/>
        <v>1</v>
      </c>
      <c r="AU122" s="5">
        <f t="shared" si="123"/>
        <v>1</v>
      </c>
      <c r="AV122" s="5">
        <f t="shared" si="123"/>
        <v>1</v>
      </c>
      <c r="AW122" s="5">
        <f t="shared" si="123"/>
        <v>1</v>
      </c>
      <c r="AX122" s="5">
        <f t="shared" si="123"/>
        <v>1</v>
      </c>
      <c r="AY122" s="5">
        <f t="shared" si="123"/>
        <v>1</v>
      </c>
      <c r="AZ122" s="5">
        <f t="shared" si="123"/>
        <v>0</v>
      </c>
      <c r="BA122" s="5">
        <f t="shared" si="123"/>
        <v>1</v>
      </c>
      <c r="BB122" s="5">
        <f t="shared" si="123"/>
        <v>0</v>
      </c>
    </row>
    <row r="123">
      <c r="A123" s="5">
        <v>602.0</v>
      </c>
      <c r="B123" s="4" t="s">
        <v>386</v>
      </c>
      <c r="C123" s="5">
        <v>9.0079604E8</v>
      </c>
      <c r="D123" s="4" t="s">
        <v>387</v>
      </c>
      <c r="E123" s="4" t="s">
        <v>388</v>
      </c>
      <c r="F123" s="5">
        <v>37.0</v>
      </c>
      <c r="G123" s="5">
        <v>0.0</v>
      </c>
      <c r="H123" s="5">
        <v>37.0</v>
      </c>
      <c r="I123" s="5">
        <v>7.0</v>
      </c>
      <c r="J123" s="5">
        <v>24.0</v>
      </c>
      <c r="K123" s="5">
        <v>16.0</v>
      </c>
      <c r="L123" s="5">
        <v>0.0</v>
      </c>
      <c r="M123" s="5">
        <v>0.0</v>
      </c>
      <c r="N123" s="5">
        <v>20.0</v>
      </c>
      <c r="O123" s="5">
        <v>1.0</v>
      </c>
      <c r="P123" s="5">
        <v>0.0</v>
      </c>
      <c r="Q123" s="5">
        <v>0.0</v>
      </c>
      <c r="R123" s="5">
        <v>0.0</v>
      </c>
      <c r="S123" s="5">
        <v>1.0</v>
      </c>
      <c r="T123" s="5">
        <v>0.0</v>
      </c>
      <c r="U123" s="5">
        <v>0.0</v>
      </c>
      <c r="V123" s="5">
        <v>0.0</v>
      </c>
      <c r="W123" s="5">
        <v>0.0</v>
      </c>
      <c r="X123" s="5">
        <v>0.0</v>
      </c>
      <c r="Y123" s="5">
        <v>0.0</v>
      </c>
      <c r="Z123" s="5">
        <v>36.0</v>
      </c>
      <c r="AA123" s="5">
        <v>0.0</v>
      </c>
      <c r="AB123" s="5">
        <v>0.0</v>
      </c>
      <c r="AC123" s="5">
        <v>0.0</v>
      </c>
      <c r="AD123" s="5">
        <v>0.0</v>
      </c>
      <c r="AE123" s="5">
        <v>15.0</v>
      </c>
      <c r="AF123" s="7">
        <f t="shared" si="2"/>
        <v>0.9</v>
      </c>
      <c r="AG123" s="4" t="str">
        <f t="shared" si="3"/>
        <v>facturas,documento_soporte,nota_doc_soporte,usa_UsuariosSalud,wildcards,</v>
      </c>
      <c r="AH123" s="5">
        <f t="shared" si="4"/>
        <v>18</v>
      </c>
      <c r="AI123" s="5">
        <f t="shared" ref="AI123:BB123" si="124">IF(COUNTIF(K$3:K123,"&gt;0")&gt;0,1,0)</f>
        <v>1</v>
      </c>
      <c r="AJ123" s="5">
        <f t="shared" si="124"/>
        <v>1</v>
      </c>
      <c r="AK123" s="5">
        <f t="shared" si="124"/>
        <v>1</v>
      </c>
      <c r="AL123" s="5">
        <f t="shared" si="124"/>
        <v>1</v>
      </c>
      <c r="AM123" s="5">
        <f t="shared" si="124"/>
        <v>1</v>
      </c>
      <c r="AN123" s="5">
        <f t="shared" si="124"/>
        <v>1</v>
      </c>
      <c r="AO123" s="5">
        <f t="shared" si="124"/>
        <v>1</v>
      </c>
      <c r="AP123" s="5">
        <f t="shared" si="124"/>
        <v>1</v>
      </c>
      <c r="AQ123" s="5">
        <f t="shared" si="124"/>
        <v>1</v>
      </c>
      <c r="AR123" s="5">
        <f t="shared" si="124"/>
        <v>1</v>
      </c>
      <c r="AS123" s="5">
        <f t="shared" si="124"/>
        <v>1</v>
      </c>
      <c r="AT123" s="5">
        <f t="shared" si="124"/>
        <v>1</v>
      </c>
      <c r="AU123" s="5">
        <f t="shared" si="124"/>
        <v>1</v>
      </c>
      <c r="AV123" s="5">
        <f t="shared" si="124"/>
        <v>1</v>
      </c>
      <c r="AW123" s="5">
        <f t="shared" si="124"/>
        <v>1</v>
      </c>
      <c r="AX123" s="5">
        <f t="shared" si="124"/>
        <v>1</v>
      </c>
      <c r="AY123" s="5">
        <f t="shared" si="124"/>
        <v>1</v>
      </c>
      <c r="AZ123" s="5">
        <f t="shared" si="124"/>
        <v>0</v>
      </c>
      <c r="BA123" s="5">
        <f t="shared" si="124"/>
        <v>1</v>
      </c>
      <c r="BB123" s="5">
        <f t="shared" si="124"/>
        <v>0</v>
      </c>
    </row>
    <row r="124">
      <c r="A124" s="5">
        <v>122.0</v>
      </c>
      <c r="B124" s="4" t="s">
        <v>389</v>
      </c>
      <c r="C124" s="5">
        <v>8.90208084E8</v>
      </c>
      <c r="D124" s="4" t="s">
        <v>390</v>
      </c>
      <c r="E124" s="4" t="s">
        <v>391</v>
      </c>
      <c r="F124" s="5">
        <v>139.0</v>
      </c>
      <c r="G124" s="5">
        <v>25.0</v>
      </c>
      <c r="H124" s="5">
        <v>21.0</v>
      </c>
      <c r="I124" s="5">
        <v>1.0</v>
      </c>
      <c r="J124" s="5">
        <v>3.0</v>
      </c>
      <c r="K124" s="5">
        <v>114.0</v>
      </c>
      <c r="L124" s="5">
        <v>0.0</v>
      </c>
      <c r="M124" s="5">
        <v>8.0</v>
      </c>
      <c r="N124" s="5">
        <v>17.0</v>
      </c>
      <c r="O124" s="5">
        <v>0.0</v>
      </c>
      <c r="P124" s="5">
        <v>0.0</v>
      </c>
      <c r="Q124" s="5">
        <v>0.0</v>
      </c>
      <c r="R124" s="5">
        <v>0.0</v>
      </c>
      <c r="S124" s="5">
        <v>0.0</v>
      </c>
      <c r="T124" s="5">
        <v>0.0</v>
      </c>
      <c r="U124" s="5">
        <v>0.0</v>
      </c>
      <c r="V124" s="5">
        <v>0.0</v>
      </c>
      <c r="W124" s="5">
        <v>1.0</v>
      </c>
      <c r="X124" s="5">
        <v>0.0</v>
      </c>
      <c r="Y124" s="5">
        <v>0.0</v>
      </c>
      <c r="Z124" s="5">
        <v>135.0</v>
      </c>
      <c r="AA124" s="5">
        <v>0.0</v>
      </c>
      <c r="AB124" s="5">
        <v>0.0</v>
      </c>
      <c r="AC124" s="5">
        <v>0.0</v>
      </c>
      <c r="AD124" s="5">
        <v>0.0</v>
      </c>
      <c r="AE124" s="5">
        <v>15.0</v>
      </c>
      <c r="AF124" s="7">
        <f t="shared" si="2"/>
        <v>0.9</v>
      </c>
      <c r="AG124" s="4" t="str">
        <f t="shared" si="3"/>
        <v>facturas,nota_credito,documento_soporte,linea_tercero_mandante,wildcards,</v>
      </c>
      <c r="AH124" s="5">
        <f t="shared" si="4"/>
        <v>18</v>
      </c>
      <c r="AI124" s="5">
        <f t="shared" ref="AI124:BB124" si="125">IF(COUNTIF(K$3:K124,"&gt;0")&gt;0,1,0)</f>
        <v>1</v>
      </c>
      <c r="AJ124" s="5">
        <f t="shared" si="125"/>
        <v>1</v>
      </c>
      <c r="AK124" s="5">
        <f t="shared" si="125"/>
        <v>1</v>
      </c>
      <c r="AL124" s="5">
        <f t="shared" si="125"/>
        <v>1</v>
      </c>
      <c r="AM124" s="5">
        <f t="shared" si="125"/>
        <v>1</v>
      </c>
      <c r="AN124" s="5">
        <f t="shared" si="125"/>
        <v>1</v>
      </c>
      <c r="AO124" s="5">
        <f t="shared" si="125"/>
        <v>1</v>
      </c>
      <c r="AP124" s="5">
        <f t="shared" si="125"/>
        <v>1</v>
      </c>
      <c r="AQ124" s="5">
        <f t="shared" si="125"/>
        <v>1</v>
      </c>
      <c r="AR124" s="5">
        <f t="shared" si="125"/>
        <v>1</v>
      </c>
      <c r="AS124" s="5">
        <f t="shared" si="125"/>
        <v>1</v>
      </c>
      <c r="AT124" s="5">
        <f t="shared" si="125"/>
        <v>1</v>
      </c>
      <c r="AU124" s="5">
        <f t="shared" si="125"/>
        <v>1</v>
      </c>
      <c r="AV124" s="5">
        <f t="shared" si="125"/>
        <v>1</v>
      </c>
      <c r="AW124" s="5">
        <f t="shared" si="125"/>
        <v>1</v>
      </c>
      <c r="AX124" s="5">
        <f t="shared" si="125"/>
        <v>1</v>
      </c>
      <c r="AY124" s="5">
        <f t="shared" si="125"/>
        <v>1</v>
      </c>
      <c r="AZ124" s="5">
        <f t="shared" si="125"/>
        <v>0</v>
      </c>
      <c r="BA124" s="5">
        <f t="shared" si="125"/>
        <v>1</v>
      </c>
      <c r="BB124" s="5">
        <f t="shared" si="125"/>
        <v>0</v>
      </c>
    </row>
    <row r="125">
      <c r="A125" s="5">
        <v>404.0</v>
      </c>
      <c r="B125" s="4" t="s">
        <v>392</v>
      </c>
      <c r="C125" s="5">
        <v>9.00185354E8</v>
      </c>
      <c r="D125" s="4" t="s">
        <v>393</v>
      </c>
      <c r="E125" s="4" t="s">
        <v>394</v>
      </c>
      <c r="F125" s="5">
        <v>642.0</v>
      </c>
      <c r="G125" s="5">
        <v>291.0</v>
      </c>
      <c r="H125" s="5">
        <v>286.0</v>
      </c>
      <c r="I125" s="5">
        <v>0.0</v>
      </c>
      <c r="J125" s="5">
        <v>32.0</v>
      </c>
      <c r="K125" s="5">
        <v>555.0</v>
      </c>
      <c r="L125" s="5">
        <v>0.0</v>
      </c>
      <c r="M125" s="5">
        <v>10.0</v>
      </c>
      <c r="N125" s="5">
        <v>77.0</v>
      </c>
      <c r="O125" s="5">
        <v>0.0</v>
      </c>
      <c r="P125" s="5">
        <v>0.0</v>
      </c>
      <c r="Q125" s="5">
        <v>0.0</v>
      </c>
      <c r="R125" s="5">
        <v>0.0</v>
      </c>
      <c r="S125" s="5">
        <v>0.0</v>
      </c>
      <c r="T125" s="5">
        <v>0.0</v>
      </c>
      <c r="U125" s="5">
        <v>0.0</v>
      </c>
      <c r="V125" s="5">
        <v>0.0</v>
      </c>
      <c r="W125" s="5">
        <v>0.0</v>
      </c>
      <c r="X125" s="5">
        <v>0.0</v>
      </c>
      <c r="Y125" s="5">
        <v>0.0</v>
      </c>
      <c r="Z125" s="5">
        <v>0.0</v>
      </c>
      <c r="AA125" s="5">
        <v>415.0</v>
      </c>
      <c r="AB125" s="5">
        <v>0.0</v>
      </c>
      <c r="AC125" s="5">
        <v>0.0</v>
      </c>
      <c r="AD125" s="5">
        <v>0.0</v>
      </c>
      <c r="AE125" s="5">
        <v>15.0</v>
      </c>
      <c r="AF125" s="7">
        <f t="shared" si="2"/>
        <v>0.9</v>
      </c>
      <c r="AG125" s="4" t="str">
        <f t="shared" si="3"/>
        <v>facturas,nota_credito,documento_soporte,encabezado_referencias_documento,</v>
      </c>
      <c r="AH125" s="5">
        <f t="shared" si="4"/>
        <v>18</v>
      </c>
      <c r="AI125" s="5">
        <f t="shared" ref="AI125:BB125" si="126">IF(COUNTIF(K$3:K125,"&gt;0")&gt;0,1,0)</f>
        <v>1</v>
      </c>
      <c r="AJ125" s="5">
        <f t="shared" si="126"/>
        <v>1</v>
      </c>
      <c r="AK125" s="5">
        <f t="shared" si="126"/>
        <v>1</v>
      </c>
      <c r="AL125" s="5">
        <f t="shared" si="126"/>
        <v>1</v>
      </c>
      <c r="AM125" s="5">
        <f t="shared" si="126"/>
        <v>1</v>
      </c>
      <c r="AN125" s="5">
        <f t="shared" si="126"/>
        <v>1</v>
      </c>
      <c r="AO125" s="5">
        <f t="shared" si="126"/>
        <v>1</v>
      </c>
      <c r="AP125" s="5">
        <f t="shared" si="126"/>
        <v>1</v>
      </c>
      <c r="AQ125" s="5">
        <f t="shared" si="126"/>
        <v>1</v>
      </c>
      <c r="AR125" s="5">
        <f t="shared" si="126"/>
        <v>1</v>
      </c>
      <c r="AS125" s="5">
        <f t="shared" si="126"/>
        <v>1</v>
      </c>
      <c r="AT125" s="5">
        <f t="shared" si="126"/>
        <v>1</v>
      </c>
      <c r="AU125" s="5">
        <f t="shared" si="126"/>
        <v>1</v>
      </c>
      <c r="AV125" s="5">
        <f t="shared" si="126"/>
        <v>1</v>
      </c>
      <c r="AW125" s="5">
        <f t="shared" si="126"/>
        <v>1</v>
      </c>
      <c r="AX125" s="5">
        <f t="shared" si="126"/>
        <v>1</v>
      </c>
      <c r="AY125" s="5">
        <f t="shared" si="126"/>
        <v>1</v>
      </c>
      <c r="AZ125" s="5">
        <f t="shared" si="126"/>
        <v>0</v>
      </c>
      <c r="BA125" s="5">
        <f t="shared" si="126"/>
        <v>1</v>
      </c>
      <c r="BB125" s="5">
        <f t="shared" si="126"/>
        <v>0</v>
      </c>
    </row>
    <row r="126">
      <c r="A126" s="5">
        <v>214.0</v>
      </c>
      <c r="B126" s="4" t="s">
        <v>395</v>
      </c>
      <c r="C126" s="5">
        <v>9.00413541E8</v>
      </c>
      <c r="D126" s="4" t="s">
        <v>396</v>
      </c>
      <c r="E126" s="4" t="s">
        <v>397</v>
      </c>
      <c r="F126" s="5">
        <v>7770.0</v>
      </c>
      <c r="G126" s="5">
        <v>1887.0</v>
      </c>
      <c r="H126" s="5">
        <v>1766.0</v>
      </c>
      <c r="I126" s="5">
        <v>54.0</v>
      </c>
      <c r="J126" s="5">
        <v>133.0</v>
      </c>
      <c r="K126" s="5">
        <v>7072.0</v>
      </c>
      <c r="L126" s="5">
        <v>6.0</v>
      </c>
      <c r="M126" s="5">
        <v>287.0</v>
      </c>
      <c r="N126" s="5">
        <v>391.0</v>
      </c>
      <c r="O126" s="5">
        <v>14.0</v>
      </c>
      <c r="P126" s="5">
        <v>0.0</v>
      </c>
      <c r="Q126" s="5">
        <v>0.0</v>
      </c>
      <c r="R126" s="5">
        <v>0.0</v>
      </c>
      <c r="S126" s="5">
        <v>0.0</v>
      </c>
      <c r="T126" s="5">
        <v>0.0</v>
      </c>
      <c r="U126" s="5">
        <v>0.0</v>
      </c>
      <c r="V126" s="5">
        <v>0.0</v>
      </c>
      <c r="W126" s="5">
        <v>0.0</v>
      </c>
      <c r="X126" s="5">
        <v>0.0</v>
      </c>
      <c r="Y126" s="5">
        <v>0.0</v>
      </c>
      <c r="Z126" s="5">
        <v>6.0</v>
      </c>
      <c r="AA126" s="5">
        <v>0.0</v>
      </c>
      <c r="AB126" s="5">
        <v>0.0</v>
      </c>
      <c r="AC126" s="5">
        <v>0.0</v>
      </c>
      <c r="AD126" s="5">
        <v>0.0</v>
      </c>
      <c r="AE126" s="5">
        <v>15.0</v>
      </c>
      <c r="AF126" s="7">
        <f t="shared" si="2"/>
        <v>0.9</v>
      </c>
      <c r="AG126" s="4" t="str">
        <f t="shared" si="3"/>
        <v>facturas,nota_debito,nota_credito,documento_soporte,nota_doc_soporte,wildcards,</v>
      </c>
      <c r="AH126" s="5">
        <f t="shared" si="4"/>
        <v>18</v>
      </c>
      <c r="AI126" s="5">
        <f t="shared" ref="AI126:BB126" si="127">IF(COUNTIF(K$3:K126,"&gt;0")&gt;0,1,0)</f>
        <v>1</v>
      </c>
      <c r="AJ126" s="5">
        <f t="shared" si="127"/>
        <v>1</v>
      </c>
      <c r="AK126" s="5">
        <f t="shared" si="127"/>
        <v>1</v>
      </c>
      <c r="AL126" s="5">
        <f t="shared" si="127"/>
        <v>1</v>
      </c>
      <c r="AM126" s="5">
        <f t="shared" si="127"/>
        <v>1</v>
      </c>
      <c r="AN126" s="5">
        <f t="shared" si="127"/>
        <v>1</v>
      </c>
      <c r="AO126" s="5">
        <f t="shared" si="127"/>
        <v>1</v>
      </c>
      <c r="AP126" s="5">
        <f t="shared" si="127"/>
        <v>1</v>
      </c>
      <c r="AQ126" s="5">
        <f t="shared" si="127"/>
        <v>1</v>
      </c>
      <c r="AR126" s="5">
        <f t="shared" si="127"/>
        <v>1</v>
      </c>
      <c r="AS126" s="5">
        <f t="shared" si="127"/>
        <v>1</v>
      </c>
      <c r="AT126" s="5">
        <f t="shared" si="127"/>
        <v>1</v>
      </c>
      <c r="AU126" s="5">
        <f t="shared" si="127"/>
        <v>1</v>
      </c>
      <c r="AV126" s="5">
        <f t="shared" si="127"/>
        <v>1</v>
      </c>
      <c r="AW126" s="5">
        <f t="shared" si="127"/>
        <v>1</v>
      </c>
      <c r="AX126" s="5">
        <f t="shared" si="127"/>
        <v>1</v>
      </c>
      <c r="AY126" s="5">
        <f t="shared" si="127"/>
        <v>1</v>
      </c>
      <c r="AZ126" s="5">
        <f t="shared" si="127"/>
        <v>0</v>
      </c>
      <c r="BA126" s="5">
        <f t="shared" si="127"/>
        <v>1</v>
      </c>
      <c r="BB126" s="5">
        <f t="shared" si="127"/>
        <v>0</v>
      </c>
    </row>
    <row r="127">
      <c r="A127" s="5">
        <v>255.0</v>
      </c>
      <c r="B127" s="4" t="s">
        <v>398</v>
      </c>
      <c r="C127" s="5">
        <v>9.01251646E8</v>
      </c>
      <c r="D127" s="4" t="s">
        <v>399</v>
      </c>
      <c r="E127" s="4" t="s">
        <v>400</v>
      </c>
      <c r="F127" s="5">
        <v>226.0</v>
      </c>
      <c r="G127" s="5">
        <v>53.0</v>
      </c>
      <c r="H127" s="5">
        <v>39.0</v>
      </c>
      <c r="I127" s="5">
        <v>2.0</v>
      </c>
      <c r="J127" s="5">
        <v>2.0</v>
      </c>
      <c r="K127" s="5">
        <v>199.0</v>
      </c>
      <c r="L127" s="5">
        <v>0.0</v>
      </c>
      <c r="M127" s="5">
        <v>27.0</v>
      </c>
      <c r="N127" s="5">
        <v>0.0</v>
      </c>
      <c r="O127" s="5">
        <v>0.0</v>
      </c>
      <c r="P127" s="5">
        <v>0.0</v>
      </c>
      <c r="Q127" s="5">
        <v>0.0</v>
      </c>
      <c r="R127" s="5">
        <v>0.0</v>
      </c>
      <c r="S127" s="5">
        <v>0.0</v>
      </c>
      <c r="T127" s="5">
        <v>2.0</v>
      </c>
      <c r="U127" s="5">
        <v>0.0</v>
      </c>
      <c r="V127" s="5">
        <v>0.0</v>
      </c>
      <c r="W127" s="5">
        <v>0.0</v>
      </c>
      <c r="X127" s="5">
        <v>0.0</v>
      </c>
      <c r="Y127" s="5">
        <v>0.0</v>
      </c>
      <c r="Z127" s="5">
        <v>5.0</v>
      </c>
      <c r="AA127" s="5">
        <v>12.0</v>
      </c>
      <c r="AB127" s="5">
        <v>0.0</v>
      </c>
      <c r="AC127" s="5">
        <v>0.0</v>
      </c>
      <c r="AD127" s="5">
        <v>0.0</v>
      </c>
      <c r="AE127" s="5">
        <v>15.0</v>
      </c>
      <c r="AF127" s="7">
        <f t="shared" si="2"/>
        <v>0.9</v>
      </c>
      <c r="AG127" s="4" t="str">
        <f t="shared" si="3"/>
        <v>facturas,nota_credito,maneja_adjunto,wildcards,encabezado_referencias_documento,</v>
      </c>
      <c r="AH127" s="5">
        <f t="shared" si="4"/>
        <v>18</v>
      </c>
      <c r="AI127" s="5">
        <f t="shared" ref="AI127:BB127" si="128">IF(COUNTIF(K$3:K127,"&gt;0")&gt;0,1,0)</f>
        <v>1</v>
      </c>
      <c r="AJ127" s="5">
        <f t="shared" si="128"/>
        <v>1</v>
      </c>
      <c r="AK127" s="5">
        <f t="shared" si="128"/>
        <v>1</v>
      </c>
      <c r="AL127" s="5">
        <f t="shared" si="128"/>
        <v>1</v>
      </c>
      <c r="AM127" s="5">
        <f t="shared" si="128"/>
        <v>1</v>
      </c>
      <c r="AN127" s="5">
        <f t="shared" si="128"/>
        <v>1</v>
      </c>
      <c r="AO127" s="5">
        <f t="shared" si="128"/>
        <v>1</v>
      </c>
      <c r="AP127" s="5">
        <f t="shared" si="128"/>
        <v>1</v>
      </c>
      <c r="AQ127" s="5">
        <f t="shared" si="128"/>
        <v>1</v>
      </c>
      <c r="AR127" s="5">
        <f t="shared" si="128"/>
        <v>1</v>
      </c>
      <c r="AS127" s="5">
        <f t="shared" si="128"/>
        <v>1</v>
      </c>
      <c r="AT127" s="5">
        <f t="shared" si="128"/>
        <v>1</v>
      </c>
      <c r="AU127" s="5">
        <f t="shared" si="128"/>
        <v>1</v>
      </c>
      <c r="AV127" s="5">
        <f t="shared" si="128"/>
        <v>1</v>
      </c>
      <c r="AW127" s="5">
        <f t="shared" si="128"/>
        <v>1</v>
      </c>
      <c r="AX127" s="5">
        <f t="shared" si="128"/>
        <v>1</v>
      </c>
      <c r="AY127" s="5">
        <f t="shared" si="128"/>
        <v>1</v>
      </c>
      <c r="AZ127" s="5">
        <f t="shared" si="128"/>
        <v>0</v>
      </c>
      <c r="BA127" s="5">
        <f t="shared" si="128"/>
        <v>1</v>
      </c>
      <c r="BB127" s="5">
        <f t="shared" si="128"/>
        <v>0</v>
      </c>
    </row>
    <row r="128">
      <c r="A128" s="5">
        <v>378.0</v>
      </c>
      <c r="B128" s="4" t="s">
        <v>401</v>
      </c>
      <c r="C128" s="5">
        <v>9.01439396E8</v>
      </c>
      <c r="D128" s="4" t="s">
        <v>402</v>
      </c>
      <c r="E128" s="4" t="s">
        <v>403</v>
      </c>
      <c r="F128" s="5">
        <v>552.0</v>
      </c>
      <c r="G128" s="5">
        <v>153.0</v>
      </c>
      <c r="H128" s="5">
        <v>154.0</v>
      </c>
      <c r="I128" s="5">
        <v>8.0</v>
      </c>
      <c r="J128" s="5">
        <v>15.0</v>
      </c>
      <c r="K128" s="5">
        <v>71.0</v>
      </c>
      <c r="L128" s="5">
        <v>0.0</v>
      </c>
      <c r="M128" s="5">
        <v>5.0</v>
      </c>
      <c r="N128" s="5">
        <v>467.0</v>
      </c>
      <c r="O128" s="5">
        <v>9.0</v>
      </c>
      <c r="P128" s="5">
        <v>0.0</v>
      </c>
      <c r="Q128" s="5">
        <v>0.0</v>
      </c>
      <c r="R128" s="5">
        <v>0.0</v>
      </c>
      <c r="S128" s="5">
        <v>0.0</v>
      </c>
      <c r="T128" s="5">
        <v>0.0</v>
      </c>
      <c r="U128" s="5">
        <v>0.0</v>
      </c>
      <c r="V128" s="5">
        <v>0.0</v>
      </c>
      <c r="W128" s="5">
        <v>0.0</v>
      </c>
      <c r="X128" s="5">
        <v>0.0</v>
      </c>
      <c r="Y128" s="5">
        <v>0.0</v>
      </c>
      <c r="Z128" s="5">
        <v>82.0</v>
      </c>
      <c r="AA128" s="5">
        <v>0.0</v>
      </c>
      <c r="AB128" s="5">
        <v>0.0</v>
      </c>
      <c r="AC128" s="5">
        <v>63.0</v>
      </c>
      <c r="AD128" s="5">
        <v>0.0</v>
      </c>
      <c r="AE128" s="5">
        <v>15.0</v>
      </c>
      <c r="AF128" s="7">
        <f t="shared" si="2"/>
        <v>0.9</v>
      </c>
      <c r="AG128" s="4" t="str">
        <f t="shared" si="3"/>
        <v>facturas,nota_credito,documento_soporte,nota_doc_soporte,wildcards,maneja_anticipo,</v>
      </c>
      <c r="AH128" s="5">
        <f t="shared" si="4"/>
        <v>18</v>
      </c>
      <c r="AI128" s="5">
        <f t="shared" ref="AI128:BB128" si="129">IF(COUNTIF(K$3:K128,"&gt;0")&gt;0,1,0)</f>
        <v>1</v>
      </c>
      <c r="AJ128" s="5">
        <f t="shared" si="129"/>
        <v>1</v>
      </c>
      <c r="AK128" s="5">
        <f t="shared" si="129"/>
        <v>1</v>
      </c>
      <c r="AL128" s="5">
        <f t="shared" si="129"/>
        <v>1</v>
      </c>
      <c r="AM128" s="5">
        <f t="shared" si="129"/>
        <v>1</v>
      </c>
      <c r="AN128" s="5">
        <f t="shared" si="129"/>
        <v>1</v>
      </c>
      <c r="AO128" s="5">
        <f t="shared" si="129"/>
        <v>1</v>
      </c>
      <c r="AP128" s="5">
        <f t="shared" si="129"/>
        <v>1</v>
      </c>
      <c r="AQ128" s="5">
        <f t="shared" si="129"/>
        <v>1</v>
      </c>
      <c r="AR128" s="5">
        <f t="shared" si="129"/>
        <v>1</v>
      </c>
      <c r="AS128" s="5">
        <f t="shared" si="129"/>
        <v>1</v>
      </c>
      <c r="AT128" s="5">
        <f t="shared" si="129"/>
        <v>1</v>
      </c>
      <c r="AU128" s="5">
        <f t="shared" si="129"/>
        <v>1</v>
      </c>
      <c r="AV128" s="5">
        <f t="shared" si="129"/>
        <v>1</v>
      </c>
      <c r="AW128" s="5">
        <f t="shared" si="129"/>
        <v>1</v>
      </c>
      <c r="AX128" s="5">
        <f t="shared" si="129"/>
        <v>1</v>
      </c>
      <c r="AY128" s="5">
        <f t="shared" si="129"/>
        <v>1</v>
      </c>
      <c r="AZ128" s="5">
        <f t="shared" si="129"/>
        <v>0</v>
      </c>
      <c r="BA128" s="5">
        <f t="shared" si="129"/>
        <v>1</v>
      </c>
      <c r="BB128" s="5">
        <f t="shared" si="129"/>
        <v>0</v>
      </c>
    </row>
    <row r="129">
      <c r="A129" s="5">
        <v>230.0</v>
      </c>
      <c r="B129" s="4" t="s">
        <v>404</v>
      </c>
      <c r="C129" s="5">
        <v>9.00057789E8</v>
      </c>
      <c r="D129" s="4" t="s">
        <v>405</v>
      </c>
      <c r="E129" s="4" t="s">
        <v>406</v>
      </c>
      <c r="F129" s="5">
        <v>289.0</v>
      </c>
      <c r="G129" s="5">
        <v>42.0</v>
      </c>
      <c r="H129" s="5">
        <v>40.0</v>
      </c>
      <c r="I129" s="5">
        <v>4.0</v>
      </c>
      <c r="J129" s="5">
        <v>5.0</v>
      </c>
      <c r="K129" s="5">
        <v>237.0</v>
      </c>
      <c r="L129" s="5">
        <v>0.0</v>
      </c>
      <c r="M129" s="5">
        <v>7.0</v>
      </c>
      <c r="N129" s="5">
        <v>45.0</v>
      </c>
      <c r="O129" s="5">
        <v>0.0</v>
      </c>
      <c r="P129" s="5">
        <v>0.0</v>
      </c>
      <c r="Q129" s="5">
        <v>0.0</v>
      </c>
      <c r="R129" s="5">
        <v>0.0</v>
      </c>
      <c r="S129" s="5">
        <v>0.0</v>
      </c>
      <c r="T129" s="5">
        <v>0.0</v>
      </c>
      <c r="U129" s="5">
        <v>0.0</v>
      </c>
      <c r="V129" s="5">
        <v>0.0</v>
      </c>
      <c r="W129" s="5">
        <v>0.0</v>
      </c>
      <c r="X129" s="5">
        <v>0.0</v>
      </c>
      <c r="Y129" s="5">
        <v>0.0</v>
      </c>
      <c r="Z129" s="5">
        <v>186.0</v>
      </c>
      <c r="AA129" s="5">
        <v>5.0</v>
      </c>
      <c r="AB129" s="5">
        <v>0.0</v>
      </c>
      <c r="AC129" s="5">
        <v>0.0</v>
      </c>
      <c r="AD129" s="5">
        <v>0.0</v>
      </c>
      <c r="AE129" s="5">
        <v>15.0</v>
      </c>
      <c r="AF129" s="7">
        <f t="shared" si="2"/>
        <v>0.9</v>
      </c>
      <c r="AG129" s="4" t="str">
        <f t="shared" si="3"/>
        <v>facturas,nota_credito,documento_soporte,wildcards,encabezado_referencias_documento,</v>
      </c>
      <c r="AH129" s="5">
        <f t="shared" si="4"/>
        <v>18</v>
      </c>
      <c r="AI129" s="5">
        <f t="shared" ref="AI129:BB129" si="130">IF(COUNTIF(K$3:K129,"&gt;0")&gt;0,1,0)</f>
        <v>1</v>
      </c>
      <c r="AJ129" s="5">
        <f t="shared" si="130"/>
        <v>1</v>
      </c>
      <c r="AK129" s="5">
        <f t="shared" si="130"/>
        <v>1</v>
      </c>
      <c r="AL129" s="5">
        <f t="shared" si="130"/>
        <v>1</v>
      </c>
      <c r="AM129" s="5">
        <f t="shared" si="130"/>
        <v>1</v>
      </c>
      <c r="AN129" s="5">
        <f t="shared" si="130"/>
        <v>1</v>
      </c>
      <c r="AO129" s="5">
        <f t="shared" si="130"/>
        <v>1</v>
      </c>
      <c r="AP129" s="5">
        <f t="shared" si="130"/>
        <v>1</v>
      </c>
      <c r="AQ129" s="5">
        <f t="shared" si="130"/>
        <v>1</v>
      </c>
      <c r="AR129" s="5">
        <f t="shared" si="130"/>
        <v>1</v>
      </c>
      <c r="AS129" s="5">
        <f t="shared" si="130"/>
        <v>1</v>
      </c>
      <c r="AT129" s="5">
        <f t="shared" si="130"/>
        <v>1</v>
      </c>
      <c r="AU129" s="5">
        <f t="shared" si="130"/>
        <v>1</v>
      </c>
      <c r="AV129" s="5">
        <f t="shared" si="130"/>
        <v>1</v>
      </c>
      <c r="AW129" s="5">
        <f t="shared" si="130"/>
        <v>1</v>
      </c>
      <c r="AX129" s="5">
        <f t="shared" si="130"/>
        <v>1</v>
      </c>
      <c r="AY129" s="5">
        <f t="shared" si="130"/>
        <v>1</v>
      </c>
      <c r="AZ129" s="5">
        <f t="shared" si="130"/>
        <v>0</v>
      </c>
      <c r="BA129" s="5">
        <f t="shared" si="130"/>
        <v>1</v>
      </c>
      <c r="BB129" s="5">
        <f t="shared" si="130"/>
        <v>0</v>
      </c>
    </row>
    <row r="130">
      <c r="A130" s="5">
        <v>268.0</v>
      </c>
      <c r="B130" s="4" t="s">
        <v>407</v>
      </c>
      <c r="C130" s="5">
        <v>9.0123813E8</v>
      </c>
      <c r="D130" s="4" t="s">
        <v>408</v>
      </c>
      <c r="E130" s="4" t="s">
        <v>409</v>
      </c>
      <c r="F130" s="5">
        <v>463.0</v>
      </c>
      <c r="G130" s="5">
        <v>137.0</v>
      </c>
      <c r="H130" s="5">
        <v>85.0</v>
      </c>
      <c r="I130" s="5">
        <v>3.0</v>
      </c>
      <c r="J130" s="5">
        <v>8.0</v>
      </c>
      <c r="K130" s="5">
        <v>160.0</v>
      </c>
      <c r="L130" s="5">
        <v>0.0</v>
      </c>
      <c r="M130" s="5">
        <v>26.0</v>
      </c>
      <c r="N130" s="5">
        <v>268.0</v>
      </c>
      <c r="O130" s="5">
        <v>9.0</v>
      </c>
      <c r="P130" s="5">
        <v>0.0</v>
      </c>
      <c r="Q130" s="5">
        <v>0.0</v>
      </c>
      <c r="R130" s="5">
        <v>0.0</v>
      </c>
      <c r="S130" s="5">
        <v>0.0</v>
      </c>
      <c r="T130" s="5">
        <v>0.0</v>
      </c>
      <c r="U130" s="5">
        <v>0.0</v>
      </c>
      <c r="V130" s="5">
        <v>0.0</v>
      </c>
      <c r="W130" s="5">
        <v>0.0</v>
      </c>
      <c r="X130" s="5">
        <v>0.0</v>
      </c>
      <c r="Y130" s="5">
        <v>0.0</v>
      </c>
      <c r="Z130" s="5">
        <v>204.0</v>
      </c>
      <c r="AA130" s="5">
        <v>0.0</v>
      </c>
      <c r="AB130" s="5">
        <v>0.0</v>
      </c>
      <c r="AC130" s="5">
        <v>58.0</v>
      </c>
      <c r="AD130" s="5">
        <v>0.0</v>
      </c>
      <c r="AE130" s="5">
        <v>15.0</v>
      </c>
      <c r="AF130" s="7">
        <f t="shared" si="2"/>
        <v>0.9</v>
      </c>
      <c r="AG130" s="4" t="str">
        <f t="shared" si="3"/>
        <v>facturas,nota_credito,documento_soporte,nota_doc_soporte,wildcards,maneja_anticipo,</v>
      </c>
      <c r="AH130" s="5">
        <f t="shared" si="4"/>
        <v>18</v>
      </c>
      <c r="AI130" s="5">
        <f t="shared" ref="AI130:BB130" si="131">IF(COUNTIF(K$3:K130,"&gt;0")&gt;0,1,0)</f>
        <v>1</v>
      </c>
      <c r="AJ130" s="5">
        <f t="shared" si="131"/>
        <v>1</v>
      </c>
      <c r="AK130" s="5">
        <f t="shared" si="131"/>
        <v>1</v>
      </c>
      <c r="AL130" s="5">
        <f t="shared" si="131"/>
        <v>1</v>
      </c>
      <c r="AM130" s="5">
        <f t="shared" si="131"/>
        <v>1</v>
      </c>
      <c r="AN130" s="5">
        <f t="shared" si="131"/>
        <v>1</v>
      </c>
      <c r="AO130" s="5">
        <f t="shared" si="131"/>
        <v>1</v>
      </c>
      <c r="AP130" s="5">
        <f t="shared" si="131"/>
        <v>1</v>
      </c>
      <c r="AQ130" s="5">
        <f t="shared" si="131"/>
        <v>1</v>
      </c>
      <c r="AR130" s="5">
        <f t="shared" si="131"/>
        <v>1</v>
      </c>
      <c r="AS130" s="5">
        <f t="shared" si="131"/>
        <v>1</v>
      </c>
      <c r="AT130" s="5">
        <f t="shared" si="131"/>
        <v>1</v>
      </c>
      <c r="AU130" s="5">
        <f t="shared" si="131"/>
        <v>1</v>
      </c>
      <c r="AV130" s="5">
        <f t="shared" si="131"/>
        <v>1</v>
      </c>
      <c r="AW130" s="5">
        <f t="shared" si="131"/>
        <v>1</v>
      </c>
      <c r="AX130" s="5">
        <f t="shared" si="131"/>
        <v>1</v>
      </c>
      <c r="AY130" s="5">
        <f t="shared" si="131"/>
        <v>1</v>
      </c>
      <c r="AZ130" s="5">
        <f t="shared" si="131"/>
        <v>0</v>
      </c>
      <c r="BA130" s="5">
        <f t="shared" si="131"/>
        <v>1</v>
      </c>
      <c r="BB130" s="5">
        <f t="shared" si="131"/>
        <v>0</v>
      </c>
    </row>
    <row r="131">
      <c r="A131" s="5">
        <v>8.0</v>
      </c>
      <c r="B131" s="4" t="s">
        <v>410</v>
      </c>
      <c r="C131" s="5">
        <v>8.00133562E8</v>
      </c>
      <c r="D131" s="4" t="s">
        <v>411</v>
      </c>
      <c r="E131" s="4" t="s">
        <v>412</v>
      </c>
      <c r="F131" s="5">
        <v>816.0</v>
      </c>
      <c r="G131" s="5">
        <v>132.0</v>
      </c>
      <c r="H131" s="5">
        <v>110.0</v>
      </c>
      <c r="I131" s="5">
        <v>10.0</v>
      </c>
      <c r="J131" s="5">
        <v>11.0</v>
      </c>
      <c r="K131" s="5">
        <v>519.0</v>
      </c>
      <c r="L131" s="5">
        <v>0.0</v>
      </c>
      <c r="M131" s="5">
        <v>29.0</v>
      </c>
      <c r="N131" s="5">
        <v>259.0</v>
      </c>
      <c r="O131" s="5">
        <v>9.0</v>
      </c>
      <c r="P131" s="5">
        <v>0.0</v>
      </c>
      <c r="Q131" s="5">
        <v>0.0</v>
      </c>
      <c r="R131" s="5">
        <v>0.0</v>
      </c>
      <c r="S131" s="5">
        <v>0.0</v>
      </c>
      <c r="T131" s="5">
        <v>0.0</v>
      </c>
      <c r="U131" s="5">
        <v>0.0</v>
      </c>
      <c r="V131" s="5">
        <v>0.0</v>
      </c>
      <c r="W131" s="5">
        <v>0.0</v>
      </c>
      <c r="X131" s="5">
        <v>0.0</v>
      </c>
      <c r="Y131" s="5">
        <v>0.0</v>
      </c>
      <c r="Z131" s="5">
        <v>598.0</v>
      </c>
      <c r="AA131" s="5">
        <v>0.0</v>
      </c>
      <c r="AB131" s="5">
        <v>0.0</v>
      </c>
      <c r="AC131" s="5">
        <v>15.0</v>
      </c>
      <c r="AD131" s="5">
        <v>0.0</v>
      </c>
      <c r="AE131" s="5">
        <v>15.0</v>
      </c>
      <c r="AF131" s="7">
        <f t="shared" si="2"/>
        <v>0.9</v>
      </c>
      <c r="AG131" s="4" t="str">
        <f t="shared" si="3"/>
        <v>facturas,nota_credito,documento_soporte,nota_doc_soporte,wildcards,maneja_anticipo,</v>
      </c>
      <c r="AH131" s="5">
        <f t="shared" si="4"/>
        <v>18</v>
      </c>
      <c r="AI131" s="5">
        <f t="shared" ref="AI131:BB131" si="132">IF(COUNTIF(K$3:K131,"&gt;0")&gt;0,1,0)</f>
        <v>1</v>
      </c>
      <c r="AJ131" s="5">
        <f t="shared" si="132"/>
        <v>1</v>
      </c>
      <c r="AK131" s="5">
        <f t="shared" si="132"/>
        <v>1</v>
      </c>
      <c r="AL131" s="5">
        <f t="shared" si="132"/>
        <v>1</v>
      </c>
      <c r="AM131" s="5">
        <f t="shared" si="132"/>
        <v>1</v>
      </c>
      <c r="AN131" s="5">
        <f t="shared" si="132"/>
        <v>1</v>
      </c>
      <c r="AO131" s="5">
        <f t="shared" si="132"/>
        <v>1</v>
      </c>
      <c r="AP131" s="5">
        <f t="shared" si="132"/>
        <v>1</v>
      </c>
      <c r="AQ131" s="5">
        <f t="shared" si="132"/>
        <v>1</v>
      </c>
      <c r="AR131" s="5">
        <f t="shared" si="132"/>
        <v>1</v>
      </c>
      <c r="AS131" s="5">
        <f t="shared" si="132"/>
        <v>1</v>
      </c>
      <c r="AT131" s="5">
        <f t="shared" si="132"/>
        <v>1</v>
      </c>
      <c r="AU131" s="5">
        <f t="shared" si="132"/>
        <v>1</v>
      </c>
      <c r="AV131" s="5">
        <f t="shared" si="132"/>
        <v>1</v>
      </c>
      <c r="AW131" s="5">
        <f t="shared" si="132"/>
        <v>1</v>
      </c>
      <c r="AX131" s="5">
        <f t="shared" si="132"/>
        <v>1</v>
      </c>
      <c r="AY131" s="5">
        <f t="shared" si="132"/>
        <v>1</v>
      </c>
      <c r="AZ131" s="5">
        <f t="shared" si="132"/>
        <v>0</v>
      </c>
      <c r="BA131" s="5">
        <f t="shared" si="132"/>
        <v>1</v>
      </c>
      <c r="BB131" s="5">
        <f t="shared" si="132"/>
        <v>0</v>
      </c>
    </row>
    <row r="132">
      <c r="A132" s="5">
        <v>461.0</v>
      </c>
      <c r="B132" s="4" t="s">
        <v>413</v>
      </c>
      <c r="C132" s="5">
        <v>9.01663721E8</v>
      </c>
      <c r="D132" s="4" t="s">
        <v>414</v>
      </c>
      <c r="E132" s="4" t="s">
        <v>415</v>
      </c>
      <c r="F132" s="5">
        <v>423.0</v>
      </c>
      <c r="G132" s="5">
        <v>96.0</v>
      </c>
      <c r="H132" s="5">
        <v>131.0</v>
      </c>
      <c r="I132" s="5">
        <v>5.0</v>
      </c>
      <c r="J132" s="5">
        <v>15.0</v>
      </c>
      <c r="K132" s="5">
        <v>397.0</v>
      </c>
      <c r="L132" s="5">
        <v>0.0</v>
      </c>
      <c r="M132" s="5">
        <v>26.0</v>
      </c>
      <c r="N132" s="5">
        <v>0.0</v>
      </c>
      <c r="O132" s="5">
        <v>0.0</v>
      </c>
      <c r="P132" s="5">
        <v>0.0</v>
      </c>
      <c r="Q132" s="5">
        <v>0.0</v>
      </c>
      <c r="R132" s="5">
        <v>0.0</v>
      </c>
      <c r="S132" s="5">
        <v>0.0</v>
      </c>
      <c r="T132" s="5">
        <v>0.0</v>
      </c>
      <c r="U132" s="5">
        <v>1.0</v>
      </c>
      <c r="V132" s="5">
        <v>1.0</v>
      </c>
      <c r="W132" s="5">
        <v>230.0</v>
      </c>
      <c r="X132" s="5">
        <v>0.0</v>
      </c>
      <c r="Y132" s="5">
        <v>0.0</v>
      </c>
      <c r="Z132" s="5">
        <v>0.0</v>
      </c>
      <c r="AA132" s="5">
        <v>0.0</v>
      </c>
      <c r="AB132" s="5">
        <v>0.0</v>
      </c>
      <c r="AC132" s="5">
        <v>0.0</v>
      </c>
      <c r="AD132" s="5">
        <v>0.0</v>
      </c>
      <c r="AE132" s="5">
        <v>15.0</v>
      </c>
      <c r="AF132" s="7">
        <f t="shared" si="2"/>
        <v>0.9</v>
      </c>
      <c r="AG132" s="4" t="str">
        <f t="shared" si="3"/>
        <v>facturas,nota_credito,en_tercero_mandatario,en_tercero_mandante,linea_tercero_mandante,</v>
      </c>
      <c r="AH132" s="5">
        <f t="shared" si="4"/>
        <v>18</v>
      </c>
      <c r="AI132" s="5">
        <f t="shared" ref="AI132:BB132" si="133">IF(COUNTIF(K$3:K132,"&gt;0")&gt;0,1,0)</f>
        <v>1</v>
      </c>
      <c r="AJ132" s="5">
        <f t="shared" si="133"/>
        <v>1</v>
      </c>
      <c r="AK132" s="5">
        <f t="shared" si="133"/>
        <v>1</v>
      </c>
      <c r="AL132" s="5">
        <f t="shared" si="133"/>
        <v>1</v>
      </c>
      <c r="AM132" s="5">
        <f t="shared" si="133"/>
        <v>1</v>
      </c>
      <c r="AN132" s="5">
        <f t="shared" si="133"/>
        <v>1</v>
      </c>
      <c r="AO132" s="5">
        <f t="shared" si="133"/>
        <v>1</v>
      </c>
      <c r="AP132" s="5">
        <f t="shared" si="133"/>
        <v>1</v>
      </c>
      <c r="AQ132" s="5">
        <f t="shared" si="133"/>
        <v>1</v>
      </c>
      <c r="AR132" s="5">
        <f t="shared" si="133"/>
        <v>1</v>
      </c>
      <c r="AS132" s="5">
        <f t="shared" si="133"/>
        <v>1</v>
      </c>
      <c r="AT132" s="5">
        <f t="shared" si="133"/>
        <v>1</v>
      </c>
      <c r="AU132" s="5">
        <f t="shared" si="133"/>
        <v>1</v>
      </c>
      <c r="AV132" s="5">
        <f t="shared" si="133"/>
        <v>1</v>
      </c>
      <c r="AW132" s="5">
        <f t="shared" si="133"/>
        <v>1</v>
      </c>
      <c r="AX132" s="5">
        <f t="shared" si="133"/>
        <v>1</v>
      </c>
      <c r="AY132" s="5">
        <f t="shared" si="133"/>
        <v>1</v>
      </c>
      <c r="AZ132" s="5">
        <f t="shared" si="133"/>
        <v>0</v>
      </c>
      <c r="BA132" s="5">
        <f t="shared" si="133"/>
        <v>1</v>
      </c>
      <c r="BB132" s="5">
        <f t="shared" si="133"/>
        <v>0</v>
      </c>
    </row>
    <row r="133">
      <c r="A133" s="5">
        <v>64.0</v>
      </c>
      <c r="B133" s="4" t="s">
        <v>416</v>
      </c>
      <c r="C133" s="5">
        <v>9.00716949E8</v>
      </c>
      <c r="D133" s="4" t="s">
        <v>417</v>
      </c>
      <c r="E133" s="4" t="s">
        <v>418</v>
      </c>
      <c r="F133" s="5">
        <v>286.0</v>
      </c>
      <c r="G133" s="5">
        <v>66.0</v>
      </c>
      <c r="H133" s="5">
        <v>57.0</v>
      </c>
      <c r="I133" s="5">
        <v>1.0</v>
      </c>
      <c r="J133" s="5">
        <v>5.0</v>
      </c>
      <c r="K133" s="5">
        <v>168.0</v>
      </c>
      <c r="L133" s="5">
        <v>0.0</v>
      </c>
      <c r="M133" s="5">
        <v>9.0</v>
      </c>
      <c r="N133" s="5">
        <v>109.0</v>
      </c>
      <c r="O133" s="5">
        <v>0.0</v>
      </c>
      <c r="P133" s="5">
        <v>0.0</v>
      </c>
      <c r="Q133" s="5">
        <v>0.0</v>
      </c>
      <c r="R133" s="5">
        <v>0.0</v>
      </c>
      <c r="S133" s="5">
        <v>0.0</v>
      </c>
      <c r="T133" s="5">
        <v>21.0</v>
      </c>
      <c r="U133" s="5">
        <v>0.0</v>
      </c>
      <c r="V133" s="5">
        <v>0.0</v>
      </c>
      <c r="W133" s="5">
        <v>0.0</v>
      </c>
      <c r="X133" s="5">
        <v>0.0</v>
      </c>
      <c r="Y133" s="5">
        <v>0.0</v>
      </c>
      <c r="Z133" s="5">
        <v>0.0</v>
      </c>
      <c r="AA133" s="5">
        <v>167.0</v>
      </c>
      <c r="AB133" s="5">
        <v>0.0</v>
      </c>
      <c r="AC133" s="5">
        <v>0.0</v>
      </c>
      <c r="AD133" s="5">
        <v>0.0</v>
      </c>
      <c r="AE133" s="5">
        <v>15.0</v>
      </c>
      <c r="AF133" s="7">
        <f t="shared" si="2"/>
        <v>0.9</v>
      </c>
      <c r="AG133" s="4" t="str">
        <f t="shared" si="3"/>
        <v>facturas,nota_credito,documento_soporte,maneja_adjunto,encabezado_referencias_documento,</v>
      </c>
      <c r="AH133" s="5">
        <f t="shared" si="4"/>
        <v>18</v>
      </c>
      <c r="AI133" s="5">
        <f t="shared" ref="AI133:BB133" si="134">IF(COUNTIF(K$3:K133,"&gt;0")&gt;0,1,0)</f>
        <v>1</v>
      </c>
      <c r="AJ133" s="5">
        <f t="shared" si="134"/>
        <v>1</v>
      </c>
      <c r="AK133" s="5">
        <f t="shared" si="134"/>
        <v>1</v>
      </c>
      <c r="AL133" s="5">
        <f t="shared" si="134"/>
        <v>1</v>
      </c>
      <c r="AM133" s="5">
        <f t="shared" si="134"/>
        <v>1</v>
      </c>
      <c r="AN133" s="5">
        <f t="shared" si="134"/>
        <v>1</v>
      </c>
      <c r="AO133" s="5">
        <f t="shared" si="134"/>
        <v>1</v>
      </c>
      <c r="AP133" s="5">
        <f t="shared" si="134"/>
        <v>1</v>
      </c>
      <c r="AQ133" s="5">
        <f t="shared" si="134"/>
        <v>1</v>
      </c>
      <c r="AR133" s="5">
        <f t="shared" si="134"/>
        <v>1</v>
      </c>
      <c r="AS133" s="5">
        <f t="shared" si="134"/>
        <v>1</v>
      </c>
      <c r="AT133" s="5">
        <f t="shared" si="134"/>
        <v>1</v>
      </c>
      <c r="AU133" s="5">
        <f t="shared" si="134"/>
        <v>1</v>
      </c>
      <c r="AV133" s="5">
        <f t="shared" si="134"/>
        <v>1</v>
      </c>
      <c r="AW133" s="5">
        <f t="shared" si="134"/>
        <v>1</v>
      </c>
      <c r="AX133" s="5">
        <f t="shared" si="134"/>
        <v>1</v>
      </c>
      <c r="AY133" s="5">
        <f t="shared" si="134"/>
        <v>1</v>
      </c>
      <c r="AZ133" s="5">
        <f t="shared" si="134"/>
        <v>0</v>
      </c>
      <c r="BA133" s="5">
        <f t="shared" si="134"/>
        <v>1</v>
      </c>
      <c r="BB133" s="5">
        <f t="shared" si="134"/>
        <v>0</v>
      </c>
    </row>
    <row r="134">
      <c r="A134" s="5">
        <v>17.0</v>
      </c>
      <c r="B134" s="4" t="s">
        <v>419</v>
      </c>
      <c r="C134" s="5">
        <v>8.30124904E8</v>
      </c>
      <c r="D134" s="4" t="s">
        <v>420</v>
      </c>
      <c r="E134" s="4" t="s">
        <v>421</v>
      </c>
      <c r="F134" s="5">
        <v>15467.0</v>
      </c>
      <c r="G134" s="5">
        <v>2532.0</v>
      </c>
      <c r="H134" s="5">
        <v>2222.0</v>
      </c>
      <c r="I134" s="5">
        <v>147.0</v>
      </c>
      <c r="J134" s="5">
        <v>194.0</v>
      </c>
      <c r="K134" s="5">
        <v>15217.0</v>
      </c>
      <c r="L134" s="5">
        <v>0.0</v>
      </c>
      <c r="M134" s="5">
        <v>233.0</v>
      </c>
      <c r="N134" s="5">
        <v>17.0</v>
      </c>
      <c r="O134" s="5">
        <v>0.0</v>
      </c>
      <c r="P134" s="5">
        <v>0.0</v>
      </c>
      <c r="Q134" s="5">
        <v>0.0</v>
      </c>
      <c r="R134" s="5">
        <v>0.0</v>
      </c>
      <c r="S134" s="5">
        <v>0.0</v>
      </c>
      <c r="T134" s="5">
        <v>877.0</v>
      </c>
      <c r="U134" s="5">
        <v>0.0</v>
      </c>
      <c r="V134" s="5">
        <v>0.0</v>
      </c>
      <c r="W134" s="5">
        <v>0.0</v>
      </c>
      <c r="X134" s="5">
        <v>0.0</v>
      </c>
      <c r="Y134" s="5">
        <v>0.0</v>
      </c>
      <c r="Z134" s="5">
        <v>0.0</v>
      </c>
      <c r="AA134" s="5">
        <v>3915.0</v>
      </c>
      <c r="AB134" s="5">
        <v>0.0</v>
      </c>
      <c r="AC134" s="5">
        <v>0.0</v>
      </c>
      <c r="AD134" s="5">
        <v>0.0</v>
      </c>
      <c r="AE134" s="5">
        <v>15.0</v>
      </c>
      <c r="AF134" s="7">
        <f t="shared" si="2"/>
        <v>0.9</v>
      </c>
      <c r="AG134" s="4" t="str">
        <f t="shared" si="3"/>
        <v>facturas,nota_credito,documento_soporte,maneja_adjunto,encabezado_referencias_documento,</v>
      </c>
      <c r="AH134" s="5">
        <f t="shared" si="4"/>
        <v>18</v>
      </c>
      <c r="AI134" s="5">
        <f t="shared" ref="AI134:BB134" si="135">IF(COUNTIF(K$3:K134,"&gt;0")&gt;0,1,0)</f>
        <v>1</v>
      </c>
      <c r="AJ134" s="5">
        <f t="shared" si="135"/>
        <v>1</v>
      </c>
      <c r="AK134" s="5">
        <f t="shared" si="135"/>
        <v>1</v>
      </c>
      <c r="AL134" s="5">
        <f t="shared" si="135"/>
        <v>1</v>
      </c>
      <c r="AM134" s="5">
        <f t="shared" si="135"/>
        <v>1</v>
      </c>
      <c r="AN134" s="5">
        <f t="shared" si="135"/>
        <v>1</v>
      </c>
      <c r="AO134" s="5">
        <f t="shared" si="135"/>
        <v>1</v>
      </c>
      <c r="AP134" s="5">
        <f t="shared" si="135"/>
        <v>1</v>
      </c>
      <c r="AQ134" s="5">
        <f t="shared" si="135"/>
        <v>1</v>
      </c>
      <c r="AR134" s="5">
        <f t="shared" si="135"/>
        <v>1</v>
      </c>
      <c r="AS134" s="5">
        <f t="shared" si="135"/>
        <v>1</v>
      </c>
      <c r="AT134" s="5">
        <f t="shared" si="135"/>
        <v>1</v>
      </c>
      <c r="AU134" s="5">
        <f t="shared" si="135"/>
        <v>1</v>
      </c>
      <c r="AV134" s="5">
        <f t="shared" si="135"/>
        <v>1</v>
      </c>
      <c r="AW134" s="5">
        <f t="shared" si="135"/>
        <v>1</v>
      </c>
      <c r="AX134" s="5">
        <f t="shared" si="135"/>
        <v>1</v>
      </c>
      <c r="AY134" s="5">
        <f t="shared" si="135"/>
        <v>1</v>
      </c>
      <c r="AZ134" s="5">
        <f t="shared" si="135"/>
        <v>0</v>
      </c>
      <c r="BA134" s="5">
        <f t="shared" si="135"/>
        <v>1</v>
      </c>
      <c r="BB134" s="5">
        <f t="shared" si="135"/>
        <v>0</v>
      </c>
    </row>
    <row r="135">
      <c r="A135" s="5">
        <v>200.0</v>
      </c>
      <c r="B135" s="4" t="s">
        <v>422</v>
      </c>
      <c r="C135" s="5">
        <v>8.00242149E8</v>
      </c>
      <c r="D135" s="4" t="s">
        <v>423</v>
      </c>
      <c r="E135" s="4" t="s">
        <v>424</v>
      </c>
      <c r="F135" s="5">
        <v>231.0</v>
      </c>
      <c r="G135" s="5">
        <v>37.0</v>
      </c>
      <c r="H135" s="5">
        <v>45.0</v>
      </c>
      <c r="I135" s="5">
        <v>0.0</v>
      </c>
      <c r="J135" s="5">
        <v>5.0</v>
      </c>
      <c r="K135" s="5">
        <v>220.0</v>
      </c>
      <c r="L135" s="5">
        <v>0.0</v>
      </c>
      <c r="M135" s="5">
        <v>11.0</v>
      </c>
      <c r="N135" s="5">
        <v>0.0</v>
      </c>
      <c r="O135" s="5">
        <v>0.0</v>
      </c>
      <c r="P135" s="5">
        <v>0.0</v>
      </c>
      <c r="Q135" s="5">
        <v>4.0</v>
      </c>
      <c r="R135" s="5">
        <v>0.0</v>
      </c>
      <c r="S135" s="5">
        <v>0.0</v>
      </c>
      <c r="T135" s="5">
        <v>0.0</v>
      </c>
      <c r="U135" s="5">
        <v>0.0</v>
      </c>
      <c r="V135" s="5">
        <v>0.0</v>
      </c>
      <c r="W135" s="5">
        <v>0.0</v>
      </c>
      <c r="X135" s="5">
        <v>0.0</v>
      </c>
      <c r="Y135" s="5">
        <v>0.0</v>
      </c>
      <c r="Z135" s="5">
        <v>4.0</v>
      </c>
      <c r="AA135" s="5">
        <v>4.0</v>
      </c>
      <c r="AB135" s="5">
        <v>0.0</v>
      </c>
      <c r="AC135" s="5">
        <v>0.0</v>
      </c>
      <c r="AD135" s="5">
        <v>0.0</v>
      </c>
      <c r="AE135" s="5">
        <v>15.0</v>
      </c>
      <c r="AF135" s="7">
        <f t="shared" si="2"/>
        <v>0.9</v>
      </c>
      <c r="AG135" s="4" t="str">
        <f t="shared" si="3"/>
        <v>facturas,nota_credito,usa_Total_CargoDescuento,wildcards,encabezado_referencias_documento,</v>
      </c>
      <c r="AH135" s="5">
        <f t="shared" si="4"/>
        <v>18</v>
      </c>
      <c r="AI135" s="5">
        <f t="shared" ref="AI135:BB135" si="136">IF(COUNTIF(K$3:K135,"&gt;0")&gt;0,1,0)</f>
        <v>1</v>
      </c>
      <c r="AJ135" s="5">
        <f t="shared" si="136"/>
        <v>1</v>
      </c>
      <c r="AK135" s="5">
        <f t="shared" si="136"/>
        <v>1</v>
      </c>
      <c r="AL135" s="5">
        <f t="shared" si="136"/>
        <v>1</v>
      </c>
      <c r="AM135" s="5">
        <f t="shared" si="136"/>
        <v>1</v>
      </c>
      <c r="AN135" s="5">
        <f t="shared" si="136"/>
        <v>1</v>
      </c>
      <c r="AO135" s="5">
        <f t="shared" si="136"/>
        <v>1</v>
      </c>
      <c r="AP135" s="5">
        <f t="shared" si="136"/>
        <v>1</v>
      </c>
      <c r="AQ135" s="5">
        <f t="shared" si="136"/>
        <v>1</v>
      </c>
      <c r="AR135" s="5">
        <f t="shared" si="136"/>
        <v>1</v>
      </c>
      <c r="AS135" s="5">
        <f t="shared" si="136"/>
        <v>1</v>
      </c>
      <c r="AT135" s="5">
        <f t="shared" si="136"/>
        <v>1</v>
      </c>
      <c r="AU135" s="5">
        <f t="shared" si="136"/>
        <v>1</v>
      </c>
      <c r="AV135" s="5">
        <f t="shared" si="136"/>
        <v>1</v>
      </c>
      <c r="AW135" s="5">
        <f t="shared" si="136"/>
        <v>1</v>
      </c>
      <c r="AX135" s="5">
        <f t="shared" si="136"/>
        <v>1</v>
      </c>
      <c r="AY135" s="5">
        <f t="shared" si="136"/>
        <v>1</v>
      </c>
      <c r="AZ135" s="5">
        <f t="shared" si="136"/>
        <v>0</v>
      </c>
      <c r="BA135" s="5">
        <f t="shared" si="136"/>
        <v>1</v>
      </c>
      <c r="BB135" s="5">
        <f t="shared" si="136"/>
        <v>0</v>
      </c>
    </row>
    <row r="136">
      <c r="A136" s="5">
        <v>92.0</v>
      </c>
      <c r="B136" s="4" t="s">
        <v>425</v>
      </c>
      <c r="C136" s="5">
        <v>8.60025386E8</v>
      </c>
      <c r="D136" s="4" t="s">
        <v>426</v>
      </c>
      <c r="E136" s="4" t="s">
        <v>427</v>
      </c>
      <c r="F136" s="5">
        <v>393.0</v>
      </c>
      <c r="G136" s="5">
        <v>74.0</v>
      </c>
      <c r="H136" s="5">
        <v>52.0</v>
      </c>
      <c r="I136" s="5">
        <v>0.0</v>
      </c>
      <c r="J136" s="5">
        <v>2.0</v>
      </c>
      <c r="K136" s="5">
        <v>265.0</v>
      </c>
      <c r="L136" s="5">
        <v>0.0</v>
      </c>
      <c r="M136" s="5">
        <v>19.0</v>
      </c>
      <c r="N136" s="5">
        <v>105.0</v>
      </c>
      <c r="O136" s="5">
        <v>4.0</v>
      </c>
      <c r="P136" s="5">
        <v>0.0</v>
      </c>
      <c r="Q136" s="5">
        <v>0.0</v>
      </c>
      <c r="R136" s="5">
        <v>0.0</v>
      </c>
      <c r="S136" s="5">
        <v>0.0</v>
      </c>
      <c r="T136" s="5">
        <v>0.0</v>
      </c>
      <c r="U136" s="5">
        <v>0.0</v>
      </c>
      <c r="V136" s="5">
        <v>0.0</v>
      </c>
      <c r="W136" s="5">
        <v>0.0</v>
      </c>
      <c r="X136" s="5">
        <v>0.0</v>
      </c>
      <c r="Y136" s="5">
        <v>0.0</v>
      </c>
      <c r="Z136" s="5">
        <v>0.0</v>
      </c>
      <c r="AA136" s="5">
        <v>1.0</v>
      </c>
      <c r="AB136" s="5">
        <v>0.0</v>
      </c>
      <c r="AC136" s="5">
        <v>0.0</v>
      </c>
      <c r="AD136" s="5">
        <v>0.0</v>
      </c>
      <c r="AE136" s="5">
        <v>15.0</v>
      </c>
      <c r="AF136" s="7">
        <f t="shared" si="2"/>
        <v>0.9</v>
      </c>
      <c r="AG136" s="4" t="str">
        <f t="shared" si="3"/>
        <v>facturas,nota_credito,documento_soporte,nota_doc_soporte,encabezado_referencias_documento,</v>
      </c>
      <c r="AH136" s="5">
        <f t="shared" si="4"/>
        <v>18</v>
      </c>
      <c r="AI136" s="5">
        <f t="shared" ref="AI136:BB136" si="137">IF(COUNTIF(K$3:K136,"&gt;0")&gt;0,1,0)</f>
        <v>1</v>
      </c>
      <c r="AJ136" s="5">
        <f t="shared" si="137"/>
        <v>1</v>
      </c>
      <c r="AK136" s="5">
        <f t="shared" si="137"/>
        <v>1</v>
      </c>
      <c r="AL136" s="5">
        <f t="shared" si="137"/>
        <v>1</v>
      </c>
      <c r="AM136" s="5">
        <f t="shared" si="137"/>
        <v>1</v>
      </c>
      <c r="AN136" s="5">
        <f t="shared" si="137"/>
        <v>1</v>
      </c>
      <c r="AO136" s="5">
        <f t="shared" si="137"/>
        <v>1</v>
      </c>
      <c r="AP136" s="5">
        <f t="shared" si="137"/>
        <v>1</v>
      </c>
      <c r="AQ136" s="5">
        <f t="shared" si="137"/>
        <v>1</v>
      </c>
      <c r="AR136" s="5">
        <f t="shared" si="137"/>
        <v>1</v>
      </c>
      <c r="AS136" s="5">
        <f t="shared" si="137"/>
        <v>1</v>
      </c>
      <c r="AT136" s="5">
        <f t="shared" si="137"/>
        <v>1</v>
      </c>
      <c r="AU136" s="5">
        <f t="shared" si="137"/>
        <v>1</v>
      </c>
      <c r="AV136" s="5">
        <f t="shared" si="137"/>
        <v>1</v>
      </c>
      <c r="AW136" s="5">
        <f t="shared" si="137"/>
        <v>1</v>
      </c>
      <c r="AX136" s="5">
        <f t="shared" si="137"/>
        <v>1</v>
      </c>
      <c r="AY136" s="5">
        <f t="shared" si="137"/>
        <v>1</v>
      </c>
      <c r="AZ136" s="5">
        <f t="shared" si="137"/>
        <v>0</v>
      </c>
      <c r="BA136" s="5">
        <f t="shared" si="137"/>
        <v>1</v>
      </c>
      <c r="BB136" s="5">
        <f t="shared" si="137"/>
        <v>0</v>
      </c>
    </row>
    <row r="137">
      <c r="A137" s="5">
        <v>600.0</v>
      </c>
      <c r="B137" s="4" t="s">
        <v>428</v>
      </c>
      <c r="C137" s="5">
        <v>9.00616108E8</v>
      </c>
      <c r="D137" s="4" t="s">
        <v>429</v>
      </c>
      <c r="E137" s="4" t="s">
        <v>430</v>
      </c>
      <c r="F137" s="5">
        <v>395.0</v>
      </c>
      <c r="G137" s="5">
        <v>0.0</v>
      </c>
      <c r="H137" s="5">
        <v>395.0</v>
      </c>
      <c r="I137" s="5">
        <v>56.0</v>
      </c>
      <c r="J137" s="5">
        <v>89.0</v>
      </c>
      <c r="K137" s="5">
        <v>374.0</v>
      </c>
      <c r="L137" s="5">
        <v>1.0</v>
      </c>
      <c r="M137" s="5">
        <v>20.0</v>
      </c>
      <c r="N137" s="5">
        <v>0.0</v>
      </c>
      <c r="O137" s="5">
        <v>0.0</v>
      </c>
      <c r="P137" s="5">
        <v>0.0</v>
      </c>
      <c r="Q137" s="5">
        <v>0.0</v>
      </c>
      <c r="R137" s="5">
        <v>0.0</v>
      </c>
      <c r="S137" s="5">
        <v>0.0</v>
      </c>
      <c r="T137" s="5">
        <v>1.0</v>
      </c>
      <c r="U137" s="5">
        <v>0.0</v>
      </c>
      <c r="V137" s="5">
        <v>0.0</v>
      </c>
      <c r="W137" s="5">
        <v>0.0</v>
      </c>
      <c r="X137" s="5">
        <v>0.0</v>
      </c>
      <c r="Y137" s="5">
        <v>0.0</v>
      </c>
      <c r="Z137" s="5">
        <v>26.0</v>
      </c>
      <c r="AA137" s="5">
        <v>381.0</v>
      </c>
      <c r="AB137" s="5">
        <v>0.0</v>
      </c>
      <c r="AC137" s="5">
        <v>0.0</v>
      </c>
      <c r="AD137" s="5">
        <v>0.0</v>
      </c>
      <c r="AE137" s="5">
        <v>15.0</v>
      </c>
      <c r="AF137" s="7">
        <f t="shared" si="2"/>
        <v>0.9</v>
      </c>
      <c r="AG137" s="4" t="str">
        <f t="shared" si="3"/>
        <v>facturas,nota_debito,nota_credito,maneja_adjunto,wildcards,encabezado_referencias_documento,</v>
      </c>
      <c r="AH137" s="5">
        <f t="shared" si="4"/>
        <v>18</v>
      </c>
      <c r="AI137" s="5">
        <f t="shared" ref="AI137:BB137" si="138">IF(COUNTIF(K$3:K137,"&gt;0")&gt;0,1,0)</f>
        <v>1</v>
      </c>
      <c r="AJ137" s="5">
        <f t="shared" si="138"/>
        <v>1</v>
      </c>
      <c r="AK137" s="5">
        <f t="shared" si="138"/>
        <v>1</v>
      </c>
      <c r="AL137" s="5">
        <f t="shared" si="138"/>
        <v>1</v>
      </c>
      <c r="AM137" s="5">
        <f t="shared" si="138"/>
        <v>1</v>
      </c>
      <c r="AN137" s="5">
        <f t="shared" si="138"/>
        <v>1</v>
      </c>
      <c r="AO137" s="5">
        <f t="shared" si="138"/>
        <v>1</v>
      </c>
      <c r="AP137" s="5">
        <f t="shared" si="138"/>
        <v>1</v>
      </c>
      <c r="AQ137" s="5">
        <f t="shared" si="138"/>
        <v>1</v>
      </c>
      <c r="AR137" s="5">
        <f t="shared" si="138"/>
        <v>1</v>
      </c>
      <c r="AS137" s="5">
        <f t="shared" si="138"/>
        <v>1</v>
      </c>
      <c r="AT137" s="5">
        <f t="shared" si="138"/>
        <v>1</v>
      </c>
      <c r="AU137" s="5">
        <f t="shared" si="138"/>
        <v>1</v>
      </c>
      <c r="AV137" s="5">
        <f t="shared" si="138"/>
        <v>1</v>
      </c>
      <c r="AW137" s="5">
        <f t="shared" si="138"/>
        <v>1</v>
      </c>
      <c r="AX137" s="5">
        <f t="shared" si="138"/>
        <v>1</v>
      </c>
      <c r="AY137" s="5">
        <f t="shared" si="138"/>
        <v>1</v>
      </c>
      <c r="AZ137" s="5">
        <f t="shared" si="138"/>
        <v>0</v>
      </c>
      <c r="BA137" s="5">
        <f t="shared" si="138"/>
        <v>1</v>
      </c>
      <c r="BB137" s="5">
        <f t="shared" si="138"/>
        <v>0</v>
      </c>
    </row>
    <row r="138">
      <c r="A138" s="5">
        <v>541.0</v>
      </c>
      <c r="B138" s="4" t="s">
        <v>431</v>
      </c>
      <c r="C138" s="5">
        <v>8.06015676E8</v>
      </c>
      <c r="D138" s="4" t="s">
        <v>432</v>
      </c>
      <c r="E138" s="4" t="s">
        <v>433</v>
      </c>
      <c r="F138" s="5">
        <v>858.0</v>
      </c>
      <c r="G138" s="5">
        <v>422.0</v>
      </c>
      <c r="H138" s="5">
        <v>436.0</v>
      </c>
      <c r="I138" s="5">
        <v>11.0</v>
      </c>
      <c r="J138" s="5">
        <v>16.0</v>
      </c>
      <c r="K138" s="5">
        <v>482.0</v>
      </c>
      <c r="L138" s="5">
        <v>0.0</v>
      </c>
      <c r="M138" s="5">
        <v>24.0</v>
      </c>
      <c r="N138" s="5">
        <v>342.0</v>
      </c>
      <c r="O138" s="5">
        <v>10.0</v>
      </c>
      <c r="P138" s="5">
        <v>65.0</v>
      </c>
      <c r="Q138" s="5">
        <v>0.0</v>
      </c>
      <c r="R138" s="5">
        <v>0.0</v>
      </c>
      <c r="S138" s="5">
        <v>0.0</v>
      </c>
      <c r="T138" s="5">
        <v>0.0</v>
      </c>
      <c r="U138" s="5">
        <v>0.0</v>
      </c>
      <c r="V138" s="5">
        <v>0.0</v>
      </c>
      <c r="W138" s="5">
        <v>0.0</v>
      </c>
      <c r="X138" s="5">
        <v>0.0</v>
      </c>
      <c r="Y138" s="5">
        <v>0.0</v>
      </c>
      <c r="Z138" s="5">
        <v>495.0</v>
      </c>
      <c r="AA138" s="5">
        <v>0.0</v>
      </c>
      <c r="AB138" s="5">
        <v>0.0</v>
      </c>
      <c r="AC138" s="5">
        <v>0.0</v>
      </c>
      <c r="AD138" s="5">
        <v>0.0</v>
      </c>
      <c r="AE138" s="5">
        <v>15.0</v>
      </c>
      <c r="AF138" s="7">
        <f t="shared" si="2"/>
        <v>0.9</v>
      </c>
      <c r="AG138" s="4" t="str">
        <f t="shared" si="3"/>
        <v>facturas,nota_credito,documento_soporte,nota_doc_soporte,usa_Linea_CargoDescuento,wildcards,</v>
      </c>
      <c r="AH138" s="5">
        <f t="shared" si="4"/>
        <v>18</v>
      </c>
      <c r="AI138" s="5">
        <f t="shared" ref="AI138:BB138" si="139">IF(COUNTIF(K$3:K138,"&gt;0")&gt;0,1,0)</f>
        <v>1</v>
      </c>
      <c r="AJ138" s="5">
        <f t="shared" si="139"/>
        <v>1</v>
      </c>
      <c r="AK138" s="5">
        <f t="shared" si="139"/>
        <v>1</v>
      </c>
      <c r="AL138" s="5">
        <f t="shared" si="139"/>
        <v>1</v>
      </c>
      <c r="AM138" s="5">
        <f t="shared" si="139"/>
        <v>1</v>
      </c>
      <c r="AN138" s="5">
        <f t="shared" si="139"/>
        <v>1</v>
      </c>
      <c r="AO138" s="5">
        <f t="shared" si="139"/>
        <v>1</v>
      </c>
      <c r="AP138" s="5">
        <f t="shared" si="139"/>
        <v>1</v>
      </c>
      <c r="AQ138" s="5">
        <f t="shared" si="139"/>
        <v>1</v>
      </c>
      <c r="AR138" s="5">
        <f t="shared" si="139"/>
        <v>1</v>
      </c>
      <c r="AS138" s="5">
        <f t="shared" si="139"/>
        <v>1</v>
      </c>
      <c r="AT138" s="5">
        <f t="shared" si="139"/>
        <v>1</v>
      </c>
      <c r="AU138" s="5">
        <f t="shared" si="139"/>
        <v>1</v>
      </c>
      <c r="AV138" s="5">
        <f t="shared" si="139"/>
        <v>1</v>
      </c>
      <c r="AW138" s="5">
        <f t="shared" si="139"/>
        <v>1</v>
      </c>
      <c r="AX138" s="5">
        <f t="shared" si="139"/>
        <v>1</v>
      </c>
      <c r="AY138" s="5">
        <f t="shared" si="139"/>
        <v>1</v>
      </c>
      <c r="AZ138" s="5">
        <f t="shared" si="139"/>
        <v>0</v>
      </c>
      <c r="BA138" s="5">
        <f t="shared" si="139"/>
        <v>1</v>
      </c>
      <c r="BB138" s="5">
        <f t="shared" si="139"/>
        <v>0</v>
      </c>
    </row>
    <row r="139">
      <c r="A139" s="5">
        <v>62.0</v>
      </c>
      <c r="B139" s="4" t="s">
        <v>434</v>
      </c>
      <c r="C139" s="5">
        <v>9.00850606E8</v>
      </c>
      <c r="D139" s="4" t="s">
        <v>435</v>
      </c>
      <c r="E139" s="4" t="s">
        <v>436</v>
      </c>
      <c r="F139" s="5">
        <v>670.0</v>
      </c>
      <c r="G139" s="5">
        <v>118.0</v>
      </c>
      <c r="H139" s="5">
        <v>107.0</v>
      </c>
      <c r="I139" s="5">
        <v>6.0</v>
      </c>
      <c r="J139" s="5">
        <v>10.0</v>
      </c>
      <c r="K139" s="5">
        <v>623.0</v>
      </c>
      <c r="L139" s="5">
        <v>1.0</v>
      </c>
      <c r="M139" s="5">
        <v>46.0</v>
      </c>
      <c r="N139" s="5">
        <v>0.0</v>
      </c>
      <c r="O139" s="5">
        <v>0.0</v>
      </c>
      <c r="P139" s="5">
        <v>0.0</v>
      </c>
      <c r="Q139" s="5">
        <v>0.0</v>
      </c>
      <c r="R139" s="5">
        <v>0.0</v>
      </c>
      <c r="S139" s="5">
        <v>0.0</v>
      </c>
      <c r="T139" s="5">
        <v>3.0</v>
      </c>
      <c r="U139" s="5">
        <v>0.0</v>
      </c>
      <c r="V139" s="5">
        <v>0.0</v>
      </c>
      <c r="W139" s="5">
        <v>0.0</v>
      </c>
      <c r="X139" s="5">
        <v>0.0</v>
      </c>
      <c r="Y139" s="5">
        <v>0.0</v>
      </c>
      <c r="Z139" s="5">
        <v>665.0</v>
      </c>
      <c r="AA139" s="5">
        <v>652.0</v>
      </c>
      <c r="AB139" s="5">
        <v>0.0</v>
      </c>
      <c r="AC139" s="5">
        <v>0.0</v>
      </c>
      <c r="AD139" s="5">
        <v>0.0</v>
      </c>
      <c r="AE139" s="5">
        <v>15.0</v>
      </c>
      <c r="AF139" s="7">
        <f t="shared" si="2"/>
        <v>0.9</v>
      </c>
      <c r="AG139" s="4" t="str">
        <f t="shared" si="3"/>
        <v>facturas,nota_debito,nota_credito,maneja_adjunto,wildcards,encabezado_referencias_documento,</v>
      </c>
      <c r="AH139" s="5">
        <f t="shared" si="4"/>
        <v>18</v>
      </c>
      <c r="AI139" s="5">
        <f t="shared" ref="AI139:BB139" si="140">IF(COUNTIF(K$3:K139,"&gt;0")&gt;0,1,0)</f>
        <v>1</v>
      </c>
      <c r="AJ139" s="5">
        <f t="shared" si="140"/>
        <v>1</v>
      </c>
      <c r="AK139" s="5">
        <f t="shared" si="140"/>
        <v>1</v>
      </c>
      <c r="AL139" s="5">
        <f t="shared" si="140"/>
        <v>1</v>
      </c>
      <c r="AM139" s="5">
        <f t="shared" si="140"/>
        <v>1</v>
      </c>
      <c r="AN139" s="5">
        <f t="shared" si="140"/>
        <v>1</v>
      </c>
      <c r="AO139" s="5">
        <f t="shared" si="140"/>
        <v>1</v>
      </c>
      <c r="AP139" s="5">
        <f t="shared" si="140"/>
        <v>1</v>
      </c>
      <c r="AQ139" s="5">
        <f t="shared" si="140"/>
        <v>1</v>
      </c>
      <c r="AR139" s="5">
        <f t="shared" si="140"/>
        <v>1</v>
      </c>
      <c r="AS139" s="5">
        <f t="shared" si="140"/>
        <v>1</v>
      </c>
      <c r="AT139" s="5">
        <f t="shared" si="140"/>
        <v>1</v>
      </c>
      <c r="AU139" s="5">
        <f t="shared" si="140"/>
        <v>1</v>
      </c>
      <c r="AV139" s="5">
        <f t="shared" si="140"/>
        <v>1</v>
      </c>
      <c r="AW139" s="5">
        <f t="shared" si="140"/>
        <v>1</v>
      </c>
      <c r="AX139" s="5">
        <f t="shared" si="140"/>
        <v>1</v>
      </c>
      <c r="AY139" s="5">
        <f t="shared" si="140"/>
        <v>1</v>
      </c>
      <c r="AZ139" s="5">
        <f t="shared" si="140"/>
        <v>0</v>
      </c>
      <c r="BA139" s="5">
        <f t="shared" si="140"/>
        <v>1</v>
      </c>
      <c r="BB139" s="5">
        <f t="shared" si="140"/>
        <v>0</v>
      </c>
    </row>
    <row r="140">
      <c r="A140" s="5">
        <v>14.0</v>
      </c>
      <c r="B140" s="4" t="s">
        <v>437</v>
      </c>
      <c r="C140" s="5">
        <v>9.00827862E8</v>
      </c>
      <c r="D140" s="4" t="s">
        <v>438</v>
      </c>
      <c r="E140" s="4" t="s">
        <v>439</v>
      </c>
      <c r="F140" s="5">
        <v>876.0</v>
      </c>
      <c r="G140" s="5">
        <v>142.0</v>
      </c>
      <c r="H140" s="5">
        <v>218.0</v>
      </c>
      <c r="I140" s="5">
        <v>39.0</v>
      </c>
      <c r="J140" s="5">
        <v>29.0</v>
      </c>
      <c r="K140" s="5">
        <v>810.0</v>
      </c>
      <c r="L140" s="5">
        <v>1.0</v>
      </c>
      <c r="M140" s="5">
        <v>65.0</v>
      </c>
      <c r="N140" s="5">
        <v>0.0</v>
      </c>
      <c r="O140" s="5">
        <v>0.0</v>
      </c>
      <c r="P140" s="5">
        <v>0.0</v>
      </c>
      <c r="Q140" s="5">
        <v>0.0</v>
      </c>
      <c r="R140" s="5">
        <v>0.0</v>
      </c>
      <c r="S140" s="5">
        <v>0.0</v>
      </c>
      <c r="T140" s="5">
        <v>0.0</v>
      </c>
      <c r="U140" s="5">
        <v>0.0</v>
      </c>
      <c r="V140" s="5">
        <v>0.0</v>
      </c>
      <c r="W140" s="5">
        <v>0.0</v>
      </c>
      <c r="X140" s="5">
        <v>0.0</v>
      </c>
      <c r="Y140" s="5">
        <v>0.0</v>
      </c>
      <c r="Z140" s="5">
        <v>568.0</v>
      </c>
      <c r="AA140" s="5">
        <v>202.0</v>
      </c>
      <c r="AB140" s="5">
        <v>0.0</v>
      </c>
      <c r="AC140" s="5">
        <v>1.0</v>
      </c>
      <c r="AD140" s="5">
        <v>0.0</v>
      </c>
      <c r="AE140" s="5">
        <v>15.0</v>
      </c>
      <c r="AF140" s="7">
        <f t="shared" si="2"/>
        <v>0.9</v>
      </c>
      <c r="AG140" s="4" t="str">
        <f t="shared" si="3"/>
        <v>facturas,nota_debito,nota_credito,wildcards,encabezado_referencias_documento,maneja_anticipo,</v>
      </c>
      <c r="AH140" s="5">
        <f t="shared" si="4"/>
        <v>18</v>
      </c>
      <c r="AI140" s="5">
        <f t="shared" ref="AI140:BB140" si="141">IF(COUNTIF(K$3:K140,"&gt;0")&gt;0,1,0)</f>
        <v>1</v>
      </c>
      <c r="AJ140" s="5">
        <f t="shared" si="141"/>
        <v>1</v>
      </c>
      <c r="AK140" s="5">
        <f t="shared" si="141"/>
        <v>1</v>
      </c>
      <c r="AL140" s="5">
        <f t="shared" si="141"/>
        <v>1</v>
      </c>
      <c r="AM140" s="5">
        <f t="shared" si="141"/>
        <v>1</v>
      </c>
      <c r="AN140" s="5">
        <f t="shared" si="141"/>
        <v>1</v>
      </c>
      <c r="AO140" s="5">
        <f t="shared" si="141"/>
        <v>1</v>
      </c>
      <c r="AP140" s="5">
        <f t="shared" si="141"/>
        <v>1</v>
      </c>
      <c r="AQ140" s="5">
        <f t="shared" si="141"/>
        <v>1</v>
      </c>
      <c r="AR140" s="5">
        <f t="shared" si="141"/>
        <v>1</v>
      </c>
      <c r="AS140" s="5">
        <f t="shared" si="141"/>
        <v>1</v>
      </c>
      <c r="AT140" s="5">
        <f t="shared" si="141"/>
        <v>1</v>
      </c>
      <c r="AU140" s="5">
        <f t="shared" si="141"/>
        <v>1</v>
      </c>
      <c r="AV140" s="5">
        <f t="shared" si="141"/>
        <v>1</v>
      </c>
      <c r="AW140" s="5">
        <f t="shared" si="141"/>
        <v>1</v>
      </c>
      <c r="AX140" s="5">
        <f t="shared" si="141"/>
        <v>1</v>
      </c>
      <c r="AY140" s="5">
        <f t="shared" si="141"/>
        <v>1</v>
      </c>
      <c r="AZ140" s="5">
        <f t="shared" si="141"/>
        <v>0</v>
      </c>
      <c r="BA140" s="5">
        <f t="shared" si="141"/>
        <v>1</v>
      </c>
      <c r="BB140" s="5">
        <f t="shared" si="141"/>
        <v>0</v>
      </c>
    </row>
    <row r="141">
      <c r="A141" s="5">
        <v>480.0</v>
      </c>
      <c r="B141" s="4" t="s">
        <v>440</v>
      </c>
      <c r="C141" s="5">
        <v>9.00459526E8</v>
      </c>
      <c r="D141" s="4" t="s">
        <v>441</v>
      </c>
      <c r="E141" s="4" t="s">
        <v>442</v>
      </c>
      <c r="F141" s="5">
        <v>3420.0</v>
      </c>
      <c r="G141" s="5">
        <v>1243.0</v>
      </c>
      <c r="H141" s="5">
        <v>1854.0</v>
      </c>
      <c r="I141" s="5">
        <v>47.0</v>
      </c>
      <c r="J141" s="5">
        <v>153.0</v>
      </c>
      <c r="K141" s="5">
        <v>2471.0</v>
      </c>
      <c r="L141" s="5">
        <v>3.0</v>
      </c>
      <c r="M141" s="5">
        <v>208.0</v>
      </c>
      <c r="N141" s="5">
        <v>708.0</v>
      </c>
      <c r="O141" s="5">
        <v>30.0</v>
      </c>
      <c r="P141" s="5">
        <v>0.0</v>
      </c>
      <c r="Q141" s="5">
        <v>0.0</v>
      </c>
      <c r="R141" s="5">
        <v>0.0</v>
      </c>
      <c r="S141" s="5">
        <v>0.0</v>
      </c>
      <c r="T141" s="5">
        <v>2.0</v>
      </c>
      <c r="U141" s="5">
        <v>0.0</v>
      </c>
      <c r="V141" s="5">
        <v>0.0</v>
      </c>
      <c r="W141" s="5">
        <v>0.0</v>
      </c>
      <c r="X141" s="5">
        <v>0.0</v>
      </c>
      <c r="Y141" s="5">
        <v>0.0</v>
      </c>
      <c r="Z141" s="5">
        <v>34.0</v>
      </c>
      <c r="AA141" s="5">
        <v>0.0</v>
      </c>
      <c r="AB141" s="5">
        <v>0.0</v>
      </c>
      <c r="AC141" s="5">
        <v>0.0</v>
      </c>
      <c r="AD141" s="5">
        <v>0.0</v>
      </c>
      <c r="AE141" s="5">
        <v>15.0</v>
      </c>
      <c r="AF141" s="7">
        <f t="shared" si="2"/>
        <v>0.9</v>
      </c>
      <c r="AG141" s="4" t="str">
        <f t="shared" si="3"/>
        <v>facturas,nota_debito,nota_credito,documento_soporte,nota_doc_soporte,maneja_adjunto,wildcards,</v>
      </c>
      <c r="AH141" s="5">
        <f t="shared" si="4"/>
        <v>18</v>
      </c>
      <c r="AI141" s="5">
        <f t="shared" ref="AI141:BB141" si="142">IF(COUNTIF(K$3:K141,"&gt;0")&gt;0,1,0)</f>
        <v>1</v>
      </c>
      <c r="AJ141" s="5">
        <f t="shared" si="142"/>
        <v>1</v>
      </c>
      <c r="AK141" s="5">
        <f t="shared" si="142"/>
        <v>1</v>
      </c>
      <c r="AL141" s="5">
        <f t="shared" si="142"/>
        <v>1</v>
      </c>
      <c r="AM141" s="5">
        <f t="shared" si="142"/>
        <v>1</v>
      </c>
      <c r="AN141" s="5">
        <f t="shared" si="142"/>
        <v>1</v>
      </c>
      <c r="AO141" s="5">
        <f t="shared" si="142"/>
        <v>1</v>
      </c>
      <c r="AP141" s="5">
        <f t="shared" si="142"/>
        <v>1</v>
      </c>
      <c r="AQ141" s="5">
        <f t="shared" si="142"/>
        <v>1</v>
      </c>
      <c r="AR141" s="5">
        <f t="shared" si="142"/>
        <v>1</v>
      </c>
      <c r="AS141" s="5">
        <f t="shared" si="142"/>
        <v>1</v>
      </c>
      <c r="AT141" s="5">
        <f t="shared" si="142"/>
        <v>1</v>
      </c>
      <c r="AU141" s="5">
        <f t="shared" si="142"/>
        <v>1</v>
      </c>
      <c r="AV141" s="5">
        <f t="shared" si="142"/>
        <v>1</v>
      </c>
      <c r="AW141" s="5">
        <f t="shared" si="142"/>
        <v>1</v>
      </c>
      <c r="AX141" s="5">
        <f t="shared" si="142"/>
        <v>1</v>
      </c>
      <c r="AY141" s="5">
        <f t="shared" si="142"/>
        <v>1</v>
      </c>
      <c r="AZ141" s="5">
        <f t="shared" si="142"/>
        <v>0</v>
      </c>
      <c r="BA141" s="5">
        <f t="shared" si="142"/>
        <v>1</v>
      </c>
      <c r="BB141" s="5">
        <f t="shared" si="142"/>
        <v>0</v>
      </c>
    </row>
    <row r="142">
      <c r="A142" s="5">
        <v>93.0</v>
      </c>
      <c r="B142" s="4" t="s">
        <v>443</v>
      </c>
      <c r="C142" s="5">
        <v>9.00621184E8</v>
      </c>
      <c r="D142" s="4" t="s">
        <v>444</v>
      </c>
      <c r="E142" s="4" t="s">
        <v>445</v>
      </c>
      <c r="F142" s="5">
        <v>8967.0</v>
      </c>
      <c r="G142" s="5">
        <v>1232.0</v>
      </c>
      <c r="H142" s="5">
        <v>223.0</v>
      </c>
      <c r="I142" s="5">
        <v>22.0</v>
      </c>
      <c r="J142" s="5">
        <v>20.0</v>
      </c>
      <c r="K142" s="5">
        <v>8649.0</v>
      </c>
      <c r="L142" s="5">
        <v>0.0</v>
      </c>
      <c r="M142" s="5">
        <v>318.0</v>
      </c>
      <c r="N142" s="5">
        <v>0.0</v>
      </c>
      <c r="O142" s="5">
        <v>0.0</v>
      </c>
      <c r="P142" s="5">
        <v>5.0</v>
      </c>
      <c r="Q142" s="5">
        <v>0.0</v>
      </c>
      <c r="R142" s="5">
        <v>0.0</v>
      </c>
      <c r="S142" s="5">
        <v>0.0</v>
      </c>
      <c r="T142" s="5">
        <v>0.0</v>
      </c>
      <c r="U142" s="5">
        <v>0.0</v>
      </c>
      <c r="V142" s="5">
        <v>0.0</v>
      </c>
      <c r="W142" s="5">
        <v>0.0</v>
      </c>
      <c r="X142" s="5">
        <v>0.0</v>
      </c>
      <c r="Y142" s="5">
        <v>0.0</v>
      </c>
      <c r="Z142" s="5">
        <v>0.0</v>
      </c>
      <c r="AA142" s="5">
        <v>180.0</v>
      </c>
      <c r="AB142" s="5">
        <v>0.0</v>
      </c>
      <c r="AC142" s="5">
        <v>1.0</v>
      </c>
      <c r="AD142" s="5">
        <v>0.0</v>
      </c>
      <c r="AE142" s="5">
        <v>15.0</v>
      </c>
      <c r="AF142" s="7">
        <f t="shared" si="2"/>
        <v>0.9</v>
      </c>
      <c r="AG142" s="4" t="str">
        <f t="shared" si="3"/>
        <v>facturas,nota_credito,usa_Linea_CargoDescuento,encabezado_referencias_documento,maneja_anticipo,</v>
      </c>
      <c r="AH142" s="5">
        <f t="shared" si="4"/>
        <v>18</v>
      </c>
      <c r="AI142" s="5">
        <f t="shared" ref="AI142:BB142" si="143">IF(COUNTIF(K$3:K142,"&gt;0")&gt;0,1,0)</f>
        <v>1</v>
      </c>
      <c r="AJ142" s="5">
        <f t="shared" si="143"/>
        <v>1</v>
      </c>
      <c r="AK142" s="5">
        <f t="shared" si="143"/>
        <v>1</v>
      </c>
      <c r="AL142" s="5">
        <f t="shared" si="143"/>
        <v>1</v>
      </c>
      <c r="AM142" s="5">
        <f t="shared" si="143"/>
        <v>1</v>
      </c>
      <c r="AN142" s="5">
        <f t="shared" si="143"/>
        <v>1</v>
      </c>
      <c r="AO142" s="5">
        <f t="shared" si="143"/>
        <v>1</v>
      </c>
      <c r="AP142" s="5">
        <f t="shared" si="143"/>
        <v>1</v>
      </c>
      <c r="AQ142" s="5">
        <f t="shared" si="143"/>
        <v>1</v>
      </c>
      <c r="AR142" s="5">
        <f t="shared" si="143"/>
        <v>1</v>
      </c>
      <c r="AS142" s="5">
        <f t="shared" si="143"/>
        <v>1</v>
      </c>
      <c r="AT142" s="5">
        <f t="shared" si="143"/>
        <v>1</v>
      </c>
      <c r="AU142" s="5">
        <f t="shared" si="143"/>
        <v>1</v>
      </c>
      <c r="AV142" s="5">
        <f t="shared" si="143"/>
        <v>1</v>
      </c>
      <c r="AW142" s="5">
        <f t="shared" si="143"/>
        <v>1</v>
      </c>
      <c r="AX142" s="5">
        <f t="shared" si="143"/>
        <v>1</v>
      </c>
      <c r="AY142" s="5">
        <f t="shared" si="143"/>
        <v>1</v>
      </c>
      <c r="AZ142" s="5">
        <f t="shared" si="143"/>
        <v>0</v>
      </c>
      <c r="BA142" s="5">
        <f t="shared" si="143"/>
        <v>1</v>
      </c>
      <c r="BB142" s="5">
        <f t="shared" si="143"/>
        <v>0</v>
      </c>
    </row>
    <row r="143">
      <c r="A143" s="5">
        <v>598.0</v>
      </c>
      <c r="B143" s="4" t="s">
        <v>446</v>
      </c>
      <c r="C143" s="5">
        <v>9.0064245E8</v>
      </c>
      <c r="D143" s="4" t="s">
        <v>447</v>
      </c>
      <c r="E143" s="4" t="s">
        <v>448</v>
      </c>
      <c r="F143" s="5">
        <v>64.0</v>
      </c>
      <c r="G143" s="5">
        <v>0.0</v>
      </c>
      <c r="H143" s="5">
        <v>64.0</v>
      </c>
      <c r="I143" s="5">
        <v>0.0</v>
      </c>
      <c r="J143" s="5">
        <v>0.0</v>
      </c>
      <c r="K143" s="5">
        <v>62.0</v>
      </c>
      <c r="L143" s="5">
        <v>0.0</v>
      </c>
      <c r="M143" s="5">
        <v>2.0</v>
      </c>
      <c r="N143" s="5">
        <v>0.0</v>
      </c>
      <c r="O143" s="5">
        <v>0.0</v>
      </c>
      <c r="P143" s="5">
        <v>0.0</v>
      </c>
      <c r="Q143" s="5">
        <v>0.0</v>
      </c>
      <c r="R143" s="5">
        <v>0.0</v>
      </c>
      <c r="S143" s="5">
        <v>2.0</v>
      </c>
      <c r="T143" s="5">
        <v>55.0</v>
      </c>
      <c r="U143" s="5">
        <v>0.0</v>
      </c>
      <c r="V143" s="5">
        <v>0.0</v>
      </c>
      <c r="W143" s="5">
        <v>0.0</v>
      </c>
      <c r="X143" s="5">
        <v>0.0</v>
      </c>
      <c r="Y143" s="5">
        <v>0.0</v>
      </c>
      <c r="Z143" s="5">
        <v>77.0</v>
      </c>
      <c r="AA143" s="5">
        <v>41.0</v>
      </c>
      <c r="AB143" s="5">
        <v>0.0</v>
      </c>
      <c r="AC143" s="5">
        <v>0.0</v>
      </c>
      <c r="AD143" s="5">
        <v>0.0</v>
      </c>
      <c r="AE143" s="5">
        <v>15.0</v>
      </c>
      <c r="AF143" s="7">
        <f t="shared" si="2"/>
        <v>0.9</v>
      </c>
      <c r="AG143" s="4" t="str">
        <f t="shared" si="3"/>
        <v>facturas,nota_credito,usa_UsuariosSalud,maneja_adjunto,wildcards,encabezado_referencias_documento,</v>
      </c>
      <c r="AH143" s="5">
        <f t="shared" si="4"/>
        <v>18</v>
      </c>
      <c r="AI143" s="5">
        <f t="shared" ref="AI143:BB143" si="144">IF(COUNTIF(K$3:K143,"&gt;0")&gt;0,1,0)</f>
        <v>1</v>
      </c>
      <c r="AJ143" s="5">
        <f t="shared" si="144"/>
        <v>1</v>
      </c>
      <c r="AK143" s="5">
        <f t="shared" si="144"/>
        <v>1</v>
      </c>
      <c r="AL143" s="5">
        <f t="shared" si="144"/>
        <v>1</v>
      </c>
      <c r="AM143" s="5">
        <f t="shared" si="144"/>
        <v>1</v>
      </c>
      <c r="AN143" s="5">
        <f t="shared" si="144"/>
        <v>1</v>
      </c>
      <c r="AO143" s="5">
        <f t="shared" si="144"/>
        <v>1</v>
      </c>
      <c r="AP143" s="5">
        <f t="shared" si="144"/>
        <v>1</v>
      </c>
      <c r="AQ143" s="5">
        <f t="shared" si="144"/>
        <v>1</v>
      </c>
      <c r="AR143" s="5">
        <f t="shared" si="144"/>
        <v>1</v>
      </c>
      <c r="AS143" s="5">
        <f t="shared" si="144"/>
        <v>1</v>
      </c>
      <c r="AT143" s="5">
        <f t="shared" si="144"/>
        <v>1</v>
      </c>
      <c r="AU143" s="5">
        <f t="shared" si="144"/>
        <v>1</v>
      </c>
      <c r="AV143" s="5">
        <f t="shared" si="144"/>
        <v>1</v>
      </c>
      <c r="AW143" s="5">
        <f t="shared" si="144"/>
        <v>1</v>
      </c>
      <c r="AX143" s="5">
        <f t="shared" si="144"/>
        <v>1</v>
      </c>
      <c r="AY143" s="5">
        <f t="shared" si="144"/>
        <v>1</v>
      </c>
      <c r="AZ143" s="5">
        <f t="shared" si="144"/>
        <v>0</v>
      </c>
      <c r="BA143" s="5">
        <f t="shared" si="144"/>
        <v>1</v>
      </c>
      <c r="BB143" s="5">
        <f t="shared" si="144"/>
        <v>0</v>
      </c>
    </row>
    <row r="144">
      <c r="A144" s="5">
        <v>106.0</v>
      </c>
      <c r="B144" s="4" t="s">
        <v>449</v>
      </c>
      <c r="C144" s="5">
        <v>9.0038148E8</v>
      </c>
      <c r="D144" s="4" t="s">
        <v>450</v>
      </c>
      <c r="E144" s="4" t="s">
        <v>451</v>
      </c>
      <c r="F144" s="5">
        <v>3531.0</v>
      </c>
      <c r="G144" s="5">
        <v>729.0</v>
      </c>
      <c r="H144" s="5">
        <v>694.0</v>
      </c>
      <c r="I144" s="5">
        <v>16.0</v>
      </c>
      <c r="J144" s="5">
        <v>70.0</v>
      </c>
      <c r="K144" s="5">
        <v>3201.0</v>
      </c>
      <c r="L144" s="5">
        <v>0.0</v>
      </c>
      <c r="M144" s="5">
        <v>27.0</v>
      </c>
      <c r="N144" s="5">
        <v>297.0</v>
      </c>
      <c r="O144" s="5">
        <v>6.0</v>
      </c>
      <c r="P144" s="5">
        <v>0.0</v>
      </c>
      <c r="Q144" s="5">
        <v>0.0</v>
      </c>
      <c r="R144" s="5">
        <v>0.0</v>
      </c>
      <c r="S144" s="5">
        <v>0.0</v>
      </c>
      <c r="T144" s="5">
        <v>0.0</v>
      </c>
      <c r="U144" s="5">
        <v>0.0</v>
      </c>
      <c r="V144" s="5">
        <v>0.0</v>
      </c>
      <c r="W144" s="5">
        <v>0.0</v>
      </c>
      <c r="X144" s="5">
        <v>0.0</v>
      </c>
      <c r="Y144" s="5">
        <v>0.0</v>
      </c>
      <c r="Z144" s="5">
        <v>3188.0</v>
      </c>
      <c r="AA144" s="5">
        <v>2806.0</v>
      </c>
      <c r="AB144" s="5">
        <v>0.0</v>
      </c>
      <c r="AC144" s="5">
        <v>0.0</v>
      </c>
      <c r="AD144" s="5">
        <v>0.0</v>
      </c>
      <c r="AE144" s="5">
        <v>15.0</v>
      </c>
      <c r="AF144" s="7">
        <f t="shared" si="2"/>
        <v>0.9</v>
      </c>
      <c r="AG144" s="4" t="str">
        <f t="shared" si="3"/>
        <v>facturas,nota_credito,documento_soporte,nota_doc_soporte,wildcards,encabezado_referencias_documento,</v>
      </c>
      <c r="AH144" s="5">
        <f t="shared" si="4"/>
        <v>18</v>
      </c>
      <c r="AI144" s="5">
        <f t="shared" ref="AI144:BB144" si="145">IF(COUNTIF(K$3:K144,"&gt;0")&gt;0,1,0)</f>
        <v>1</v>
      </c>
      <c r="AJ144" s="5">
        <f t="shared" si="145"/>
        <v>1</v>
      </c>
      <c r="AK144" s="5">
        <f t="shared" si="145"/>
        <v>1</v>
      </c>
      <c r="AL144" s="5">
        <f t="shared" si="145"/>
        <v>1</v>
      </c>
      <c r="AM144" s="5">
        <f t="shared" si="145"/>
        <v>1</v>
      </c>
      <c r="AN144" s="5">
        <f t="shared" si="145"/>
        <v>1</v>
      </c>
      <c r="AO144" s="5">
        <f t="shared" si="145"/>
        <v>1</v>
      </c>
      <c r="AP144" s="5">
        <f t="shared" si="145"/>
        <v>1</v>
      </c>
      <c r="AQ144" s="5">
        <f t="shared" si="145"/>
        <v>1</v>
      </c>
      <c r="AR144" s="5">
        <f t="shared" si="145"/>
        <v>1</v>
      </c>
      <c r="AS144" s="5">
        <f t="shared" si="145"/>
        <v>1</v>
      </c>
      <c r="AT144" s="5">
        <f t="shared" si="145"/>
        <v>1</v>
      </c>
      <c r="AU144" s="5">
        <f t="shared" si="145"/>
        <v>1</v>
      </c>
      <c r="AV144" s="5">
        <f t="shared" si="145"/>
        <v>1</v>
      </c>
      <c r="AW144" s="5">
        <f t="shared" si="145"/>
        <v>1</v>
      </c>
      <c r="AX144" s="5">
        <f t="shared" si="145"/>
        <v>1</v>
      </c>
      <c r="AY144" s="5">
        <f t="shared" si="145"/>
        <v>1</v>
      </c>
      <c r="AZ144" s="5">
        <f t="shared" si="145"/>
        <v>0</v>
      </c>
      <c r="BA144" s="5">
        <f t="shared" si="145"/>
        <v>1</v>
      </c>
      <c r="BB144" s="5">
        <f t="shared" si="145"/>
        <v>0</v>
      </c>
    </row>
    <row r="145">
      <c r="A145" s="5">
        <v>249.0</v>
      </c>
      <c r="B145" s="4" t="s">
        <v>452</v>
      </c>
      <c r="C145" s="5">
        <v>9.00751911E8</v>
      </c>
      <c r="D145" s="4" t="s">
        <v>453</v>
      </c>
      <c r="E145" s="4" t="s">
        <v>454</v>
      </c>
      <c r="F145" s="5">
        <v>1151.0</v>
      </c>
      <c r="G145" s="5">
        <v>254.0</v>
      </c>
      <c r="H145" s="5">
        <v>265.0</v>
      </c>
      <c r="I145" s="5">
        <v>10.0</v>
      </c>
      <c r="J145" s="5">
        <v>17.0</v>
      </c>
      <c r="K145" s="5">
        <v>941.0</v>
      </c>
      <c r="L145" s="5">
        <v>0.0</v>
      </c>
      <c r="M145" s="5">
        <v>84.0</v>
      </c>
      <c r="N145" s="5">
        <v>125.0</v>
      </c>
      <c r="O145" s="5">
        <v>1.0</v>
      </c>
      <c r="P145" s="5">
        <v>0.0</v>
      </c>
      <c r="Q145" s="5">
        <v>0.0</v>
      </c>
      <c r="R145" s="5">
        <v>0.0</v>
      </c>
      <c r="S145" s="5">
        <v>0.0</v>
      </c>
      <c r="T145" s="5">
        <v>0.0</v>
      </c>
      <c r="U145" s="5">
        <v>0.0</v>
      </c>
      <c r="V145" s="5">
        <v>0.0</v>
      </c>
      <c r="W145" s="5">
        <v>0.0</v>
      </c>
      <c r="X145" s="5">
        <v>0.0</v>
      </c>
      <c r="Y145" s="5">
        <v>0.0</v>
      </c>
      <c r="Z145" s="5">
        <v>995.0</v>
      </c>
      <c r="AA145" s="5">
        <v>932.0</v>
      </c>
      <c r="AB145" s="5">
        <v>0.0</v>
      </c>
      <c r="AC145" s="5">
        <v>0.0</v>
      </c>
      <c r="AD145" s="5">
        <v>0.0</v>
      </c>
      <c r="AE145" s="5">
        <v>15.0</v>
      </c>
      <c r="AF145" s="7">
        <f t="shared" si="2"/>
        <v>0.9</v>
      </c>
      <c r="AG145" s="4" t="str">
        <f t="shared" si="3"/>
        <v>facturas,nota_credito,documento_soporte,nota_doc_soporte,wildcards,encabezado_referencias_documento,</v>
      </c>
      <c r="AH145" s="5">
        <f t="shared" si="4"/>
        <v>18</v>
      </c>
      <c r="AI145" s="5">
        <f t="shared" ref="AI145:BB145" si="146">IF(COUNTIF(K$3:K145,"&gt;0")&gt;0,1,0)</f>
        <v>1</v>
      </c>
      <c r="AJ145" s="5">
        <f t="shared" si="146"/>
        <v>1</v>
      </c>
      <c r="AK145" s="5">
        <f t="shared" si="146"/>
        <v>1</v>
      </c>
      <c r="AL145" s="5">
        <f t="shared" si="146"/>
        <v>1</v>
      </c>
      <c r="AM145" s="5">
        <f t="shared" si="146"/>
        <v>1</v>
      </c>
      <c r="AN145" s="5">
        <f t="shared" si="146"/>
        <v>1</v>
      </c>
      <c r="AO145" s="5">
        <f t="shared" si="146"/>
        <v>1</v>
      </c>
      <c r="AP145" s="5">
        <f t="shared" si="146"/>
        <v>1</v>
      </c>
      <c r="AQ145" s="5">
        <f t="shared" si="146"/>
        <v>1</v>
      </c>
      <c r="AR145" s="5">
        <f t="shared" si="146"/>
        <v>1</v>
      </c>
      <c r="AS145" s="5">
        <f t="shared" si="146"/>
        <v>1</v>
      </c>
      <c r="AT145" s="5">
        <f t="shared" si="146"/>
        <v>1</v>
      </c>
      <c r="AU145" s="5">
        <f t="shared" si="146"/>
        <v>1</v>
      </c>
      <c r="AV145" s="5">
        <f t="shared" si="146"/>
        <v>1</v>
      </c>
      <c r="AW145" s="5">
        <f t="shared" si="146"/>
        <v>1</v>
      </c>
      <c r="AX145" s="5">
        <f t="shared" si="146"/>
        <v>1</v>
      </c>
      <c r="AY145" s="5">
        <f t="shared" si="146"/>
        <v>1</v>
      </c>
      <c r="AZ145" s="5">
        <f t="shared" si="146"/>
        <v>0</v>
      </c>
      <c r="BA145" s="5">
        <f t="shared" si="146"/>
        <v>1</v>
      </c>
      <c r="BB145" s="5">
        <f t="shared" si="146"/>
        <v>0</v>
      </c>
    </row>
    <row r="146">
      <c r="A146" s="5">
        <v>473.0</v>
      </c>
      <c r="B146" s="4" t="s">
        <v>455</v>
      </c>
      <c r="C146" s="5">
        <v>8.00021891E8</v>
      </c>
      <c r="D146" s="4" t="s">
        <v>456</v>
      </c>
      <c r="E146" s="4" t="s">
        <v>457</v>
      </c>
      <c r="F146" s="5">
        <v>6068.0</v>
      </c>
      <c r="G146" s="5">
        <v>1025.0</v>
      </c>
      <c r="H146" s="5">
        <v>3225.0</v>
      </c>
      <c r="I146" s="5">
        <v>80.0</v>
      </c>
      <c r="J146" s="5">
        <v>361.0</v>
      </c>
      <c r="K146" s="5">
        <v>5737.0</v>
      </c>
      <c r="L146" s="5">
        <v>2.0</v>
      </c>
      <c r="M146" s="5">
        <v>329.0</v>
      </c>
      <c r="N146" s="5">
        <v>0.0</v>
      </c>
      <c r="O146" s="5">
        <v>0.0</v>
      </c>
      <c r="P146" s="5">
        <v>0.0</v>
      </c>
      <c r="Q146" s="5">
        <v>396.0</v>
      </c>
      <c r="R146" s="5">
        <v>0.0</v>
      </c>
      <c r="S146" s="5">
        <v>1.0</v>
      </c>
      <c r="T146" s="5">
        <v>0.0</v>
      </c>
      <c r="U146" s="5">
        <v>0.0</v>
      </c>
      <c r="V146" s="5">
        <v>0.0</v>
      </c>
      <c r="W146" s="5">
        <v>0.0</v>
      </c>
      <c r="X146" s="5">
        <v>0.0</v>
      </c>
      <c r="Y146" s="5">
        <v>0.0</v>
      </c>
      <c r="Z146" s="5">
        <v>97.0</v>
      </c>
      <c r="AA146" s="5">
        <v>0.0</v>
      </c>
      <c r="AB146" s="5">
        <v>0.0</v>
      </c>
      <c r="AC146" s="5">
        <v>444.0</v>
      </c>
      <c r="AD146" s="5">
        <v>0.0</v>
      </c>
      <c r="AE146" s="5">
        <v>15.0</v>
      </c>
      <c r="AF146" s="7">
        <f t="shared" si="2"/>
        <v>0.9</v>
      </c>
      <c r="AG146" s="4" t="str">
        <f t="shared" si="3"/>
        <v>facturas,nota_debito,nota_credito,usa_Total_CargoDescuento,usa_UsuariosSalud,wildcards,maneja_anticipo,</v>
      </c>
      <c r="AH146" s="5">
        <f t="shared" si="4"/>
        <v>18</v>
      </c>
      <c r="AI146" s="5">
        <f t="shared" ref="AI146:BB146" si="147">IF(COUNTIF(K$3:K146,"&gt;0")&gt;0,1,0)</f>
        <v>1</v>
      </c>
      <c r="AJ146" s="5">
        <f t="shared" si="147"/>
        <v>1</v>
      </c>
      <c r="AK146" s="5">
        <f t="shared" si="147"/>
        <v>1</v>
      </c>
      <c r="AL146" s="5">
        <f t="shared" si="147"/>
        <v>1</v>
      </c>
      <c r="AM146" s="5">
        <f t="shared" si="147"/>
        <v>1</v>
      </c>
      <c r="AN146" s="5">
        <f t="shared" si="147"/>
        <v>1</v>
      </c>
      <c r="AO146" s="5">
        <f t="shared" si="147"/>
        <v>1</v>
      </c>
      <c r="AP146" s="5">
        <f t="shared" si="147"/>
        <v>1</v>
      </c>
      <c r="AQ146" s="5">
        <f t="shared" si="147"/>
        <v>1</v>
      </c>
      <c r="AR146" s="5">
        <f t="shared" si="147"/>
        <v>1</v>
      </c>
      <c r="AS146" s="5">
        <f t="shared" si="147"/>
        <v>1</v>
      </c>
      <c r="AT146" s="5">
        <f t="shared" si="147"/>
        <v>1</v>
      </c>
      <c r="AU146" s="5">
        <f t="shared" si="147"/>
        <v>1</v>
      </c>
      <c r="AV146" s="5">
        <f t="shared" si="147"/>
        <v>1</v>
      </c>
      <c r="AW146" s="5">
        <f t="shared" si="147"/>
        <v>1</v>
      </c>
      <c r="AX146" s="5">
        <f t="shared" si="147"/>
        <v>1</v>
      </c>
      <c r="AY146" s="5">
        <f t="shared" si="147"/>
        <v>1</v>
      </c>
      <c r="AZ146" s="5">
        <f t="shared" si="147"/>
        <v>0</v>
      </c>
      <c r="BA146" s="5">
        <f t="shared" si="147"/>
        <v>1</v>
      </c>
      <c r="BB146" s="5">
        <f t="shared" si="147"/>
        <v>0</v>
      </c>
    </row>
    <row r="147">
      <c r="A147" s="5">
        <v>603.0</v>
      </c>
      <c r="B147" s="4" t="s">
        <v>458</v>
      </c>
      <c r="C147" s="5">
        <v>9.00436549E8</v>
      </c>
      <c r="D147" s="4" t="s">
        <v>459</v>
      </c>
      <c r="E147" s="4" t="s">
        <v>460</v>
      </c>
      <c r="F147" s="5">
        <v>11.0</v>
      </c>
      <c r="G147" s="5">
        <v>0.0</v>
      </c>
      <c r="H147" s="5">
        <v>11.0</v>
      </c>
      <c r="I147" s="5">
        <v>0.0</v>
      </c>
      <c r="J147" s="5">
        <v>4.0</v>
      </c>
      <c r="K147" s="5">
        <v>7.0</v>
      </c>
      <c r="L147" s="5">
        <v>0.0</v>
      </c>
      <c r="M147" s="5">
        <v>2.0</v>
      </c>
      <c r="N147" s="5">
        <v>2.0</v>
      </c>
      <c r="O147" s="5">
        <v>0.0</v>
      </c>
      <c r="P147" s="5">
        <v>0.0</v>
      </c>
      <c r="Q147" s="5">
        <v>0.0</v>
      </c>
      <c r="R147" s="5">
        <v>0.0</v>
      </c>
      <c r="S147" s="5">
        <v>0.0</v>
      </c>
      <c r="T147" s="5">
        <v>0.0</v>
      </c>
      <c r="U147" s="5">
        <v>2.0</v>
      </c>
      <c r="V147" s="5">
        <v>6.0</v>
      </c>
      <c r="W147" s="5">
        <v>4.0</v>
      </c>
      <c r="X147" s="5">
        <v>0.0</v>
      </c>
      <c r="Y147" s="5">
        <v>0.0</v>
      </c>
      <c r="Z147" s="5">
        <v>0.0</v>
      </c>
      <c r="AA147" s="5">
        <v>0.0</v>
      </c>
      <c r="AB147" s="5">
        <v>0.0</v>
      </c>
      <c r="AC147" s="5">
        <v>0.0</v>
      </c>
      <c r="AD147" s="5">
        <v>0.0</v>
      </c>
      <c r="AE147" s="5">
        <v>15.0</v>
      </c>
      <c r="AF147" s="7">
        <f t="shared" si="2"/>
        <v>0.9</v>
      </c>
      <c r="AG147" s="4" t="str">
        <f t="shared" si="3"/>
        <v>facturas,nota_credito,documento_soporte,en_tercero_mandatario,en_tercero_mandante,linea_tercero_mandante,</v>
      </c>
      <c r="AH147" s="5">
        <f t="shared" si="4"/>
        <v>18</v>
      </c>
      <c r="AI147" s="5">
        <f t="shared" ref="AI147:BB147" si="148">IF(COUNTIF(K$3:K147,"&gt;0")&gt;0,1,0)</f>
        <v>1</v>
      </c>
      <c r="AJ147" s="5">
        <f t="shared" si="148"/>
        <v>1</v>
      </c>
      <c r="AK147" s="5">
        <f t="shared" si="148"/>
        <v>1</v>
      </c>
      <c r="AL147" s="5">
        <f t="shared" si="148"/>
        <v>1</v>
      </c>
      <c r="AM147" s="5">
        <f t="shared" si="148"/>
        <v>1</v>
      </c>
      <c r="AN147" s="5">
        <f t="shared" si="148"/>
        <v>1</v>
      </c>
      <c r="AO147" s="5">
        <f t="shared" si="148"/>
        <v>1</v>
      </c>
      <c r="AP147" s="5">
        <f t="shared" si="148"/>
        <v>1</v>
      </c>
      <c r="AQ147" s="5">
        <f t="shared" si="148"/>
        <v>1</v>
      </c>
      <c r="AR147" s="5">
        <f t="shared" si="148"/>
        <v>1</v>
      </c>
      <c r="AS147" s="5">
        <f t="shared" si="148"/>
        <v>1</v>
      </c>
      <c r="AT147" s="5">
        <f t="shared" si="148"/>
        <v>1</v>
      </c>
      <c r="AU147" s="5">
        <f t="shared" si="148"/>
        <v>1</v>
      </c>
      <c r="AV147" s="5">
        <f t="shared" si="148"/>
        <v>1</v>
      </c>
      <c r="AW147" s="5">
        <f t="shared" si="148"/>
        <v>1</v>
      </c>
      <c r="AX147" s="5">
        <f t="shared" si="148"/>
        <v>1</v>
      </c>
      <c r="AY147" s="5">
        <f t="shared" si="148"/>
        <v>1</v>
      </c>
      <c r="AZ147" s="5">
        <f t="shared" si="148"/>
        <v>0</v>
      </c>
      <c r="BA147" s="5">
        <f t="shared" si="148"/>
        <v>1</v>
      </c>
      <c r="BB147" s="5">
        <f t="shared" si="148"/>
        <v>0</v>
      </c>
    </row>
    <row r="148">
      <c r="A148" s="5">
        <v>112.0</v>
      </c>
      <c r="B148" s="4" t="s">
        <v>461</v>
      </c>
      <c r="C148" s="5">
        <v>9.0040691E8</v>
      </c>
      <c r="D148" s="4" t="s">
        <v>462</v>
      </c>
      <c r="E148" s="4" t="s">
        <v>244</v>
      </c>
      <c r="F148" s="5">
        <v>449.0</v>
      </c>
      <c r="G148" s="5">
        <v>65.0</v>
      </c>
      <c r="H148" s="5">
        <v>68.0</v>
      </c>
      <c r="I148" s="5">
        <v>2.0</v>
      </c>
      <c r="J148" s="5">
        <v>4.0</v>
      </c>
      <c r="K148" s="5">
        <v>413.0</v>
      </c>
      <c r="L148" s="5">
        <v>3.0</v>
      </c>
      <c r="M148" s="5">
        <v>30.0</v>
      </c>
      <c r="N148" s="5">
        <v>2.0</v>
      </c>
      <c r="O148" s="5">
        <v>1.0</v>
      </c>
      <c r="P148" s="5">
        <v>0.0</v>
      </c>
      <c r="Q148" s="5">
        <v>0.0</v>
      </c>
      <c r="R148" s="5">
        <v>0.0</v>
      </c>
      <c r="S148" s="5">
        <v>0.0</v>
      </c>
      <c r="T148" s="5">
        <v>0.0</v>
      </c>
      <c r="U148" s="5">
        <v>0.0</v>
      </c>
      <c r="V148" s="5">
        <v>0.0</v>
      </c>
      <c r="W148" s="5">
        <v>0.0</v>
      </c>
      <c r="X148" s="5">
        <v>0.0</v>
      </c>
      <c r="Y148" s="5">
        <v>0.0</v>
      </c>
      <c r="Z148" s="5">
        <v>13.0</v>
      </c>
      <c r="AA148" s="5">
        <v>1.0</v>
      </c>
      <c r="AB148" s="5">
        <v>0.0</v>
      </c>
      <c r="AC148" s="5">
        <v>0.0</v>
      </c>
      <c r="AD148" s="5">
        <v>0.0</v>
      </c>
      <c r="AE148" s="5">
        <v>15.0</v>
      </c>
      <c r="AF148" s="7">
        <f t="shared" si="2"/>
        <v>0.9</v>
      </c>
      <c r="AG148" s="4" t="str">
        <f t="shared" si="3"/>
        <v>facturas,nota_debito,nota_credito,documento_soporte,nota_doc_soporte,wildcards,encabezado_referencias_documento,</v>
      </c>
      <c r="AH148" s="5">
        <f t="shared" si="4"/>
        <v>18</v>
      </c>
      <c r="AI148" s="5">
        <f t="shared" ref="AI148:BB148" si="149">IF(COUNTIF(K$3:K148,"&gt;0")&gt;0,1,0)</f>
        <v>1</v>
      </c>
      <c r="AJ148" s="5">
        <f t="shared" si="149"/>
        <v>1</v>
      </c>
      <c r="AK148" s="5">
        <f t="shared" si="149"/>
        <v>1</v>
      </c>
      <c r="AL148" s="5">
        <f t="shared" si="149"/>
        <v>1</v>
      </c>
      <c r="AM148" s="5">
        <f t="shared" si="149"/>
        <v>1</v>
      </c>
      <c r="AN148" s="5">
        <f t="shared" si="149"/>
        <v>1</v>
      </c>
      <c r="AO148" s="5">
        <f t="shared" si="149"/>
        <v>1</v>
      </c>
      <c r="AP148" s="5">
        <f t="shared" si="149"/>
        <v>1</v>
      </c>
      <c r="AQ148" s="5">
        <f t="shared" si="149"/>
        <v>1</v>
      </c>
      <c r="AR148" s="5">
        <f t="shared" si="149"/>
        <v>1</v>
      </c>
      <c r="AS148" s="5">
        <f t="shared" si="149"/>
        <v>1</v>
      </c>
      <c r="AT148" s="5">
        <f t="shared" si="149"/>
        <v>1</v>
      </c>
      <c r="AU148" s="5">
        <f t="shared" si="149"/>
        <v>1</v>
      </c>
      <c r="AV148" s="5">
        <f t="shared" si="149"/>
        <v>1</v>
      </c>
      <c r="AW148" s="5">
        <f t="shared" si="149"/>
        <v>1</v>
      </c>
      <c r="AX148" s="5">
        <f t="shared" si="149"/>
        <v>1</v>
      </c>
      <c r="AY148" s="5">
        <f t="shared" si="149"/>
        <v>1</v>
      </c>
      <c r="AZ148" s="5">
        <f t="shared" si="149"/>
        <v>0</v>
      </c>
      <c r="BA148" s="5">
        <f t="shared" si="149"/>
        <v>1</v>
      </c>
      <c r="BB148" s="5">
        <f t="shared" si="149"/>
        <v>0</v>
      </c>
    </row>
    <row r="149">
      <c r="A149" s="5">
        <v>88.0</v>
      </c>
      <c r="B149" s="4" t="s">
        <v>463</v>
      </c>
      <c r="C149" s="5">
        <v>8.30502879E8</v>
      </c>
      <c r="D149" s="4" t="s">
        <v>464</v>
      </c>
      <c r="E149" s="4" t="s">
        <v>465</v>
      </c>
      <c r="F149" s="5">
        <v>1502.0</v>
      </c>
      <c r="G149" s="5">
        <v>274.0</v>
      </c>
      <c r="H149" s="5">
        <v>228.0</v>
      </c>
      <c r="I149" s="5">
        <v>13.0</v>
      </c>
      <c r="J149" s="5">
        <v>13.0</v>
      </c>
      <c r="K149" s="5">
        <v>1157.0</v>
      </c>
      <c r="L149" s="5">
        <v>3.0</v>
      </c>
      <c r="M149" s="5">
        <v>342.0</v>
      </c>
      <c r="N149" s="5">
        <v>0.0</v>
      </c>
      <c r="O149" s="5">
        <v>0.0</v>
      </c>
      <c r="P149" s="5">
        <v>0.0</v>
      </c>
      <c r="Q149" s="5">
        <v>0.0</v>
      </c>
      <c r="R149" s="5">
        <v>0.0</v>
      </c>
      <c r="S149" s="5">
        <v>0.0</v>
      </c>
      <c r="T149" s="5">
        <v>0.0</v>
      </c>
      <c r="U149" s="5">
        <v>0.0</v>
      </c>
      <c r="V149" s="5">
        <v>0.0</v>
      </c>
      <c r="W149" s="5">
        <v>2.0</v>
      </c>
      <c r="X149" s="5">
        <v>7.0</v>
      </c>
      <c r="Y149" s="5">
        <v>0.0</v>
      </c>
      <c r="Z149" s="5">
        <v>0.0</v>
      </c>
      <c r="AA149" s="5">
        <v>838.0</v>
      </c>
      <c r="AB149" s="5">
        <v>0.0</v>
      </c>
      <c r="AC149" s="5">
        <v>0.0</v>
      </c>
      <c r="AD149" s="5">
        <v>0.0</v>
      </c>
      <c r="AE149" s="5">
        <v>15.0</v>
      </c>
      <c r="AF149" s="7">
        <f t="shared" si="2"/>
        <v>0.9</v>
      </c>
      <c r="AG149" s="4" t="str">
        <f t="shared" si="3"/>
        <v>facturas,nota_debito,nota_credito,linea_tercero_mandante,multiples_compradores,encabezado_referencias_documento,</v>
      </c>
      <c r="AH149" s="5">
        <f t="shared" si="4"/>
        <v>18</v>
      </c>
      <c r="AI149" s="5">
        <f t="shared" ref="AI149:BB149" si="150">IF(COUNTIF(K$3:K149,"&gt;0")&gt;0,1,0)</f>
        <v>1</v>
      </c>
      <c r="AJ149" s="5">
        <f t="shared" si="150"/>
        <v>1</v>
      </c>
      <c r="AK149" s="5">
        <f t="shared" si="150"/>
        <v>1</v>
      </c>
      <c r="AL149" s="5">
        <f t="shared" si="150"/>
        <v>1</v>
      </c>
      <c r="AM149" s="5">
        <f t="shared" si="150"/>
        <v>1</v>
      </c>
      <c r="AN149" s="5">
        <f t="shared" si="150"/>
        <v>1</v>
      </c>
      <c r="AO149" s="5">
        <f t="shared" si="150"/>
        <v>1</v>
      </c>
      <c r="AP149" s="5">
        <f t="shared" si="150"/>
        <v>1</v>
      </c>
      <c r="AQ149" s="5">
        <f t="shared" si="150"/>
        <v>1</v>
      </c>
      <c r="AR149" s="5">
        <f t="shared" si="150"/>
        <v>1</v>
      </c>
      <c r="AS149" s="5">
        <f t="shared" si="150"/>
        <v>1</v>
      </c>
      <c r="AT149" s="5">
        <f t="shared" si="150"/>
        <v>1</v>
      </c>
      <c r="AU149" s="5">
        <f t="shared" si="150"/>
        <v>1</v>
      </c>
      <c r="AV149" s="5">
        <f t="shared" si="150"/>
        <v>1</v>
      </c>
      <c r="AW149" s="5">
        <f t="shared" si="150"/>
        <v>1</v>
      </c>
      <c r="AX149" s="5">
        <f t="shared" si="150"/>
        <v>1</v>
      </c>
      <c r="AY149" s="5">
        <f t="shared" si="150"/>
        <v>1</v>
      </c>
      <c r="AZ149" s="5">
        <f t="shared" si="150"/>
        <v>0</v>
      </c>
      <c r="BA149" s="5">
        <f t="shared" si="150"/>
        <v>1</v>
      </c>
      <c r="BB149" s="5">
        <f t="shared" si="150"/>
        <v>0</v>
      </c>
    </row>
    <row r="150">
      <c r="A150" s="5">
        <v>599.0</v>
      </c>
      <c r="B150" s="4" t="s">
        <v>466</v>
      </c>
      <c r="C150" s="5">
        <v>9.01962181E8</v>
      </c>
      <c r="D150" s="4" t="s">
        <v>467</v>
      </c>
      <c r="E150" s="4" t="s">
        <v>468</v>
      </c>
      <c r="F150" s="5">
        <v>94.0</v>
      </c>
      <c r="G150" s="5">
        <v>0.0</v>
      </c>
      <c r="H150" s="5">
        <v>94.0</v>
      </c>
      <c r="I150" s="5">
        <v>6.0</v>
      </c>
      <c r="J150" s="5">
        <v>15.0</v>
      </c>
      <c r="K150" s="5">
        <v>84.0</v>
      </c>
      <c r="L150" s="5">
        <v>0.0</v>
      </c>
      <c r="M150" s="5">
        <v>3.0</v>
      </c>
      <c r="N150" s="5">
        <v>7.0</v>
      </c>
      <c r="O150" s="5">
        <v>0.0</v>
      </c>
      <c r="P150" s="5">
        <v>0.0</v>
      </c>
      <c r="Q150" s="5">
        <v>0.0</v>
      </c>
      <c r="R150" s="5">
        <v>0.0</v>
      </c>
      <c r="S150" s="5">
        <v>0.0</v>
      </c>
      <c r="T150" s="5">
        <v>0.0</v>
      </c>
      <c r="U150" s="5">
        <v>83.0</v>
      </c>
      <c r="V150" s="5">
        <v>4.0</v>
      </c>
      <c r="W150" s="5">
        <v>6.0</v>
      </c>
      <c r="X150" s="5">
        <v>0.0</v>
      </c>
      <c r="Y150" s="5">
        <v>0.0</v>
      </c>
      <c r="Z150" s="5">
        <v>88.0</v>
      </c>
      <c r="AA150" s="5">
        <v>0.0</v>
      </c>
      <c r="AB150" s="5">
        <v>0.0</v>
      </c>
      <c r="AC150" s="5">
        <v>0.0</v>
      </c>
      <c r="AD150" s="5">
        <v>0.0</v>
      </c>
      <c r="AE150" s="5">
        <v>15.0</v>
      </c>
      <c r="AF150" s="7">
        <f t="shared" si="2"/>
        <v>0.9</v>
      </c>
      <c r="AG150" s="4" t="str">
        <f t="shared" si="3"/>
        <v>facturas,nota_credito,documento_soporte,en_tercero_mandatario,en_tercero_mandante,linea_tercero_mandante,wildcards,</v>
      </c>
      <c r="AH150" s="5">
        <f t="shared" si="4"/>
        <v>18</v>
      </c>
      <c r="AI150" s="5">
        <f t="shared" ref="AI150:BB150" si="151">IF(COUNTIF(K$3:K150,"&gt;0")&gt;0,1,0)</f>
        <v>1</v>
      </c>
      <c r="AJ150" s="5">
        <f t="shared" si="151"/>
        <v>1</v>
      </c>
      <c r="AK150" s="5">
        <f t="shared" si="151"/>
        <v>1</v>
      </c>
      <c r="AL150" s="5">
        <f t="shared" si="151"/>
        <v>1</v>
      </c>
      <c r="AM150" s="5">
        <f t="shared" si="151"/>
        <v>1</v>
      </c>
      <c r="AN150" s="5">
        <f t="shared" si="151"/>
        <v>1</v>
      </c>
      <c r="AO150" s="5">
        <f t="shared" si="151"/>
        <v>1</v>
      </c>
      <c r="AP150" s="5">
        <f t="shared" si="151"/>
        <v>1</v>
      </c>
      <c r="AQ150" s="5">
        <f t="shared" si="151"/>
        <v>1</v>
      </c>
      <c r="AR150" s="5">
        <f t="shared" si="151"/>
        <v>1</v>
      </c>
      <c r="AS150" s="5">
        <f t="shared" si="151"/>
        <v>1</v>
      </c>
      <c r="AT150" s="5">
        <f t="shared" si="151"/>
        <v>1</v>
      </c>
      <c r="AU150" s="5">
        <f t="shared" si="151"/>
        <v>1</v>
      </c>
      <c r="AV150" s="5">
        <f t="shared" si="151"/>
        <v>1</v>
      </c>
      <c r="AW150" s="5">
        <f t="shared" si="151"/>
        <v>1</v>
      </c>
      <c r="AX150" s="5">
        <f t="shared" si="151"/>
        <v>1</v>
      </c>
      <c r="AY150" s="5">
        <f t="shared" si="151"/>
        <v>1</v>
      </c>
      <c r="AZ150" s="5">
        <f t="shared" si="151"/>
        <v>0</v>
      </c>
      <c r="BA150" s="5">
        <f t="shared" si="151"/>
        <v>1</v>
      </c>
      <c r="BB150" s="5">
        <f t="shared" si="151"/>
        <v>0</v>
      </c>
    </row>
    <row r="151">
      <c r="A151" s="5">
        <v>61.0</v>
      </c>
      <c r="B151" s="4" t="s">
        <v>469</v>
      </c>
      <c r="C151" s="5">
        <v>9.00902404E8</v>
      </c>
      <c r="D151" s="4" t="s">
        <v>470</v>
      </c>
      <c r="E151" s="4" t="s">
        <v>471</v>
      </c>
      <c r="F151" s="5">
        <v>820.0</v>
      </c>
      <c r="G151" s="5">
        <v>135.0</v>
      </c>
      <c r="H151" s="5">
        <v>106.0</v>
      </c>
      <c r="I151" s="5">
        <v>0.0</v>
      </c>
      <c r="J151" s="5">
        <v>8.0</v>
      </c>
      <c r="K151" s="5">
        <v>745.0</v>
      </c>
      <c r="L151" s="5">
        <v>0.0</v>
      </c>
      <c r="M151" s="5">
        <v>75.0</v>
      </c>
      <c r="N151" s="5">
        <v>0.0</v>
      </c>
      <c r="O151" s="5">
        <v>0.0</v>
      </c>
      <c r="P151" s="5">
        <v>5.0</v>
      </c>
      <c r="Q151" s="5">
        <v>2.0</v>
      </c>
      <c r="R151" s="5">
        <v>0.0</v>
      </c>
      <c r="S151" s="5">
        <v>0.0</v>
      </c>
      <c r="T151" s="5">
        <v>0.0</v>
      </c>
      <c r="U151" s="5">
        <v>0.0</v>
      </c>
      <c r="V151" s="5">
        <v>0.0</v>
      </c>
      <c r="W151" s="5">
        <v>0.0</v>
      </c>
      <c r="X151" s="5">
        <v>0.0</v>
      </c>
      <c r="Y151" s="5">
        <v>0.0</v>
      </c>
      <c r="Z151" s="5">
        <v>2.0</v>
      </c>
      <c r="AA151" s="5">
        <v>4.0</v>
      </c>
      <c r="AB151" s="5">
        <v>0.0</v>
      </c>
      <c r="AC151" s="5">
        <v>0.0</v>
      </c>
      <c r="AD151" s="5">
        <v>0.0</v>
      </c>
      <c r="AE151" s="5">
        <v>15.0</v>
      </c>
      <c r="AF151" s="7">
        <f t="shared" si="2"/>
        <v>0.9</v>
      </c>
      <c r="AG151" s="4" t="str">
        <f t="shared" si="3"/>
        <v>facturas,nota_credito,usa_Linea_CargoDescuento,usa_Total_CargoDescuento,wildcards,encabezado_referencias_documento,</v>
      </c>
      <c r="AH151" s="5">
        <f t="shared" si="4"/>
        <v>18</v>
      </c>
      <c r="AI151" s="5">
        <f t="shared" ref="AI151:BB151" si="152">IF(COUNTIF(K$3:K151,"&gt;0")&gt;0,1,0)</f>
        <v>1</v>
      </c>
      <c r="AJ151" s="5">
        <f t="shared" si="152"/>
        <v>1</v>
      </c>
      <c r="AK151" s="5">
        <f t="shared" si="152"/>
        <v>1</v>
      </c>
      <c r="AL151" s="5">
        <f t="shared" si="152"/>
        <v>1</v>
      </c>
      <c r="AM151" s="5">
        <f t="shared" si="152"/>
        <v>1</v>
      </c>
      <c r="AN151" s="5">
        <f t="shared" si="152"/>
        <v>1</v>
      </c>
      <c r="AO151" s="5">
        <f t="shared" si="152"/>
        <v>1</v>
      </c>
      <c r="AP151" s="5">
        <f t="shared" si="152"/>
        <v>1</v>
      </c>
      <c r="AQ151" s="5">
        <f t="shared" si="152"/>
        <v>1</v>
      </c>
      <c r="AR151" s="5">
        <f t="shared" si="152"/>
        <v>1</v>
      </c>
      <c r="AS151" s="5">
        <f t="shared" si="152"/>
        <v>1</v>
      </c>
      <c r="AT151" s="5">
        <f t="shared" si="152"/>
        <v>1</v>
      </c>
      <c r="AU151" s="5">
        <f t="shared" si="152"/>
        <v>1</v>
      </c>
      <c r="AV151" s="5">
        <f t="shared" si="152"/>
        <v>1</v>
      </c>
      <c r="AW151" s="5">
        <f t="shared" si="152"/>
        <v>1</v>
      </c>
      <c r="AX151" s="5">
        <f t="shared" si="152"/>
        <v>1</v>
      </c>
      <c r="AY151" s="5">
        <f t="shared" si="152"/>
        <v>1</v>
      </c>
      <c r="AZ151" s="5">
        <f t="shared" si="152"/>
        <v>0</v>
      </c>
      <c r="BA151" s="5">
        <f t="shared" si="152"/>
        <v>1</v>
      </c>
      <c r="BB151" s="5">
        <f t="shared" si="152"/>
        <v>0</v>
      </c>
    </row>
    <row r="152">
      <c r="A152" s="5">
        <v>565.0</v>
      </c>
      <c r="B152" s="4" t="s">
        <v>472</v>
      </c>
      <c r="C152" s="5">
        <v>9.01233649E8</v>
      </c>
      <c r="D152" s="4" t="s">
        <v>473</v>
      </c>
      <c r="E152" s="4" t="s">
        <v>474</v>
      </c>
      <c r="F152" s="5">
        <v>105.0</v>
      </c>
      <c r="G152" s="5">
        <v>47.0</v>
      </c>
      <c r="H152" s="5">
        <v>58.0</v>
      </c>
      <c r="I152" s="5">
        <v>0.0</v>
      </c>
      <c r="J152" s="5">
        <v>4.0</v>
      </c>
      <c r="K152" s="5">
        <v>87.0</v>
      </c>
      <c r="L152" s="5">
        <v>1.0</v>
      </c>
      <c r="M152" s="5">
        <v>17.0</v>
      </c>
      <c r="N152" s="5">
        <v>0.0</v>
      </c>
      <c r="O152" s="5">
        <v>0.0</v>
      </c>
      <c r="P152" s="5">
        <v>1.0</v>
      </c>
      <c r="Q152" s="5">
        <v>9.0</v>
      </c>
      <c r="R152" s="5">
        <v>0.0</v>
      </c>
      <c r="S152" s="5">
        <v>0.0</v>
      </c>
      <c r="T152" s="5">
        <v>0.0</v>
      </c>
      <c r="U152" s="5">
        <v>0.0</v>
      </c>
      <c r="V152" s="5">
        <v>0.0</v>
      </c>
      <c r="W152" s="5">
        <v>0.0</v>
      </c>
      <c r="X152" s="5">
        <v>0.0</v>
      </c>
      <c r="Y152" s="5">
        <v>109.0</v>
      </c>
      <c r="Z152" s="5">
        <v>107.0</v>
      </c>
      <c r="AA152" s="5">
        <v>0.0</v>
      </c>
      <c r="AB152" s="5">
        <v>0.0</v>
      </c>
      <c r="AC152" s="5">
        <v>0.0</v>
      </c>
      <c r="AD152" s="5">
        <v>0.0</v>
      </c>
      <c r="AE152" s="5">
        <v>15.0</v>
      </c>
      <c r="AF152" s="7">
        <f t="shared" si="2"/>
        <v>0.9</v>
      </c>
      <c r="AG152" s="4" t="str">
        <f t="shared" si="3"/>
        <v>facturas,nota_debito,nota_credito,usa_Linea_CargoDescuento,usa_Total_CargoDescuento,multiples_accionistas,wildcards,</v>
      </c>
      <c r="AH152" s="5">
        <f t="shared" si="4"/>
        <v>18</v>
      </c>
      <c r="AI152" s="5">
        <f t="shared" ref="AI152:BB152" si="153">IF(COUNTIF(K$3:K152,"&gt;0")&gt;0,1,0)</f>
        <v>1</v>
      </c>
      <c r="AJ152" s="5">
        <f t="shared" si="153"/>
        <v>1</v>
      </c>
      <c r="AK152" s="5">
        <f t="shared" si="153"/>
        <v>1</v>
      </c>
      <c r="AL152" s="5">
        <f t="shared" si="153"/>
        <v>1</v>
      </c>
      <c r="AM152" s="5">
        <f t="shared" si="153"/>
        <v>1</v>
      </c>
      <c r="AN152" s="5">
        <f t="shared" si="153"/>
        <v>1</v>
      </c>
      <c r="AO152" s="5">
        <f t="shared" si="153"/>
        <v>1</v>
      </c>
      <c r="AP152" s="5">
        <f t="shared" si="153"/>
        <v>1</v>
      </c>
      <c r="AQ152" s="5">
        <f t="shared" si="153"/>
        <v>1</v>
      </c>
      <c r="AR152" s="5">
        <f t="shared" si="153"/>
        <v>1</v>
      </c>
      <c r="AS152" s="5">
        <f t="shared" si="153"/>
        <v>1</v>
      </c>
      <c r="AT152" s="5">
        <f t="shared" si="153"/>
        <v>1</v>
      </c>
      <c r="AU152" s="5">
        <f t="shared" si="153"/>
        <v>1</v>
      </c>
      <c r="AV152" s="5">
        <f t="shared" si="153"/>
        <v>1</v>
      </c>
      <c r="AW152" s="5">
        <f t="shared" si="153"/>
        <v>1</v>
      </c>
      <c r="AX152" s="5">
        <f t="shared" si="153"/>
        <v>1</v>
      </c>
      <c r="AY152" s="5">
        <f t="shared" si="153"/>
        <v>1</v>
      </c>
      <c r="AZ152" s="5">
        <f t="shared" si="153"/>
        <v>0</v>
      </c>
      <c r="BA152" s="5">
        <f t="shared" si="153"/>
        <v>1</v>
      </c>
      <c r="BB152" s="5">
        <f t="shared" si="153"/>
        <v>0</v>
      </c>
    </row>
    <row r="153">
      <c r="A153" s="5">
        <v>482.0</v>
      </c>
      <c r="B153" s="4" t="s">
        <v>475</v>
      </c>
      <c r="C153" s="5">
        <v>9.01722494E8</v>
      </c>
      <c r="D153" s="4" t="s">
        <v>476</v>
      </c>
      <c r="E153" s="4" t="s">
        <v>477</v>
      </c>
      <c r="F153" s="5">
        <v>395.0</v>
      </c>
      <c r="G153" s="5">
        <v>65.0</v>
      </c>
      <c r="H153" s="5">
        <v>330.0</v>
      </c>
      <c r="I153" s="5">
        <v>18.0</v>
      </c>
      <c r="J153" s="5">
        <v>42.0</v>
      </c>
      <c r="K153" s="5">
        <v>369.0</v>
      </c>
      <c r="L153" s="5">
        <v>0.0</v>
      </c>
      <c r="M153" s="5">
        <v>25.0</v>
      </c>
      <c r="N153" s="5">
        <v>1.0</v>
      </c>
      <c r="O153" s="5">
        <v>0.0</v>
      </c>
      <c r="P153" s="5">
        <v>0.0</v>
      </c>
      <c r="Q153" s="5">
        <v>0.0</v>
      </c>
      <c r="R153" s="5">
        <v>0.0</v>
      </c>
      <c r="S153" s="5">
        <v>0.0</v>
      </c>
      <c r="T153" s="5">
        <v>3.0</v>
      </c>
      <c r="U153" s="5">
        <v>0.0</v>
      </c>
      <c r="V153" s="5">
        <v>0.0</v>
      </c>
      <c r="W153" s="5">
        <v>1.0</v>
      </c>
      <c r="X153" s="5">
        <v>0.0</v>
      </c>
      <c r="Y153" s="5">
        <v>0.0</v>
      </c>
      <c r="Z153" s="5">
        <v>408.0</v>
      </c>
      <c r="AA153" s="5">
        <v>91.0</v>
      </c>
      <c r="AB153" s="5">
        <v>0.0</v>
      </c>
      <c r="AC153" s="5">
        <v>0.0</v>
      </c>
      <c r="AD153" s="5">
        <v>0.0</v>
      </c>
      <c r="AE153" s="5">
        <v>15.0</v>
      </c>
      <c r="AF153" s="7">
        <f t="shared" si="2"/>
        <v>0.9</v>
      </c>
      <c r="AG153" s="4" t="str">
        <f t="shared" si="3"/>
        <v>facturas,nota_credito,documento_soporte,maneja_adjunto,linea_tercero_mandante,wildcards,encabezado_referencias_documento,</v>
      </c>
      <c r="AH153" s="5">
        <f t="shared" si="4"/>
        <v>18</v>
      </c>
      <c r="AI153" s="5">
        <f t="shared" ref="AI153:BB153" si="154">IF(COUNTIF(K$3:K153,"&gt;0")&gt;0,1,0)</f>
        <v>1</v>
      </c>
      <c r="AJ153" s="5">
        <f t="shared" si="154"/>
        <v>1</v>
      </c>
      <c r="AK153" s="5">
        <f t="shared" si="154"/>
        <v>1</v>
      </c>
      <c r="AL153" s="5">
        <f t="shared" si="154"/>
        <v>1</v>
      </c>
      <c r="AM153" s="5">
        <f t="shared" si="154"/>
        <v>1</v>
      </c>
      <c r="AN153" s="5">
        <f t="shared" si="154"/>
        <v>1</v>
      </c>
      <c r="AO153" s="5">
        <f t="shared" si="154"/>
        <v>1</v>
      </c>
      <c r="AP153" s="5">
        <f t="shared" si="154"/>
        <v>1</v>
      </c>
      <c r="AQ153" s="5">
        <f t="shared" si="154"/>
        <v>1</v>
      </c>
      <c r="AR153" s="5">
        <f t="shared" si="154"/>
        <v>1</v>
      </c>
      <c r="AS153" s="5">
        <f t="shared" si="154"/>
        <v>1</v>
      </c>
      <c r="AT153" s="5">
        <f t="shared" si="154"/>
        <v>1</v>
      </c>
      <c r="AU153" s="5">
        <f t="shared" si="154"/>
        <v>1</v>
      </c>
      <c r="AV153" s="5">
        <f t="shared" si="154"/>
        <v>1</v>
      </c>
      <c r="AW153" s="5">
        <f t="shared" si="154"/>
        <v>1</v>
      </c>
      <c r="AX153" s="5">
        <f t="shared" si="154"/>
        <v>1</v>
      </c>
      <c r="AY153" s="5">
        <f t="shared" si="154"/>
        <v>1</v>
      </c>
      <c r="AZ153" s="5">
        <f t="shared" si="154"/>
        <v>0</v>
      </c>
      <c r="BA153" s="5">
        <f t="shared" si="154"/>
        <v>1</v>
      </c>
      <c r="BB153" s="5">
        <f t="shared" si="154"/>
        <v>0</v>
      </c>
    </row>
    <row r="154">
      <c r="A154" s="5">
        <v>265.0</v>
      </c>
      <c r="B154" s="4" t="s">
        <v>478</v>
      </c>
      <c r="C154" s="5">
        <v>8.30133802E8</v>
      </c>
      <c r="D154" s="4" t="s">
        <v>479</v>
      </c>
      <c r="E154" s="4" t="s">
        <v>480</v>
      </c>
      <c r="F154" s="5">
        <v>1425.0</v>
      </c>
      <c r="G154" s="5">
        <v>231.0</v>
      </c>
      <c r="H154" s="5">
        <v>143.0</v>
      </c>
      <c r="I154" s="5">
        <v>6.0</v>
      </c>
      <c r="J154" s="5">
        <v>10.0</v>
      </c>
      <c r="K154" s="5">
        <v>963.0</v>
      </c>
      <c r="L154" s="5">
        <v>5.0</v>
      </c>
      <c r="M154" s="5">
        <v>182.0</v>
      </c>
      <c r="N154" s="5">
        <v>268.0</v>
      </c>
      <c r="O154" s="5">
        <v>7.0</v>
      </c>
      <c r="P154" s="5">
        <v>1.0</v>
      </c>
      <c r="Q154" s="5">
        <v>0.0</v>
      </c>
      <c r="R154" s="5">
        <v>0.0</v>
      </c>
      <c r="S154" s="5">
        <v>0.0</v>
      </c>
      <c r="T154" s="5">
        <v>0.0</v>
      </c>
      <c r="U154" s="5">
        <v>0.0</v>
      </c>
      <c r="V154" s="5">
        <v>2.0</v>
      </c>
      <c r="W154" s="5">
        <v>0.0</v>
      </c>
      <c r="X154" s="5">
        <v>0.0</v>
      </c>
      <c r="Y154" s="5">
        <v>0.0</v>
      </c>
      <c r="Z154" s="5">
        <v>2.0</v>
      </c>
      <c r="AA154" s="5">
        <v>0.0</v>
      </c>
      <c r="AB154" s="5">
        <v>0.0</v>
      </c>
      <c r="AC154" s="5">
        <v>0.0</v>
      </c>
      <c r="AD154" s="5">
        <v>0.0</v>
      </c>
      <c r="AE154" s="5">
        <v>15.0</v>
      </c>
      <c r="AF154" s="7">
        <f t="shared" si="2"/>
        <v>0.9</v>
      </c>
      <c r="AG154" s="4" t="str">
        <f t="shared" si="3"/>
        <v>facturas,nota_debito,nota_credito,documento_soporte,nota_doc_soporte,usa_Linea_CargoDescuento,en_tercero_mandante,wildcards,</v>
      </c>
      <c r="AH154" s="5">
        <f t="shared" si="4"/>
        <v>18</v>
      </c>
      <c r="AI154" s="5">
        <f t="shared" ref="AI154:BB154" si="155">IF(COUNTIF(K$3:K154,"&gt;0")&gt;0,1,0)</f>
        <v>1</v>
      </c>
      <c r="AJ154" s="5">
        <f t="shared" si="155"/>
        <v>1</v>
      </c>
      <c r="AK154" s="5">
        <f t="shared" si="155"/>
        <v>1</v>
      </c>
      <c r="AL154" s="5">
        <f t="shared" si="155"/>
        <v>1</v>
      </c>
      <c r="AM154" s="5">
        <f t="shared" si="155"/>
        <v>1</v>
      </c>
      <c r="AN154" s="5">
        <f t="shared" si="155"/>
        <v>1</v>
      </c>
      <c r="AO154" s="5">
        <f t="shared" si="155"/>
        <v>1</v>
      </c>
      <c r="AP154" s="5">
        <f t="shared" si="155"/>
        <v>1</v>
      </c>
      <c r="AQ154" s="5">
        <f t="shared" si="155"/>
        <v>1</v>
      </c>
      <c r="AR154" s="5">
        <f t="shared" si="155"/>
        <v>1</v>
      </c>
      <c r="AS154" s="5">
        <f t="shared" si="155"/>
        <v>1</v>
      </c>
      <c r="AT154" s="5">
        <f t="shared" si="155"/>
        <v>1</v>
      </c>
      <c r="AU154" s="5">
        <f t="shared" si="155"/>
        <v>1</v>
      </c>
      <c r="AV154" s="5">
        <f t="shared" si="155"/>
        <v>1</v>
      </c>
      <c r="AW154" s="5">
        <f t="shared" si="155"/>
        <v>1</v>
      </c>
      <c r="AX154" s="5">
        <f t="shared" si="155"/>
        <v>1</v>
      </c>
      <c r="AY154" s="5">
        <f t="shared" si="155"/>
        <v>1</v>
      </c>
      <c r="AZ154" s="5">
        <f t="shared" si="155"/>
        <v>0</v>
      </c>
      <c r="BA154" s="5">
        <f t="shared" si="155"/>
        <v>1</v>
      </c>
      <c r="BB154" s="5">
        <f t="shared" si="155"/>
        <v>0</v>
      </c>
    </row>
    <row r="155">
      <c r="A155" s="5">
        <v>116.0</v>
      </c>
      <c r="B155" s="4" t="s">
        <v>481</v>
      </c>
      <c r="C155" s="5">
        <v>9.01042989E8</v>
      </c>
      <c r="D155" s="4" t="s">
        <v>482</v>
      </c>
      <c r="E155" s="4" t="s">
        <v>483</v>
      </c>
      <c r="F155" s="5">
        <v>3550.0</v>
      </c>
      <c r="G155" s="5">
        <v>547.0</v>
      </c>
      <c r="H155" s="5">
        <v>716.0</v>
      </c>
      <c r="I155" s="5">
        <v>29.0</v>
      </c>
      <c r="J155" s="5">
        <v>51.0</v>
      </c>
      <c r="K155" s="5">
        <v>3493.0</v>
      </c>
      <c r="L155" s="5">
        <v>1.0</v>
      </c>
      <c r="M155" s="5">
        <v>56.0</v>
      </c>
      <c r="N155" s="5">
        <v>0.0</v>
      </c>
      <c r="O155" s="5">
        <v>0.0</v>
      </c>
      <c r="P155" s="5">
        <v>54.0</v>
      </c>
      <c r="Q155" s="5">
        <v>74.0</v>
      </c>
      <c r="R155" s="5">
        <v>0.0</v>
      </c>
      <c r="S155" s="5">
        <v>0.0</v>
      </c>
      <c r="T155" s="5">
        <v>0.0</v>
      </c>
      <c r="U155" s="5">
        <v>0.0</v>
      </c>
      <c r="V155" s="5">
        <v>0.0</v>
      </c>
      <c r="W155" s="5">
        <v>0.0</v>
      </c>
      <c r="X155" s="5">
        <v>0.0</v>
      </c>
      <c r="Y155" s="5">
        <v>0.0</v>
      </c>
      <c r="Z155" s="5">
        <v>2630.0</v>
      </c>
      <c r="AA155" s="5">
        <v>1091.0</v>
      </c>
      <c r="AB155" s="5">
        <v>0.0</v>
      </c>
      <c r="AC155" s="5">
        <v>0.0</v>
      </c>
      <c r="AD155" s="5">
        <v>0.0</v>
      </c>
      <c r="AE155" s="5">
        <v>15.0</v>
      </c>
      <c r="AF155" s="7">
        <f t="shared" si="2"/>
        <v>0.9</v>
      </c>
      <c r="AG155" s="4" t="str">
        <f t="shared" si="3"/>
        <v>facturas,nota_debito,nota_credito,usa_Linea_CargoDescuento,usa_Total_CargoDescuento,wildcards,encabezado_referencias_documento,</v>
      </c>
      <c r="AH155" s="5">
        <f t="shared" si="4"/>
        <v>18</v>
      </c>
      <c r="AI155" s="5">
        <f t="shared" ref="AI155:BB155" si="156">IF(COUNTIF(K$3:K155,"&gt;0")&gt;0,1,0)</f>
        <v>1</v>
      </c>
      <c r="AJ155" s="5">
        <f t="shared" si="156"/>
        <v>1</v>
      </c>
      <c r="AK155" s="5">
        <f t="shared" si="156"/>
        <v>1</v>
      </c>
      <c r="AL155" s="5">
        <f t="shared" si="156"/>
        <v>1</v>
      </c>
      <c r="AM155" s="5">
        <f t="shared" si="156"/>
        <v>1</v>
      </c>
      <c r="AN155" s="5">
        <f t="shared" si="156"/>
        <v>1</v>
      </c>
      <c r="AO155" s="5">
        <f t="shared" si="156"/>
        <v>1</v>
      </c>
      <c r="AP155" s="5">
        <f t="shared" si="156"/>
        <v>1</v>
      </c>
      <c r="AQ155" s="5">
        <f t="shared" si="156"/>
        <v>1</v>
      </c>
      <c r="AR155" s="5">
        <f t="shared" si="156"/>
        <v>1</v>
      </c>
      <c r="AS155" s="5">
        <f t="shared" si="156"/>
        <v>1</v>
      </c>
      <c r="AT155" s="5">
        <f t="shared" si="156"/>
        <v>1</v>
      </c>
      <c r="AU155" s="5">
        <f t="shared" si="156"/>
        <v>1</v>
      </c>
      <c r="AV155" s="5">
        <f t="shared" si="156"/>
        <v>1</v>
      </c>
      <c r="AW155" s="5">
        <f t="shared" si="156"/>
        <v>1</v>
      </c>
      <c r="AX155" s="5">
        <f t="shared" si="156"/>
        <v>1</v>
      </c>
      <c r="AY155" s="5">
        <f t="shared" si="156"/>
        <v>1</v>
      </c>
      <c r="AZ155" s="5">
        <f t="shared" si="156"/>
        <v>0</v>
      </c>
      <c r="BA155" s="5">
        <f t="shared" si="156"/>
        <v>1</v>
      </c>
      <c r="BB155" s="5">
        <f t="shared" si="156"/>
        <v>0</v>
      </c>
    </row>
    <row r="156">
      <c r="A156" s="5">
        <v>285.0</v>
      </c>
      <c r="B156" s="4" t="s">
        <v>484</v>
      </c>
      <c r="C156" s="5">
        <v>6.5044273E8</v>
      </c>
      <c r="D156" s="4" t="s">
        <v>485</v>
      </c>
      <c r="E156" s="4" t="s">
        <v>486</v>
      </c>
      <c r="F156" s="5">
        <v>6292.0</v>
      </c>
      <c r="G156" s="5">
        <v>1267.0</v>
      </c>
      <c r="H156" s="5">
        <v>1141.0</v>
      </c>
      <c r="I156" s="5">
        <v>62.0</v>
      </c>
      <c r="J156" s="5">
        <v>106.0</v>
      </c>
      <c r="K156" s="5">
        <v>5933.0</v>
      </c>
      <c r="L156" s="5">
        <v>15.0</v>
      </c>
      <c r="M156" s="5">
        <v>344.0</v>
      </c>
      <c r="N156" s="5">
        <v>0.0</v>
      </c>
      <c r="O156" s="5">
        <v>0.0</v>
      </c>
      <c r="P156" s="5">
        <v>6.0</v>
      </c>
      <c r="Q156" s="5">
        <v>10.0</v>
      </c>
      <c r="R156" s="5">
        <v>0.0</v>
      </c>
      <c r="S156" s="5">
        <v>0.0</v>
      </c>
      <c r="T156" s="5">
        <v>0.0</v>
      </c>
      <c r="U156" s="5">
        <v>0.0</v>
      </c>
      <c r="V156" s="5">
        <v>0.0</v>
      </c>
      <c r="W156" s="5">
        <v>0.0</v>
      </c>
      <c r="X156" s="5">
        <v>0.0</v>
      </c>
      <c r="Y156" s="5">
        <v>0.0</v>
      </c>
      <c r="Z156" s="5">
        <v>4786.0</v>
      </c>
      <c r="AA156" s="5">
        <v>4898.0</v>
      </c>
      <c r="AB156" s="5">
        <v>0.0</v>
      </c>
      <c r="AC156" s="5">
        <v>0.0</v>
      </c>
      <c r="AD156" s="5">
        <v>0.0</v>
      </c>
      <c r="AE156" s="5">
        <v>15.0</v>
      </c>
      <c r="AF156" s="7">
        <f t="shared" si="2"/>
        <v>0.9</v>
      </c>
      <c r="AG156" s="4" t="str">
        <f t="shared" si="3"/>
        <v>facturas,nota_debito,nota_credito,usa_Linea_CargoDescuento,usa_Total_CargoDescuento,wildcards,encabezado_referencias_documento,</v>
      </c>
      <c r="AH156" s="5">
        <f t="shared" si="4"/>
        <v>18</v>
      </c>
      <c r="AI156" s="5">
        <f t="shared" ref="AI156:BB156" si="157">IF(COUNTIF(K$3:K156,"&gt;0")&gt;0,1,0)</f>
        <v>1</v>
      </c>
      <c r="AJ156" s="5">
        <f t="shared" si="157"/>
        <v>1</v>
      </c>
      <c r="AK156" s="5">
        <f t="shared" si="157"/>
        <v>1</v>
      </c>
      <c r="AL156" s="5">
        <f t="shared" si="157"/>
        <v>1</v>
      </c>
      <c r="AM156" s="5">
        <f t="shared" si="157"/>
        <v>1</v>
      </c>
      <c r="AN156" s="5">
        <f t="shared" si="157"/>
        <v>1</v>
      </c>
      <c r="AO156" s="5">
        <f t="shared" si="157"/>
        <v>1</v>
      </c>
      <c r="AP156" s="5">
        <f t="shared" si="157"/>
        <v>1</v>
      </c>
      <c r="AQ156" s="5">
        <f t="shared" si="157"/>
        <v>1</v>
      </c>
      <c r="AR156" s="5">
        <f t="shared" si="157"/>
        <v>1</v>
      </c>
      <c r="AS156" s="5">
        <f t="shared" si="157"/>
        <v>1</v>
      </c>
      <c r="AT156" s="5">
        <f t="shared" si="157"/>
        <v>1</v>
      </c>
      <c r="AU156" s="5">
        <f t="shared" si="157"/>
        <v>1</v>
      </c>
      <c r="AV156" s="5">
        <f t="shared" si="157"/>
        <v>1</v>
      </c>
      <c r="AW156" s="5">
        <f t="shared" si="157"/>
        <v>1</v>
      </c>
      <c r="AX156" s="5">
        <f t="shared" si="157"/>
        <v>1</v>
      </c>
      <c r="AY156" s="5">
        <f t="shared" si="157"/>
        <v>1</v>
      </c>
      <c r="AZ156" s="5">
        <f t="shared" si="157"/>
        <v>0</v>
      </c>
      <c r="BA156" s="5">
        <f t="shared" si="157"/>
        <v>1</v>
      </c>
      <c r="BB156" s="5">
        <f t="shared" si="157"/>
        <v>0</v>
      </c>
    </row>
    <row r="157">
      <c r="A157" s="5">
        <v>208.0</v>
      </c>
      <c r="B157" s="4" t="s">
        <v>487</v>
      </c>
      <c r="C157" s="5">
        <v>9.00541673E8</v>
      </c>
      <c r="D157" s="4" t="s">
        <v>488</v>
      </c>
      <c r="E157" s="4" t="s">
        <v>489</v>
      </c>
      <c r="F157" s="5">
        <v>1367.0</v>
      </c>
      <c r="G157" s="5">
        <v>380.0</v>
      </c>
      <c r="H157" s="5">
        <v>244.0</v>
      </c>
      <c r="I157" s="5">
        <v>9.0</v>
      </c>
      <c r="J157" s="5">
        <v>12.0</v>
      </c>
      <c r="K157" s="5">
        <v>882.0</v>
      </c>
      <c r="L157" s="5">
        <v>0.0</v>
      </c>
      <c r="M157" s="5">
        <v>62.0</v>
      </c>
      <c r="N157" s="5">
        <v>416.0</v>
      </c>
      <c r="O157" s="5">
        <v>7.0</v>
      </c>
      <c r="P157" s="5">
        <v>0.0</v>
      </c>
      <c r="Q157" s="5">
        <v>3.0</v>
      </c>
      <c r="R157" s="5">
        <v>0.0</v>
      </c>
      <c r="S157" s="5">
        <v>0.0</v>
      </c>
      <c r="T157" s="5">
        <v>457.0</v>
      </c>
      <c r="U157" s="5">
        <v>0.0</v>
      </c>
      <c r="V157" s="5">
        <v>0.0</v>
      </c>
      <c r="W157" s="5">
        <v>0.0</v>
      </c>
      <c r="X157" s="5">
        <v>0.0</v>
      </c>
      <c r="Y157" s="5">
        <v>0.0</v>
      </c>
      <c r="Z157" s="5">
        <v>761.0</v>
      </c>
      <c r="AA157" s="5">
        <v>10.0</v>
      </c>
      <c r="AB157" s="5">
        <v>0.0</v>
      </c>
      <c r="AC157" s="5">
        <v>0.0</v>
      </c>
      <c r="AD157" s="5">
        <v>0.0</v>
      </c>
      <c r="AE157" s="5">
        <v>15.0</v>
      </c>
      <c r="AF157" s="7">
        <f t="shared" si="2"/>
        <v>0.9</v>
      </c>
      <c r="AG157" s="4" t="str">
        <f t="shared" si="3"/>
        <v>facturas,nota_credito,documento_soporte,nota_doc_soporte,usa_Total_CargoDescuento,maneja_adjunto,wildcards,encabezado_referencias_documento,</v>
      </c>
      <c r="AH157" s="5">
        <f t="shared" si="4"/>
        <v>18</v>
      </c>
      <c r="AI157" s="5">
        <f t="shared" ref="AI157:BB157" si="158">IF(COUNTIF(K$3:K157,"&gt;0")&gt;0,1,0)</f>
        <v>1</v>
      </c>
      <c r="AJ157" s="5">
        <f t="shared" si="158"/>
        <v>1</v>
      </c>
      <c r="AK157" s="5">
        <f t="shared" si="158"/>
        <v>1</v>
      </c>
      <c r="AL157" s="5">
        <f t="shared" si="158"/>
        <v>1</v>
      </c>
      <c r="AM157" s="5">
        <f t="shared" si="158"/>
        <v>1</v>
      </c>
      <c r="AN157" s="5">
        <f t="shared" si="158"/>
        <v>1</v>
      </c>
      <c r="AO157" s="5">
        <f t="shared" si="158"/>
        <v>1</v>
      </c>
      <c r="AP157" s="5">
        <f t="shared" si="158"/>
        <v>1</v>
      </c>
      <c r="AQ157" s="5">
        <f t="shared" si="158"/>
        <v>1</v>
      </c>
      <c r="AR157" s="5">
        <f t="shared" si="158"/>
        <v>1</v>
      </c>
      <c r="AS157" s="5">
        <f t="shared" si="158"/>
        <v>1</v>
      </c>
      <c r="AT157" s="5">
        <f t="shared" si="158"/>
        <v>1</v>
      </c>
      <c r="AU157" s="5">
        <f t="shared" si="158"/>
        <v>1</v>
      </c>
      <c r="AV157" s="5">
        <f t="shared" si="158"/>
        <v>1</v>
      </c>
      <c r="AW157" s="5">
        <f t="shared" si="158"/>
        <v>1</v>
      </c>
      <c r="AX157" s="5">
        <f t="shared" si="158"/>
        <v>1</v>
      </c>
      <c r="AY157" s="5">
        <f t="shared" si="158"/>
        <v>1</v>
      </c>
      <c r="AZ157" s="5">
        <f t="shared" si="158"/>
        <v>0</v>
      </c>
      <c r="BA157" s="5">
        <f t="shared" si="158"/>
        <v>1</v>
      </c>
      <c r="BB157" s="5">
        <f t="shared" si="158"/>
        <v>0</v>
      </c>
    </row>
    <row r="158">
      <c r="A158" s="5">
        <v>7.0</v>
      </c>
      <c r="B158" s="4" t="s">
        <v>490</v>
      </c>
      <c r="C158" s="5">
        <v>9.00082649E8</v>
      </c>
      <c r="D158" s="4" t="s">
        <v>491</v>
      </c>
      <c r="E158" s="4" t="s">
        <v>492</v>
      </c>
      <c r="F158" s="5">
        <v>2616.0</v>
      </c>
      <c r="G158" s="5">
        <v>493.0</v>
      </c>
      <c r="H158" s="5">
        <v>591.0</v>
      </c>
      <c r="I158" s="5">
        <v>21.0</v>
      </c>
      <c r="J158" s="5">
        <v>47.0</v>
      </c>
      <c r="K158" s="5">
        <v>1148.0</v>
      </c>
      <c r="L158" s="5">
        <v>1.0</v>
      </c>
      <c r="M158" s="5">
        <v>88.0</v>
      </c>
      <c r="N158" s="5">
        <v>1355.0</v>
      </c>
      <c r="O158" s="5">
        <v>24.0</v>
      </c>
      <c r="P158" s="5">
        <v>7.0</v>
      </c>
      <c r="Q158" s="5">
        <v>0.0</v>
      </c>
      <c r="R158" s="5">
        <v>0.0</v>
      </c>
      <c r="S158" s="5">
        <v>0.0</v>
      </c>
      <c r="T158" s="5">
        <v>15.0</v>
      </c>
      <c r="U158" s="5">
        <v>0.0</v>
      </c>
      <c r="V158" s="5">
        <v>0.0</v>
      </c>
      <c r="W158" s="5">
        <v>0.0</v>
      </c>
      <c r="X158" s="5">
        <v>0.0</v>
      </c>
      <c r="Y158" s="5">
        <v>0.0</v>
      </c>
      <c r="Z158" s="5">
        <v>250.0</v>
      </c>
      <c r="AA158" s="5">
        <v>1239.0</v>
      </c>
      <c r="AB158" s="5">
        <v>0.0</v>
      </c>
      <c r="AC158" s="5">
        <v>0.0</v>
      </c>
      <c r="AD158" s="5">
        <v>0.0</v>
      </c>
      <c r="AE158" s="5">
        <v>15.0</v>
      </c>
      <c r="AF158" s="7">
        <f t="shared" si="2"/>
        <v>0.9</v>
      </c>
      <c r="AG158" s="4" t="str">
        <f t="shared" si="3"/>
        <v>facturas,nota_debito,nota_credito,documento_soporte,nota_doc_soporte,usa_Linea_CargoDescuento,maneja_adjunto,wildcards,encabezado_referencias_documento,</v>
      </c>
      <c r="AH158" s="5">
        <f t="shared" si="4"/>
        <v>18</v>
      </c>
      <c r="AI158" s="5">
        <f t="shared" ref="AI158:BB158" si="159">IF(COUNTIF(K$3:K158,"&gt;0")&gt;0,1,0)</f>
        <v>1</v>
      </c>
      <c r="AJ158" s="5">
        <f t="shared" si="159"/>
        <v>1</v>
      </c>
      <c r="AK158" s="5">
        <f t="shared" si="159"/>
        <v>1</v>
      </c>
      <c r="AL158" s="5">
        <f t="shared" si="159"/>
        <v>1</v>
      </c>
      <c r="AM158" s="5">
        <f t="shared" si="159"/>
        <v>1</v>
      </c>
      <c r="AN158" s="5">
        <f t="shared" si="159"/>
        <v>1</v>
      </c>
      <c r="AO158" s="5">
        <f t="shared" si="159"/>
        <v>1</v>
      </c>
      <c r="AP158" s="5">
        <f t="shared" si="159"/>
        <v>1</v>
      </c>
      <c r="AQ158" s="5">
        <f t="shared" si="159"/>
        <v>1</v>
      </c>
      <c r="AR158" s="5">
        <f t="shared" si="159"/>
        <v>1</v>
      </c>
      <c r="AS158" s="5">
        <f t="shared" si="159"/>
        <v>1</v>
      </c>
      <c r="AT158" s="5">
        <f t="shared" si="159"/>
        <v>1</v>
      </c>
      <c r="AU158" s="5">
        <f t="shared" si="159"/>
        <v>1</v>
      </c>
      <c r="AV158" s="5">
        <f t="shared" si="159"/>
        <v>1</v>
      </c>
      <c r="AW158" s="5">
        <f t="shared" si="159"/>
        <v>1</v>
      </c>
      <c r="AX158" s="5">
        <f t="shared" si="159"/>
        <v>1</v>
      </c>
      <c r="AY158" s="5">
        <f t="shared" si="159"/>
        <v>1</v>
      </c>
      <c r="AZ158" s="5">
        <f t="shared" si="159"/>
        <v>0</v>
      </c>
      <c r="BA158" s="5">
        <f t="shared" si="159"/>
        <v>1</v>
      </c>
      <c r="BB158" s="5">
        <f t="shared" si="159"/>
        <v>0</v>
      </c>
    </row>
    <row r="159">
      <c r="A159" s="5">
        <v>526.0</v>
      </c>
      <c r="B159" s="4" t="s">
        <v>493</v>
      </c>
      <c r="C159" s="5">
        <v>9.00332934E8</v>
      </c>
      <c r="D159" s="4" t="s">
        <v>494</v>
      </c>
      <c r="E159" s="4" t="s">
        <v>495</v>
      </c>
      <c r="F159" s="5">
        <v>4783.0</v>
      </c>
      <c r="G159" s="5">
        <v>1746.0</v>
      </c>
      <c r="H159" s="5">
        <v>3037.0</v>
      </c>
      <c r="I159" s="5">
        <v>100.0</v>
      </c>
      <c r="J159" s="5">
        <v>236.0</v>
      </c>
      <c r="K159" s="5">
        <v>2910.0</v>
      </c>
      <c r="L159" s="5">
        <v>7.0</v>
      </c>
      <c r="M159" s="5">
        <v>182.0</v>
      </c>
      <c r="N159" s="5">
        <v>1579.0</v>
      </c>
      <c r="O159" s="5">
        <v>105.0</v>
      </c>
      <c r="P159" s="5">
        <v>81.0</v>
      </c>
      <c r="Q159" s="5">
        <v>0.0</v>
      </c>
      <c r="R159" s="5">
        <v>0.0</v>
      </c>
      <c r="S159" s="5">
        <v>0.0</v>
      </c>
      <c r="T159" s="5">
        <v>2305.0</v>
      </c>
      <c r="U159" s="5">
        <v>0.0</v>
      </c>
      <c r="V159" s="5">
        <v>0.0</v>
      </c>
      <c r="W159" s="5">
        <v>1.0</v>
      </c>
      <c r="X159" s="5">
        <v>0.0</v>
      </c>
      <c r="Y159" s="5">
        <v>0.0</v>
      </c>
      <c r="Z159" s="5">
        <v>2949.0</v>
      </c>
      <c r="AA159" s="5">
        <v>0.0</v>
      </c>
      <c r="AB159" s="5">
        <v>0.0</v>
      </c>
      <c r="AC159" s="5">
        <v>315.0</v>
      </c>
      <c r="AD159" s="5">
        <v>0.0</v>
      </c>
      <c r="AE159" s="5">
        <v>15.0</v>
      </c>
      <c r="AF159" s="7">
        <f t="shared" si="2"/>
        <v>0.9</v>
      </c>
      <c r="AG159" s="4" t="str">
        <f t="shared" si="3"/>
        <v>facturas,nota_debito,nota_credito,documento_soporte,nota_doc_soporte,usa_Linea_CargoDescuento,maneja_adjunto,linea_tercero_mandante,wildcards,maneja_anticipo,</v>
      </c>
      <c r="AH159" s="5">
        <f t="shared" si="4"/>
        <v>18</v>
      </c>
      <c r="AI159" s="5">
        <f t="shared" ref="AI159:BB159" si="160">IF(COUNTIF(K$3:K159,"&gt;0")&gt;0,1,0)</f>
        <v>1</v>
      </c>
      <c r="AJ159" s="5">
        <f t="shared" si="160"/>
        <v>1</v>
      </c>
      <c r="AK159" s="5">
        <f t="shared" si="160"/>
        <v>1</v>
      </c>
      <c r="AL159" s="5">
        <f t="shared" si="160"/>
        <v>1</v>
      </c>
      <c r="AM159" s="5">
        <f t="shared" si="160"/>
        <v>1</v>
      </c>
      <c r="AN159" s="5">
        <f t="shared" si="160"/>
        <v>1</v>
      </c>
      <c r="AO159" s="5">
        <f t="shared" si="160"/>
        <v>1</v>
      </c>
      <c r="AP159" s="5">
        <f t="shared" si="160"/>
        <v>1</v>
      </c>
      <c r="AQ159" s="5">
        <f t="shared" si="160"/>
        <v>1</v>
      </c>
      <c r="AR159" s="5">
        <f t="shared" si="160"/>
        <v>1</v>
      </c>
      <c r="AS159" s="5">
        <f t="shared" si="160"/>
        <v>1</v>
      </c>
      <c r="AT159" s="5">
        <f t="shared" si="160"/>
        <v>1</v>
      </c>
      <c r="AU159" s="5">
        <f t="shared" si="160"/>
        <v>1</v>
      </c>
      <c r="AV159" s="5">
        <f t="shared" si="160"/>
        <v>1</v>
      </c>
      <c r="AW159" s="5">
        <f t="shared" si="160"/>
        <v>1</v>
      </c>
      <c r="AX159" s="5">
        <f t="shared" si="160"/>
        <v>1</v>
      </c>
      <c r="AY159" s="5">
        <f t="shared" si="160"/>
        <v>1</v>
      </c>
      <c r="AZ159" s="5">
        <f t="shared" si="160"/>
        <v>0</v>
      </c>
      <c r="BA159" s="5">
        <f t="shared" si="160"/>
        <v>1</v>
      </c>
      <c r="BB159" s="5">
        <f t="shared" si="160"/>
        <v>0</v>
      </c>
    </row>
    <row r="160">
      <c r="A160" s="5">
        <v>466.0</v>
      </c>
      <c r="B160" s="4" t="s">
        <v>496</v>
      </c>
      <c r="C160" s="5">
        <v>9.01568297E8</v>
      </c>
      <c r="D160" s="4" t="s">
        <v>497</v>
      </c>
      <c r="E160" s="4" t="s">
        <v>498</v>
      </c>
      <c r="F160" s="5">
        <v>563.0</v>
      </c>
      <c r="G160" s="5">
        <v>247.0</v>
      </c>
      <c r="H160" s="5">
        <v>246.0</v>
      </c>
      <c r="I160" s="5">
        <v>13.0</v>
      </c>
      <c r="J160" s="5">
        <v>41.0</v>
      </c>
      <c r="K160" s="5">
        <v>175.0</v>
      </c>
      <c r="L160" s="5">
        <v>3.0</v>
      </c>
      <c r="M160" s="5">
        <v>47.0</v>
      </c>
      <c r="N160" s="5">
        <v>331.0</v>
      </c>
      <c r="O160" s="5">
        <v>7.0</v>
      </c>
      <c r="P160" s="5">
        <v>0.0</v>
      </c>
      <c r="Q160" s="5">
        <v>0.0</v>
      </c>
      <c r="R160" s="5">
        <v>0.0</v>
      </c>
      <c r="S160" s="5">
        <v>0.0</v>
      </c>
      <c r="T160" s="5">
        <v>0.0</v>
      </c>
      <c r="U160" s="5">
        <v>0.0</v>
      </c>
      <c r="V160" s="5">
        <v>6.0</v>
      </c>
      <c r="W160" s="5">
        <v>0.0</v>
      </c>
      <c r="X160" s="5">
        <v>0.0</v>
      </c>
      <c r="Y160" s="5">
        <v>0.0</v>
      </c>
      <c r="Z160" s="5">
        <v>193.0</v>
      </c>
      <c r="AA160" s="5">
        <v>195.0</v>
      </c>
      <c r="AB160" s="5">
        <v>1.0</v>
      </c>
      <c r="AC160" s="5">
        <v>0.0</v>
      </c>
      <c r="AD160" s="5">
        <v>0.0</v>
      </c>
      <c r="AE160" s="5">
        <v>16.0</v>
      </c>
      <c r="AF160" s="7">
        <f t="shared" si="2"/>
        <v>0.95</v>
      </c>
      <c r="AG160" s="4" t="str">
        <f t="shared" si="3"/>
        <v>facturas,nota_debito,nota_credito,documento_soporte,nota_doc_soporte,en_tercero_mandante,wildcards,encabezado_referencias_documento,linea_referencias_documento,</v>
      </c>
      <c r="AH160" s="5">
        <f t="shared" si="4"/>
        <v>19</v>
      </c>
      <c r="AI160" s="5">
        <f t="shared" ref="AI160:BB160" si="161">IF(COUNTIF(K$3:K160,"&gt;0")&gt;0,1,0)</f>
        <v>1</v>
      </c>
      <c r="AJ160" s="5">
        <f t="shared" si="161"/>
        <v>1</v>
      </c>
      <c r="AK160" s="5">
        <f t="shared" si="161"/>
        <v>1</v>
      </c>
      <c r="AL160" s="5">
        <f t="shared" si="161"/>
        <v>1</v>
      </c>
      <c r="AM160" s="5">
        <f t="shared" si="161"/>
        <v>1</v>
      </c>
      <c r="AN160" s="5">
        <f t="shared" si="161"/>
        <v>1</v>
      </c>
      <c r="AO160" s="5">
        <f t="shared" si="161"/>
        <v>1</v>
      </c>
      <c r="AP160" s="5">
        <f t="shared" si="161"/>
        <v>1</v>
      </c>
      <c r="AQ160" s="5">
        <f t="shared" si="161"/>
        <v>1</v>
      </c>
      <c r="AR160" s="5">
        <f t="shared" si="161"/>
        <v>1</v>
      </c>
      <c r="AS160" s="5">
        <f t="shared" si="161"/>
        <v>1</v>
      </c>
      <c r="AT160" s="5">
        <f t="shared" si="161"/>
        <v>1</v>
      </c>
      <c r="AU160" s="5">
        <f t="shared" si="161"/>
        <v>1</v>
      </c>
      <c r="AV160" s="5">
        <f t="shared" si="161"/>
        <v>1</v>
      </c>
      <c r="AW160" s="5">
        <f t="shared" si="161"/>
        <v>1</v>
      </c>
      <c r="AX160" s="5">
        <f t="shared" si="161"/>
        <v>1</v>
      </c>
      <c r="AY160" s="5">
        <f t="shared" si="161"/>
        <v>1</v>
      </c>
      <c r="AZ160" s="5">
        <f t="shared" si="161"/>
        <v>1</v>
      </c>
      <c r="BA160" s="5">
        <f t="shared" si="161"/>
        <v>1</v>
      </c>
      <c r="BB160" s="5">
        <f t="shared" si="161"/>
        <v>0</v>
      </c>
    </row>
    <row r="161">
      <c r="A161" s="5">
        <v>12.0</v>
      </c>
      <c r="B161" s="4" t="s">
        <v>499</v>
      </c>
      <c r="C161" s="5">
        <v>8.00160274E8</v>
      </c>
      <c r="D161" s="4" t="s">
        <v>500</v>
      </c>
      <c r="E161" s="4" t="s">
        <v>501</v>
      </c>
      <c r="F161" s="5">
        <v>76629.0</v>
      </c>
      <c r="G161" s="5">
        <v>9877.0</v>
      </c>
      <c r="H161" s="5">
        <v>9455.0</v>
      </c>
      <c r="I161" s="5">
        <v>334.0</v>
      </c>
      <c r="J161" s="5">
        <v>630.0</v>
      </c>
      <c r="K161" s="5">
        <v>72936.0</v>
      </c>
      <c r="L161" s="5">
        <v>12.0</v>
      </c>
      <c r="M161" s="5">
        <v>2870.0</v>
      </c>
      <c r="N161" s="5">
        <v>782.0</v>
      </c>
      <c r="O161" s="5">
        <v>29.0</v>
      </c>
      <c r="P161" s="5">
        <v>1.0</v>
      </c>
      <c r="Q161" s="5">
        <v>7.0</v>
      </c>
      <c r="R161" s="5">
        <v>0.0</v>
      </c>
      <c r="S161" s="5">
        <v>0.0</v>
      </c>
      <c r="T161" s="5">
        <v>0.0</v>
      </c>
      <c r="U161" s="5">
        <v>0.0</v>
      </c>
      <c r="V161" s="5">
        <v>1.0</v>
      </c>
      <c r="W161" s="5">
        <v>0.0</v>
      </c>
      <c r="X161" s="5">
        <v>0.0</v>
      </c>
      <c r="Y161" s="5">
        <v>0.0</v>
      </c>
      <c r="Z161" s="5">
        <v>76616.0</v>
      </c>
      <c r="AA161" s="5">
        <v>73917.0</v>
      </c>
      <c r="AB161" s="5">
        <v>0.0</v>
      </c>
      <c r="AC161" s="5">
        <v>4996.0</v>
      </c>
      <c r="AD161" s="5">
        <v>0.0</v>
      </c>
      <c r="AE161" s="5">
        <v>16.0</v>
      </c>
      <c r="AF161" s="7">
        <f t="shared" si="2"/>
        <v>0.95</v>
      </c>
      <c r="AG161" s="4" t="str">
        <f t="shared" si="3"/>
        <v>facturas,nota_debito,nota_credito,documento_soporte,nota_doc_soporte,usa_Linea_CargoDescuento,usa_Total_CargoDescuento,en_tercero_mandante,wildcards,encabezado_referencias_documento,maneja_anticipo,</v>
      </c>
      <c r="AH161" s="5">
        <f t="shared" si="4"/>
        <v>19</v>
      </c>
      <c r="AI161" s="5">
        <f t="shared" ref="AI161:BA161" si="162">IF(COUNTIF(K$3:K161,"&gt;0")&gt;0,1,0)</f>
        <v>1</v>
      </c>
      <c r="AJ161" s="5">
        <f t="shared" si="162"/>
        <v>1</v>
      </c>
      <c r="AK161" s="5">
        <f t="shared" si="162"/>
        <v>1</v>
      </c>
      <c r="AL161" s="5">
        <f t="shared" si="162"/>
        <v>1</v>
      </c>
      <c r="AM161" s="5">
        <f t="shared" si="162"/>
        <v>1</v>
      </c>
      <c r="AN161" s="5">
        <f t="shared" si="162"/>
        <v>1</v>
      </c>
      <c r="AO161" s="5">
        <f t="shared" si="162"/>
        <v>1</v>
      </c>
      <c r="AP161" s="5">
        <f t="shared" si="162"/>
        <v>1</v>
      </c>
      <c r="AQ161" s="5">
        <f t="shared" si="162"/>
        <v>1</v>
      </c>
      <c r="AR161" s="5">
        <f t="shared" si="162"/>
        <v>1</v>
      </c>
      <c r="AS161" s="5">
        <f t="shared" si="162"/>
        <v>1</v>
      </c>
      <c r="AT161" s="5">
        <f t="shared" si="162"/>
        <v>1</v>
      </c>
      <c r="AU161" s="5">
        <f t="shared" si="162"/>
        <v>1</v>
      </c>
      <c r="AV161" s="5">
        <f t="shared" si="162"/>
        <v>1</v>
      </c>
      <c r="AW161" s="5">
        <f t="shared" si="162"/>
        <v>1</v>
      </c>
      <c r="AX161" s="5">
        <f t="shared" si="162"/>
        <v>1</v>
      </c>
      <c r="AY161" s="5">
        <f t="shared" si="162"/>
        <v>1</v>
      </c>
      <c r="AZ161" s="5">
        <f t="shared" si="162"/>
        <v>1</v>
      </c>
      <c r="BA161" s="5">
        <f t="shared" si="162"/>
        <v>1</v>
      </c>
      <c r="BB161" s="5">
        <v>0.0</v>
      </c>
    </row>
    <row r="162">
      <c r="A162" s="1"/>
      <c r="B162" s="1"/>
      <c r="C162" s="1"/>
      <c r="D162" s="1"/>
      <c r="E162" s="1"/>
      <c r="F162" s="1"/>
      <c r="G162" s="1"/>
      <c r="H162" s="1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>
      <c r="A163" s="1"/>
      <c r="B163" s="1"/>
      <c r="C163" s="1"/>
      <c r="D163" s="1"/>
      <c r="E163" s="1"/>
      <c r="F163" s="1"/>
      <c r="G163" s="1"/>
      <c r="H163" s="1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>
      <c r="A164" s="1"/>
      <c r="B164" s="1"/>
      <c r="C164" s="1"/>
      <c r="D164" s="1"/>
      <c r="E164" s="1"/>
      <c r="F164" s="1"/>
      <c r="G164" s="1"/>
      <c r="H164" s="1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>
      <c r="A165" s="1"/>
      <c r="B165" s="1"/>
      <c r="C165" s="1"/>
      <c r="D165" s="1"/>
      <c r="E165" s="1"/>
      <c r="F165" s="1"/>
      <c r="G165" s="1"/>
      <c r="H165" s="1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</row>
  </sheetData>
  <drawing r:id="rId1"/>
</worksheet>
</file>